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NewStockTransfer\"/>
    </mc:Choice>
  </mc:AlternateContent>
  <xr:revisionPtr revIDLastSave="0" documentId="13_ncr:1_{1680F181-A178-4A69-A3EE-649C35CDE1B6}" xr6:coauthVersionLast="47" xr6:coauthVersionMax="47" xr10:uidLastSave="{00000000-0000-0000-0000-000000000000}"/>
  <bookViews>
    <workbookView xWindow="-28920" yWindow="-120" windowWidth="29040" windowHeight="15840" activeTab="1" xr2:uid="{FBE39EED-9683-4903-913B-991BA7741071}"/>
  </bookViews>
  <sheets>
    <sheet name="PERSONAL DATA" sheetId="8" r:id="rId1"/>
    <sheet name="Invoice" sheetId="5" r:id="rId2"/>
    <sheet name="Developer" sheetId="10" state="hidden" r:id="rId3"/>
  </sheets>
  <definedNames>
    <definedName name="ExternalData_2" localSheetId="0" hidden="1">'PERSONAL DATA'!#REF!</definedName>
    <definedName name="ExternalData_3" localSheetId="0" hidden="1">'PERSONAL DATA'!$C$4:$F$290</definedName>
    <definedName name="ExternalData_4" localSheetId="0" hidden="1">'PERSONAL DATA'!#REF!</definedName>
    <definedName name="invItems">Invoice!$A$16</definedName>
    <definedName name="invoiceNumber">Invoice!$D$5</definedName>
    <definedName name="invSub">Invoice!$A$140</definedName>
    <definedName name="path">#REF!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 1_5b880de7-3507-4760-9605-ecf525de8360" name="Inventory 1" connection="Query - Inventory"/>
          <x15:modelTable id="month_data_3fcf4c57-e269-4050-bb9b-11e539da5c36" name="month_data" connection="Query - month_data"/>
          <x15:modelTable id="Direct_18de7b6e-f865-4597-bc1e-c7326f2b3ebf" name="Direct" connection="Query - Direc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0" i="5" l="1"/>
  <c r="B140" i="5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7D1B4AB6-B458-4049-BC98-43D2C85B35B1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3FAD22-D691-478A-B26D-01EE4F3DB235}" keepAlive="1" name="ModelConnection_ExternalData_3" description="Data Model" type="5" refreshedVersion="7" minRefreshableVersion="5" saveData="1">
    <dbPr connection="Data Model Connection" command="month_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854301C-CECB-4523-AD23-FC1F7E0DFDCE}" name="Query - Direct" description="Connection to the 'Direct' query in the workbook." type="100" refreshedVersion="7" minRefreshableVersion="5">
    <extLst>
      <ext xmlns:x15="http://schemas.microsoft.com/office/spreadsheetml/2010/11/main" uri="{DE250136-89BD-433C-8126-D09CA5730AF9}">
        <x15:connection id="e9eed918-f9e2-49e1-a382-ba4a3f3a57e1"/>
      </ext>
    </extLst>
  </connection>
  <connection id="3" xr16:uid="{00A08A76-F236-4905-B021-2F254A3DE10E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c216e65f-654a-4152-ae6d-d9319c8051dc"/>
      </ext>
    </extLst>
  </connection>
  <connection id="4" xr16:uid="{4B7E231C-1462-49BE-A697-94319E89AE00}" name="Query - month_data" description="Connection to the 'month_data' query in the workbook." type="100" refreshedVersion="7" minRefreshableVersion="5">
    <extLst>
      <ext xmlns:x15="http://schemas.microsoft.com/office/spreadsheetml/2010/11/main" uri="{DE250136-89BD-433C-8126-D09CA5730AF9}">
        <x15:connection id="c2461ac4-e13a-4df1-83d3-08146875bf8c"/>
      </ext>
    </extLst>
  </connection>
  <connection id="5" xr16:uid="{C991E109-2854-431E-93EE-53DD343D0FE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<sst xmlns="http://schemas.openxmlformats.org/spreadsheetml/2006/main" count="576" uniqueCount="380">
  <si>
    <t>BIA-GP-CHAIN-001-035-360</t>
  </si>
  <si>
    <t>BIA-GP-CHAIN-001-035-450</t>
  </si>
  <si>
    <t>BIA-GP-CHAIN-001-035-500</t>
  </si>
  <si>
    <t>BIA-GP-CHAIN-001-035-700</t>
  </si>
  <si>
    <t>BIA-GP-CHAIN-015-120-450</t>
  </si>
  <si>
    <t>BIA-GP-CHAIN-020-200-190</t>
  </si>
  <si>
    <t>BIA-GP-CHAIN-045-140-250</t>
  </si>
  <si>
    <t>BIA-S925-CHAIN-001-035-360</t>
  </si>
  <si>
    <t>BIA-S925-CHAIN-001-035-450</t>
  </si>
  <si>
    <t>BIA-S925-CHAIN-001-035-500</t>
  </si>
  <si>
    <t>BIA-S925-CHAIN-001-035-700</t>
  </si>
  <si>
    <t>BIA-S925-CHAIN-001-040-450</t>
  </si>
  <si>
    <t>BIA-S925-CHAIN-001-040-700</t>
  </si>
  <si>
    <t>BIA-S925-CHAIN-010-080-200</t>
  </si>
  <si>
    <t>BIA-S925-CHAIN-012-100-500</t>
  </si>
  <si>
    <t>BIA-S925-CHAIN-012-100-600</t>
  </si>
  <si>
    <t>BIA-S925-CHAIN-015-120-360</t>
  </si>
  <si>
    <t>BIA-S925-CHAIN-015-120-450</t>
  </si>
  <si>
    <t>BIA-S925-CHAIN-015-120-500</t>
  </si>
  <si>
    <t>BIA-S925-CHAIN-015-120-700</t>
  </si>
  <si>
    <t>BIA-S925-CHAIN-019-110-220-250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</si>
  <si>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</si>
  <si>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</si>
  <si>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</si>
  <si>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</si>
  <si>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</si>
  <si>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BIA-S925-CHAIN-024-140-450</t>
  </si>
  <si>
    <t>BIA-S925-CHAIN-041-220-180</t>
  </si>
  <si>
    <t>BIA-S925-CHAIN-041-220-190</t>
  </si>
  <si>
    <t>BIA-S925-CHAIN-041-220-200</t>
  </si>
  <si>
    <t>BIA-S925-CHAIN-041-220-220-250</t>
  </si>
  <si>
    <t>BIA-S925-CHAIN-045-140-180</t>
  </si>
  <si>
    <t>BIA-S925-CHAIN-045-140-190</t>
  </si>
  <si>
    <t>BIA-S925-CHAIN-052-040-200</t>
  </si>
  <si>
    <t>BIA-S925-CHAIN-055-230-500</t>
  </si>
  <si>
    <t>BIA-S925-HOOP-001</t>
  </si>
  <si>
    <t>BIA-S925-HOOP-002</t>
  </si>
  <si>
    <t>BIA-S925-HOOP-003</t>
  </si>
  <si>
    <t>BIA-S925-HOOP-004</t>
  </si>
  <si>
    <t>BIA-S925-HOOP-005</t>
  </si>
  <si>
    <t>BIA-GP-HOOP-HIN-010</t>
  </si>
  <si>
    <t>BIA-S925-HOOP-HIN-010</t>
  </si>
  <si>
    <t>BIA-S925-HOOP-HIN-020</t>
  </si>
  <si>
    <t>S925-BC-0396-PEN-3H</t>
  </si>
  <si>
    <t>MS-S925-TOE-001</t>
  </si>
  <si>
    <t>MS-S925-TOE-004</t>
  </si>
  <si>
    <t>BIA-BRP-CHAIN-059-050-500</t>
  </si>
  <si>
    <t>PAV-S925-EAR-BALL-001-020-2PAIR</t>
  </si>
  <si>
    <t>GS-GP-CHAIN-EXT-001</t>
  </si>
  <si>
    <t>GS-ROSE-CHAIN-EXT-001</t>
  </si>
  <si>
    <t>S925-WHI-PEN-CROS-001</t>
  </si>
  <si>
    <t>S925-WHI-PEN-CROS-002</t>
  </si>
  <si>
    <t>S925-WHI-EAR-STUD-PERL-002-6to7</t>
  </si>
  <si>
    <t>S925-WHI-EAR-STUD-PERL-002-9to10</t>
  </si>
  <si>
    <t>Amberta LTD</t>
  </si>
  <si>
    <t>Date</t>
  </si>
  <si>
    <t>Summit House, 4-5 Mitchell Street</t>
  </si>
  <si>
    <t>Edinburgh</t>
  </si>
  <si>
    <t>EH6 7BD</t>
  </si>
  <si>
    <t>United Kingdom</t>
  </si>
  <si>
    <t>VAT No. GB275471580</t>
  </si>
  <si>
    <t>Bill To:</t>
  </si>
  <si>
    <t xml:space="preserve">Transatlantic Sterling Limited </t>
  </si>
  <si>
    <t>64A Cumberland Street</t>
  </si>
  <si>
    <t>EH5 6RE</t>
  </si>
  <si>
    <t>VAT No. GB374207305</t>
  </si>
  <si>
    <t>UNIT VALUE</t>
  </si>
  <si>
    <t>Account Name:</t>
  </si>
  <si>
    <t>Sort Code:</t>
  </si>
  <si>
    <t>20-29-24</t>
  </si>
  <si>
    <t>Account Number:</t>
  </si>
  <si>
    <t xml:space="preserve">Amberta LTD, Summit House, 4-5 Mitchell Street, Edinburgh EH6 7BD </t>
  </si>
  <si>
    <r>
      <t xml:space="preserve"> Registration No. SC573708 </t>
    </r>
    <r>
      <rPr>
        <b/>
        <sz val="11"/>
        <color theme="1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VAT Registration No. GB275471580</t>
    </r>
  </si>
  <si>
    <t>TOT. QUANTITY</t>
  </si>
  <si>
    <t>ITEMS</t>
  </si>
  <si>
    <t>TOT.  VALUE</t>
  </si>
  <si>
    <t>SUBTOTAL</t>
  </si>
  <si>
    <t>Column1</t>
  </si>
  <si>
    <t>Count</t>
  </si>
  <si>
    <t>Total Price GBP</t>
  </si>
  <si>
    <t>Bank Details</t>
  </si>
  <si>
    <t>INVOICE NUMBER</t>
  </si>
  <si>
    <t>COMMERCIAL INVOICE</t>
  </si>
  <si>
    <t xml:space="preserve">FILE PATH FOR FBA </t>
  </si>
  <si>
    <t>FILE PATH FOR DIRECT TRANSFERS</t>
  </si>
  <si>
    <t>FBA TRANSFERS</t>
  </si>
  <si>
    <t>DIRECT TRANSFERS</t>
  </si>
  <si>
    <t>OPTIONS</t>
  </si>
  <si>
    <t>BIA-GP-CHAIN-008-030-450</t>
  </si>
  <si>
    <t>BIA-ROSE-CHAIN-015-120-450</t>
  </si>
  <si>
    <t>BIA-ROSE-CHAIN-020-200-500</t>
  </si>
  <si>
    <t>BIA-ROSE-CHAIN-024-140-450</t>
  </si>
  <si>
    <t>BIA-S925-CHAIN-005-060-190</t>
  </si>
  <si>
    <t>BIA-S925-CHAIN-006-035-450</t>
  </si>
  <si>
    <t>BIA-S925-CHAIN-006-035-550</t>
  </si>
  <si>
    <t>BIA-S925-CHAIN-008-060-190</t>
  </si>
  <si>
    <t>BIA-S925-CHAIN-016-350-180</t>
  </si>
  <si>
    <t>BIA-S925-CHAIN-019-110-450</t>
  </si>
  <si>
    <t>BIA-S925-CHAIN-019-110-500</t>
  </si>
  <si>
    <t>BIA-S925-CHAIN-022-150-190</t>
  </si>
  <si>
    <t>BIA-S925-CHAIN-024-190-190</t>
  </si>
  <si>
    <t>BIA-S925-CHAIN-031-230-180</t>
  </si>
  <si>
    <t>S925-WHI-PEN-TREE-006</t>
  </si>
  <si>
    <t>DIRECT SALES</t>
  </si>
  <si>
    <t>Sales Value</t>
  </si>
  <si>
    <t>BIA-GP-CHAIN-004-040-450</t>
  </si>
  <si>
    <t>S925-WHI-PEN-LET-001-B</t>
  </si>
  <si>
    <t>FBA TRANSFER</t>
  </si>
  <si>
    <t>SKU</t>
  </si>
  <si>
    <t>BIA-S925-CHAIN-022-150-500</t>
  </si>
  <si>
    <t>GS-GP-PEN-COIN-001</t>
  </si>
  <si>
    <t>MS-S925-TOE-002</t>
  </si>
  <si>
    <t>Sum of Multiplication</t>
  </si>
  <si>
    <t>G9K-YEL-PEN-CROS-001</t>
  </si>
  <si>
    <t>BIA-GP-CHAIN-015-120-700</t>
  </si>
  <si>
    <t>S925-WHI-PEN-LET-001-N</t>
  </si>
  <si>
    <t>S925-WHI-EAR-HOOP-009-020</t>
  </si>
  <si>
    <t>S925-WHI-EAR-STUD-PERL-001-7to8</t>
  </si>
  <si>
    <t>S925-YEL-EAR-STUD-PERL-001-7to8</t>
  </si>
  <si>
    <t>S925-WHI-RIN-CEL-006-S</t>
  </si>
  <si>
    <t>BIA-GP-CHAIN-012-100-600</t>
  </si>
  <si>
    <t>BIA-S925-CHAIN-024-190-180</t>
  </si>
  <si>
    <t>BIA-GP-CHAIN-012-100-450</t>
  </si>
  <si>
    <t>BIA-GP-CHAIN-015-120-500</t>
  </si>
  <si>
    <t>BIA-S925-CHAIN-016-350-190</t>
  </si>
  <si>
    <t>BIA-S925-CHAIN-022-150-600</t>
  </si>
  <si>
    <t>BIA-S925-CHAIN-016-350-200</t>
  </si>
  <si>
    <t>BIA-ROSE-CHAIN-008-030-700</t>
  </si>
  <si>
    <t>BIA-S925-CHAIN-019-110-600</t>
  </si>
  <si>
    <t>BIA-S925-CHAIN-005-060-200</t>
  </si>
  <si>
    <t>BIA-ROSE-CHAIN-015-120-500</t>
  </si>
  <si>
    <t>BIA-S925-CHAIN-008-060-180</t>
  </si>
  <si>
    <t>BIA-S925-CHAIN-024-190-450</t>
  </si>
  <si>
    <t>BIA-S925-CHAIN-006-035-500</t>
  </si>
  <si>
    <t>BIA-S925-CHAIN-005-060-180</t>
  </si>
  <si>
    <t>BIA-S925-CHAIN-041-220-450</t>
  </si>
  <si>
    <t>BIA-S925-CHAIN-056-100-700</t>
  </si>
  <si>
    <t>BIA-S925-CHAIN-057-100-500</t>
  </si>
  <si>
    <t>BIA-S925-CHAIN-057-100-700</t>
  </si>
  <si>
    <t>BIA-S925-CHAIN-043-200-550</t>
  </si>
  <si>
    <t>BIA-GP-HOOP-HIN-020</t>
  </si>
  <si>
    <t>TIE-S925-BRA-021</t>
  </si>
  <si>
    <t>S925-WHI-PEN-LET-001-E</t>
  </si>
  <si>
    <t>S925-WHI-PEN-LET-001-J</t>
  </si>
  <si>
    <t>S925-WHI-PEN-LET-001-L</t>
  </si>
  <si>
    <t>S925-WHI-PEN-LET-001-O</t>
  </si>
  <si>
    <t>S925-WHI-PEN-LET-001-Q</t>
  </si>
  <si>
    <t>S925-WHI-PEN-LET-001-R</t>
  </si>
  <si>
    <t>S925-WHI-PEN-LET-001-W</t>
  </si>
  <si>
    <t>S925-WHI-PEN-LET-001-Y</t>
  </si>
  <si>
    <t>S925-WHI-EAR-CEL-004</t>
  </si>
  <si>
    <t>S925-WHI-EAR-CEL-005</t>
  </si>
  <si>
    <t>S925-WHI-BRA-CHA-040-200</t>
  </si>
  <si>
    <t>S925-MUL-BRA-LAY-001-200</t>
  </si>
  <si>
    <t>S925-WHI-EAR-STUD-020</t>
  </si>
  <si>
    <t>S925-WHI-EAR-HOOP-011-025</t>
  </si>
  <si>
    <t>S925-WHI-EAR-DROP-018</t>
  </si>
  <si>
    <t>S925-WHI-RIN-GEM-001-K</t>
  </si>
  <si>
    <t>BIA-S925-CHAIN-031-230-360</t>
  </si>
  <si>
    <t>BIA-GP-CHAIN-007-040-450</t>
  </si>
  <si>
    <t>BIA-GP-CHAIN-008-030-500</t>
  </si>
  <si>
    <t>BIA-GP-CHAIN-008-030-700</t>
  </si>
  <si>
    <t>BIA-GP-CHAIN-012-100-500</t>
  </si>
  <si>
    <t>BIA-S925-CHAIN-001-030-450</t>
  </si>
  <si>
    <t>BIA-S925-CHAIN-001-030-600</t>
  </si>
  <si>
    <t>BIA-S925-CHAIN-012-100-450</t>
  </si>
  <si>
    <t>BIA-S925-CHAIN-012-200-650</t>
  </si>
  <si>
    <t>BIA-S925-CHAIN-031-230-500</t>
  </si>
  <si>
    <t>BIA-ROSE-CHAIN-001-035-360</t>
  </si>
  <si>
    <t>BIA-ROSE-CHAIN-001-035-450</t>
  </si>
  <si>
    <t>BIA-ROSE-CHAIN-001-035-500</t>
  </si>
  <si>
    <t>BIA-ROSE-CHAIN-001-035-700</t>
  </si>
  <si>
    <t>BIA-S925-CHAIN-043-200-450</t>
  </si>
  <si>
    <t>GS-S925-CHAIN-SLI-001-030</t>
  </si>
  <si>
    <t>CN-S925-LOC-004</t>
  </si>
  <si>
    <t>PAV-S925-HOOP-BALI-001-015</t>
  </si>
  <si>
    <t>PAV-S925-HOOP-BALI-003-015</t>
  </si>
  <si>
    <t>PAV-S925-EAR-BALL-002-030to050</t>
  </si>
  <si>
    <t>S925-WHI-EAR-CEL-006</t>
  </si>
  <si>
    <t>S925-WHI-BRA-CHA-037-190</t>
  </si>
  <si>
    <t>S925-WHI-RIN-CEL-003</t>
  </si>
  <si>
    <t>S925-YEL-BRA-CHA-004-200</t>
  </si>
  <si>
    <t>S925-WHI-EAR-HOOP-010-020</t>
  </si>
  <si>
    <t>S925-WHI-EAR-HOOP-012-020</t>
  </si>
  <si>
    <t>S925-WHI-PEN-CROS-003</t>
  </si>
  <si>
    <t>S925-WHI-NEC-CHA-024-047-500</t>
  </si>
  <si>
    <t>S925-WHI-EAR-STUD-PERL-001-6to7</t>
  </si>
  <si>
    <t>S925-WHI-EAR-STUD-PERL-001-9to10</t>
  </si>
  <si>
    <t>S925-YEL-EAR-STUD-PERL-001-6to7</t>
  </si>
  <si>
    <t>S925-YEL-EAR-STUD-PERL-001-9to10</t>
  </si>
  <si>
    <t>S925-WHI-EAR-STUD-PERL-002-7to8</t>
  </si>
  <si>
    <t>S925-WHI-EAR-CUFF-009</t>
  </si>
  <si>
    <t>S925-WHI-EAR-CUFF-013</t>
  </si>
  <si>
    <t>S925-WHI-RIN-HAM-001-K</t>
  </si>
  <si>
    <t>S925-WHI-RIN-HAM-001-L</t>
  </si>
  <si>
    <t>S925-WHI-RIN-HAM-001-M</t>
  </si>
  <si>
    <t>S925-WHI-RIN-HAM-001-N</t>
  </si>
  <si>
    <t>S925-WHI-RIN-HAM-001-O</t>
  </si>
  <si>
    <t>S925-WHI-RIN-HAM-001-P</t>
  </si>
  <si>
    <t>S925-WHI-RIN-HAM-001-Q</t>
  </si>
  <si>
    <t>S925-WHI-RIN-HAM-001-R</t>
  </si>
  <si>
    <t>S925-WHI-RIN-HAM-001-S</t>
  </si>
  <si>
    <t>S925-WHI-BRA-BAN-HAM-002-600</t>
  </si>
  <si>
    <t>S925-YEL-BRA-BAN-HAM-002-600</t>
  </si>
  <si>
    <t>S925-WHI-EAR-STUD-031</t>
  </si>
  <si>
    <t>S925-WHI-EAR-STUD-032</t>
  </si>
  <si>
    <t>S925-WHI-EAR-STUD-033</t>
  </si>
  <si>
    <t>S925-WHI-EAR-STUD-034</t>
  </si>
  <si>
    <t>S925-WHI-EAR-STUD-035</t>
  </si>
  <si>
    <t>S925-WHI-EAR-STUD-036</t>
  </si>
  <si>
    <t>S925-WHI-EAR-STUD-037</t>
  </si>
  <si>
    <t>S925-WHI-EAR-STUD-039</t>
  </si>
  <si>
    <t>S925-WHI-EAR-STUD-040</t>
  </si>
  <si>
    <t>S925-WHI-EAR-STUD-041</t>
  </si>
  <si>
    <t>S925-WHI-EAR-STUD-042</t>
  </si>
  <si>
    <t>S925-WHI-EAR-STUD-043</t>
  </si>
  <si>
    <t>S925-YEL-EAR-STUD-031</t>
  </si>
  <si>
    <t>S925-YEL-EAR-STUD-033</t>
  </si>
  <si>
    <t>S925-YEL-EAR-STUD-036</t>
  </si>
  <si>
    <t>S925-YEL-EAR-STUD-037</t>
  </si>
  <si>
    <t>S925-YEL-EAR-STUD-039</t>
  </si>
  <si>
    <t>S925-YEL-EAR-STUD-040</t>
  </si>
  <si>
    <t>S925-YEL-EAR-STUD-041</t>
  </si>
  <si>
    <t>S925-YEL-EAR-STUD-043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</si>
  <si>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</si>
  <si>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</si>
  <si>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</si>
  <si>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</si>
  <si>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</si>
  <si>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S925-WHI-COM-EAR-008</t>
  </si>
  <si>
    <t>S925-WHI-COM-EAR-009</t>
  </si>
  <si>
    <t>S925-WHI-PEN-COIN-HAM-001</t>
  </si>
  <si>
    <t>S925-WHI-PEN-COIN-HAM-002</t>
  </si>
  <si>
    <t>S925-WHI-PEN-COIN-003</t>
  </si>
  <si>
    <t>S925-YEL-PEN-COIN-HAM-001</t>
  </si>
  <si>
    <t>S925-YEL-PEN-COIN-HAM-002</t>
  </si>
  <si>
    <t>S925-WHI-EAR-DROP-020</t>
  </si>
  <si>
    <t>BIA-ROSE-CHAIN-020-200-190</t>
  </si>
  <si>
    <t>BIA-ROSE-CHAIN-020-200-700</t>
  </si>
  <si>
    <t>BIA-ROSE-CHAIN-024-140-500</t>
  </si>
  <si>
    <t>BIA-S925-CHAIN-008-035-360</t>
  </si>
  <si>
    <t>BIA-S925-CHAIN-029-500-COL-190</t>
  </si>
  <si>
    <t>BIA-S925-CHAIN-031-230-190</t>
  </si>
  <si>
    <t>BIA-S925-CHAIN-041-220-500</t>
  </si>
  <si>
    <t>BIA-S925-CHAIN-052-040-600</t>
  </si>
  <si>
    <t>PAV-S925-EAR-CRAW-004</t>
  </si>
  <si>
    <t>S925-BLA-NEC-CHA-001-013-450</t>
  </si>
  <si>
    <t>S925-BLA-NEC-CHA-006-010-500</t>
  </si>
  <si>
    <t>S925-BLA-NEC-CHA-006-010-600</t>
  </si>
  <si>
    <t>S925-WHI-EAR-HOOP-020-020</t>
  </si>
  <si>
    <t>\\NIKOTSY-PC\Amberta LTD - Accounting\NewStockTransfer\202203_FBA\month_data.csv</t>
  </si>
  <si>
    <t>\\NIKOTSY-PC\Amberta LTD - Accounting\Stock Transfers\Amberta 22-03.csv</t>
  </si>
  <si>
    <t>BIA-S925-CHAIN-004-040-600</t>
  </si>
  <si>
    <t>BIA-S925-CHAIN-049-020-700</t>
  </si>
  <si>
    <t>BIA-BRP-CHAIN-060-150-650</t>
  </si>
  <si>
    <t>GS-S925-BRA-029-190</t>
  </si>
  <si>
    <t>S925-WHI-RIN-CEL-002</t>
  </si>
  <si>
    <t>S925-WHI-RIN-CEL-006-J</t>
  </si>
  <si>
    <t>S925-WHI-RIN-GEM-001-Q</t>
  </si>
  <si>
    <t>S925-WHI-PEN-LEAF-002</t>
  </si>
  <si>
    <t>S925-WHI-PEN-BALL-001</t>
  </si>
  <si>
    <t>S925-WHI-PEN-ANML-001</t>
  </si>
  <si>
    <t>S925-WHI-PEN-MUS-001</t>
  </si>
  <si>
    <t>S925-WHI-RIN-TOE-005</t>
  </si>
  <si>
    <t>S925-WHI-EAR-DROP-010</t>
  </si>
  <si>
    <t>S925-WHI-EAR-DROP-014</t>
  </si>
  <si>
    <t>S925-WHI-PEN-LOC-009</t>
  </si>
  <si>
    <t>S925-WHI-NEC-CHA-025-055-550</t>
  </si>
  <si>
    <t>S925-WHI-RIN-CEL-006-I</t>
  </si>
  <si>
    <t>S925-WHI-EAR-STUD-SWA-006-202</t>
  </si>
  <si>
    <t>BIA-S925-CHAIN-015-120-900</t>
  </si>
  <si>
    <t>BIA-S925-CHAIN-016-350-450</t>
  </si>
  <si>
    <t>BIA-S925-CHAIN-019-110-190</t>
  </si>
  <si>
    <t>BIA-ROSE-CHAIN-031-230-600</t>
  </si>
  <si>
    <t>BIA-S925-CHAIN-004-040-500</t>
  </si>
  <si>
    <t>BIA-S925-CHAIN-001-040-500</t>
  </si>
  <si>
    <t>BIA-S925-CHAIN-012-200-450</t>
  </si>
  <si>
    <t>BIA-S925-CHAIN-019-110-180</t>
  </si>
  <si>
    <t>BIA-S925-CHAIN-019-110-200</t>
  </si>
  <si>
    <t>BIA-S925-CHAIN-024-140-500</t>
  </si>
  <si>
    <t>BIA-S925-CHAIN-031-230-450</t>
  </si>
  <si>
    <t>BIA-S925-CHAIN-013-075-200</t>
  </si>
  <si>
    <t>BIA-S925-CHAIN-045-140-220-250</t>
  </si>
  <si>
    <t>BIA-S925-CHAIN-024-140-600</t>
  </si>
  <si>
    <t>BIA-S925-CHAIN-029-500-COL-450</t>
  </si>
  <si>
    <t>BIA-S925-CHAIN-052-040-250</t>
  </si>
  <si>
    <t>S925-BC-0396-PEN-6G</t>
  </si>
  <si>
    <t>S925-BC-1764-PEN-3H</t>
  </si>
  <si>
    <t>S925-BC-1764-PEN-6G</t>
  </si>
  <si>
    <t>S925-BC-4013-PIN-3H</t>
  </si>
  <si>
    <t>S925-BC-4016-PIN-3H</t>
  </si>
  <si>
    <t>S925-BC-5940-EAR-3H</t>
  </si>
  <si>
    <t>S925-BC-5940-EAR-6G</t>
  </si>
  <si>
    <t>MS-S925-LOC-001</t>
  </si>
  <si>
    <t>GS-S925-EAR-014</t>
  </si>
  <si>
    <t>BIA-RP-CHAIN-060-200</t>
  </si>
  <si>
    <t>TIE-S925-BRA-026-030-190</t>
  </si>
  <si>
    <t>TIE-S925-BRA-026-030-200</t>
  </si>
  <si>
    <t>GS-S925-CHAIN-EXT-001</t>
  </si>
  <si>
    <t>PAV-S925-EAR-CRAW-001</t>
  </si>
  <si>
    <t>PAV-S925-EAR-BALL-002-020-2PAIR</t>
  </si>
  <si>
    <t>G9K-ROS-BRA-CHA-001-190</t>
  </si>
  <si>
    <t>S925-WHI-RIN-CEL-006-M</t>
  </si>
  <si>
    <t>S925-WHI-RIN-GEM-001-J</t>
  </si>
  <si>
    <t>S925-WHI-RIN-GEM-001-M</t>
  </si>
  <si>
    <t>S925-WHI-EAR-STUD-019</t>
  </si>
  <si>
    <t>S925-ROS-BRA-CHA-004-200</t>
  </si>
  <si>
    <t>S925-WHI-EAR-HOOP-008-025</t>
  </si>
  <si>
    <t>S925-WHI-PEN-CROS-008</t>
  </si>
  <si>
    <t>S925-WHI-EAR-HOOP-017-020</t>
  </si>
  <si>
    <t>S925-BAW-BRA-CHA-012-190</t>
  </si>
  <si>
    <t>S925-WHI-RIN-GEM-001-R</t>
  </si>
  <si>
    <t>S925-WHI-RIN-GEM-001-S</t>
  </si>
  <si>
    <t>S925-WHI-EAR-STUD-SWA-006-001-BBL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</si>
  <si>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</si>
  <si>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</si>
  <si>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</si>
  <si>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</si>
  <si>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</si>
  <si>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</si>
  <si>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</si>
  <si>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</si>
  <si>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</si>
  <si>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</si>
  <si>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S925-YEL-NEC-CHA-024-079-410</t>
  </si>
  <si>
    <t>S925-YEL-NEC-CHA-024-079-450</t>
  </si>
  <si>
    <t>S925-YEL-NEC-CHA-024-079-500</t>
  </si>
  <si>
    <t>S925-WHI-NEC-CHA-027-055-500</t>
  </si>
  <si>
    <t>S925-WHI-NEC-CHA-027-079-410</t>
  </si>
  <si>
    <t>S925-WHI-NEC-CHA-027-079-450</t>
  </si>
  <si>
    <t>S925-WHI-NEC-CHA-027-079-500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</si>
  <si>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</si>
  <si>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</si>
  <si>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</si>
  <si>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</si>
  <si>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</si>
  <si>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</si>
  <si>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</si>
  <si>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</si>
  <si>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</si>
  <si>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</si>
  <si>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</si>
  <si>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</si>
  <si>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</si>
  <si>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</si>
  <si>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</si>
  <si>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</si>
  <si>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</si>
  <si>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</si>
  <si>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</si>
  <si>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</si>
  <si>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</si>
  <si>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</si>
  <si>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</si>
  <si>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</si>
  <si>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</si>
  <si>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</si>
  <si>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</si>
  <si>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</si>
  <si>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</si>
  <si>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</si>
  <si>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</si>
  <si>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</si>
  <si>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</si>
  <si>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</si>
  <si>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</si>
  <si>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</si>
  <si>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G9K-YEL-BRA-CHA-005-190</t>
  </si>
  <si>
    <t>G9K-YEL-BRA-CHA-006-190</t>
  </si>
  <si>
    <t>BIA-ROSE-CHAIN-041-220-250</t>
  </si>
  <si>
    <t>BIA-S925-CHAIN-008-035-500</t>
  </si>
  <si>
    <t>BIA-S925-CHAIN-031-230-200</t>
  </si>
  <si>
    <t>BIA-S925-CHAIN-041-220-600</t>
  </si>
  <si>
    <t>BIA-S925-CHAIN-049-020-500</t>
  </si>
  <si>
    <t>BIA-S925-CHAIN-052-040-500</t>
  </si>
  <si>
    <t>S925-WHI-EAR-CUFF-002</t>
  </si>
  <si>
    <t>S925-WHI-EAR-CUFF-004</t>
  </si>
  <si>
    <t>S925-YEL-EAR-STUD-022</t>
  </si>
  <si>
    <t>TIE-S925-BRA-022</t>
  </si>
  <si>
    <t>202203_DIR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</si>
</sst>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8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0"/>
      <name val="Verdana"/>
      <family val="2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59">
    <xf numFmtId="0" fontId="0" fillId="0" borderId="0" xfId="0"/>
    <xf numFmtId="2" fontId="0" fillId="0" borderId="0" xfId="0" applyNumberFormat="1"/>
    <xf numFmtId="0" fontId="3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0" fillId="0" borderId="7" xfId="0" applyBorder="1"/>
    <xf numFmtId="14" fontId="8" fillId="4" borderId="7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/>
    </xf>
    <xf numFmtId="14" fontId="7" fillId="4" borderId="7" xfId="0" applyNumberFormat="1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Border="1"/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4" fillId="0" borderId="7" xfId="0" applyFont="1" applyBorder="1"/>
    <xf numFmtId="0" fontId="15" fillId="0" borderId="7" xfId="0" applyFont="1" applyBorder="1"/>
    <xf numFmtId="0" fontId="11" fillId="3" borderId="12" xfId="0" applyFont="1" applyFill="1" applyBorder="1" applyAlignment="1">
      <alignment horizontal="left" vertical="center" wrapText="1"/>
    </xf>
    <xf numFmtId="0" fontId="0" fillId="4" borderId="0" xfId="0" applyFill="1"/>
    <xf numFmtId="2" fontId="11" fillId="3" borderId="12" xfId="0" applyNumberFormat="1" applyFont="1" applyFill="1" applyBorder="1" applyAlignment="1">
      <alignment horizontal="left" vertical="center"/>
    </xf>
    <xf numFmtId="0" fontId="7" fillId="5" borderId="11" xfId="0" applyFont="1" applyFill="1" applyBorder="1"/>
    <xf numFmtId="0" fontId="9" fillId="4" borderId="0" xfId="0" applyFont="1" applyFill="1" applyBorder="1" applyAlignment="1">
      <alignment horizontal="left"/>
    </xf>
    <xf numFmtId="0" fontId="16" fillId="4" borderId="11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 wrapText="1"/>
    </xf>
    <xf numFmtId="2" fontId="16" fillId="4" borderId="11" xfId="0" applyNumberFormat="1" applyFont="1" applyFill="1" applyBorder="1" applyAlignment="1">
      <alignment vertical="center" wrapText="1"/>
    </xf>
    <xf numFmtId="2" fontId="7" fillId="3" borderId="6" xfId="0" applyNumberFormat="1" applyFont="1" applyFill="1" applyBorder="1" applyAlignment="1">
      <alignment vertical="center"/>
    </xf>
    <xf numFmtId="2" fontId="9" fillId="4" borderId="8" xfId="0" applyNumberFormat="1" applyFont="1" applyFill="1" applyBorder="1" applyAlignment="1">
      <alignment horizontal="left" wrapText="1"/>
    </xf>
    <xf numFmtId="2" fontId="9" fillId="3" borderId="8" xfId="0" applyNumberFormat="1" applyFont="1" applyFill="1" applyBorder="1" applyAlignment="1">
      <alignment vertical="center"/>
    </xf>
    <xf numFmtId="2" fontId="9" fillId="4" borderId="10" xfId="0" applyNumberFormat="1" applyFont="1" applyFill="1" applyBorder="1" applyAlignment="1">
      <alignment horizontal="left" wrapText="1"/>
    </xf>
    <xf numFmtId="2" fontId="11" fillId="3" borderId="12" xfId="0" applyNumberFormat="1" applyFont="1" applyFill="1" applyBorder="1" applyAlignment="1">
      <alignment vertical="center" wrapText="1"/>
    </xf>
    <xf numFmtId="2" fontId="0" fillId="0" borderId="8" xfId="0" applyNumberFormat="1" applyBorder="1"/>
    <xf numFmtId="2" fontId="16" fillId="4" borderId="11" xfId="0" applyNumberFormat="1" applyFont="1" applyFill="1" applyBorder="1" applyAlignment="1">
      <alignment vertical="center"/>
    </xf>
    <xf numFmtId="2" fontId="7" fillId="5" borderId="11" xfId="1" applyNumberFormat="1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center" vertical="center"/>
    </xf>
    <xf numFmtId="2" fontId="9" fillId="4" borderId="0" xfId="0" applyNumberFormat="1" applyFont="1" applyFill="1" applyBorder="1" applyAlignment="1">
      <alignment horizontal="left"/>
    </xf>
    <xf numFmtId="2" fontId="0" fillId="0" borderId="0" xfId="0" applyNumberFormat="1" applyBorder="1"/>
    <xf numFmtId="2" fontId="10" fillId="0" borderId="0" xfId="0" applyNumberFormat="1" applyFont="1" applyBorder="1" applyAlignment="1">
      <alignment horizontal="left"/>
    </xf>
    <xf numFmtId="2" fontId="2" fillId="5" borderId="11" xfId="0" applyNumberFormat="1" applyFont="1" applyFill="1" applyBorder="1"/>
    <xf numFmtId="0" fontId="0" fillId="6" borderId="0" xfId="0" applyFill="1"/>
    <xf numFmtId="0" fontId="0" fillId="7" borderId="0" xfId="0" applyFill="1"/>
    <xf numFmtId="2" fontId="17" fillId="8" borderId="0" xfId="0" applyNumberFormat="1" applyFont="1" applyFill="1" applyBorder="1" applyAlignment="1">
      <alignment horizontal="left" wrapText="1"/>
    </xf>
    <xf numFmtId="14" fontId="8" fillId="4" borderId="8" xfId="0" applyNumberFormat="1" applyFont="1" applyFill="1" applyBorder="1"/>
    <xf numFmtId="0" fontId="0" fillId="0" borderId="8" xfId="0" applyBorder="1"/>
    <xf numFmtId="0" fontId="0" fillId="10" borderId="8" xfId="0" applyFill="1" applyBorder="1"/>
    <xf numFmtId="0" fontId="20" fillId="0" borderId="8" xfId="2" applyBorder="1"/>
    <xf numFmtId="0" fontId="0" fillId="0" borderId="0" xfId="0" applyNumberFormat="1"/>
    <xf numFmtId="0" fontId="0" fillId="0" borderId="0" xfId="0" pivotButton="1"/>
    <xf numFmtId="2" fontId="0" fillId="0" borderId="0" xfId="0" pivotButton="1" applyNumberFormat="1"/>
    <xf numFmtId="0" fontId="0" fillId="10" borderId="0" xfId="0" applyFill="1" applyBorder="1"/>
    <xf numFmtId="0" fontId="5" fillId="3" borderId="4" xfId="0" applyFont="1" applyFill="1" applyBorder="1" applyAlignment="1">
      <alignment horizontal="left" vertical="center"/>
    </xf>
    <xf numFmtId="0" fontId="18" fillId="6" borderId="0" xfId="0" applyFont="1" applyFill="1" applyAlignment="1">
      <alignment horizontal="center" vertical="center"/>
    </xf>
    <xf numFmtId="0" fontId="19" fillId="9" borderId="0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7">
    <dxf>
      <numFmt numFmtId="2" formatCode="0.00"/>
    </dxf>
    <dxf>
      <numFmt numFmtId="2" formatCode="0.00"/>
    </dxf>
    <dxf>
      <numFmt numFmtId="0" formatCode="General"/>
    </dxf>
    <dxf>
      <border outline="0">
        <right style="thin">
          <color indexed="64"/>
        </right>
      </border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161925</xdr:rowOff>
        </xdr:from>
        <xdr:to>
          <xdr:col>0</xdr:col>
          <xdr:colOff>1485900</xdr:colOff>
          <xdr:row>17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27</xdr:row>
          <xdr:rowOff>38100</xdr:rowOff>
        </xdr:from>
        <xdr:to>
          <xdr:col>0</xdr:col>
          <xdr:colOff>3448050</xdr:colOff>
          <xdr:row>30</xdr:row>
          <xdr:rowOff>114300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30</xdr:row>
          <xdr:rowOff>161925</xdr:rowOff>
        </xdr:from>
        <xdr:to>
          <xdr:col>0</xdr:col>
          <xdr:colOff>1419225</xdr:colOff>
          <xdr:row>34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1981200</xdr:colOff>
      <xdr:row>0</xdr:row>
      <xdr:rowOff>0</xdr:rowOff>
    </xdr:from>
    <xdr:to>
      <xdr:col>0</xdr:col>
      <xdr:colOff>3124200</xdr:colOff>
      <xdr:row>4</xdr:row>
      <xdr:rowOff>142875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981200" y="0"/>
          <a:ext cx="1143000" cy="904875"/>
          <a:chOff x="7286625" y="152400"/>
          <a:chExt cx="1057275" cy="751271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7286625" y="152400"/>
            <a:ext cx="1057275" cy="5619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aseline="0"/>
              <a:t>FILE PATH</a:t>
            </a:r>
          </a:p>
          <a:p>
            <a:pPr algn="ctr"/>
            <a:r>
              <a:rPr lang="en-GB" sz="2000">
                <a:solidFill>
                  <a:srgbClr val="FFFF00"/>
                </a:solidFill>
              </a:rPr>
              <a:t>FBA</a:t>
            </a:r>
            <a:r>
              <a:rPr lang="en-GB" sz="1100" baseline="0"/>
              <a:t> </a:t>
            </a:r>
            <a:endParaRPr lang="en-GB" sz="1100"/>
          </a:p>
        </xdr:txBody>
      </xdr:sp>
      <xdr:pic>
        <xdr:nvPicPr>
          <xdr:cNvPr id="4" name="Graphic 3" descr="Play with solid fill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688647" y="365246"/>
            <a:ext cx="269968" cy="80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2009775</xdr:colOff>
      <xdr:row>6</xdr:row>
      <xdr:rowOff>123825</xdr:rowOff>
    </xdr:from>
    <xdr:to>
      <xdr:col>0</xdr:col>
      <xdr:colOff>3067050</xdr:colOff>
      <xdr:row>13</xdr:row>
      <xdr:rowOff>14289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009775" y="1266825"/>
          <a:ext cx="1057275" cy="1223964"/>
          <a:chOff x="7286625" y="152400"/>
          <a:chExt cx="1057275" cy="707979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286625" y="152400"/>
            <a:ext cx="1057275" cy="5619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/>
              <a:t>INSERT</a:t>
            </a:r>
            <a:r>
              <a:rPr lang="en-GB" sz="1100" baseline="0"/>
              <a:t> </a:t>
            </a:r>
          </a:p>
          <a:p>
            <a:pPr algn="l"/>
            <a:r>
              <a:rPr lang="en-GB" sz="1100" baseline="0"/>
              <a:t>FILE PATH</a:t>
            </a:r>
          </a:p>
          <a:p>
            <a:pPr algn="ctr"/>
            <a:r>
              <a:rPr lang="en-GB" sz="2000">
                <a:solidFill>
                  <a:srgbClr val="FFFF00"/>
                </a:solidFill>
              </a:rPr>
              <a:t>DIRECT</a:t>
            </a:r>
            <a:r>
              <a:rPr lang="en-GB" sz="1100" baseline="0"/>
              <a:t> </a:t>
            </a:r>
            <a:endParaRPr lang="en-GB" sz="1100"/>
          </a:p>
        </xdr:txBody>
      </xdr:sp>
      <xdr:pic>
        <xdr:nvPicPr>
          <xdr:cNvPr id="11" name="Graphic 10" descr="Play with solid fil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680278" y="321954"/>
            <a:ext cx="269968" cy="80688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28</xdr:row>
          <xdr:rowOff>0</xdr:rowOff>
        </xdr:from>
        <xdr:to>
          <xdr:col>0</xdr:col>
          <xdr:colOff>1962150</xdr:colOff>
          <xdr:row>29</xdr:row>
          <xdr:rowOff>180975</xdr:rowOff>
        </xdr:to>
        <xdr:sp macro="" textlink="">
          <xdr:nvSpPr>
            <xdr:cNvPr id="8205" name="cbTransfer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47625</xdr:colOff>
      <xdr:row>36</xdr:row>
      <xdr:rowOff>180973</xdr:rowOff>
    </xdr:from>
    <xdr:to>
      <xdr:col>0</xdr:col>
      <xdr:colOff>5276850</xdr:colOff>
      <xdr:row>66</xdr:row>
      <xdr:rowOff>161924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7625" y="7038973"/>
          <a:ext cx="5229225" cy="5695951"/>
          <a:chOff x="0" y="7400925"/>
          <a:chExt cx="5229225" cy="4912104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33425" y="7400925"/>
            <a:ext cx="3981450" cy="866775"/>
          </a:xfrm>
          <a:prstGeom prst="roundRect">
            <a:avLst/>
          </a:prstGeom>
          <a:solidFill>
            <a:schemeClr val="accent5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4800"/>
              <a:t>HOW</a:t>
            </a:r>
            <a:r>
              <a:rPr lang="en-GB" sz="4800" baseline="0"/>
              <a:t> TO USE</a:t>
            </a:r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0" y="8124824"/>
            <a:ext cx="5229225" cy="4188205"/>
          </a:xfrm>
          <a:prstGeom prst="roundRect">
            <a:avLst/>
          </a:prstGeom>
          <a:solidFill>
            <a:schemeClr val="accent5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>
                <a:solidFill>
                  <a:schemeClr val="tx1"/>
                </a:solidFill>
              </a:rPr>
              <a:t>INSERT</a:t>
            </a:r>
            <a:r>
              <a:rPr lang="en-GB" sz="1600" baseline="0">
                <a:solidFill>
                  <a:schemeClr val="tx1"/>
                </a:solidFill>
              </a:rPr>
              <a:t> THE FILE PATH FOR THE FBA FILE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INSERT LINNWORKS REPORT PATH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CLICK ON "REFRESH DATA"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INSERT YEAR AND MONTH OF REPORT (EG. 202112)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SELECT FROM THE DROPDOWN MENU WHICH INVOICE TO GENERATE 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CLICK ON 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ONCE CHECKED THE INVOICE, CLICK ON </a:t>
            </a:r>
          </a:p>
        </xdr:txBody>
      </xdr:sp>
    </xdr:grpSp>
    <xdr:clientData/>
  </xdr:twoCellAnchor>
  <xdr:twoCellAnchor editAs="oneCell">
    <xdr:from>
      <xdr:col>0</xdr:col>
      <xdr:colOff>171450</xdr:colOff>
      <xdr:row>48</xdr:row>
      <xdr:rowOff>57150</xdr:rowOff>
    </xdr:from>
    <xdr:to>
      <xdr:col>0</xdr:col>
      <xdr:colOff>4734562</xdr:colOff>
      <xdr:row>50</xdr:row>
      <xdr:rowOff>57203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9201150"/>
          <a:ext cx="4563112" cy="3810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44</xdr:row>
      <xdr:rowOff>104036</xdr:rowOff>
    </xdr:from>
    <xdr:to>
      <xdr:col>0</xdr:col>
      <xdr:colOff>5210175</xdr:colOff>
      <xdr:row>46</xdr:row>
      <xdr:rowOff>66726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" y="8486036"/>
          <a:ext cx="5019675" cy="343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23</xdr:row>
          <xdr:rowOff>95250</xdr:rowOff>
        </xdr:from>
        <xdr:to>
          <xdr:col>0</xdr:col>
          <xdr:colOff>1800225</xdr:colOff>
          <xdr:row>25</xdr:row>
          <xdr:rowOff>85725</xdr:rowOff>
        </xdr:to>
        <xdr:sp macro="" textlink="">
          <xdr:nvSpPr>
            <xdr:cNvPr id="8206" name="tbPuchase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76197</xdr:colOff>
      <xdr:row>19</xdr:row>
      <xdr:rowOff>180977</xdr:rowOff>
    </xdr:from>
    <xdr:to>
      <xdr:col>0</xdr:col>
      <xdr:colOff>2047875</xdr:colOff>
      <xdr:row>23</xdr:row>
      <xdr:rowOff>95251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76197" y="3800477"/>
          <a:ext cx="1971678" cy="676274"/>
          <a:chOff x="7286625" y="152400"/>
          <a:chExt cx="1177065" cy="707979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286625" y="152400"/>
            <a:ext cx="1177065" cy="5619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00" baseline="0"/>
              <a:t>YEAR  AND MONTH (YYYYMM)</a:t>
            </a:r>
          </a:p>
          <a:p>
            <a:pPr algn="ctr"/>
            <a:r>
              <a:rPr lang="en-GB" sz="1000" baseline="0"/>
              <a:t>OF CURRENT REPORT</a:t>
            </a:r>
            <a:endParaRPr lang="en-GB" sz="1000"/>
          </a:p>
        </xdr:txBody>
      </xdr:sp>
      <xdr:pic>
        <xdr:nvPicPr>
          <xdr:cNvPr id="20" name="Graphic 19" descr="Play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742827" y="321954"/>
            <a:ext cx="269968" cy="80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2000251</xdr:colOff>
      <xdr:row>23</xdr:row>
      <xdr:rowOff>38100</xdr:rowOff>
    </xdr:from>
    <xdr:to>
      <xdr:col>0</xdr:col>
      <xdr:colOff>2647951</xdr:colOff>
      <xdr:row>25</xdr:row>
      <xdr:rowOff>123825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00251" y="4419600"/>
          <a:ext cx="647700" cy="466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EG.</a:t>
          </a:r>
          <a:r>
            <a:rPr lang="en-GB" sz="1100" baseline="0"/>
            <a:t> </a:t>
          </a:r>
        </a:p>
        <a:p>
          <a:pPr algn="l"/>
          <a:r>
            <a:rPr lang="en-GB" sz="1100"/>
            <a:t>202112</a:t>
          </a:r>
        </a:p>
      </xdr:txBody>
    </xdr:sp>
    <xdr:clientData/>
  </xdr:twoCellAnchor>
  <xdr:twoCellAnchor editAs="oneCell">
    <xdr:from>
      <xdr:col>0</xdr:col>
      <xdr:colOff>1238250</xdr:colOff>
      <xdr:row>58</xdr:row>
      <xdr:rowOff>123824</xdr:rowOff>
    </xdr:from>
    <xdr:to>
      <xdr:col>0</xdr:col>
      <xdr:colOff>2619568</xdr:colOff>
      <xdr:row>62</xdr:row>
      <xdr:rowOff>19141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8250" y="11172824"/>
          <a:ext cx="1381318" cy="657317"/>
        </a:xfrm>
        <a:prstGeom prst="rect">
          <a:avLst/>
        </a:prstGeom>
      </xdr:spPr>
    </xdr:pic>
    <xdr:clientData/>
  </xdr:twoCellAnchor>
  <xdr:twoCellAnchor editAs="oneCell">
    <xdr:from>
      <xdr:col>0</xdr:col>
      <xdr:colOff>3743325</xdr:colOff>
      <xdr:row>62</xdr:row>
      <xdr:rowOff>123823</xdr:rowOff>
    </xdr:from>
    <xdr:to>
      <xdr:col>0</xdr:col>
      <xdr:colOff>4972221</xdr:colOff>
      <xdr:row>65</xdr:row>
      <xdr:rowOff>85797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43325" y="11934823"/>
          <a:ext cx="1228896" cy="533474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79231365738" backgroundQuery="1" createdVersion="7" refreshedVersion="7" minRefreshableVersion="3" recordCount="0" supportSubquery="1" supportAdvancedDrill="1" xr:uid="{8D396D50-2D52-476D-A9FD-9101090B53E9}">
  <cacheSource type="external" connectionId="5"/>
  <cacheFields count="4">
    <cacheField name="[Direct].[SKU].[SKU]" caption="SKU" numFmtId="0" level="1">
      <sharedItems count="122">
        <s v="BIA-BRP-CHAIN-059-050-500"/>
        <s v="BIA-GP-CHAIN-001-035-360"/>
        <s v="BIA-GP-CHAIN-001-035-450"/>
        <s v="BIA-GP-CHAIN-001-035-500"/>
        <s v="BIA-GP-CHAIN-004-040-450"/>
        <s v="BIA-GP-CHAIN-008-030-450"/>
        <s v="BIA-GP-CHAIN-008-030-700"/>
        <s v="BIA-GP-CHAIN-012-100-500"/>
        <s v="BIA-GP-CHAIN-015-120-450"/>
        <s v="BIA-GP-CHAIN-015-120-500"/>
        <s v="BIA-GP-CHAIN-015-120-700"/>
        <s v="BIA-GP-CHAIN-020-200-190"/>
        <s v="BIA-ROSE-CHAIN-001-035-360"/>
        <s v="BIA-ROSE-CHAIN-001-035-450"/>
        <s v="BIA-ROSE-CHAIN-001-035-500"/>
        <s v="BIA-ROSE-CHAIN-001-035-700"/>
        <s v="BIA-ROSE-CHAIN-008-030-700"/>
        <s v="BIA-ROSE-CHAIN-015-120-450"/>
        <s v="BIA-ROSE-CHAIN-015-120-500"/>
        <s v="BIA-ROSE-CHAIN-020-200-190"/>
        <s v="BIA-ROSE-CHAIN-020-200-500"/>
        <s v="BIA-ROSE-CHAIN-020-200-700"/>
        <s v="BIA-ROSE-CHAIN-031-230-600"/>
        <s v="BIA-ROSE-CHAIN-041-220-250"/>
        <s v="BIA-S925-CHAIN-001-030-450"/>
        <s v="BIA-S925-CHAIN-001-035-360"/>
        <s v="BIA-S925-CHAIN-001-035-450"/>
        <s v="BIA-S925-CHAIN-001-035-500"/>
        <s v="BIA-S925-CHAIN-001-035-700"/>
        <s v="BIA-S925-CHAIN-004-040-600"/>
        <s v="BIA-S925-CHAIN-005-060-190"/>
        <s v="BIA-S925-CHAIN-005-060-200"/>
        <s v="BIA-S925-CHAIN-006-035-450"/>
        <s v="BIA-S925-CHAIN-006-035-500"/>
        <s v="BIA-S925-CHAIN-006-035-550"/>
        <s v="BIA-S925-CHAIN-008-035-360"/>
        <s v="BIA-S925-CHAIN-008-035-500"/>
        <s v="BIA-S925-CHAIN-010-080-200"/>
        <s v="BIA-S925-CHAIN-012-100-450"/>
        <s v="BIA-S925-CHAIN-012-100-500"/>
        <s v="BIA-S925-CHAIN-012-100-600"/>
        <s v="BIA-S925-CHAIN-012-200-450"/>
        <s v="BIA-S925-CHAIN-016-350-190"/>
        <s v="BIA-S925-CHAIN-016-350-200"/>
        <s v="BIA-S925-CHAIN-019-110-180"/>
        <s v="BIA-S925-CHAIN-019-110-450"/>
        <s v="BIA-S925-CHAIN-019-110-500"/>
        <s v="BIA-S925-CHAIN-019-110-600"/>
        <s v="BIA-S925-CHAIN-020-200-450"/>
        <s v="BIA-S925-CHAIN-020-200-500"/>
        <s v="BIA-S925-CHAIN-020-200-700"/>
        <s v="BIA-S925-CHAIN-022-150-190"/>
        <s v="BIA-S925-CHAIN-022-150-600"/>
        <s v="BIA-S925-CHAIN-024-140-600"/>
        <s v="BIA-S925-CHAIN-024-190-180"/>
        <s v="BIA-S925-CHAIN-024-190-190"/>
        <s v="BIA-S925-CHAIN-029-500-COL-190"/>
        <s v="BIA-S925-CHAIN-029-500-COL-450"/>
        <s v="BIA-S925-CHAIN-031-230-180"/>
        <s v="BIA-S925-CHAIN-031-230-190"/>
        <s v="BIA-S925-CHAIN-031-230-200"/>
        <s v="BIA-S925-CHAIN-041-220-180"/>
        <s v="BIA-S925-CHAIN-041-220-190"/>
        <s v="BIA-S925-CHAIN-041-220-450"/>
        <s v="BIA-S925-CHAIN-041-220-500"/>
        <s v="BIA-S925-CHAIN-041-220-600"/>
        <s v="BIA-S925-CHAIN-043-200-450"/>
        <s v="BIA-S925-CHAIN-043-200-550"/>
        <s v="BIA-S925-CHAIN-045-140-180"/>
        <s v="BIA-S925-CHAIN-045-140-190"/>
        <s v="BIA-S925-CHAIN-049-020-500"/>
        <s v="BIA-S925-CHAIN-052-040-250"/>
        <s v="BIA-S925-CHAIN-052-040-500"/>
        <s v="BIA-S925-CHAIN-052-040-600"/>
        <s v="BIA-S925-CHAIN-055-230-500"/>
        <s v="BIA-S925-HOOP-003"/>
        <s v="BIA-S925-HOOP-005"/>
        <s v="BIA-S925-HOOP-HIN-010"/>
        <s v="BIA-S925-HOOP-HIN-020"/>
        <s v="PAV-S925-EAR-BALL-001-020-2PAIR"/>
        <s v="PAV-S925-EAR-CRAW-001"/>
        <s v="PAV-S925-EAR-CRAW-004"/>
        <s v="S925-BC-0396-PEN-6G"/>
        <s v="S925-BC-1764-PEN-3H"/>
        <s v="S925-BC-1764-PEN-6G"/>
        <s v="S925-BC-4013-PIN-3H"/>
        <s v="S925-BLA-NEC-CHA-001-013-450"/>
        <s v="S925-BLA-NEC-CHA-006-010-500"/>
        <s v="S925-BLA-NEC-CHA-006-010-600"/>
        <s v="S925-WHI-BRA-CHA-037-190"/>
        <s v="S925-WHI-BRA-CHA-040-200"/>
        <s v="S925-WHI-COM-EAR-008"/>
        <s v="S925-WHI-EAR-CEL-005"/>
        <s v="S925-WHI-EAR-CEL-006"/>
        <s v="S925-WHI-EAR-CUFF-002"/>
        <s v="S925-WHI-EAR-CUFF-004"/>
        <s v="S925-WHI-EAR-CUFF-009"/>
        <s v="S925-WHI-EAR-CUFF-013"/>
        <s v="S925-WHI-EAR-DROP-018"/>
        <s v="S925-WHI-EAR-HOOP-008-025"/>
        <s v="S925-WHI-EAR-HOOP-020-020"/>
        <s v="S925-WHI-EAR-STUD-019"/>
        <s v="S925-WHI-EAR-STUD-PERL-001-7to8"/>
        <s v="S925-WHI-EAR-STUD-PERL-002-9to10"/>
        <s v="S925-WHI-NEC-CHA-028-045-410"/>
        <s v="S925-WHI-NEC-CHA-029-030-450"/>
        <s v="S925-WHI-PEN-CROS-001"/>
        <s v="S925-WHI-PEN-CROS-003"/>
        <s v="S925-WHI-PEN-LET-001-E"/>
        <s v="S925-WHI-PEN-LET-001-L"/>
        <s v="S925-WHI-PEN-LET-001-O"/>
        <s v="S925-WHI-PEN-LET-001-Q"/>
        <s v="S925-WHI-PEN-LET-001-W"/>
        <s v="S925-WHI-PEN-LET-001-Y"/>
        <s v="S925-WHI-PEN-TREE-006"/>
        <s v="S925-WHI-RIN-CEL-003"/>
        <s v="S925-WHI-RIN-GEM-001-J"/>
        <s v="S925-WHI-RIN-GEM-001-R"/>
        <s v="S925-WHI-RIN-HAM-001-S"/>
        <s v="S925-YEL-EAR-STUD-022"/>
        <s v="S925-YEL-EAR-STUD-041"/>
        <s v="TIE-S925-BRA-022"/>
      </sharedItems>
    </cacheField>
    <cacheField name="[Direct].[Count].[Count]" caption="Count" numFmtId="0" hierarchy="1" level="1">
      <sharedItems containsSemiMixedTypes="0" containsString="0" containsNumber="1" containsInteger="1" minValue="1" maxValue="26" count="14">
        <n v="1"/>
        <n v="2"/>
        <n v="9"/>
        <n v="19"/>
        <n v="26"/>
        <n v="5"/>
        <n v="4"/>
        <n v="3"/>
        <n v="8"/>
        <n v="12"/>
        <n v="13"/>
        <n v="7"/>
        <n v="10"/>
        <n v="15"/>
      </sharedItems>
    </cacheField>
    <cacheField name="[Direct].[Total Price GBP].[Total Price GBP]" caption="Total Price GBP" numFmtId="0" hierarchy="2" level="1">
      <sharedItems containsSemiMixedTypes="0" containsString="0" containsNumber="1" minValue="0.8044" maxValue="19.037800000000001" count="118">
        <n v="19.037800000000001"/>
        <n v="2.3437000000000001"/>
        <n v="2.7086999999999999"/>
        <n v="2.9824000000000002"/>
        <n v="2.8702000000000001"/>
        <n v="3.0863"/>
        <n v="4.5696000000000003"/>
        <n v="3.5276999999999998"/>
        <n v="3.1013999999999999"/>
        <n v="3.3471000000000002"/>
        <n v="4.2995000000000001"/>
        <n v="3.3637000000000001"/>
        <n v="2.3731"/>
        <n v="2.7559"/>
        <n v="2.9830999999999999"/>
        <n v="3.9737"/>
        <n v="4.6497999999999999"/>
        <n v="3.1537999999999999"/>
        <n v="3.4043999999999999"/>
        <n v="3.157"/>
        <n v="6.8785999999999996"/>
        <n v="9.3364999999999991"/>
        <n v="6.1064999999999996"/>
        <n v="4.5122"/>
        <n v="1.8293999999999999"/>
        <n v="1.7422"/>
        <n v="2.044"/>
        <n v="2.1539000000000001"/>
        <n v="2.7656000000000001"/>
        <n v="3.0205000000000002"/>
        <n v="4.3762999999999996"/>
        <n v="4.5561999999999996"/>
        <n v="2.7685"/>
        <n v="3.0865999999999998"/>
        <n v="3.3464"/>
        <n v="2.6274000000000002"/>
        <n v="3.548"/>
        <n v="2.9437000000000002"/>
        <n v="2.5528"/>
        <n v="2.8601999999999999"/>
        <n v="3.2397"/>
        <n v="9.0513999999999992"/>
        <n v="3.7481"/>
        <n v="3.9249999999999998"/>
        <n v="2.0508999999999999"/>
        <n v="4.1805000000000003"/>
        <n v="4.6474000000000002"/>
        <n v="5.4088000000000003"/>
        <n v="4.9355000000000002"/>
        <n v="5.4067999999999996"/>
        <n v="7.9935999999999998"/>
        <n v="2.2097000000000002"/>
        <n v="5.5486000000000004"/>
        <n v="5.3795000000000002"/>
        <n v="3.2839"/>
        <n v="3.3769999999999998"/>
        <n v="4.8007999999999997"/>
        <n v="10.3805"/>
        <n v="1.865"/>
        <n v="1.9436"/>
        <n v="2.0028000000000001"/>
        <n v="2.3813"/>
        <n v="2.4948000000000001"/>
        <n v="4.6890999999999998"/>
        <n v="5.1477000000000004"/>
        <n v="6.0065"/>
        <n v="5.3132999999999999"/>
        <n v="6.3724999999999996"/>
        <n v="2.2949000000000002"/>
        <n v="2.3645"/>
        <n v="2.3168000000000002"/>
        <n v="1.6741999999999999"/>
        <n v="3.5131999999999999"/>
        <n v="3.9317000000000002"/>
        <n v="14.322100000000001"/>
        <n v="3.9990999999999999"/>
        <n v="7.7107999999999999"/>
        <n v="1.7544"/>
        <n v="3.2599"/>
        <n v="1.8996"/>
        <n v="3.1976"/>
        <n v="2.7919999999999998"/>
        <n v="2.6212"/>
        <n v="3.2378999999999998"/>
        <n v="6.3653000000000004"/>
        <n v="2.0926"/>
        <n v="2.7313000000000001"/>
        <n v="3.2555000000000001"/>
        <n v="4.3804999999999996"/>
        <n v="5.7469999999999999"/>
        <n v="6.5795000000000003"/>
        <n v="3.4815"/>
        <n v="6.8075999999999999"/>
        <n v="1.0275000000000001"/>
        <n v="0.8044"/>
        <n v="0.90590000000000004"/>
        <n v="4.5827"/>
        <n v="7.0876999999999999"/>
        <n v="6.0937000000000001"/>
        <n v="2.3458000000000001"/>
        <n v="2.0619000000000001"/>
        <n v="6.9820000000000002"/>
        <n v="6.2644000000000002"/>
        <n v="2.6297000000000001"/>
        <n v="7.8621999999999996"/>
        <n v="5.2069000000000001"/>
        <n v="5.2283999999999997"/>
        <n v="4.6889000000000003"/>
        <n v="4.4298000000000002"/>
        <n v="6.6097999999999999"/>
        <n v="4.2355999999999998"/>
        <n v="5.2994000000000003"/>
        <n v="5.9964000000000004"/>
        <n v="3.9683000000000002"/>
        <n v="6.3686999999999996"/>
        <n v="3.7654999999999998"/>
        <n v="3.1429"/>
        <n v="5.4565999999999999"/>
      </sharedItems>
    </cacheField>
    <cacheField name="[Measures].[Sum of Multiplication]" caption="Sum of Multiplication" numFmtId="0" hierarchy="14" level="32767"/>
  </cacheFields>
  <cacheHierarchies count="15">
    <cacheHierarchy uniqueName="[Direct].[SKU]" caption="SKU" attribute="1" defaultMemberUniqueName="[Direct].[SKU].[All]" allUniqueName="[Direct].[SKU].[All]" dimensionUniqueName="[Direct]" displayFolder="" count="2" memberValueDatatype="130" unbalanced="0">
      <fieldsUsage count="2">
        <fieldUsage x="-1"/>
        <fieldUsage x="0"/>
      </fieldsUsage>
    </cacheHierarchy>
    <cacheHierarchy uniqueName="[Direct].[Count]" caption="Count" attribute="1" defaultMemberUniqueName="[Direct].[Count].[All]" allUniqueName="[Direct].[Count].[All]" dimensionUniqueName="[Direct]" displayFolder="" count="2" memberValueDatatype="5" unbalanced="0">
      <fieldsUsage count="2">
        <fieldUsage x="-1"/>
        <fieldUsage x="1"/>
      </fieldsUsage>
    </cacheHierarchy>
    <cacheHierarchy uniqueName="[Direct].[Total Price GBP]" caption="Total Price GBP" attribute="1" defaultMemberUniqueName="[Direct].[Total Price GBP].[All]" allUniqueName="[Direct].[Total Price GBP].[All]" dimensionUniqueName="[Direct]" displayFolder="" count="2" memberValueDatatype="5" unbalanced="0">
      <fieldsUsage count="2">
        <fieldUsage x="-1"/>
        <fieldUsage x="2"/>
      </fieldsUsage>
    </cacheHierarchy>
    <cacheHierarchy uniqueName="[Direct].[Multiplication]" caption="Multiplication" attribute="1" defaultMemberUniqueName="[Direct].[Multiplication].[All]" allUniqueName="[Direct].[Multiplication].[All]" dimensionUniqueName="[Direct]" displayFolder="" count="0" memberValueDatatype="5" unbalanced="0"/>
    <cacheHierarchy uniqueName="[Inventory 1].[Assigned Item SKU]" caption="Assigned Item SKU" attribute="1" defaultMemberUniqueName="[Inventory 1].[Assigned Item SKU].[All]" allUniqueName="[Inventory 1].[Assigned Item SKU].[All]" dimensionUniqueName="[Inventory 1]" displayFolder="" count="0" memberValueDatatype="130" unbalanced="0"/>
    <cacheHierarchy uniqueName="[Inventory 1].[Total Price GBP]" caption="Total Price GBP" attribute="1" defaultMemberUniqueName="[Inventory 1].[Total Price GBP].[All]" allUniqueName="[Inventory 1].[Total Price GBP].[All]" dimensionUniqueName="[Inventory 1]" displayFolder="" count="0" memberValueDatatype="5" unbalanced="0"/>
    <cacheHierarchy uniqueName="[month_data].[Column1]" caption="Column1" attribute="1" defaultMemberUniqueName="[month_data].[Column1].[All]" allUniqueName="[month_data].[Column1].[All]" dimensionUniqueName="[month_data]" displayFolder="" count="0" memberValueDatatype="130" unbalanced="0"/>
    <cacheHierarchy uniqueName="[month_data].[Count]" caption="Count" attribute="1" defaultMemberUniqueName="[month_data].[Count].[All]" allUniqueName="[month_data].[Count].[All]" dimensionUniqueName="[month_data]" displayFolder="" count="0" memberValueDatatype="5" unbalanced="0"/>
    <cacheHierarchy uniqueName="[month_data].[Total Price GBP]" caption="Total Price GBP" attribute="1" defaultMemberUniqueName="[month_data].[Total Price GBP].[All]" allUniqueName="[month_data].[Total Price GBP].[All]" dimensionUniqueName="[month_data]" displayFolder="" count="0" memberValueDatatype="5" unbalanced="0"/>
    <cacheHierarchy uniqueName="[month_data].[Sales Value]" caption="Sales Value" attribute="1" defaultMemberUniqueName="[month_data].[Sales Value].[All]" allUniqueName="[month_data].[Sales Value].[All]" dimensionUniqueName="[month_data]" displayFolder="" count="0" memberValueDatatype="5" unbalanced="0"/>
    <cacheHierarchy uniqueName="[Measures].[__XL_Count Inventory 1]" caption="__XL_Count Inventory 1" measure="1" displayFolder="" measureGroup="Inventory 1" count="0" hidden="1"/>
    <cacheHierarchy uniqueName="[Measures].[__XL_Count month_data]" caption="__XL_Count month_data" measure="1" displayFolder="" measureGroup="month_data" count="0" hidden="1"/>
    <cacheHierarchy uniqueName="[Measures].[__XL_Count Direct]" caption="__XL_Count Direct" measure="1" displayFolder="" measureGroup="Direct" count="0" hidden="1"/>
    <cacheHierarchy uniqueName="[Measures].[__No measures defined]" caption="__No measures defined" measure="1" displayFolder="" count="0" hidden="1"/>
    <cacheHierarchy uniqueName="[Measures].[Sum of Multiplication]" caption="Sum of Multiplication" measure="1" displayFolder="" measureGroup="Direc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Direct" uniqueName="[Direct]" caption="Direct"/>
    <dimension name="Inventory 1" uniqueName="[Inventory 1]" caption="Inventory 1"/>
    <dimension measure="1" name="Measures" uniqueName="[Measures]" caption="Measures"/>
    <dimension name="month_data" uniqueName="[month_data]" caption="month_data"/>
  </dimensions>
  <measureGroups count="3">
    <measureGroup name="Direct" caption="Direct"/>
    <measureGroup name="Inventory 1" caption="Inventory 1"/>
    <measureGroup name="month_data" caption="month_data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C8075-CCE8-4F71-81DD-7650F2DF4F5D}" name="PivotTable1" cacheId="0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H4:K126" firstHeaderRow="1" firstDataRow="1" firstDataCol="3"/>
  <pivotFields count="4">
    <pivotField axis="axisRow" compact="0" allDrilled="1" outline="0" subtotalTop="0" showAll="0" dataSourceSort="1" defaultSubtotal="0" defaultAttributeDrillState="1">
      <items count="1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</items>
    </pivotField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allDrilled="1" outline="0" subtotalTop="0" showAll="0" dataSourceSort="1" defaultSubtotal="0" defaultAttributeDrillState="1">
      <items count="1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</items>
    </pivotField>
    <pivotField dataField="1" compact="0" outline="0" subtotalTop="0" showAll="0" defaultSubtotal="0"/>
  </pivotFields>
  <rowFields count="3">
    <field x="0"/>
    <field x="1"/>
    <field x="2"/>
  </rowFields>
  <rowItems count="122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/>
      <x v="5"/>
    </i>
    <i>
      <x v="6"/>
      <x/>
      <x v="6"/>
    </i>
    <i>
      <x v="7"/>
      <x/>
      <x v="7"/>
    </i>
    <i>
      <x v="8"/>
      <x v="1"/>
      <x v="8"/>
    </i>
    <i>
      <x v="9"/>
      <x v="1"/>
      <x v="9"/>
    </i>
    <i>
      <x v="10"/>
      <x v="1"/>
      <x v="10"/>
    </i>
    <i>
      <x v="11"/>
      <x v="1"/>
      <x v="11"/>
    </i>
    <i>
      <x v="12"/>
      <x v="2"/>
      <x v="12"/>
    </i>
    <i>
      <x v="13"/>
      <x v="3"/>
      <x v="13"/>
    </i>
    <i>
      <x v="14"/>
      <x v="4"/>
      <x v="14"/>
    </i>
    <i>
      <x v="15"/>
      <x v="5"/>
      <x v="15"/>
    </i>
    <i>
      <x v="16"/>
      <x/>
      <x v="16"/>
    </i>
    <i>
      <x v="17"/>
      <x v="6"/>
      <x v="17"/>
    </i>
    <i>
      <x v="18"/>
      <x v="1"/>
      <x v="18"/>
    </i>
    <i>
      <x v="19"/>
      <x/>
      <x v="19"/>
    </i>
    <i>
      <x v="20"/>
      <x v="7"/>
      <x v="20"/>
    </i>
    <i>
      <x v="21"/>
      <x v="7"/>
      <x v="21"/>
    </i>
    <i>
      <x v="22"/>
      <x/>
      <x v="22"/>
    </i>
    <i>
      <x v="23"/>
      <x v="1"/>
      <x v="23"/>
    </i>
    <i>
      <x v="24"/>
      <x/>
      <x v="24"/>
    </i>
    <i>
      <x v="25"/>
      <x v="6"/>
      <x v="25"/>
    </i>
    <i>
      <x v="26"/>
      <x v="1"/>
      <x v="26"/>
    </i>
    <i>
      <x v="27"/>
      <x v="7"/>
      <x v="27"/>
    </i>
    <i>
      <x v="28"/>
      <x/>
      <x v="28"/>
    </i>
    <i>
      <x v="29"/>
      <x/>
      <x v="29"/>
    </i>
    <i>
      <x v="30"/>
      <x/>
      <x v="30"/>
    </i>
    <i>
      <x v="31"/>
      <x v="1"/>
      <x v="31"/>
    </i>
    <i>
      <x v="32"/>
      <x v="7"/>
      <x v="32"/>
    </i>
    <i>
      <x v="33"/>
      <x/>
      <x v="33"/>
    </i>
    <i>
      <x v="34"/>
      <x v="1"/>
      <x v="34"/>
    </i>
    <i>
      <x v="35"/>
      <x v="1"/>
      <x v="35"/>
    </i>
    <i>
      <x v="36"/>
      <x v="1"/>
      <x v="36"/>
    </i>
    <i>
      <x v="37"/>
      <x v="8"/>
      <x v="37"/>
    </i>
    <i>
      <x v="38"/>
      <x v="9"/>
      <x v="38"/>
    </i>
    <i>
      <x v="39"/>
      <x v="10"/>
      <x v="39"/>
    </i>
    <i>
      <x v="40"/>
      <x v="5"/>
      <x v="40"/>
    </i>
    <i>
      <x v="41"/>
      <x v="6"/>
      <x v="41"/>
    </i>
    <i>
      <x v="42"/>
      <x v="11"/>
      <x v="42"/>
    </i>
    <i>
      <x v="43"/>
      <x v="6"/>
      <x v="43"/>
    </i>
    <i>
      <x v="44"/>
      <x v="6"/>
      <x v="44"/>
    </i>
    <i>
      <x v="45"/>
      <x v="7"/>
      <x v="45"/>
    </i>
    <i>
      <x v="46"/>
      <x v="1"/>
      <x v="46"/>
    </i>
    <i>
      <x v="47"/>
      <x/>
      <x v="47"/>
    </i>
    <i>
      <x v="48"/>
      <x/>
      <x v="48"/>
    </i>
    <i>
      <x v="49"/>
      <x/>
      <x v="49"/>
    </i>
    <i>
      <x v="50"/>
      <x v="12"/>
      <x v="50"/>
    </i>
    <i>
      <x v="51"/>
      <x v="7"/>
      <x v="51"/>
    </i>
    <i>
      <x v="52"/>
      <x v="1"/>
      <x v="52"/>
    </i>
    <i>
      <x v="53"/>
      <x v="6"/>
      <x v="53"/>
    </i>
    <i>
      <x v="54"/>
      <x v="6"/>
      <x v="54"/>
    </i>
    <i>
      <x v="55"/>
      <x/>
      <x v="55"/>
    </i>
    <i>
      <x v="56"/>
      <x/>
      <x v="56"/>
    </i>
    <i>
      <x v="57"/>
      <x v="7"/>
      <x v="57"/>
    </i>
    <i>
      <x v="58"/>
      <x v="7"/>
      <x v="58"/>
    </i>
    <i>
      <x v="59"/>
      <x v="5"/>
      <x v="59"/>
    </i>
    <i>
      <x v="60"/>
      <x/>
      <x v="60"/>
    </i>
    <i>
      <x v="61"/>
      <x v="1"/>
      <x v="61"/>
    </i>
    <i>
      <x v="62"/>
      <x/>
      <x v="62"/>
    </i>
    <i>
      <x v="63"/>
      <x v="1"/>
      <x v="63"/>
    </i>
    <i>
      <x v="64"/>
      <x v="7"/>
      <x v="64"/>
    </i>
    <i>
      <x v="65"/>
      <x v="1"/>
      <x v="65"/>
    </i>
    <i>
      <x v="66"/>
      <x v="1"/>
      <x v="66"/>
    </i>
    <i>
      <x v="67"/>
      <x v="5"/>
      <x v="67"/>
    </i>
    <i>
      <x v="68"/>
      <x v="9"/>
      <x v="68"/>
    </i>
    <i>
      <x v="69"/>
      <x v="6"/>
      <x v="69"/>
    </i>
    <i>
      <x v="70"/>
      <x/>
      <x v="70"/>
    </i>
    <i>
      <x v="71"/>
      <x/>
      <x v="71"/>
    </i>
    <i>
      <x v="72"/>
      <x/>
      <x v="72"/>
    </i>
    <i>
      <x v="73"/>
      <x/>
      <x v="73"/>
    </i>
    <i>
      <x v="74"/>
      <x/>
      <x v="74"/>
    </i>
    <i>
      <x v="75"/>
      <x v="13"/>
      <x v="75"/>
    </i>
    <i>
      <x v="76"/>
      <x v="12"/>
      <x v="76"/>
    </i>
    <i>
      <x v="77"/>
      <x v="1"/>
      <x v="77"/>
    </i>
    <i>
      <x v="78"/>
      <x/>
      <x v="78"/>
    </i>
    <i>
      <x v="79"/>
      <x v="6"/>
      <x v="79"/>
    </i>
    <i>
      <x v="80"/>
      <x/>
      <x v="80"/>
    </i>
    <i>
      <x v="81"/>
      <x/>
      <x v="81"/>
    </i>
    <i>
      <x v="82"/>
      <x/>
      <x v="82"/>
    </i>
    <i>
      <x v="83"/>
      <x/>
      <x v="83"/>
    </i>
    <i>
      <x v="84"/>
      <x/>
      <x v="83"/>
    </i>
    <i>
      <x v="85"/>
      <x/>
      <x v="84"/>
    </i>
    <i>
      <x v="86"/>
      <x v="6"/>
      <x v="85"/>
    </i>
    <i>
      <x v="87"/>
      <x v="1"/>
      <x v="86"/>
    </i>
    <i>
      <x v="88"/>
      <x v="1"/>
      <x v="87"/>
    </i>
    <i>
      <x v="89"/>
      <x/>
      <x v="88"/>
    </i>
    <i>
      <x v="90"/>
      <x/>
      <x v="89"/>
    </i>
    <i>
      <x v="91"/>
      <x/>
      <x v="90"/>
    </i>
    <i>
      <x v="92"/>
      <x/>
      <x v="91"/>
    </i>
    <i>
      <x v="93"/>
      <x/>
      <x v="92"/>
    </i>
    <i>
      <x v="94"/>
      <x v="7"/>
      <x v="93"/>
    </i>
    <i>
      <x v="95"/>
      <x/>
      <x v="93"/>
    </i>
    <i>
      <x v="96"/>
      <x/>
      <x v="94"/>
    </i>
    <i>
      <x v="97"/>
      <x v="1"/>
      <x v="95"/>
    </i>
    <i>
      <x v="98"/>
      <x/>
      <x v="96"/>
    </i>
    <i>
      <x v="99"/>
      <x/>
      <x v="97"/>
    </i>
    <i>
      <x v="100"/>
      <x v="1"/>
      <x v="98"/>
    </i>
    <i>
      <x v="101"/>
      <x v="1"/>
      <x v="99"/>
    </i>
    <i>
      <x v="102"/>
      <x v="7"/>
      <x v="100"/>
    </i>
    <i>
      <x v="103"/>
      <x/>
      <x v="81"/>
    </i>
    <i>
      <x v="104"/>
      <x/>
      <x v="101"/>
    </i>
    <i>
      <x v="105"/>
      <x/>
      <x v="102"/>
    </i>
    <i>
      <x v="106"/>
      <x/>
      <x v="103"/>
    </i>
    <i>
      <x v="107"/>
      <x/>
      <x v="104"/>
    </i>
    <i>
      <x v="108"/>
      <x/>
      <x v="105"/>
    </i>
    <i>
      <x v="109"/>
      <x/>
      <x v="106"/>
    </i>
    <i>
      <x v="110"/>
      <x/>
      <x v="107"/>
    </i>
    <i>
      <x v="111"/>
      <x/>
      <x v="108"/>
    </i>
    <i>
      <x v="112"/>
      <x/>
      <x v="109"/>
    </i>
    <i>
      <x v="113"/>
      <x/>
      <x v="110"/>
    </i>
    <i>
      <x v="114"/>
      <x/>
      <x v="111"/>
    </i>
    <i>
      <x v="115"/>
      <x/>
      <x v="112"/>
    </i>
    <i>
      <x v="116"/>
      <x/>
      <x v="113"/>
    </i>
    <i>
      <x v="117"/>
      <x/>
      <x v="113"/>
    </i>
    <i>
      <x v="118"/>
      <x/>
      <x v="114"/>
    </i>
    <i>
      <x v="119"/>
      <x/>
      <x v="115"/>
    </i>
    <i>
      <x v="120"/>
      <x/>
      <x v="116"/>
    </i>
    <i>
      <x v="121"/>
      <x/>
      <x v="117"/>
    </i>
  </rowItems>
  <colItems count="1">
    <i/>
  </colItems>
  <dataFields count="1">
    <dataField name="Sum of Multiplication" fld="3" baseField="0" baseItem="0" numFmtId="2"/>
  </dataFields>
  <formats count="3">
    <format dxfId="6">
      <pivotArea field="2" type="button" dataOnly="0" labelOnly="1" outline="0" axis="axisRow" fieldPosition="2"/>
    </format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rec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" xr16:uid="{B493A4A9-1325-4C3A-BD02-FB3D569D7D57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unt" tableColumnId="2"/>
      <queryTableField id="3" name="Total Price GBP" tableColumnId="3"/>
      <queryTableField id="4" name="Sales Value" tableColumnId="4"/>
    </queryTableFields>
  </queryTableRefresh>
  <extLst>
    <ext xmlns:x15="http://schemas.microsoft.com/office/spreadsheetml/2010/11/main" uri="{883FBD77-0823-4a55-B5E3-86C4891E6966}">
      <x15:queryTable sourceDataName="Query - month_dat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D89D90-E382-43DA-8775-00DB0329D01F}" name="Table5" displayName="Table5" ref="A5:A6" totalsRowShown="0" dataCellStyle="Hyperlink">
  <autoFilter ref="A5:A6" xr:uid="{0AD89D90-E382-43DA-8775-00DB0329D01F}"/>
  <tableColumns count="1">
    <tableColumn id="1" xr3:uid="{A84741D9-5761-4ADC-91B4-EF1C52B6B230}" name="FILE PATH FOR FBA 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D9A4CF-22ED-4943-8376-5EE01D66AE96}" name="Table1" displayName="Table1" ref="A13:A14" totalsRowShown="0" dataCellStyle="Hyperlink">
  <autoFilter ref="A13:A14" xr:uid="{02D9A4CF-22ED-4943-8376-5EE01D66AE96}"/>
  <tableColumns count="1">
    <tableColumn id="1" xr3:uid="{13C98D78-8B09-4B85-8412-47D4E4B81A41}" name="FILE PATH FOR DIRECT TRANSFERS" dataCellStyle="Hyperlink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F3D8AE-D1A1-4561-B0AD-AFC93046B743}" name="month_data" displayName="month_data" ref="C4:F290" tableType="queryTable" totalsRowShown="0" tableBorderDxfId="3">
  <autoFilter ref="C4:F290" xr:uid="{63F3D8AE-D1A1-4561-B0AD-AFC93046B743}"/>
  <tableColumns count="4">
    <tableColumn id="1" xr3:uid="{E9515206-2A63-4851-9D4F-8DC883E66CBF}" uniqueName="1" name="Column1" queryTableFieldId="1" dataDxfId="2"/>
    <tableColumn id="2" xr3:uid="{BD928022-9762-4B4E-ACF6-02734D893536}" uniqueName="2" name="Count" queryTableFieldId="2"/>
    <tableColumn id="3" xr3:uid="{642C2026-0629-4958-9697-4CC3FEF62233}" uniqueName="3" name="Total Price GBP" queryTableFieldId="3" dataDxfId="1"/>
    <tableColumn id="4" xr3:uid="{6C168566-459F-4383-80BD-0DB044C6854A}" uniqueName="4" name="Sales Valu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table" Target="../tables/table2.xml"/><Relationship Id="rId3" Type="http://schemas.openxmlformats.org/officeDocument/2006/relationships/hyperlink" Target="../Stock%20Transfers/Amberta%2022-03.csv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table" Target="../tables/table1.xml"/><Relationship Id="rId2" Type="http://schemas.openxmlformats.org/officeDocument/2006/relationships/hyperlink" Target="202203_FBA/month_data.csv" TargetMode="External"/><Relationship Id="rId16" Type="http://schemas.openxmlformats.org/officeDocument/2006/relationships/image" Target="../media/image5.emf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table" Target="../tables/table3.xml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CC48-4CC3-456E-9494-EDAADBA79E3A}">
  <sheetPr codeName="shMain"/>
  <dimension ref="A1:K290"/>
  <sheetViews>
    <sheetView showGridLines="0" topLeftCell="A4" workbookViewId="0">
      <selection activeCell="B34" sqref="B34"/>
    </sheetView>
  </sheetViews>
  <sheetFormatPr defaultRowHeight="15" x14ac:dyDescent="0.25"/>
  <cols>
    <col min="1" max="1" width="82.42578125" style="40" customWidth="1"/>
    <col min="2" max="2" width="11.7109375" customWidth="1"/>
    <col min="3" max="3" width="36" bestFit="1" customWidth="1"/>
    <col min="4" max="4" width="8.5703125" bestFit="1" customWidth="1"/>
    <col min="5" max="5" width="16.85546875" style="1" bestFit="1" customWidth="1"/>
    <col min="6" max="6" width="13.42578125" style="1" bestFit="1" customWidth="1"/>
    <col min="7" max="7" width="13.42578125" customWidth="1"/>
    <col min="8" max="8" width="34" style="5" bestFit="1" customWidth="1"/>
    <col min="9" max="9" width="8.5703125" style="10" bestFit="1" customWidth="1"/>
    <col min="10" max="10" width="16.85546875" style="33" bestFit="1" customWidth="1"/>
    <col min="11" max="11" width="20.42578125" style="28" bestFit="1" customWidth="1"/>
    <col min="13" max="13" width="36" bestFit="1" customWidth="1"/>
    <col min="14" max="14" width="20.42578125" bestFit="1" customWidth="1"/>
    <col min="15" max="15" width="16.85546875" bestFit="1" customWidth="1"/>
    <col min="16" max="16" width="20.42578125" bestFit="1" customWidth="1"/>
  </cols>
  <sheetData>
    <row r="1" spans="1:11" x14ac:dyDescent="0.25">
      <c r="A1" s="41"/>
      <c r="C1" s="48" t="s">
        <v>107</v>
      </c>
      <c r="D1" s="48"/>
      <c r="E1" s="48"/>
      <c r="F1" s="48"/>
      <c r="H1" s="49" t="s">
        <v>103</v>
      </c>
      <c r="I1" s="49"/>
      <c r="J1" s="49"/>
      <c r="K1" s="50"/>
    </row>
    <row r="2" spans="1:11" x14ac:dyDescent="0.25">
      <c r="A2" s="41"/>
      <c r="C2" s="48"/>
      <c r="D2" s="48"/>
      <c r="E2" s="48"/>
      <c r="F2" s="48"/>
      <c r="H2" s="49"/>
      <c r="I2" s="49"/>
      <c r="J2" s="49"/>
      <c r="K2" s="50"/>
    </row>
    <row r="3" spans="1:11" x14ac:dyDescent="0.25">
      <c r="A3" s="41"/>
      <c r="C3" s="48"/>
      <c r="D3" s="48"/>
      <c r="E3" s="48"/>
      <c r="F3" s="48"/>
      <c r="H3" s="49"/>
      <c r="I3" s="49"/>
      <c r="J3" s="49"/>
      <c r="K3" s="50"/>
    </row>
    <row r="4" spans="1:11" x14ac:dyDescent="0.25">
      <c r="A4" s="41"/>
      <c r="C4" t="s">
        <v>77</v>
      </c>
      <c r="D4" t="s">
        <v>78</v>
      </c>
      <c r="E4" s="1" t="s">
        <v>79</v>
      </c>
      <c r="F4" s="1" t="s">
        <v>104</v>
      </c>
      <c r="H4" s="44" t="s">
        <v>108</v>
      </c>
      <c r="I4" s="44" t="s">
        <v>78</v>
      </c>
      <c r="J4" s="45" t="s">
        <v>79</v>
      </c>
      <c r="K4" s="1" t="s">
        <v>112</v>
      </c>
    </row>
    <row r="5" spans="1:11" x14ac:dyDescent="0.25">
      <c r="A5" s="40" t="s">
        <v>83</v>
      </c>
      <c r="C5" s="43" t="s">
        <v>159</v>
      </c>
      <c r="D5">
        <v>5</v>
      </c>
      <c r="E5" s="1">
        <v>3.2660999999999998</v>
      </c>
      <c r="F5" s="1">
        <v>16.330500000000001</v>
      </c>
      <c r="H5" t="s">
        <v>46</v>
      </c>
      <c r="I5">
        <v>1</v>
      </c>
      <c r="J5">
        <v>19.037800000000001</v>
      </c>
      <c r="K5" s="1">
        <v>19.037800000000001</v>
      </c>
    </row>
    <row r="6" spans="1:11" x14ac:dyDescent="0.25">
      <c r="A6" s="42" t="s">
        <v>250</v>
      </c>
      <c r="C6" s="43" t="s">
        <v>161</v>
      </c>
      <c r="D6">
        <v>5</v>
      </c>
      <c r="E6" s="1">
        <v>4.5696000000000003</v>
      </c>
      <c r="F6" s="1">
        <v>22.847999999999999</v>
      </c>
      <c r="H6" t="s">
        <v>0</v>
      </c>
      <c r="I6">
        <v>1</v>
      </c>
      <c r="J6">
        <v>2.3437000000000001</v>
      </c>
      <c r="K6" s="1">
        <v>2.3437000000000001</v>
      </c>
    </row>
    <row r="7" spans="1:11" x14ac:dyDescent="0.25">
      <c r="A7" s="41"/>
      <c r="C7" s="43" t="s">
        <v>122</v>
      </c>
      <c r="D7">
        <v>5</v>
      </c>
      <c r="E7" s="1">
        <v>3.3155000000000001</v>
      </c>
      <c r="F7" s="1">
        <v>16.577500000000001</v>
      </c>
      <c r="H7" t="s">
        <v>1</v>
      </c>
      <c r="I7">
        <v>1</v>
      </c>
      <c r="J7">
        <v>2.7086999999999999</v>
      </c>
      <c r="K7" s="1">
        <v>2.7086999999999999</v>
      </c>
    </row>
    <row r="8" spans="1:11" x14ac:dyDescent="0.25">
      <c r="A8" s="41"/>
      <c r="C8" s="43" t="s">
        <v>239</v>
      </c>
      <c r="D8">
        <v>5</v>
      </c>
      <c r="E8" s="1">
        <v>5.6165000000000003</v>
      </c>
      <c r="F8" s="1">
        <v>28.0825</v>
      </c>
      <c r="H8" t="s">
        <v>2</v>
      </c>
      <c r="I8">
        <v>1</v>
      </c>
      <c r="J8">
        <v>2.9824000000000002</v>
      </c>
      <c r="K8" s="1">
        <v>2.9824000000000002</v>
      </c>
    </row>
    <row r="9" spans="1:11" x14ac:dyDescent="0.25">
      <c r="A9" s="41"/>
      <c r="C9" s="43" t="s">
        <v>134</v>
      </c>
      <c r="D9">
        <v>5</v>
      </c>
      <c r="E9" s="1">
        <v>4.1669999999999998</v>
      </c>
      <c r="F9" s="1">
        <v>20.835000000000001</v>
      </c>
      <c r="H9" t="s">
        <v>105</v>
      </c>
      <c r="I9">
        <v>1</v>
      </c>
      <c r="J9">
        <v>2.8702000000000001</v>
      </c>
      <c r="K9" s="1">
        <v>2.8702000000000001</v>
      </c>
    </row>
    <row r="10" spans="1:11" x14ac:dyDescent="0.25">
      <c r="A10" s="41"/>
      <c r="C10" s="43" t="s">
        <v>129</v>
      </c>
      <c r="D10">
        <v>5</v>
      </c>
      <c r="E10" s="1">
        <v>4.5561999999999996</v>
      </c>
      <c r="F10" s="1">
        <v>22.780999999999999</v>
      </c>
      <c r="H10" t="s">
        <v>88</v>
      </c>
      <c r="I10">
        <v>1</v>
      </c>
      <c r="J10">
        <v>3.0863</v>
      </c>
      <c r="K10" s="1">
        <v>3.0863</v>
      </c>
    </row>
    <row r="11" spans="1:11" x14ac:dyDescent="0.25">
      <c r="A11" s="41"/>
      <c r="C11" s="43" t="s">
        <v>109</v>
      </c>
      <c r="D11">
        <v>5</v>
      </c>
      <c r="E11" s="1">
        <v>4.6996000000000002</v>
      </c>
      <c r="F11" s="1">
        <v>23.498000000000001</v>
      </c>
      <c r="H11" t="s">
        <v>161</v>
      </c>
      <c r="I11">
        <v>1</v>
      </c>
      <c r="J11">
        <v>4.5696000000000003</v>
      </c>
      <c r="K11" s="1">
        <v>4.5696000000000003</v>
      </c>
    </row>
    <row r="12" spans="1:11" x14ac:dyDescent="0.25">
      <c r="A12" s="41"/>
      <c r="C12" s="43" t="s">
        <v>243</v>
      </c>
      <c r="D12">
        <v>5</v>
      </c>
      <c r="E12" s="1">
        <v>5.1477000000000004</v>
      </c>
      <c r="F12" s="1">
        <v>25.738499999999998</v>
      </c>
      <c r="H12" t="s">
        <v>162</v>
      </c>
      <c r="I12">
        <v>1</v>
      </c>
      <c r="J12">
        <v>3.5276999999999998</v>
      </c>
      <c r="K12" s="1">
        <v>3.5276999999999998</v>
      </c>
    </row>
    <row r="13" spans="1:11" x14ac:dyDescent="0.25">
      <c r="A13" s="40" t="s">
        <v>84</v>
      </c>
      <c r="C13" s="43" t="s">
        <v>136</v>
      </c>
      <c r="D13">
        <v>5</v>
      </c>
      <c r="E13" s="1">
        <v>11.2523</v>
      </c>
      <c r="F13" s="1">
        <v>56.261499999999998</v>
      </c>
      <c r="H13" t="s">
        <v>4</v>
      </c>
      <c r="I13">
        <v>2</v>
      </c>
      <c r="J13">
        <v>3.1013999999999999</v>
      </c>
      <c r="K13" s="1">
        <v>6.2027999999999999</v>
      </c>
    </row>
    <row r="14" spans="1:11" x14ac:dyDescent="0.25">
      <c r="A14" s="42" t="s">
        <v>251</v>
      </c>
      <c r="C14" s="43" t="s">
        <v>138</v>
      </c>
      <c r="D14">
        <v>5</v>
      </c>
      <c r="E14" s="1">
        <v>14.432600000000001</v>
      </c>
      <c r="F14" s="1">
        <v>72.162999999999997</v>
      </c>
      <c r="H14" t="s">
        <v>123</v>
      </c>
      <c r="I14">
        <v>2</v>
      </c>
      <c r="J14">
        <v>3.3471000000000002</v>
      </c>
      <c r="K14" s="1">
        <v>6.6942000000000004</v>
      </c>
    </row>
    <row r="15" spans="1:11" x14ac:dyDescent="0.25">
      <c r="A15" s="41"/>
      <c r="C15" s="43" t="s">
        <v>89</v>
      </c>
      <c r="D15">
        <v>5</v>
      </c>
      <c r="E15" s="1">
        <v>3.1537999999999999</v>
      </c>
      <c r="F15" s="1">
        <v>15.769</v>
      </c>
      <c r="H15" t="s">
        <v>114</v>
      </c>
      <c r="I15">
        <v>2</v>
      </c>
      <c r="J15">
        <v>4.2995000000000001</v>
      </c>
      <c r="K15" s="1">
        <v>8.5990000000000002</v>
      </c>
    </row>
    <row r="16" spans="1:11" x14ac:dyDescent="0.25">
      <c r="A16" s="41"/>
      <c r="C16" s="43" t="s">
        <v>91</v>
      </c>
      <c r="D16">
        <v>5</v>
      </c>
      <c r="E16" s="1">
        <v>5.1905000000000001</v>
      </c>
      <c r="F16" s="1">
        <v>25.952500000000001</v>
      </c>
      <c r="H16" t="s">
        <v>5</v>
      </c>
      <c r="I16">
        <v>2</v>
      </c>
      <c r="J16">
        <v>3.3637000000000001</v>
      </c>
      <c r="K16" s="1">
        <v>6.7274000000000003</v>
      </c>
    </row>
    <row r="17" spans="1:11" x14ac:dyDescent="0.25">
      <c r="A17" s="41"/>
      <c r="C17" s="43" t="s">
        <v>252</v>
      </c>
      <c r="D17">
        <v>5</v>
      </c>
      <c r="E17" s="1">
        <v>3.0205000000000002</v>
      </c>
      <c r="F17" s="1">
        <v>15.102499999999999</v>
      </c>
      <c r="H17" t="s">
        <v>168</v>
      </c>
      <c r="I17">
        <v>9</v>
      </c>
      <c r="J17">
        <v>2.3731</v>
      </c>
      <c r="K17" s="1">
        <v>21.357900000000001</v>
      </c>
    </row>
    <row r="18" spans="1:11" x14ac:dyDescent="0.25">
      <c r="A18" s="41"/>
      <c r="C18" s="43" t="s">
        <v>95</v>
      </c>
      <c r="D18">
        <v>5</v>
      </c>
      <c r="E18" s="1">
        <v>3.4973000000000001</v>
      </c>
      <c r="F18" s="1">
        <v>17.486499999999999</v>
      </c>
      <c r="H18" t="s">
        <v>169</v>
      </c>
      <c r="I18">
        <v>19</v>
      </c>
      <c r="J18">
        <v>2.7559</v>
      </c>
      <c r="K18" s="1">
        <v>52.362099999999998</v>
      </c>
    </row>
    <row r="19" spans="1:11" x14ac:dyDescent="0.25">
      <c r="A19" s="41"/>
      <c r="C19" s="43" t="s">
        <v>124</v>
      </c>
      <c r="D19">
        <v>5</v>
      </c>
      <c r="E19" s="1">
        <v>3.7481</v>
      </c>
      <c r="F19" s="1">
        <v>18.740500000000001</v>
      </c>
      <c r="H19" t="s">
        <v>170</v>
      </c>
      <c r="I19">
        <v>26</v>
      </c>
      <c r="J19">
        <v>2.9830999999999999</v>
      </c>
      <c r="K19" s="1">
        <v>77.560599999999994</v>
      </c>
    </row>
    <row r="20" spans="1:11" x14ac:dyDescent="0.25">
      <c r="A20" s="41"/>
      <c r="C20" s="43" t="s">
        <v>126</v>
      </c>
      <c r="D20">
        <v>5</v>
      </c>
      <c r="E20" s="1">
        <v>3.9249999999999998</v>
      </c>
      <c r="F20" s="1">
        <v>19.625</v>
      </c>
      <c r="H20" t="s">
        <v>171</v>
      </c>
      <c r="I20">
        <v>5</v>
      </c>
      <c r="J20">
        <v>3.9737</v>
      </c>
      <c r="K20" s="1">
        <v>19.868500000000001</v>
      </c>
    </row>
    <row r="21" spans="1:11" x14ac:dyDescent="0.25">
      <c r="A21" s="41"/>
      <c r="C21" s="43" t="s">
        <v>132</v>
      </c>
      <c r="D21">
        <v>5</v>
      </c>
      <c r="E21" s="1">
        <v>6.7975000000000003</v>
      </c>
      <c r="F21" s="1">
        <v>33.987499999999997</v>
      </c>
      <c r="H21" t="s">
        <v>127</v>
      </c>
      <c r="I21">
        <v>1</v>
      </c>
      <c r="J21">
        <v>4.6497999999999999</v>
      </c>
      <c r="K21" s="1">
        <v>4.6497999999999999</v>
      </c>
    </row>
    <row r="22" spans="1:11" x14ac:dyDescent="0.25">
      <c r="A22" s="41"/>
      <c r="C22" s="43" t="s">
        <v>253</v>
      </c>
      <c r="D22">
        <v>5</v>
      </c>
      <c r="E22" s="1">
        <v>2.9352</v>
      </c>
      <c r="F22" s="1">
        <v>14.676</v>
      </c>
      <c r="H22" t="s">
        <v>89</v>
      </c>
      <c r="I22">
        <v>4</v>
      </c>
      <c r="J22">
        <v>3.1537999999999999</v>
      </c>
      <c r="K22" s="1">
        <v>12.6152</v>
      </c>
    </row>
    <row r="23" spans="1:11" x14ac:dyDescent="0.25">
      <c r="A23" s="41"/>
      <c r="C23" s="43" t="s">
        <v>137</v>
      </c>
      <c r="D23">
        <v>5</v>
      </c>
      <c r="E23" s="1">
        <v>11.018000000000001</v>
      </c>
      <c r="F23" s="1">
        <v>55.09</v>
      </c>
      <c r="H23" t="s">
        <v>130</v>
      </c>
      <c r="I23">
        <v>2</v>
      </c>
      <c r="J23">
        <v>3.4043999999999999</v>
      </c>
      <c r="K23" s="1">
        <v>6.8087999999999997</v>
      </c>
    </row>
    <row r="24" spans="1:11" x14ac:dyDescent="0.25">
      <c r="A24" s="41"/>
      <c r="C24" s="43" t="s">
        <v>38</v>
      </c>
      <c r="D24">
        <v>5</v>
      </c>
      <c r="E24" s="1">
        <v>6.0648999999999997</v>
      </c>
      <c r="F24" s="1">
        <v>30.3245</v>
      </c>
      <c r="H24" t="s">
        <v>237</v>
      </c>
      <c r="I24">
        <v>1</v>
      </c>
      <c r="J24">
        <v>3.157</v>
      </c>
      <c r="K24" s="1">
        <v>3.157</v>
      </c>
    </row>
    <row r="25" spans="1:11" x14ac:dyDescent="0.25">
      <c r="A25" s="41"/>
      <c r="C25" s="43" t="s">
        <v>141</v>
      </c>
      <c r="D25">
        <v>5</v>
      </c>
      <c r="E25" s="1">
        <v>5.0848000000000004</v>
      </c>
      <c r="F25" s="1">
        <v>25.423999999999999</v>
      </c>
      <c r="H25" t="s">
        <v>90</v>
      </c>
      <c r="I25">
        <v>3</v>
      </c>
      <c r="J25">
        <v>6.8785999999999996</v>
      </c>
      <c r="K25" s="1">
        <v>20.6358</v>
      </c>
    </row>
    <row r="26" spans="1:11" x14ac:dyDescent="0.25">
      <c r="A26" s="41"/>
      <c r="C26" s="43" t="s">
        <v>173</v>
      </c>
      <c r="D26">
        <v>5</v>
      </c>
      <c r="E26" s="1">
        <v>3.5621</v>
      </c>
      <c r="F26" s="1">
        <v>17.810500000000001</v>
      </c>
      <c r="H26" t="s">
        <v>238</v>
      </c>
      <c r="I26">
        <v>3</v>
      </c>
      <c r="J26">
        <v>9.3364999999999991</v>
      </c>
      <c r="K26" s="1">
        <v>28.009499999999999</v>
      </c>
    </row>
    <row r="27" spans="1:11" x14ac:dyDescent="0.25">
      <c r="A27" s="41"/>
      <c r="C27" s="43" t="s">
        <v>174</v>
      </c>
      <c r="D27">
        <v>5</v>
      </c>
      <c r="E27" s="1">
        <v>8.0649999999999995</v>
      </c>
      <c r="F27" s="1">
        <v>40.325000000000003</v>
      </c>
      <c r="H27" t="s">
        <v>273</v>
      </c>
      <c r="I27">
        <v>1</v>
      </c>
      <c r="J27">
        <v>6.1064999999999996</v>
      </c>
      <c r="K27" s="1">
        <v>6.1064999999999996</v>
      </c>
    </row>
    <row r="28" spans="1:11" x14ac:dyDescent="0.25">
      <c r="A28" s="41"/>
      <c r="C28" s="43" t="s">
        <v>46</v>
      </c>
      <c r="D28">
        <v>5</v>
      </c>
      <c r="E28" s="1">
        <v>19.037800000000001</v>
      </c>
      <c r="F28" s="1">
        <v>95.188999999999993</v>
      </c>
      <c r="H28" t="s">
        <v>369</v>
      </c>
      <c r="I28">
        <v>2</v>
      </c>
      <c r="J28">
        <v>4.5122</v>
      </c>
      <c r="K28" s="1">
        <v>9.0244</v>
      </c>
    </row>
    <row r="29" spans="1:11" x14ac:dyDescent="0.25">
      <c r="A29" s="46"/>
      <c r="C29" s="43" t="s">
        <v>254</v>
      </c>
      <c r="D29">
        <v>5</v>
      </c>
      <c r="E29" s="1">
        <v>18.016100000000002</v>
      </c>
      <c r="F29" s="1">
        <v>90.080500000000001</v>
      </c>
      <c r="H29" t="s">
        <v>163</v>
      </c>
      <c r="I29">
        <v>1</v>
      </c>
      <c r="J29">
        <v>1.8293999999999999</v>
      </c>
      <c r="K29" s="1">
        <v>1.8293999999999999</v>
      </c>
    </row>
    <row r="30" spans="1:11" x14ac:dyDescent="0.25">
      <c r="A30" s="46"/>
      <c r="C30" s="43" t="s">
        <v>255</v>
      </c>
      <c r="D30">
        <v>5</v>
      </c>
      <c r="E30" s="1">
        <v>6.3723999999999998</v>
      </c>
      <c r="F30" s="1">
        <v>31.861999999999998</v>
      </c>
      <c r="H30" t="s">
        <v>7</v>
      </c>
      <c r="I30">
        <v>4</v>
      </c>
      <c r="J30">
        <v>1.7422</v>
      </c>
      <c r="K30" s="1">
        <v>6.9687999999999999</v>
      </c>
    </row>
    <row r="31" spans="1:11" x14ac:dyDescent="0.25">
      <c r="A31" s="46"/>
      <c r="C31" s="43" t="s">
        <v>147</v>
      </c>
      <c r="D31">
        <v>5</v>
      </c>
      <c r="E31" s="1">
        <v>6.0270000000000001</v>
      </c>
      <c r="F31" s="1">
        <v>30.135000000000002</v>
      </c>
      <c r="H31" t="s">
        <v>8</v>
      </c>
      <c r="I31">
        <v>2</v>
      </c>
      <c r="J31">
        <v>2.044</v>
      </c>
      <c r="K31" s="1">
        <v>4.0880000000000001</v>
      </c>
    </row>
    <row r="32" spans="1:11" x14ac:dyDescent="0.25">
      <c r="A32" s="46"/>
      <c r="C32" s="43" t="s">
        <v>150</v>
      </c>
      <c r="D32">
        <v>5</v>
      </c>
      <c r="E32" s="1">
        <v>2.2241</v>
      </c>
      <c r="F32" s="1">
        <v>11.1205</v>
      </c>
      <c r="H32" t="s">
        <v>9</v>
      </c>
      <c r="I32">
        <v>3</v>
      </c>
      <c r="J32">
        <v>2.1539000000000001</v>
      </c>
      <c r="K32" s="1">
        <v>6.4617000000000004</v>
      </c>
    </row>
    <row r="33" spans="1:11" x14ac:dyDescent="0.25">
      <c r="A33" s="46"/>
      <c r="C33" s="43" t="s">
        <v>152</v>
      </c>
      <c r="D33">
        <v>5</v>
      </c>
      <c r="E33" s="1">
        <v>5.7469999999999999</v>
      </c>
      <c r="F33" s="1">
        <v>28.734999999999999</v>
      </c>
      <c r="H33" t="s">
        <v>10</v>
      </c>
      <c r="I33">
        <v>1</v>
      </c>
      <c r="J33">
        <v>2.7656000000000001</v>
      </c>
      <c r="K33" s="1">
        <v>2.7656000000000001</v>
      </c>
    </row>
    <row r="34" spans="1:11" x14ac:dyDescent="0.25">
      <c r="A34" s="46"/>
      <c r="C34" s="43" t="s">
        <v>153</v>
      </c>
      <c r="D34">
        <v>5</v>
      </c>
      <c r="E34" s="1">
        <v>7.1387999999999998</v>
      </c>
      <c r="F34" s="1">
        <v>35.694000000000003</v>
      </c>
      <c r="H34" t="s">
        <v>252</v>
      </c>
      <c r="I34">
        <v>1</v>
      </c>
      <c r="J34">
        <v>3.0205000000000002</v>
      </c>
      <c r="K34" s="1">
        <v>3.0205000000000002</v>
      </c>
    </row>
    <row r="35" spans="1:11" x14ac:dyDescent="0.25">
      <c r="A35" s="46"/>
      <c r="C35" s="43" t="s">
        <v>256</v>
      </c>
      <c r="D35">
        <v>5</v>
      </c>
      <c r="E35" s="1">
        <v>5.9964000000000004</v>
      </c>
      <c r="F35" s="1">
        <v>29.981999999999999</v>
      </c>
      <c r="H35" t="s">
        <v>92</v>
      </c>
      <c r="I35">
        <v>1</v>
      </c>
      <c r="J35">
        <v>4.3762999999999996</v>
      </c>
      <c r="K35" s="1">
        <v>4.3762999999999996</v>
      </c>
    </row>
    <row r="36" spans="1:11" x14ac:dyDescent="0.25">
      <c r="A36" s="46"/>
      <c r="C36" s="43" t="s">
        <v>257</v>
      </c>
      <c r="D36">
        <v>5</v>
      </c>
      <c r="E36" s="1">
        <v>3.9277000000000002</v>
      </c>
      <c r="F36" s="1">
        <v>19.638500000000001</v>
      </c>
      <c r="H36" t="s">
        <v>129</v>
      </c>
      <c r="I36">
        <v>2</v>
      </c>
      <c r="J36">
        <v>4.5561999999999996</v>
      </c>
      <c r="K36" s="1">
        <v>9.1123999999999992</v>
      </c>
    </row>
    <row r="37" spans="1:11" x14ac:dyDescent="0.25">
      <c r="A37" s="46"/>
      <c r="C37" s="43" t="s">
        <v>258</v>
      </c>
      <c r="D37">
        <v>5</v>
      </c>
      <c r="E37" s="1">
        <v>3.9683000000000002</v>
      </c>
      <c r="F37" s="1">
        <v>19.8415</v>
      </c>
      <c r="H37" t="s">
        <v>93</v>
      </c>
      <c r="I37">
        <v>3</v>
      </c>
      <c r="J37">
        <v>2.7685</v>
      </c>
      <c r="K37" s="1">
        <v>8.3055000000000003</v>
      </c>
    </row>
    <row r="38" spans="1:11" x14ac:dyDescent="0.25">
      <c r="A38" s="46"/>
      <c r="C38" s="43" t="s">
        <v>259</v>
      </c>
      <c r="D38">
        <v>5</v>
      </c>
      <c r="E38" s="1">
        <v>3.4815</v>
      </c>
      <c r="F38" s="1">
        <v>17.407499999999999</v>
      </c>
      <c r="H38" t="s">
        <v>133</v>
      </c>
      <c r="I38">
        <v>1</v>
      </c>
      <c r="J38">
        <v>3.0865999999999998</v>
      </c>
      <c r="K38" s="1">
        <v>3.0865999999999998</v>
      </c>
    </row>
    <row r="39" spans="1:11" x14ac:dyDescent="0.25">
      <c r="A39" s="46"/>
      <c r="C39" s="43" t="s">
        <v>260</v>
      </c>
      <c r="D39">
        <v>5</v>
      </c>
      <c r="E39" s="1">
        <v>3.6438000000000001</v>
      </c>
      <c r="F39" s="1">
        <v>18.219000000000001</v>
      </c>
      <c r="H39" t="s">
        <v>94</v>
      </c>
      <c r="I39">
        <v>2</v>
      </c>
      <c r="J39">
        <v>3.3464</v>
      </c>
      <c r="K39" s="1">
        <v>6.6928000000000001</v>
      </c>
    </row>
    <row r="40" spans="1:11" x14ac:dyDescent="0.25">
      <c r="C40" s="43" t="s">
        <v>261</v>
      </c>
      <c r="D40">
        <v>5</v>
      </c>
      <c r="E40" s="1">
        <v>3.4409999999999998</v>
      </c>
      <c r="F40" s="1">
        <v>17.204999999999998</v>
      </c>
      <c r="H40" t="s">
        <v>240</v>
      </c>
      <c r="I40">
        <v>2</v>
      </c>
      <c r="J40">
        <v>2.6274000000000002</v>
      </c>
      <c r="K40" s="1">
        <v>5.2548000000000004</v>
      </c>
    </row>
    <row r="41" spans="1:11" x14ac:dyDescent="0.25">
      <c r="C41" s="43" t="s">
        <v>262</v>
      </c>
      <c r="D41">
        <v>5</v>
      </c>
      <c r="E41" s="1">
        <v>5.5907</v>
      </c>
      <c r="F41" s="1">
        <v>27.953499999999998</v>
      </c>
      <c r="H41" t="s">
        <v>370</v>
      </c>
      <c r="I41">
        <v>2</v>
      </c>
      <c r="J41">
        <v>3.548</v>
      </c>
      <c r="K41" s="1">
        <v>7.0960000000000001</v>
      </c>
    </row>
    <row r="42" spans="1:11" x14ac:dyDescent="0.25">
      <c r="C42" s="43" t="s">
        <v>154</v>
      </c>
      <c r="D42">
        <v>5</v>
      </c>
      <c r="E42" s="1">
        <v>1.9401999999999999</v>
      </c>
      <c r="F42" s="1">
        <v>9.7010000000000005</v>
      </c>
      <c r="H42" t="s">
        <v>13</v>
      </c>
      <c r="I42">
        <v>8</v>
      </c>
      <c r="J42">
        <v>2.9437000000000002</v>
      </c>
      <c r="K42" s="1">
        <v>23.549600000000002</v>
      </c>
    </row>
    <row r="43" spans="1:11" x14ac:dyDescent="0.25">
      <c r="C43" s="43" t="s">
        <v>263</v>
      </c>
      <c r="D43">
        <v>5</v>
      </c>
      <c r="E43" s="1">
        <v>2.4674999999999998</v>
      </c>
      <c r="F43" s="1">
        <v>12.3375</v>
      </c>
      <c r="H43" t="s">
        <v>165</v>
      </c>
      <c r="I43">
        <v>12</v>
      </c>
      <c r="J43">
        <v>2.5528</v>
      </c>
      <c r="K43" s="1">
        <v>30.633600000000001</v>
      </c>
    </row>
    <row r="44" spans="1:11" x14ac:dyDescent="0.25">
      <c r="C44" s="43" t="s">
        <v>264</v>
      </c>
      <c r="D44">
        <v>5</v>
      </c>
      <c r="E44" s="1">
        <v>2.9542000000000002</v>
      </c>
      <c r="F44" s="1">
        <v>14.771000000000001</v>
      </c>
      <c r="H44" t="s">
        <v>14</v>
      </c>
      <c r="I44">
        <v>13</v>
      </c>
      <c r="J44">
        <v>2.8601999999999999</v>
      </c>
      <c r="K44" s="1">
        <v>37.182600000000001</v>
      </c>
    </row>
    <row r="45" spans="1:11" x14ac:dyDescent="0.25">
      <c r="C45" s="43" t="s">
        <v>265</v>
      </c>
      <c r="D45">
        <v>5</v>
      </c>
      <c r="E45" s="1">
        <v>5.7530000000000001</v>
      </c>
      <c r="F45" s="1">
        <v>28.765000000000001</v>
      </c>
      <c r="H45" t="s">
        <v>15</v>
      </c>
      <c r="I45">
        <v>5</v>
      </c>
      <c r="J45">
        <v>3.2397</v>
      </c>
      <c r="K45" s="1">
        <v>16.198499999999999</v>
      </c>
    </row>
    <row r="46" spans="1:11" x14ac:dyDescent="0.25">
      <c r="C46" s="43" t="s">
        <v>181</v>
      </c>
      <c r="D46">
        <v>5</v>
      </c>
      <c r="E46" s="1">
        <v>4.0747999999999998</v>
      </c>
      <c r="F46" s="1">
        <v>20.373999999999999</v>
      </c>
      <c r="H46" t="s">
        <v>276</v>
      </c>
      <c r="I46">
        <v>4</v>
      </c>
      <c r="J46">
        <v>9.0513999999999992</v>
      </c>
      <c r="K46" s="1">
        <v>36.205599999999997</v>
      </c>
    </row>
    <row r="47" spans="1:11" x14ac:dyDescent="0.25">
      <c r="C47" s="43" t="s">
        <v>182</v>
      </c>
      <c r="D47">
        <v>5</v>
      </c>
      <c r="E47" s="1">
        <v>3.4935999999999998</v>
      </c>
      <c r="F47" s="1">
        <v>17.468</v>
      </c>
      <c r="H47" t="s">
        <v>124</v>
      </c>
      <c r="I47">
        <v>7</v>
      </c>
      <c r="J47">
        <v>3.7481</v>
      </c>
      <c r="K47" s="1">
        <v>26.236699999999999</v>
      </c>
    </row>
    <row r="48" spans="1:11" x14ac:dyDescent="0.25">
      <c r="C48" s="43" t="s">
        <v>155</v>
      </c>
      <c r="D48">
        <v>5</v>
      </c>
      <c r="E48" s="1">
        <v>4.7751999999999999</v>
      </c>
      <c r="F48" s="1">
        <v>23.876000000000001</v>
      </c>
      <c r="H48" t="s">
        <v>126</v>
      </c>
      <c r="I48">
        <v>4</v>
      </c>
      <c r="J48">
        <v>3.9249999999999998</v>
      </c>
      <c r="K48" s="1">
        <v>15.7</v>
      </c>
    </row>
    <row r="49" spans="3:11" x14ac:dyDescent="0.25">
      <c r="C49" s="43" t="s">
        <v>266</v>
      </c>
      <c r="D49">
        <v>5</v>
      </c>
      <c r="E49" s="1">
        <v>14.676600000000001</v>
      </c>
      <c r="F49" s="1">
        <v>73.382999999999996</v>
      </c>
      <c r="H49" t="s">
        <v>277</v>
      </c>
      <c r="I49">
        <v>4</v>
      </c>
      <c r="J49">
        <v>2.0508999999999999</v>
      </c>
      <c r="K49" s="1">
        <v>8.2035999999999998</v>
      </c>
    </row>
    <row r="50" spans="3:11" x14ac:dyDescent="0.25">
      <c r="C50" s="43" t="s">
        <v>267</v>
      </c>
      <c r="D50">
        <v>5</v>
      </c>
      <c r="E50" s="1">
        <v>12.651400000000001</v>
      </c>
      <c r="F50" s="1">
        <v>63.256999999999998</v>
      </c>
      <c r="H50" t="s">
        <v>97</v>
      </c>
      <c r="I50">
        <v>3</v>
      </c>
      <c r="J50">
        <v>4.1805000000000003</v>
      </c>
      <c r="K50" s="1">
        <v>12.541499999999999</v>
      </c>
    </row>
    <row r="51" spans="3:11" x14ac:dyDescent="0.25">
      <c r="C51" s="43" t="s">
        <v>52</v>
      </c>
      <c r="D51">
        <v>5</v>
      </c>
      <c r="E51" s="1">
        <v>1.9806999999999999</v>
      </c>
      <c r="F51" s="1">
        <v>9.9034999999999993</v>
      </c>
      <c r="H51" t="s">
        <v>98</v>
      </c>
      <c r="I51">
        <v>2</v>
      </c>
      <c r="J51">
        <v>4.6474000000000002</v>
      </c>
      <c r="K51" s="1">
        <v>9.2948000000000004</v>
      </c>
    </row>
    <row r="52" spans="3:11" x14ac:dyDescent="0.25">
      <c r="C52" s="43" t="s">
        <v>268</v>
      </c>
      <c r="D52">
        <v>5</v>
      </c>
      <c r="E52" s="1">
        <v>3.9277000000000002</v>
      </c>
      <c r="F52" s="1">
        <v>19.638500000000001</v>
      </c>
      <c r="H52" t="s">
        <v>128</v>
      </c>
      <c r="I52">
        <v>1</v>
      </c>
      <c r="J52">
        <v>5.4088000000000003</v>
      </c>
      <c r="K52" s="1">
        <v>5.4088000000000003</v>
      </c>
    </row>
    <row r="53" spans="3:11" x14ac:dyDescent="0.25">
      <c r="C53" s="43" t="s">
        <v>269</v>
      </c>
      <c r="D53">
        <v>5</v>
      </c>
      <c r="E53" s="1">
        <v>1.7779</v>
      </c>
      <c r="F53" s="1">
        <v>8.8895</v>
      </c>
      <c r="H53" t="s">
        <v>23</v>
      </c>
      <c r="I53">
        <v>1</v>
      </c>
      <c r="J53">
        <v>4.9355000000000002</v>
      </c>
      <c r="K53" s="1">
        <v>4.9355000000000002</v>
      </c>
    </row>
    <row r="54" spans="3:11" x14ac:dyDescent="0.25">
      <c r="C54" s="43" t="s">
        <v>194</v>
      </c>
      <c r="D54">
        <v>5</v>
      </c>
      <c r="E54" s="1">
        <v>6.3686999999999996</v>
      </c>
      <c r="F54" s="1">
        <v>31.843499999999999</v>
      </c>
      <c r="H54" t="s">
        <v>24</v>
      </c>
      <c r="I54">
        <v>1</v>
      </c>
      <c r="J54">
        <v>5.4067999999999996</v>
      </c>
      <c r="K54" s="1">
        <v>5.4067999999999996</v>
      </c>
    </row>
    <row r="55" spans="3:11" x14ac:dyDescent="0.25">
      <c r="C55" s="43" t="s">
        <v>195</v>
      </c>
      <c r="D55">
        <v>5</v>
      </c>
      <c r="E55" s="1">
        <v>6.3686999999999996</v>
      </c>
      <c r="F55" s="1">
        <v>31.843499999999999</v>
      </c>
      <c r="H55" t="s">
        <v>25</v>
      </c>
      <c r="I55">
        <v>10</v>
      </c>
      <c r="J55">
        <v>7.9935999999999998</v>
      </c>
      <c r="K55" s="1">
        <v>79.936000000000007</v>
      </c>
    </row>
    <row r="56" spans="3:11" x14ac:dyDescent="0.25">
      <c r="C56" s="43" t="s">
        <v>196</v>
      </c>
      <c r="D56">
        <v>5</v>
      </c>
      <c r="E56" s="1">
        <v>6.3686999999999996</v>
      </c>
      <c r="F56" s="1">
        <v>31.843499999999999</v>
      </c>
      <c r="H56" t="s">
        <v>99</v>
      </c>
      <c r="I56">
        <v>3</v>
      </c>
      <c r="J56">
        <v>2.2097000000000002</v>
      </c>
      <c r="K56" s="1">
        <v>6.6291000000000002</v>
      </c>
    </row>
    <row r="57" spans="3:11" x14ac:dyDescent="0.25">
      <c r="C57" s="43" t="s">
        <v>202</v>
      </c>
      <c r="D57">
        <v>5</v>
      </c>
      <c r="E57" s="1">
        <v>16.773399999999999</v>
      </c>
      <c r="F57" s="1">
        <v>83.867000000000004</v>
      </c>
      <c r="H57" t="s">
        <v>125</v>
      </c>
      <c r="I57">
        <v>2</v>
      </c>
      <c r="J57">
        <v>5.5486000000000004</v>
      </c>
      <c r="K57" s="1">
        <v>11.097200000000001</v>
      </c>
    </row>
    <row r="58" spans="3:11" x14ac:dyDescent="0.25">
      <c r="C58" s="43" t="s">
        <v>204</v>
      </c>
      <c r="D58">
        <v>5</v>
      </c>
      <c r="E58" s="1">
        <v>2.0070999999999999</v>
      </c>
      <c r="F58" s="1">
        <v>10.035500000000001</v>
      </c>
      <c r="H58" t="s">
        <v>283</v>
      </c>
      <c r="I58">
        <v>4</v>
      </c>
      <c r="J58">
        <v>5.3795000000000002</v>
      </c>
      <c r="K58" s="1">
        <v>21.518000000000001</v>
      </c>
    </row>
    <row r="59" spans="3:11" x14ac:dyDescent="0.25">
      <c r="C59" s="43" t="s">
        <v>206</v>
      </c>
      <c r="D59">
        <v>5</v>
      </c>
      <c r="E59" s="1">
        <v>2.0070999999999999</v>
      </c>
      <c r="F59" s="1">
        <v>10.035500000000001</v>
      </c>
      <c r="H59" t="s">
        <v>121</v>
      </c>
      <c r="I59">
        <v>4</v>
      </c>
      <c r="J59">
        <v>3.2839</v>
      </c>
      <c r="K59" s="1">
        <v>13.1356</v>
      </c>
    </row>
    <row r="60" spans="3:11" x14ac:dyDescent="0.25">
      <c r="C60" s="43" t="s">
        <v>207</v>
      </c>
      <c r="D60">
        <v>5</v>
      </c>
      <c r="E60" s="1">
        <v>3.1429</v>
      </c>
      <c r="F60" s="1">
        <v>15.714499999999999</v>
      </c>
      <c r="H60" t="s">
        <v>100</v>
      </c>
      <c r="I60">
        <v>1</v>
      </c>
      <c r="J60">
        <v>3.3769999999999998</v>
      </c>
      <c r="K60" s="1">
        <v>3.3769999999999998</v>
      </c>
    </row>
    <row r="61" spans="3:11" x14ac:dyDescent="0.25">
      <c r="C61" s="43" t="s">
        <v>214</v>
      </c>
      <c r="D61">
        <v>5</v>
      </c>
      <c r="E61" s="1">
        <v>2.0882000000000001</v>
      </c>
      <c r="F61" s="1">
        <v>10.441000000000001</v>
      </c>
      <c r="H61" t="s">
        <v>241</v>
      </c>
      <c r="I61">
        <v>1</v>
      </c>
      <c r="J61">
        <v>4.8007999999999997</v>
      </c>
      <c r="K61" s="1">
        <v>4.8007999999999997</v>
      </c>
    </row>
    <row r="62" spans="3:11" x14ac:dyDescent="0.25">
      <c r="C62" s="43" t="s">
        <v>216</v>
      </c>
      <c r="D62">
        <v>5</v>
      </c>
      <c r="E62" s="1">
        <v>2.7372000000000001</v>
      </c>
      <c r="F62" s="1">
        <v>13.686</v>
      </c>
      <c r="H62" t="s">
        <v>284</v>
      </c>
      <c r="I62">
        <v>3</v>
      </c>
      <c r="J62">
        <v>10.3805</v>
      </c>
      <c r="K62" s="1">
        <v>31.141500000000001</v>
      </c>
    </row>
    <row r="63" spans="3:11" x14ac:dyDescent="0.25">
      <c r="C63" s="43" t="s">
        <v>217</v>
      </c>
      <c r="D63">
        <v>5</v>
      </c>
      <c r="E63" s="1">
        <v>2.7372000000000001</v>
      </c>
      <c r="F63" s="1">
        <v>13.686</v>
      </c>
      <c r="H63" t="s">
        <v>101</v>
      </c>
      <c r="I63">
        <v>3</v>
      </c>
      <c r="J63">
        <v>1.865</v>
      </c>
      <c r="K63" s="1">
        <v>5.5949999999999998</v>
      </c>
    </row>
    <row r="64" spans="3:11" x14ac:dyDescent="0.25">
      <c r="C64" s="43" t="s">
        <v>221</v>
      </c>
      <c r="D64">
        <v>5</v>
      </c>
      <c r="E64" s="1">
        <v>2.7372000000000001</v>
      </c>
      <c r="F64" s="1">
        <v>13.686</v>
      </c>
      <c r="H64" t="s">
        <v>242</v>
      </c>
      <c r="I64">
        <v>5</v>
      </c>
      <c r="J64">
        <v>1.9436</v>
      </c>
      <c r="K64" s="1">
        <v>9.718</v>
      </c>
    </row>
    <row r="65" spans="3:11" x14ac:dyDescent="0.25">
      <c r="C65" s="43" t="s">
        <v>222</v>
      </c>
      <c r="D65">
        <v>5</v>
      </c>
      <c r="E65" s="1">
        <v>3.1429</v>
      </c>
      <c r="F65" s="1">
        <v>15.714499999999999</v>
      </c>
      <c r="H65" t="s">
        <v>371</v>
      </c>
      <c r="I65">
        <v>1</v>
      </c>
      <c r="J65">
        <v>2.0028000000000001</v>
      </c>
      <c r="K65" s="1">
        <v>2.0028000000000001</v>
      </c>
    </row>
    <row r="66" spans="3:11" x14ac:dyDescent="0.25">
      <c r="C66" s="43" t="s">
        <v>224</v>
      </c>
      <c r="D66">
        <v>5</v>
      </c>
      <c r="E66" s="1">
        <v>5.8361999999999998</v>
      </c>
      <c r="F66" s="1">
        <v>29.181000000000001</v>
      </c>
      <c r="H66" t="s">
        <v>27</v>
      </c>
      <c r="I66">
        <v>2</v>
      </c>
      <c r="J66">
        <v>2.3813</v>
      </c>
      <c r="K66" s="1">
        <v>4.7625999999999999</v>
      </c>
    </row>
    <row r="67" spans="3:11" x14ac:dyDescent="0.25">
      <c r="C67" s="43" t="s">
        <v>225</v>
      </c>
      <c r="D67">
        <v>5</v>
      </c>
      <c r="E67" s="1">
        <v>5.3494000000000002</v>
      </c>
      <c r="F67" s="1">
        <v>26.747</v>
      </c>
      <c r="H67" t="s">
        <v>28</v>
      </c>
      <c r="I67">
        <v>1</v>
      </c>
      <c r="J67">
        <v>2.4948000000000001</v>
      </c>
      <c r="K67" s="1">
        <v>2.4948000000000001</v>
      </c>
    </row>
    <row r="68" spans="3:11" x14ac:dyDescent="0.25">
      <c r="C68" s="43" t="s">
        <v>226</v>
      </c>
      <c r="D68">
        <v>5</v>
      </c>
      <c r="E68" s="1">
        <v>6.0389999999999997</v>
      </c>
      <c r="F68" s="1">
        <v>30.195</v>
      </c>
      <c r="H68" t="s">
        <v>135</v>
      </c>
      <c r="I68">
        <v>2</v>
      </c>
      <c r="J68">
        <v>4.6890999999999998</v>
      </c>
      <c r="K68" s="1">
        <v>9.3781999999999996</v>
      </c>
    </row>
    <row r="69" spans="3:11" x14ac:dyDescent="0.25">
      <c r="C69" s="43" t="s">
        <v>227</v>
      </c>
      <c r="D69">
        <v>5</v>
      </c>
      <c r="E69" s="1">
        <v>5.7956000000000003</v>
      </c>
      <c r="F69" s="1">
        <v>28.978000000000002</v>
      </c>
      <c r="H69" t="s">
        <v>243</v>
      </c>
      <c r="I69">
        <v>3</v>
      </c>
      <c r="J69">
        <v>5.1477000000000004</v>
      </c>
      <c r="K69" s="1">
        <v>15.443099999999999</v>
      </c>
    </row>
    <row r="70" spans="3:11" x14ac:dyDescent="0.25">
      <c r="C70" s="43" t="s">
        <v>228</v>
      </c>
      <c r="D70">
        <v>5</v>
      </c>
      <c r="E70" s="1">
        <v>5.4710999999999999</v>
      </c>
      <c r="F70" s="1">
        <v>27.355499999999999</v>
      </c>
      <c r="H70" t="s">
        <v>372</v>
      </c>
      <c r="I70">
        <v>2</v>
      </c>
      <c r="J70">
        <v>6.0065</v>
      </c>
      <c r="K70" s="1">
        <v>12.013</v>
      </c>
    </row>
    <row r="71" spans="3:11" x14ac:dyDescent="0.25">
      <c r="C71" s="43" t="s">
        <v>230</v>
      </c>
      <c r="D71">
        <v>5</v>
      </c>
      <c r="E71" s="1">
        <v>6.7121000000000004</v>
      </c>
      <c r="F71" s="1">
        <v>33.560499999999998</v>
      </c>
      <c r="H71" t="s">
        <v>172</v>
      </c>
      <c r="I71">
        <v>2</v>
      </c>
      <c r="J71">
        <v>5.3132999999999999</v>
      </c>
      <c r="K71" s="1">
        <v>10.6266</v>
      </c>
    </row>
    <row r="72" spans="3:11" x14ac:dyDescent="0.25">
      <c r="C72" s="43" t="s">
        <v>231</v>
      </c>
      <c r="D72">
        <v>5</v>
      </c>
      <c r="E72" s="1">
        <v>3.3050999999999999</v>
      </c>
      <c r="F72" s="1">
        <v>16.525500000000001</v>
      </c>
      <c r="H72" t="s">
        <v>139</v>
      </c>
      <c r="I72">
        <v>5</v>
      </c>
      <c r="J72">
        <v>6.3724999999999996</v>
      </c>
      <c r="K72" s="1">
        <v>31.862500000000001</v>
      </c>
    </row>
    <row r="73" spans="3:11" x14ac:dyDescent="0.25">
      <c r="C73" s="43" t="s">
        <v>233</v>
      </c>
      <c r="D73">
        <v>5</v>
      </c>
      <c r="E73" s="1">
        <v>3.3862000000000001</v>
      </c>
      <c r="F73" s="1">
        <v>16.931000000000001</v>
      </c>
      <c r="H73" t="s">
        <v>31</v>
      </c>
      <c r="I73">
        <v>12</v>
      </c>
      <c r="J73">
        <v>2.2949000000000002</v>
      </c>
      <c r="K73" s="1">
        <v>27.538799999999998</v>
      </c>
    </row>
    <row r="74" spans="3:11" x14ac:dyDescent="0.25">
      <c r="C74" s="43" t="s">
        <v>234</v>
      </c>
      <c r="D74">
        <v>5</v>
      </c>
      <c r="E74" s="1">
        <v>4.6031000000000004</v>
      </c>
      <c r="F74" s="1">
        <v>23.015499999999999</v>
      </c>
      <c r="H74" t="s">
        <v>32</v>
      </c>
      <c r="I74">
        <v>4</v>
      </c>
      <c r="J74">
        <v>2.3645</v>
      </c>
      <c r="K74" s="1">
        <v>9.4580000000000002</v>
      </c>
    </row>
    <row r="75" spans="3:11" x14ac:dyDescent="0.25">
      <c r="C75" s="43" t="s">
        <v>235</v>
      </c>
      <c r="D75">
        <v>5</v>
      </c>
      <c r="E75" s="1">
        <v>4.3190999999999997</v>
      </c>
      <c r="F75" s="1">
        <v>21.595500000000001</v>
      </c>
      <c r="H75" t="s">
        <v>373</v>
      </c>
      <c r="I75">
        <v>1</v>
      </c>
      <c r="J75">
        <v>2.3168000000000002</v>
      </c>
      <c r="K75" s="1">
        <v>2.3168000000000002</v>
      </c>
    </row>
    <row r="76" spans="3:11" x14ac:dyDescent="0.25">
      <c r="C76" s="43" t="s">
        <v>236</v>
      </c>
      <c r="D76">
        <v>5</v>
      </c>
      <c r="E76" s="1">
        <v>3.5485000000000002</v>
      </c>
      <c r="F76" s="1">
        <v>17.7425</v>
      </c>
      <c r="H76" t="s">
        <v>285</v>
      </c>
      <c r="I76">
        <v>1</v>
      </c>
      <c r="J76">
        <v>1.6741999999999999</v>
      </c>
      <c r="K76" s="1">
        <v>1.6741999999999999</v>
      </c>
    </row>
    <row r="77" spans="3:11" x14ac:dyDescent="0.25">
      <c r="C77" s="43" t="s">
        <v>0</v>
      </c>
      <c r="D77">
        <v>25</v>
      </c>
      <c r="E77" s="1">
        <v>2.3437000000000001</v>
      </c>
      <c r="F77" s="1">
        <v>58.592500000000001</v>
      </c>
      <c r="H77" t="s">
        <v>374</v>
      </c>
      <c r="I77">
        <v>1</v>
      </c>
      <c r="J77">
        <v>3.5131999999999999</v>
      </c>
      <c r="K77" s="1">
        <v>3.5131999999999999</v>
      </c>
    </row>
    <row r="78" spans="3:11" x14ac:dyDescent="0.25">
      <c r="C78" s="43" t="s">
        <v>123</v>
      </c>
      <c r="D78">
        <v>65</v>
      </c>
      <c r="E78" s="1">
        <v>3.3471000000000002</v>
      </c>
      <c r="F78" s="1">
        <v>217.5615</v>
      </c>
      <c r="H78" t="s">
        <v>244</v>
      </c>
      <c r="I78">
        <v>1</v>
      </c>
      <c r="J78">
        <v>3.9317000000000002</v>
      </c>
      <c r="K78" s="1">
        <v>3.9317000000000002</v>
      </c>
    </row>
    <row r="79" spans="3:11" x14ac:dyDescent="0.25">
      <c r="C79" s="43" t="s">
        <v>1</v>
      </c>
      <c r="D79">
        <v>25</v>
      </c>
      <c r="E79" s="1">
        <v>2.7086999999999999</v>
      </c>
      <c r="F79" s="1">
        <v>67.717500000000001</v>
      </c>
      <c r="H79" t="s">
        <v>34</v>
      </c>
      <c r="I79">
        <v>1</v>
      </c>
      <c r="J79">
        <v>14.322100000000001</v>
      </c>
      <c r="K79" s="1">
        <v>14.322100000000001</v>
      </c>
    </row>
    <row r="80" spans="3:11" x14ac:dyDescent="0.25">
      <c r="C80" s="43" t="s">
        <v>5</v>
      </c>
      <c r="D80">
        <v>15</v>
      </c>
      <c r="E80" s="1">
        <v>3.3637000000000001</v>
      </c>
      <c r="F80" s="1">
        <v>50.455500000000001</v>
      </c>
      <c r="H80" t="s">
        <v>37</v>
      </c>
      <c r="I80">
        <v>15</v>
      </c>
      <c r="J80">
        <v>3.9990999999999999</v>
      </c>
      <c r="K80" s="1">
        <v>59.986499999999999</v>
      </c>
    </row>
    <row r="81" spans="3:11" x14ac:dyDescent="0.25">
      <c r="C81" s="43" t="s">
        <v>2</v>
      </c>
      <c r="D81">
        <v>15</v>
      </c>
      <c r="E81" s="1">
        <v>2.9824000000000002</v>
      </c>
      <c r="F81" s="1">
        <v>44.735999999999997</v>
      </c>
      <c r="H81" t="s">
        <v>39</v>
      </c>
      <c r="I81">
        <v>10</v>
      </c>
      <c r="J81">
        <v>7.7107999999999999</v>
      </c>
      <c r="K81" s="1">
        <v>77.108000000000004</v>
      </c>
    </row>
    <row r="82" spans="3:11" x14ac:dyDescent="0.25">
      <c r="C82" s="43" t="s">
        <v>169</v>
      </c>
      <c r="D82">
        <v>142</v>
      </c>
      <c r="E82" s="1">
        <v>2.7559</v>
      </c>
      <c r="F82" s="1">
        <v>391.33780000000002</v>
      </c>
      <c r="H82" t="s">
        <v>41</v>
      </c>
      <c r="I82">
        <v>2</v>
      </c>
      <c r="J82">
        <v>1.7544</v>
      </c>
      <c r="K82" s="1">
        <v>3.5087999999999999</v>
      </c>
    </row>
    <row r="83" spans="3:11" x14ac:dyDescent="0.25">
      <c r="C83" s="43" t="s">
        <v>3</v>
      </c>
      <c r="D83">
        <v>15</v>
      </c>
      <c r="E83" s="1">
        <v>3.9018000000000002</v>
      </c>
      <c r="F83" s="1">
        <v>58.527000000000001</v>
      </c>
      <c r="H83" t="s">
        <v>42</v>
      </c>
      <c r="I83">
        <v>1</v>
      </c>
      <c r="J83">
        <v>3.2599</v>
      </c>
      <c r="K83" s="1">
        <v>3.2599</v>
      </c>
    </row>
    <row r="84" spans="3:11" x14ac:dyDescent="0.25">
      <c r="C84" s="43" t="s">
        <v>13</v>
      </c>
      <c r="D84">
        <v>70</v>
      </c>
      <c r="E84" s="1">
        <v>2.9437000000000002</v>
      </c>
      <c r="F84" s="1">
        <v>206.059</v>
      </c>
      <c r="H84" t="s">
        <v>47</v>
      </c>
      <c r="I84">
        <v>4</v>
      </c>
      <c r="J84">
        <v>1.8996</v>
      </c>
      <c r="K84" s="1">
        <v>7.5983999999999998</v>
      </c>
    </row>
    <row r="85" spans="3:11" x14ac:dyDescent="0.25">
      <c r="C85" s="43" t="s">
        <v>16</v>
      </c>
      <c r="D85">
        <v>25</v>
      </c>
      <c r="E85" s="1">
        <v>2.0356000000000001</v>
      </c>
      <c r="F85" s="1">
        <v>50.89</v>
      </c>
      <c r="H85" t="s">
        <v>299</v>
      </c>
      <c r="I85">
        <v>1</v>
      </c>
      <c r="J85">
        <v>3.1976</v>
      </c>
      <c r="K85" s="1">
        <v>3.1976</v>
      </c>
    </row>
    <row r="86" spans="3:11" x14ac:dyDescent="0.25">
      <c r="C86" s="43" t="s">
        <v>17</v>
      </c>
      <c r="D86">
        <v>130</v>
      </c>
      <c r="E86" s="1">
        <v>2.3313999999999999</v>
      </c>
      <c r="F86" s="1">
        <v>303.08199999999999</v>
      </c>
      <c r="H86" t="s">
        <v>245</v>
      </c>
      <c r="I86">
        <v>1</v>
      </c>
      <c r="J86">
        <v>2.7919999999999998</v>
      </c>
      <c r="K86" s="1">
        <v>2.7919999999999998</v>
      </c>
    </row>
    <row r="87" spans="3:11" x14ac:dyDescent="0.25">
      <c r="C87" s="43" t="s">
        <v>18</v>
      </c>
      <c r="D87">
        <v>100</v>
      </c>
      <c r="E87" s="1">
        <v>2.5339</v>
      </c>
      <c r="F87" s="1">
        <v>253.39</v>
      </c>
      <c r="H87" t="s">
        <v>286</v>
      </c>
      <c r="I87">
        <v>1</v>
      </c>
      <c r="J87">
        <v>2.6212</v>
      </c>
      <c r="K87" s="1">
        <v>2.6212</v>
      </c>
    </row>
    <row r="88" spans="3:11" x14ac:dyDescent="0.25">
      <c r="C88" s="43" t="s">
        <v>19</v>
      </c>
      <c r="D88">
        <v>45</v>
      </c>
      <c r="E88" s="1">
        <v>3.1840000000000002</v>
      </c>
      <c r="F88" s="1">
        <v>143.28</v>
      </c>
      <c r="H88" t="s">
        <v>287</v>
      </c>
      <c r="I88">
        <v>1</v>
      </c>
      <c r="J88">
        <v>3.2378999999999998</v>
      </c>
      <c r="K88" s="1">
        <v>3.2378999999999998</v>
      </c>
    </row>
    <row r="89" spans="3:11" x14ac:dyDescent="0.25">
      <c r="C89" s="43" t="s">
        <v>270</v>
      </c>
      <c r="D89">
        <v>35</v>
      </c>
      <c r="E89" s="1">
        <v>4.0681000000000003</v>
      </c>
      <c r="F89" s="1">
        <v>142.3835</v>
      </c>
      <c r="H89" t="s">
        <v>288</v>
      </c>
      <c r="I89">
        <v>1</v>
      </c>
      <c r="J89">
        <v>3.2378999999999998</v>
      </c>
      <c r="K89" s="1">
        <v>3.2378999999999998</v>
      </c>
    </row>
    <row r="90" spans="3:11" x14ac:dyDescent="0.25">
      <c r="C90" s="43" t="s">
        <v>271</v>
      </c>
      <c r="D90">
        <v>20</v>
      </c>
      <c r="E90" s="1">
        <v>7.1426999999999996</v>
      </c>
      <c r="F90" s="1">
        <v>142.85400000000001</v>
      </c>
      <c r="H90" t="s">
        <v>289</v>
      </c>
      <c r="I90">
        <v>1</v>
      </c>
      <c r="J90">
        <v>6.3653000000000004</v>
      </c>
      <c r="K90" s="1">
        <v>6.3653000000000004</v>
      </c>
    </row>
    <row r="91" spans="3:11" x14ac:dyDescent="0.25">
      <c r="C91" s="43" t="s">
        <v>272</v>
      </c>
      <c r="D91">
        <v>70</v>
      </c>
      <c r="E91" s="1">
        <v>2.1682000000000001</v>
      </c>
      <c r="F91" s="1">
        <v>151.774</v>
      </c>
      <c r="H91" t="s">
        <v>246</v>
      </c>
      <c r="I91">
        <v>4</v>
      </c>
      <c r="J91">
        <v>2.0926</v>
      </c>
      <c r="K91" s="1">
        <v>8.3704000000000001</v>
      </c>
    </row>
    <row r="92" spans="3:11" x14ac:dyDescent="0.25">
      <c r="C92" s="43" t="s">
        <v>20</v>
      </c>
      <c r="D92">
        <v>115</v>
      </c>
      <c r="E92" s="1">
        <v>3.4278</v>
      </c>
      <c r="F92" s="1">
        <v>394.197</v>
      </c>
      <c r="H92" t="s">
        <v>247</v>
      </c>
      <c r="I92">
        <v>2</v>
      </c>
      <c r="J92">
        <v>2.7313000000000001</v>
      </c>
      <c r="K92" s="1">
        <v>5.4626000000000001</v>
      </c>
    </row>
    <row r="93" spans="3:11" x14ac:dyDescent="0.25">
      <c r="C93" s="43" t="s">
        <v>21</v>
      </c>
      <c r="D93">
        <v>65</v>
      </c>
      <c r="E93" s="1">
        <v>2.4420000000000002</v>
      </c>
      <c r="F93" s="1">
        <v>158.72999999999999</v>
      </c>
      <c r="H93" t="s">
        <v>248</v>
      </c>
      <c r="I93">
        <v>2</v>
      </c>
      <c r="J93">
        <v>3.2555000000000001</v>
      </c>
      <c r="K93" s="1">
        <v>6.5110000000000001</v>
      </c>
    </row>
    <row r="94" spans="3:11" x14ac:dyDescent="0.25">
      <c r="C94" s="43" t="s">
        <v>22</v>
      </c>
      <c r="D94">
        <v>135</v>
      </c>
      <c r="E94" s="1">
        <v>2.5419</v>
      </c>
      <c r="F94" s="1">
        <v>343.15649999999999</v>
      </c>
      <c r="H94" t="s">
        <v>179</v>
      </c>
      <c r="I94">
        <v>1</v>
      </c>
      <c r="J94">
        <v>4.3804999999999996</v>
      </c>
      <c r="K94" s="1">
        <v>4.3804999999999996</v>
      </c>
    </row>
    <row r="95" spans="3:11" x14ac:dyDescent="0.25">
      <c r="C95" s="43" t="s">
        <v>23</v>
      </c>
      <c r="D95">
        <v>110</v>
      </c>
      <c r="E95" s="1">
        <v>4.9355000000000002</v>
      </c>
      <c r="F95" s="1">
        <v>542.90499999999997</v>
      </c>
      <c r="H95" t="s">
        <v>152</v>
      </c>
      <c r="I95">
        <v>1</v>
      </c>
      <c r="J95">
        <v>5.7469999999999999</v>
      </c>
      <c r="K95" s="1">
        <v>5.7469999999999999</v>
      </c>
    </row>
    <row r="96" spans="3:11" x14ac:dyDescent="0.25">
      <c r="C96" s="43" t="s">
        <v>24</v>
      </c>
      <c r="D96">
        <v>190</v>
      </c>
      <c r="E96" s="1">
        <v>5.4067999999999996</v>
      </c>
      <c r="F96" s="1">
        <v>1027.2919999999999</v>
      </c>
      <c r="H96" t="s">
        <v>229</v>
      </c>
      <c r="I96">
        <v>1</v>
      </c>
      <c r="J96">
        <v>6.5795000000000003</v>
      </c>
      <c r="K96" s="1">
        <v>6.5795000000000003</v>
      </c>
    </row>
    <row r="97" spans="3:11" x14ac:dyDescent="0.25">
      <c r="C97" s="43" t="s">
        <v>88</v>
      </c>
      <c r="D97">
        <v>10</v>
      </c>
      <c r="E97" s="1">
        <v>3.0863</v>
      </c>
      <c r="F97" s="1">
        <v>30.863</v>
      </c>
      <c r="H97" t="s">
        <v>151</v>
      </c>
      <c r="I97">
        <v>1</v>
      </c>
      <c r="J97">
        <v>3.4815</v>
      </c>
      <c r="K97" s="1">
        <v>3.4815</v>
      </c>
    </row>
    <row r="98" spans="3:11" x14ac:dyDescent="0.25">
      <c r="C98" s="43" t="s">
        <v>25</v>
      </c>
      <c r="D98">
        <v>60</v>
      </c>
      <c r="E98" s="1">
        <v>7.9935999999999998</v>
      </c>
      <c r="F98" s="1">
        <v>479.61599999999999</v>
      </c>
      <c r="H98" t="s">
        <v>178</v>
      </c>
      <c r="I98">
        <v>1</v>
      </c>
      <c r="J98">
        <v>6.8075999999999999</v>
      </c>
      <c r="K98" s="1">
        <v>6.8075999999999999</v>
      </c>
    </row>
    <row r="99" spans="3:11" x14ac:dyDescent="0.25">
      <c r="C99" s="43" t="s">
        <v>160</v>
      </c>
      <c r="D99">
        <v>15</v>
      </c>
      <c r="E99" s="1">
        <v>3.3771</v>
      </c>
      <c r="F99" s="1">
        <v>50.656500000000001</v>
      </c>
      <c r="H99" t="s">
        <v>375</v>
      </c>
      <c r="I99">
        <v>3</v>
      </c>
      <c r="J99">
        <v>1.0275000000000001</v>
      </c>
      <c r="K99" s="1">
        <v>3.0825</v>
      </c>
    </row>
    <row r="100" spans="3:11" x14ac:dyDescent="0.25">
      <c r="C100" s="43" t="s">
        <v>28</v>
      </c>
      <c r="D100">
        <v>105</v>
      </c>
      <c r="E100" s="1">
        <v>2.4948000000000001</v>
      </c>
      <c r="F100" s="1">
        <v>261.95400000000001</v>
      </c>
      <c r="H100" t="s">
        <v>376</v>
      </c>
      <c r="I100">
        <v>1</v>
      </c>
      <c r="J100">
        <v>1.0275000000000001</v>
      </c>
      <c r="K100" s="1">
        <v>1.0275000000000001</v>
      </c>
    </row>
    <row r="101" spans="3:11" x14ac:dyDescent="0.25">
      <c r="C101" s="43" t="s">
        <v>120</v>
      </c>
      <c r="D101">
        <v>10</v>
      </c>
      <c r="E101" s="1">
        <v>4.1292999999999997</v>
      </c>
      <c r="F101" s="1">
        <v>41.292999999999999</v>
      </c>
      <c r="H101" t="s">
        <v>191</v>
      </c>
      <c r="I101">
        <v>1</v>
      </c>
      <c r="J101">
        <v>0.8044</v>
      </c>
      <c r="K101" s="1">
        <v>0.8044</v>
      </c>
    </row>
    <row r="102" spans="3:11" x14ac:dyDescent="0.25">
      <c r="C102" s="43" t="s">
        <v>273</v>
      </c>
      <c r="D102">
        <v>10</v>
      </c>
      <c r="E102" s="1">
        <v>6.1064999999999996</v>
      </c>
      <c r="F102" s="1">
        <v>61.064999999999998</v>
      </c>
      <c r="H102" t="s">
        <v>192</v>
      </c>
      <c r="I102">
        <v>2</v>
      </c>
      <c r="J102">
        <v>0.90590000000000004</v>
      </c>
      <c r="K102" s="1">
        <v>1.8118000000000001</v>
      </c>
    </row>
    <row r="103" spans="3:11" x14ac:dyDescent="0.25">
      <c r="C103" s="43" t="s">
        <v>164</v>
      </c>
      <c r="D103">
        <v>50</v>
      </c>
      <c r="E103" s="1">
        <v>2.1042999999999998</v>
      </c>
      <c r="F103" s="1">
        <v>105.215</v>
      </c>
      <c r="H103" t="s">
        <v>156</v>
      </c>
      <c r="I103">
        <v>1</v>
      </c>
      <c r="J103">
        <v>4.5827</v>
      </c>
      <c r="K103" s="1">
        <v>4.5827</v>
      </c>
    </row>
    <row r="104" spans="3:11" x14ac:dyDescent="0.25">
      <c r="C104" s="43" t="s">
        <v>7</v>
      </c>
      <c r="D104">
        <v>50</v>
      </c>
      <c r="E104" s="1">
        <v>1.7422</v>
      </c>
      <c r="F104" s="1">
        <v>87.11</v>
      </c>
      <c r="H104" t="s">
        <v>307</v>
      </c>
      <c r="I104">
        <v>1</v>
      </c>
      <c r="J104">
        <v>7.0876999999999999</v>
      </c>
      <c r="K104" s="1">
        <v>7.0876999999999999</v>
      </c>
    </row>
    <row r="105" spans="3:11" x14ac:dyDescent="0.25">
      <c r="C105" s="43" t="s">
        <v>8</v>
      </c>
      <c r="D105">
        <v>10</v>
      </c>
      <c r="E105" s="1">
        <v>2.044</v>
      </c>
      <c r="F105" s="1">
        <v>20.440000000000001</v>
      </c>
      <c r="H105" t="s">
        <v>249</v>
      </c>
      <c r="I105">
        <v>2</v>
      </c>
      <c r="J105">
        <v>6.0937000000000001</v>
      </c>
      <c r="K105" s="1">
        <v>12.1874</v>
      </c>
    </row>
    <row r="106" spans="3:11" x14ac:dyDescent="0.25">
      <c r="C106" s="43" t="s">
        <v>9</v>
      </c>
      <c r="D106">
        <v>70</v>
      </c>
      <c r="E106" s="1">
        <v>2.1539000000000001</v>
      </c>
      <c r="F106" s="1">
        <v>150.773</v>
      </c>
      <c r="H106" t="s">
        <v>305</v>
      </c>
      <c r="I106">
        <v>2</v>
      </c>
      <c r="J106">
        <v>2.3458000000000001</v>
      </c>
      <c r="K106" s="1">
        <v>4.6916000000000002</v>
      </c>
    </row>
    <row r="107" spans="3:11" x14ac:dyDescent="0.25">
      <c r="C107" s="43" t="s">
        <v>10</v>
      </c>
      <c r="D107">
        <v>15</v>
      </c>
      <c r="E107" s="1">
        <v>2.7656000000000001</v>
      </c>
      <c r="F107" s="1">
        <v>41.484000000000002</v>
      </c>
      <c r="H107" t="s">
        <v>117</v>
      </c>
      <c r="I107">
        <v>3</v>
      </c>
      <c r="J107">
        <v>2.0619000000000001</v>
      </c>
      <c r="K107" s="1">
        <v>6.1856999999999998</v>
      </c>
    </row>
    <row r="108" spans="3:11" x14ac:dyDescent="0.25">
      <c r="C108" s="43" t="s">
        <v>274</v>
      </c>
      <c r="D108">
        <v>10</v>
      </c>
      <c r="E108" s="1">
        <v>2.6082000000000001</v>
      </c>
      <c r="F108" s="1">
        <v>26.082000000000001</v>
      </c>
      <c r="H108" t="s">
        <v>53</v>
      </c>
      <c r="I108">
        <v>1</v>
      </c>
      <c r="J108">
        <v>2.7919999999999998</v>
      </c>
      <c r="K108" s="1">
        <v>2.7919999999999998</v>
      </c>
    </row>
    <row r="109" spans="3:11" x14ac:dyDescent="0.25">
      <c r="C109" s="43" t="s">
        <v>93</v>
      </c>
      <c r="D109">
        <v>10</v>
      </c>
      <c r="E109" s="1">
        <v>2.7685</v>
      </c>
      <c r="F109" s="1">
        <v>27.684999999999999</v>
      </c>
      <c r="H109" t="s">
        <v>340</v>
      </c>
      <c r="I109">
        <v>1</v>
      </c>
      <c r="J109">
        <v>6.9820000000000002</v>
      </c>
      <c r="K109" s="1">
        <v>6.9820000000000002</v>
      </c>
    </row>
    <row r="110" spans="3:11" x14ac:dyDescent="0.25">
      <c r="C110" s="43" t="s">
        <v>6</v>
      </c>
      <c r="D110">
        <v>10</v>
      </c>
      <c r="E110" s="1">
        <v>4.9988000000000001</v>
      </c>
      <c r="F110" s="1">
        <v>49.988</v>
      </c>
      <c r="H110" t="s">
        <v>350</v>
      </c>
      <c r="I110">
        <v>1</v>
      </c>
      <c r="J110">
        <v>6.2644000000000002</v>
      </c>
      <c r="K110" s="1">
        <v>6.2644000000000002</v>
      </c>
    </row>
    <row r="111" spans="3:11" x14ac:dyDescent="0.25">
      <c r="C111" s="43" t="s">
        <v>94</v>
      </c>
      <c r="D111">
        <v>10</v>
      </c>
      <c r="E111" s="1">
        <v>3.3464</v>
      </c>
      <c r="F111" s="1">
        <v>33.463999999999999</v>
      </c>
      <c r="H111" t="s">
        <v>50</v>
      </c>
      <c r="I111">
        <v>1</v>
      </c>
      <c r="J111">
        <v>2.6297000000000001</v>
      </c>
      <c r="K111" s="1">
        <v>2.6297000000000001</v>
      </c>
    </row>
    <row r="112" spans="3:11" x14ac:dyDescent="0.25">
      <c r="C112" s="43" t="s">
        <v>168</v>
      </c>
      <c r="D112">
        <v>70</v>
      </c>
      <c r="E112" s="1">
        <v>2.3731</v>
      </c>
      <c r="F112" s="1">
        <v>166.11699999999999</v>
      </c>
      <c r="H112" t="s">
        <v>184</v>
      </c>
      <c r="I112">
        <v>1</v>
      </c>
      <c r="J112">
        <v>7.8621999999999996</v>
      </c>
      <c r="K112" s="1">
        <v>7.8621999999999996</v>
      </c>
    </row>
    <row r="113" spans="3:11" x14ac:dyDescent="0.25">
      <c r="C113" s="43" t="s">
        <v>131</v>
      </c>
      <c r="D113">
        <v>10</v>
      </c>
      <c r="E113" s="1">
        <v>3.3460999999999999</v>
      </c>
      <c r="F113" s="1">
        <v>33.460999999999999</v>
      </c>
      <c r="H113" t="s">
        <v>142</v>
      </c>
      <c r="I113">
        <v>1</v>
      </c>
      <c r="J113">
        <v>5.2069000000000001</v>
      </c>
      <c r="K113" s="1">
        <v>5.2069000000000001</v>
      </c>
    </row>
    <row r="114" spans="3:11" x14ac:dyDescent="0.25">
      <c r="C114" s="43" t="s">
        <v>96</v>
      </c>
      <c r="D114">
        <v>15</v>
      </c>
      <c r="E114" s="1">
        <v>3.6040999999999999</v>
      </c>
      <c r="F114" s="1">
        <v>54.061500000000002</v>
      </c>
      <c r="H114" t="s">
        <v>144</v>
      </c>
      <c r="I114">
        <v>1</v>
      </c>
      <c r="J114">
        <v>5.2283999999999997</v>
      </c>
      <c r="K114" s="1">
        <v>5.2283999999999997</v>
      </c>
    </row>
    <row r="115" spans="3:11" x14ac:dyDescent="0.25">
      <c r="C115" s="43" t="s">
        <v>170</v>
      </c>
      <c r="D115">
        <v>140</v>
      </c>
      <c r="E115" s="1">
        <v>2.9830999999999999</v>
      </c>
      <c r="F115" s="1">
        <v>417.63400000000001</v>
      </c>
      <c r="H115" t="s">
        <v>145</v>
      </c>
      <c r="I115">
        <v>1</v>
      </c>
      <c r="J115">
        <v>4.6889000000000003</v>
      </c>
      <c r="K115" s="1">
        <v>4.6889000000000003</v>
      </c>
    </row>
    <row r="116" spans="3:11" x14ac:dyDescent="0.25">
      <c r="C116" s="43" t="s">
        <v>171</v>
      </c>
      <c r="D116">
        <v>105</v>
      </c>
      <c r="E116" s="1">
        <v>3.9737</v>
      </c>
      <c r="F116" s="1">
        <v>417.23849999999999</v>
      </c>
      <c r="H116" t="s">
        <v>146</v>
      </c>
      <c r="I116">
        <v>1</v>
      </c>
      <c r="J116">
        <v>4.4298000000000002</v>
      </c>
      <c r="K116" s="1">
        <v>4.4298000000000002</v>
      </c>
    </row>
    <row r="117" spans="3:11" x14ac:dyDescent="0.25">
      <c r="C117" s="43" t="s">
        <v>158</v>
      </c>
      <c r="D117">
        <v>35</v>
      </c>
      <c r="E117" s="1">
        <v>2.9573</v>
      </c>
      <c r="F117" s="1">
        <v>103.5055</v>
      </c>
      <c r="H117" t="s">
        <v>148</v>
      </c>
      <c r="I117">
        <v>1</v>
      </c>
      <c r="J117">
        <v>6.6097999999999999</v>
      </c>
      <c r="K117" s="1">
        <v>6.6097999999999999</v>
      </c>
    </row>
    <row r="118" spans="3:11" x14ac:dyDescent="0.25">
      <c r="C118" s="43" t="s">
        <v>27</v>
      </c>
      <c r="D118">
        <v>65</v>
      </c>
      <c r="E118" s="1">
        <v>2.3813</v>
      </c>
      <c r="F118" s="1">
        <v>154.78450000000001</v>
      </c>
      <c r="H118" t="s">
        <v>149</v>
      </c>
      <c r="I118">
        <v>1</v>
      </c>
      <c r="J118">
        <v>4.2355999999999998</v>
      </c>
      <c r="K118" s="1">
        <v>4.2355999999999998</v>
      </c>
    </row>
    <row r="119" spans="3:11" x14ac:dyDescent="0.25">
      <c r="C119" s="43" t="s">
        <v>139</v>
      </c>
      <c r="D119">
        <v>20</v>
      </c>
      <c r="E119" s="1">
        <v>6.3724999999999996</v>
      </c>
      <c r="F119" s="1">
        <v>127.45</v>
      </c>
      <c r="H119" t="s">
        <v>102</v>
      </c>
      <c r="I119">
        <v>1</v>
      </c>
      <c r="J119">
        <v>5.2994000000000003</v>
      </c>
      <c r="K119" s="1">
        <v>5.2994000000000003</v>
      </c>
    </row>
    <row r="120" spans="3:11" x14ac:dyDescent="0.25">
      <c r="C120" s="43" t="s">
        <v>33</v>
      </c>
      <c r="D120">
        <v>15</v>
      </c>
      <c r="E120" s="1">
        <v>1.7882</v>
      </c>
      <c r="F120" s="1">
        <v>26.823</v>
      </c>
      <c r="H120" t="s">
        <v>180</v>
      </c>
      <c r="I120">
        <v>1</v>
      </c>
      <c r="J120">
        <v>5.9964000000000004</v>
      </c>
      <c r="K120" s="1">
        <v>5.9964000000000004</v>
      </c>
    </row>
    <row r="121" spans="3:11" x14ac:dyDescent="0.25">
      <c r="C121" s="43" t="s">
        <v>34</v>
      </c>
      <c r="D121">
        <v>17</v>
      </c>
      <c r="E121" s="1">
        <v>14.322100000000001</v>
      </c>
      <c r="F121" s="1">
        <v>243.47569999999999</v>
      </c>
      <c r="H121" t="s">
        <v>303</v>
      </c>
      <c r="I121">
        <v>1</v>
      </c>
      <c r="J121">
        <v>3.9683000000000002</v>
      </c>
      <c r="K121" s="1">
        <v>3.9683000000000002</v>
      </c>
    </row>
    <row r="122" spans="3:11" x14ac:dyDescent="0.25">
      <c r="C122" s="43" t="s">
        <v>275</v>
      </c>
      <c r="D122">
        <v>115</v>
      </c>
      <c r="E122" s="1">
        <v>2.8355000000000001</v>
      </c>
      <c r="F122" s="1">
        <v>326.08249999999998</v>
      </c>
      <c r="H122" t="s">
        <v>311</v>
      </c>
      <c r="I122">
        <v>1</v>
      </c>
      <c r="J122">
        <v>3.9683000000000002</v>
      </c>
      <c r="K122" s="1">
        <v>3.9683000000000002</v>
      </c>
    </row>
    <row r="123" spans="3:11" x14ac:dyDescent="0.25">
      <c r="C123" s="43" t="s">
        <v>12</v>
      </c>
      <c r="D123">
        <v>75</v>
      </c>
      <c r="E123" s="1">
        <v>3.7229000000000001</v>
      </c>
      <c r="F123" s="1">
        <v>279.21749999999997</v>
      </c>
      <c r="H123" t="s">
        <v>201</v>
      </c>
      <c r="I123">
        <v>1</v>
      </c>
      <c r="J123">
        <v>6.3686999999999996</v>
      </c>
      <c r="K123" s="1">
        <v>6.3686999999999996</v>
      </c>
    </row>
    <row r="124" spans="3:11" x14ac:dyDescent="0.25">
      <c r="C124" s="43" t="s">
        <v>276</v>
      </c>
      <c r="D124">
        <v>100</v>
      </c>
      <c r="E124" s="1">
        <v>9.0513999999999992</v>
      </c>
      <c r="F124" s="1">
        <v>905.14</v>
      </c>
      <c r="H124" t="s">
        <v>377</v>
      </c>
      <c r="I124">
        <v>1</v>
      </c>
      <c r="J124">
        <v>3.7654999999999998</v>
      </c>
      <c r="K124" s="1">
        <v>3.7654999999999998</v>
      </c>
    </row>
    <row r="125" spans="3:11" x14ac:dyDescent="0.25">
      <c r="C125" s="43" t="s">
        <v>166</v>
      </c>
      <c r="D125">
        <v>55</v>
      </c>
      <c r="E125" s="1">
        <v>12.4925</v>
      </c>
      <c r="F125" s="1">
        <v>687.08749999999998</v>
      </c>
      <c r="H125" t="s">
        <v>222</v>
      </c>
      <c r="I125">
        <v>1</v>
      </c>
      <c r="J125">
        <v>3.1429</v>
      </c>
      <c r="K125" s="1">
        <v>3.1429</v>
      </c>
    </row>
    <row r="126" spans="3:11" x14ac:dyDescent="0.25">
      <c r="C126" s="43" t="s">
        <v>277</v>
      </c>
      <c r="D126">
        <v>80</v>
      </c>
      <c r="E126" s="1">
        <v>2.0508999999999999</v>
      </c>
      <c r="F126" s="1">
        <v>164.072</v>
      </c>
      <c r="H126" t="s">
        <v>378</v>
      </c>
      <c r="I126">
        <v>1</v>
      </c>
      <c r="J126">
        <v>5.4565999999999999</v>
      </c>
      <c r="K126" s="1">
        <v>5.4565999999999999</v>
      </c>
    </row>
    <row r="127" spans="3:11" x14ac:dyDescent="0.25">
      <c r="C127" s="43" t="s">
        <v>278</v>
      </c>
      <c r="D127">
        <v>60</v>
      </c>
      <c r="E127" s="1">
        <v>2.266</v>
      </c>
      <c r="F127" s="1">
        <v>135.96</v>
      </c>
      <c r="H127"/>
      <c r="I127"/>
      <c r="J127"/>
      <c r="K127"/>
    </row>
    <row r="128" spans="3:11" x14ac:dyDescent="0.25">
      <c r="C128" s="43" t="s">
        <v>279</v>
      </c>
      <c r="D128">
        <v>15</v>
      </c>
      <c r="E128" s="1">
        <v>4.1390000000000002</v>
      </c>
      <c r="F128" s="1">
        <v>62.085000000000001</v>
      </c>
      <c r="H128"/>
      <c r="I128"/>
      <c r="J128"/>
      <c r="K128"/>
    </row>
    <row r="129" spans="3:11" x14ac:dyDescent="0.25">
      <c r="C129" s="43" t="s">
        <v>280</v>
      </c>
      <c r="D129">
        <v>30</v>
      </c>
      <c r="E129" s="1">
        <v>3.6735000000000002</v>
      </c>
      <c r="F129" s="1">
        <v>110.205</v>
      </c>
      <c r="H129"/>
      <c r="I129"/>
      <c r="J129"/>
      <c r="K129"/>
    </row>
    <row r="130" spans="3:11" x14ac:dyDescent="0.25">
      <c r="C130" s="43" t="s">
        <v>167</v>
      </c>
      <c r="D130">
        <v>50</v>
      </c>
      <c r="E130" s="1">
        <v>4.1081000000000003</v>
      </c>
      <c r="F130" s="1">
        <v>205.405</v>
      </c>
      <c r="H130"/>
      <c r="I130"/>
      <c r="J130"/>
      <c r="K130"/>
    </row>
    <row r="131" spans="3:11" x14ac:dyDescent="0.25">
      <c r="C131" s="43" t="s">
        <v>31</v>
      </c>
      <c r="D131">
        <v>95</v>
      </c>
      <c r="E131" s="1">
        <v>2.2949000000000002</v>
      </c>
      <c r="F131" s="1">
        <v>218.0155</v>
      </c>
      <c r="H131"/>
      <c r="I131"/>
      <c r="J131"/>
      <c r="K131"/>
    </row>
    <row r="132" spans="3:11" x14ac:dyDescent="0.25">
      <c r="C132" s="43" t="s">
        <v>32</v>
      </c>
      <c r="D132">
        <v>105</v>
      </c>
      <c r="E132" s="1">
        <v>2.3645</v>
      </c>
      <c r="F132" s="1">
        <v>248.27250000000001</v>
      </c>
      <c r="H132"/>
      <c r="I132"/>
      <c r="J132"/>
      <c r="K132"/>
    </row>
    <row r="133" spans="3:11" x14ac:dyDescent="0.25">
      <c r="C133" s="43" t="s">
        <v>11</v>
      </c>
      <c r="D133">
        <v>40</v>
      </c>
      <c r="E133" s="1">
        <v>2.4624999999999999</v>
      </c>
      <c r="F133" s="1">
        <v>98.5</v>
      </c>
      <c r="H133"/>
      <c r="I133"/>
      <c r="J133"/>
      <c r="K133"/>
    </row>
    <row r="134" spans="3:11" x14ac:dyDescent="0.25">
      <c r="C134" s="43" t="s">
        <v>165</v>
      </c>
      <c r="D134">
        <v>20</v>
      </c>
      <c r="E134" s="1">
        <v>2.5528</v>
      </c>
      <c r="F134" s="1">
        <v>51.055999999999997</v>
      </c>
      <c r="H134"/>
      <c r="I134"/>
      <c r="J134"/>
      <c r="K134"/>
    </row>
    <row r="135" spans="3:11" x14ac:dyDescent="0.25">
      <c r="C135" s="43" t="s">
        <v>26</v>
      </c>
      <c r="D135">
        <v>10</v>
      </c>
      <c r="E135" s="1">
        <v>3.7772000000000001</v>
      </c>
      <c r="F135" s="1">
        <v>37.771999999999998</v>
      </c>
      <c r="H135"/>
      <c r="I135"/>
      <c r="J135"/>
      <c r="K135"/>
    </row>
    <row r="136" spans="3:11" x14ac:dyDescent="0.25">
      <c r="C136" s="43" t="s">
        <v>241</v>
      </c>
      <c r="D136">
        <v>70</v>
      </c>
      <c r="E136" s="1">
        <v>4.8007999999999997</v>
      </c>
      <c r="F136" s="1">
        <v>336.05599999999998</v>
      </c>
      <c r="H136"/>
      <c r="I136"/>
      <c r="J136"/>
      <c r="K136"/>
    </row>
    <row r="137" spans="3:11" x14ac:dyDescent="0.25">
      <c r="C137" s="43" t="s">
        <v>133</v>
      </c>
      <c r="D137">
        <v>10</v>
      </c>
      <c r="E137" s="1">
        <v>3.0865999999999998</v>
      </c>
      <c r="F137" s="1">
        <v>30.866</v>
      </c>
      <c r="H137"/>
      <c r="I137"/>
      <c r="J137"/>
      <c r="K137"/>
    </row>
    <row r="138" spans="3:11" x14ac:dyDescent="0.25">
      <c r="C138" s="43" t="s">
        <v>281</v>
      </c>
      <c r="D138">
        <v>70</v>
      </c>
      <c r="E138" s="1">
        <v>8.6585000000000001</v>
      </c>
      <c r="F138" s="1">
        <v>606.09500000000003</v>
      </c>
      <c r="H138"/>
      <c r="I138"/>
      <c r="J138"/>
      <c r="K138"/>
    </row>
    <row r="139" spans="3:11" x14ac:dyDescent="0.25">
      <c r="C139" s="43" t="s">
        <v>29</v>
      </c>
      <c r="D139">
        <v>40</v>
      </c>
      <c r="E139" s="1">
        <v>2.6097999999999999</v>
      </c>
      <c r="F139" s="1">
        <v>104.392</v>
      </c>
      <c r="H139"/>
      <c r="I139"/>
      <c r="J139"/>
      <c r="K139"/>
    </row>
    <row r="140" spans="3:11" x14ac:dyDescent="0.25">
      <c r="C140" s="43" t="s">
        <v>30</v>
      </c>
      <c r="D140">
        <v>35</v>
      </c>
      <c r="E140" s="1">
        <v>3.8437999999999999</v>
      </c>
      <c r="F140" s="1">
        <v>134.53299999999999</v>
      </c>
      <c r="H140"/>
      <c r="I140"/>
      <c r="J140"/>
      <c r="K140"/>
    </row>
    <row r="141" spans="3:11" x14ac:dyDescent="0.25">
      <c r="C141" s="43" t="s">
        <v>282</v>
      </c>
      <c r="D141">
        <v>85</v>
      </c>
      <c r="E141" s="1">
        <v>3.9660000000000002</v>
      </c>
      <c r="F141" s="1">
        <v>337.11</v>
      </c>
      <c r="H141"/>
      <c r="I141"/>
      <c r="J141"/>
      <c r="K141"/>
    </row>
    <row r="142" spans="3:11" x14ac:dyDescent="0.25">
      <c r="C142" s="43" t="s">
        <v>125</v>
      </c>
      <c r="D142">
        <v>10</v>
      </c>
      <c r="E142" s="1">
        <v>5.5486000000000004</v>
      </c>
      <c r="F142" s="1">
        <v>55.485999999999997</v>
      </c>
      <c r="H142"/>
      <c r="I142"/>
      <c r="J142"/>
      <c r="K142"/>
    </row>
    <row r="143" spans="3:11" x14ac:dyDescent="0.25">
      <c r="C143" s="43" t="s">
        <v>283</v>
      </c>
      <c r="D143">
        <v>10</v>
      </c>
      <c r="E143" s="1">
        <v>5.3795000000000002</v>
      </c>
      <c r="F143" s="1">
        <v>53.795000000000002</v>
      </c>
      <c r="H143"/>
      <c r="I143"/>
      <c r="J143"/>
      <c r="K143"/>
    </row>
    <row r="144" spans="3:11" x14ac:dyDescent="0.25">
      <c r="C144" s="43" t="s">
        <v>284</v>
      </c>
      <c r="D144">
        <v>10</v>
      </c>
      <c r="E144" s="1">
        <v>10.3805</v>
      </c>
      <c r="F144" s="1">
        <v>103.80500000000001</v>
      </c>
      <c r="H144"/>
      <c r="I144"/>
      <c r="J144"/>
      <c r="K144"/>
    </row>
    <row r="145" spans="3:11" x14ac:dyDescent="0.25">
      <c r="C145" s="43" t="s">
        <v>285</v>
      </c>
      <c r="D145">
        <v>200</v>
      </c>
      <c r="E145" s="1">
        <v>1.6741999999999999</v>
      </c>
      <c r="F145" s="1">
        <v>334.84</v>
      </c>
      <c r="H145"/>
      <c r="I145"/>
      <c r="J145"/>
      <c r="K145"/>
    </row>
    <row r="146" spans="3:11" x14ac:dyDescent="0.25">
      <c r="C146" s="43" t="s">
        <v>35</v>
      </c>
      <c r="D146">
        <v>135</v>
      </c>
      <c r="E146" s="1">
        <v>2.177</v>
      </c>
      <c r="F146" s="1">
        <v>293.89499999999998</v>
      </c>
      <c r="H146"/>
      <c r="I146"/>
      <c r="J146"/>
      <c r="K146"/>
    </row>
    <row r="147" spans="3:11" x14ac:dyDescent="0.25">
      <c r="C147" s="43" t="s">
        <v>36</v>
      </c>
      <c r="D147">
        <v>60</v>
      </c>
      <c r="E147" s="1">
        <v>3.1219000000000001</v>
      </c>
      <c r="F147" s="1">
        <v>187.31399999999999</v>
      </c>
      <c r="H147"/>
      <c r="I147"/>
      <c r="J147"/>
      <c r="K147"/>
    </row>
    <row r="148" spans="3:11" x14ac:dyDescent="0.25">
      <c r="C148" s="43" t="s">
        <v>37</v>
      </c>
      <c r="D148">
        <v>85</v>
      </c>
      <c r="E148" s="1">
        <v>3.9990999999999999</v>
      </c>
      <c r="F148" s="1">
        <v>339.92349999999999</v>
      </c>
      <c r="H148"/>
      <c r="I148"/>
      <c r="J148"/>
      <c r="K148"/>
    </row>
    <row r="149" spans="3:11" x14ac:dyDescent="0.25">
      <c r="C149" s="43" t="s">
        <v>39</v>
      </c>
      <c r="D149">
        <v>60</v>
      </c>
      <c r="E149" s="1">
        <v>7.7107999999999999</v>
      </c>
      <c r="F149" s="1">
        <v>462.64800000000002</v>
      </c>
      <c r="H149"/>
      <c r="I149"/>
      <c r="J149"/>
      <c r="K149"/>
    </row>
    <row r="150" spans="3:11" x14ac:dyDescent="0.25">
      <c r="C150" s="43" t="s">
        <v>40</v>
      </c>
      <c r="D150">
        <v>15</v>
      </c>
      <c r="E150" s="1">
        <v>2.2829000000000002</v>
      </c>
      <c r="F150" s="1">
        <v>34.243499999999997</v>
      </c>
      <c r="H150"/>
      <c r="I150"/>
      <c r="J150"/>
      <c r="K150"/>
    </row>
    <row r="151" spans="3:11" x14ac:dyDescent="0.25">
      <c r="C151" s="43" t="s">
        <v>140</v>
      </c>
      <c r="D151">
        <v>10</v>
      </c>
      <c r="E151" s="1">
        <v>4.3611000000000004</v>
      </c>
      <c r="F151" s="1">
        <v>43.610999999999997</v>
      </c>
      <c r="H151"/>
      <c r="I151"/>
      <c r="J151"/>
      <c r="K151"/>
    </row>
    <row r="152" spans="3:11" x14ac:dyDescent="0.25">
      <c r="C152" s="43" t="s">
        <v>41</v>
      </c>
      <c r="D152">
        <v>80</v>
      </c>
      <c r="E152" s="1">
        <v>1.7544</v>
      </c>
      <c r="F152" s="1">
        <v>140.352</v>
      </c>
      <c r="H152"/>
      <c r="I152"/>
      <c r="J152"/>
      <c r="K152"/>
    </row>
    <row r="153" spans="3:11" x14ac:dyDescent="0.25">
      <c r="C153" s="43" t="s">
        <v>42</v>
      </c>
      <c r="D153">
        <v>10</v>
      </c>
      <c r="E153" s="1">
        <v>3.2599</v>
      </c>
      <c r="F153" s="1">
        <v>32.598999999999997</v>
      </c>
      <c r="H153"/>
      <c r="I153"/>
      <c r="J153"/>
      <c r="K153"/>
    </row>
    <row r="154" spans="3:11" x14ac:dyDescent="0.25">
      <c r="C154" s="43" t="s">
        <v>43</v>
      </c>
      <c r="D154">
        <v>20</v>
      </c>
      <c r="E154" s="1">
        <v>2.6212</v>
      </c>
      <c r="F154" s="1">
        <v>52.423999999999999</v>
      </c>
      <c r="H154"/>
      <c r="I154"/>
      <c r="J154"/>
      <c r="K154"/>
    </row>
    <row r="155" spans="3:11" x14ac:dyDescent="0.25">
      <c r="C155" s="43" t="s">
        <v>286</v>
      </c>
      <c r="D155">
        <v>10</v>
      </c>
      <c r="E155" s="1">
        <v>2.6212</v>
      </c>
      <c r="F155" s="1">
        <v>26.212</v>
      </c>
      <c r="H155"/>
      <c r="I155"/>
      <c r="J155"/>
      <c r="K155"/>
    </row>
    <row r="156" spans="3:11" x14ac:dyDescent="0.25">
      <c r="C156" s="43" t="s">
        <v>287</v>
      </c>
      <c r="D156">
        <v>10</v>
      </c>
      <c r="E156" s="1">
        <v>3.2378999999999998</v>
      </c>
      <c r="F156" s="1">
        <v>32.378999999999998</v>
      </c>
      <c r="H156"/>
      <c r="I156"/>
      <c r="J156"/>
      <c r="K156"/>
    </row>
    <row r="157" spans="3:11" x14ac:dyDescent="0.25">
      <c r="C157" s="43" t="s">
        <v>288</v>
      </c>
      <c r="D157">
        <v>20</v>
      </c>
      <c r="E157" s="1">
        <v>3.2378999999999998</v>
      </c>
      <c r="F157" s="1">
        <v>64.757999999999996</v>
      </c>
      <c r="H157"/>
      <c r="I157"/>
      <c r="J157"/>
      <c r="K157"/>
    </row>
    <row r="158" spans="3:11" x14ac:dyDescent="0.25">
      <c r="C158" s="43" t="s">
        <v>289</v>
      </c>
      <c r="D158">
        <v>45</v>
      </c>
      <c r="E158" s="1">
        <v>6.3653000000000004</v>
      </c>
      <c r="F158" s="1">
        <v>286.43849999999998</v>
      </c>
      <c r="H158"/>
      <c r="I158"/>
      <c r="J158"/>
      <c r="K158"/>
    </row>
    <row r="159" spans="3:11" x14ac:dyDescent="0.25">
      <c r="C159" s="43" t="s">
        <v>290</v>
      </c>
      <c r="D159">
        <v>10</v>
      </c>
      <c r="E159" s="1">
        <v>8.2154000000000007</v>
      </c>
      <c r="F159" s="1">
        <v>82.153999999999996</v>
      </c>
      <c r="H159"/>
      <c r="I159"/>
      <c r="J159"/>
      <c r="K159"/>
    </row>
    <row r="160" spans="3:11" x14ac:dyDescent="0.25">
      <c r="C160" s="43" t="s">
        <v>291</v>
      </c>
      <c r="D160">
        <v>30</v>
      </c>
      <c r="E160" s="1">
        <v>2.9296000000000002</v>
      </c>
      <c r="F160" s="1">
        <v>87.888000000000005</v>
      </c>
      <c r="H160"/>
      <c r="I160"/>
      <c r="J160"/>
      <c r="K160"/>
    </row>
    <row r="161" spans="3:11" x14ac:dyDescent="0.25">
      <c r="C161" s="43" t="s">
        <v>292</v>
      </c>
      <c r="D161">
        <v>25</v>
      </c>
      <c r="E161" s="1">
        <v>2.9296000000000002</v>
      </c>
      <c r="F161" s="1">
        <v>73.239999999999995</v>
      </c>
      <c r="H161"/>
      <c r="I161"/>
      <c r="J161"/>
      <c r="K161"/>
    </row>
    <row r="162" spans="3:11" x14ac:dyDescent="0.25">
      <c r="C162" s="43" t="s">
        <v>44</v>
      </c>
      <c r="D162">
        <v>95</v>
      </c>
      <c r="E162" s="1">
        <v>1.9970000000000001</v>
      </c>
      <c r="F162" s="1">
        <v>189.715</v>
      </c>
      <c r="H162"/>
      <c r="I162"/>
      <c r="J162"/>
      <c r="K162"/>
    </row>
    <row r="163" spans="3:11" x14ac:dyDescent="0.25">
      <c r="C163" s="43" t="s">
        <v>111</v>
      </c>
      <c r="D163">
        <v>15</v>
      </c>
      <c r="E163" s="1">
        <v>2.8081999999999998</v>
      </c>
      <c r="F163" s="1">
        <v>42.122999999999998</v>
      </c>
      <c r="H163"/>
      <c r="I163"/>
      <c r="J163"/>
      <c r="K163"/>
    </row>
    <row r="164" spans="3:11" x14ac:dyDescent="0.25">
      <c r="C164" s="43" t="s">
        <v>45</v>
      </c>
      <c r="D164">
        <v>35</v>
      </c>
      <c r="E164" s="1">
        <v>2.5811000000000002</v>
      </c>
      <c r="F164" s="1">
        <v>90.338499999999996</v>
      </c>
      <c r="H164"/>
      <c r="I164"/>
      <c r="J164"/>
      <c r="K164"/>
    </row>
    <row r="165" spans="3:11" x14ac:dyDescent="0.25">
      <c r="C165" s="43" t="s">
        <v>293</v>
      </c>
      <c r="D165">
        <v>40</v>
      </c>
      <c r="E165" s="1">
        <v>6.0369000000000002</v>
      </c>
      <c r="F165" s="1">
        <v>241.476</v>
      </c>
      <c r="H165"/>
      <c r="I165"/>
      <c r="J165"/>
      <c r="K165"/>
    </row>
    <row r="166" spans="3:11" x14ac:dyDescent="0.25">
      <c r="C166" s="43" t="s">
        <v>294</v>
      </c>
      <c r="D166">
        <v>50</v>
      </c>
      <c r="E166" s="1">
        <v>3.9691000000000001</v>
      </c>
      <c r="F166" s="1">
        <v>198.45500000000001</v>
      </c>
      <c r="H166"/>
      <c r="I166"/>
      <c r="J166"/>
      <c r="K166"/>
    </row>
    <row r="167" spans="3:11" x14ac:dyDescent="0.25">
      <c r="C167" s="43" t="s">
        <v>295</v>
      </c>
      <c r="D167">
        <v>10</v>
      </c>
      <c r="E167" s="1">
        <v>11.443099999999999</v>
      </c>
      <c r="F167" s="1">
        <v>114.431</v>
      </c>
      <c r="H167"/>
      <c r="I167"/>
      <c r="J167"/>
      <c r="K167"/>
    </row>
    <row r="168" spans="3:11" x14ac:dyDescent="0.25">
      <c r="C168" s="43" t="s">
        <v>175</v>
      </c>
      <c r="D168">
        <v>15</v>
      </c>
      <c r="E168" s="1">
        <v>2.9542000000000002</v>
      </c>
      <c r="F168" s="1">
        <v>44.313000000000002</v>
      </c>
      <c r="H168"/>
      <c r="I168"/>
      <c r="J168"/>
      <c r="K168"/>
    </row>
    <row r="169" spans="3:11" x14ac:dyDescent="0.25">
      <c r="C169" s="43" t="s">
        <v>176</v>
      </c>
      <c r="D169">
        <v>10</v>
      </c>
      <c r="E169" s="1">
        <v>2.7513999999999998</v>
      </c>
      <c r="F169" s="1">
        <v>27.513999999999999</v>
      </c>
      <c r="H169"/>
      <c r="I169"/>
      <c r="J169"/>
      <c r="K169"/>
    </row>
    <row r="170" spans="3:11" x14ac:dyDescent="0.25">
      <c r="C170" s="43" t="s">
        <v>47</v>
      </c>
      <c r="D170">
        <v>270</v>
      </c>
      <c r="E170" s="1">
        <v>1.8996</v>
      </c>
      <c r="F170" s="1">
        <v>512.89200000000005</v>
      </c>
      <c r="H170"/>
      <c r="I170"/>
      <c r="J170" s="1"/>
      <c r="K170" s="1"/>
    </row>
    <row r="171" spans="3:11" x14ac:dyDescent="0.25">
      <c r="C171" s="43" t="s">
        <v>296</v>
      </c>
      <c r="D171">
        <v>2</v>
      </c>
      <c r="E171" s="1">
        <v>6.5239000000000003</v>
      </c>
      <c r="F171" s="1">
        <v>13.047800000000001</v>
      </c>
      <c r="H171"/>
      <c r="I171"/>
      <c r="J171" s="1"/>
      <c r="K171" s="1"/>
    </row>
    <row r="172" spans="3:11" x14ac:dyDescent="0.25">
      <c r="C172" s="43" t="s">
        <v>297</v>
      </c>
      <c r="D172">
        <v>2</v>
      </c>
      <c r="E172" s="1">
        <v>6.7618</v>
      </c>
      <c r="F172" s="1">
        <v>13.5236</v>
      </c>
      <c r="H172"/>
      <c r="I172"/>
      <c r="J172" s="1"/>
      <c r="K172" s="1"/>
    </row>
    <row r="173" spans="3:11" x14ac:dyDescent="0.25">
      <c r="C173" s="43" t="s">
        <v>298</v>
      </c>
      <c r="D173">
        <v>30</v>
      </c>
      <c r="E173" s="1">
        <v>2.1495000000000002</v>
      </c>
      <c r="F173" s="1">
        <v>64.484999999999999</v>
      </c>
      <c r="H173"/>
      <c r="I173"/>
      <c r="J173" s="1"/>
      <c r="K173" s="1"/>
    </row>
    <row r="174" spans="3:11" x14ac:dyDescent="0.25">
      <c r="C174" s="43" t="s">
        <v>48</v>
      </c>
      <c r="D174">
        <v>25</v>
      </c>
      <c r="E174" s="1">
        <v>2.4916999999999998</v>
      </c>
      <c r="F174" s="1">
        <v>62.292499999999997</v>
      </c>
      <c r="H174"/>
      <c r="I174"/>
      <c r="J174" s="1"/>
      <c r="K174" s="1"/>
    </row>
    <row r="175" spans="3:11" x14ac:dyDescent="0.25">
      <c r="C175" s="43" t="s">
        <v>49</v>
      </c>
      <c r="D175">
        <v>30</v>
      </c>
      <c r="E175" s="1">
        <v>2.4916999999999998</v>
      </c>
      <c r="F175" s="1">
        <v>74.751000000000005</v>
      </c>
      <c r="H175"/>
      <c r="I175"/>
      <c r="J175" s="1"/>
      <c r="K175" s="1"/>
    </row>
    <row r="176" spans="3:11" x14ac:dyDescent="0.25">
      <c r="C176" s="43" t="s">
        <v>110</v>
      </c>
      <c r="D176">
        <v>25</v>
      </c>
      <c r="E176" s="1">
        <v>5.4756</v>
      </c>
      <c r="F176" s="1">
        <v>136.88999999999999</v>
      </c>
      <c r="H176"/>
      <c r="I176"/>
      <c r="J176" s="1"/>
      <c r="K176" s="1"/>
    </row>
    <row r="177" spans="3:11" x14ac:dyDescent="0.25">
      <c r="C177" s="43" t="s">
        <v>299</v>
      </c>
      <c r="D177">
        <v>17</v>
      </c>
      <c r="E177" s="1">
        <v>3.1976</v>
      </c>
      <c r="F177" s="1">
        <v>54.359200000000001</v>
      </c>
      <c r="H177"/>
      <c r="I177"/>
      <c r="J177" s="1"/>
      <c r="K177" s="1"/>
    </row>
    <row r="178" spans="3:11" x14ac:dyDescent="0.25">
      <c r="C178" s="43" t="s">
        <v>245</v>
      </c>
      <c r="D178">
        <v>50</v>
      </c>
      <c r="E178" s="1">
        <v>2.7919999999999998</v>
      </c>
      <c r="F178" s="1">
        <v>139.6</v>
      </c>
      <c r="H178"/>
      <c r="I178"/>
      <c r="J178" s="1"/>
      <c r="K178" s="1"/>
    </row>
    <row r="179" spans="3:11" x14ac:dyDescent="0.25">
      <c r="C179" s="43" t="s">
        <v>300</v>
      </c>
      <c r="D179">
        <v>15</v>
      </c>
      <c r="E179" s="1">
        <v>1.5750999999999999</v>
      </c>
      <c r="F179" s="1">
        <v>23.6265</v>
      </c>
      <c r="H179"/>
      <c r="I179"/>
      <c r="J179" s="1"/>
      <c r="K179" s="1"/>
    </row>
    <row r="180" spans="3:11" x14ac:dyDescent="0.25">
      <c r="C180" s="43" t="s">
        <v>177</v>
      </c>
      <c r="D180">
        <v>20</v>
      </c>
      <c r="E180" s="1">
        <v>3.1164999999999998</v>
      </c>
      <c r="F180" s="1">
        <v>62.33</v>
      </c>
      <c r="H180"/>
      <c r="I180"/>
      <c r="J180" s="1"/>
      <c r="K180" s="1"/>
    </row>
    <row r="181" spans="3:11" x14ac:dyDescent="0.25">
      <c r="C181" s="43" t="s">
        <v>106</v>
      </c>
      <c r="D181">
        <v>10</v>
      </c>
      <c r="E181" s="1">
        <v>4.9047000000000001</v>
      </c>
      <c r="F181" s="1">
        <v>49.046999999999997</v>
      </c>
      <c r="H181"/>
      <c r="I181"/>
      <c r="J181" s="1"/>
      <c r="K181" s="1"/>
    </row>
    <row r="182" spans="3:11" x14ac:dyDescent="0.25">
      <c r="C182" s="43" t="s">
        <v>143</v>
      </c>
      <c r="D182">
        <v>10</v>
      </c>
      <c r="E182" s="1">
        <v>3.9982000000000002</v>
      </c>
      <c r="F182" s="1">
        <v>39.981999999999999</v>
      </c>
      <c r="H182"/>
      <c r="I182"/>
      <c r="J182" s="1"/>
      <c r="K182" s="1"/>
    </row>
    <row r="183" spans="3:11" x14ac:dyDescent="0.25">
      <c r="C183" s="43" t="s">
        <v>115</v>
      </c>
      <c r="D183">
        <v>10</v>
      </c>
      <c r="E183" s="1">
        <v>4.6456999999999997</v>
      </c>
      <c r="F183" s="1">
        <v>46.457000000000001</v>
      </c>
      <c r="H183"/>
      <c r="I183"/>
      <c r="J183" s="1"/>
      <c r="K183" s="1"/>
    </row>
    <row r="184" spans="3:11" x14ac:dyDescent="0.25">
      <c r="C184" s="43" t="s">
        <v>301</v>
      </c>
      <c r="D184">
        <v>2</v>
      </c>
      <c r="E184" s="1">
        <v>41.564100000000003</v>
      </c>
      <c r="F184" s="1">
        <v>83.128200000000007</v>
      </c>
      <c r="H184"/>
      <c r="I184"/>
      <c r="J184" s="1"/>
      <c r="K184" s="1"/>
    </row>
    <row r="185" spans="3:11" x14ac:dyDescent="0.25">
      <c r="C185" s="43" t="s">
        <v>302</v>
      </c>
      <c r="D185">
        <v>10</v>
      </c>
      <c r="E185" s="1">
        <v>3.9277000000000002</v>
      </c>
      <c r="F185" s="1">
        <v>39.277000000000001</v>
      </c>
      <c r="H185"/>
      <c r="I185"/>
      <c r="J185" s="1"/>
      <c r="K185" s="1"/>
    </row>
    <row r="186" spans="3:11" x14ac:dyDescent="0.25">
      <c r="C186" s="43" t="s">
        <v>303</v>
      </c>
      <c r="D186">
        <v>15</v>
      </c>
      <c r="E186" s="1">
        <v>3.9683000000000002</v>
      </c>
      <c r="F186" s="1">
        <v>59.524500000000003</v>
      </c>
      <c r="H186"/>
      <c r="I186"/>
      <c r="J186" s="1"/>
      <c r="K186" s="1"/>
    </row>
    <row r="187" spans="3:11" x14ac:dyDescent="0.25">
      <c r="C187" s="43" t="s">
        <v>304</v>
      </c>
      <c r="D187">
        <v>10</v>
      </c>
      <c r="E187" s="1">
        <v>3.9683000000000002</v>
      </c>
      <c r="F187" s="1">
        <v>39.683</v>
      </c>
      <c r="H187"/>
      <c r="I187"/>
      <c r="J187" s="1"/>
      <c r="K187" s="1"/>
    </row>
    <row r="188" spans="3:11" x14ac:dyDescent="0.25">
      <c r="C188" s="43" t="s">
        <v>305</v>
      </c>
      <c r="D188">
        <v>10</v>
      </c>
      <c r="E188" s="1">
        <v>2.3458000000000001</v>
      </c>
      <c r="F188" s="1">
        <v>23.457999999999998</v>
      </c>
      <c r="H188"/>
      <c r="I188"/>
      <c r="J188" s="1"/>
      <c r="K188" s="1"/>
    </row>
    <row r="189" spans="3:11" x14ac:dyDescent="0.25">
      <c r="C189" s="43" t="s">
        <v>306</v>
      </c>
      <c r="D189">
        <v>15</v>
      </c>
      <c r="E189" s="1">
        <v>4.1540999999999997</v>
      </c>
      <c r="F189" s="1">
        <v>62.311500000000002</v>
      </c>
      <c r="H189"/>
      <c r="I189"/>
      <c r="J189" s="1"/>
      <c r="K189" s="1"/>
    </row>
    <row r="190" spans="3:11" x14ac:dyDescent="0.25">
      <c r="C190" s="43" t="s">
        <v>113</v>
      </c>
      <c r="D190">
        <v>10</v>
      </c>
      <c r="E190" s="1">
        <v>11.155900000000001</v>
      </c>
      <c r="F190" s="1">
        <v>111.559</v>
      </c>
      <c r="H190"/>
      <c r="I190"/>
      <c r="J190" s="1"/>
      <c r="K190" s="1"/>
    </row>
    <row r="191" spans="3:11" x14ac:dyDescent="0.25">
      <c r="C191" s="43" t="s">
        <v>307</v>
      </c>
      <c r="D191">
        <v>10</v>
      </c>
      <c r="E191" s="1">
        <v>7.0876999999999999</v>
      </c>
      <c r="F191" s="1">
        <v>70.876999999999995</v>
      </c>
      <c r="H191"/>
      <c r="I191"/>
      <c r="J191" s="1"/>
      <c r="K191" s="1"/>
    </row>
    <row r="192" spans="3:11" x14ac:dyDescent="0.25">
      <c r="C192" s="43" t="s">
        <v>116</v>
      </c>
      <c r="D192">
        <v>15</v>
      </c>
      <c r="E192" s="1">
        <v>2.7892999999999999</v>
      </c>
      <c r="F192" s="1">
        <v>41.839500000000001</v>
      </c>
      <c r="H192"/>
      <c r="I192"/>
      <c r="J192" s="1"/>
      <c r="K192" s="1"/>
    </row>
    <row r="193" spans="3:11" x14ac:dyDescent="0.25">
      <c r="C193" s="43" t="s">
        <v>183</v>
      </c>
      <c r="D193">
        <v>15</v>
      </c>
      <c r="E193" s="1">
        <v>3.0206</v>
      </c>
      <c r="F193" s="1">
        <v>45.308999999999997</v>
      </c>
      <c r="H193"/>
      <c r="I193"/>
      <c r="J193" s="1"/>
      <c r="K193" s="1"/>
    </row>
    <row r="194" spans="3:11" x14ac:dyDescent="0.25">
      <c r="C194" s="43" t="s">
        <v>50</v>
      </c>
      <c r="D194">
        <v>20</v>
      </c>
      <c r="E194" s="1">
        <v>2.6297000000000001</v>
      </c>
      <c r="F194" s="1">
        <v>52.594000000000001</v>
      </c>
      <c r="H194"/>
      <c r="I194"/>
      <c r="J194" s="1"/>
      <c r="K194" s="1"/>
    </row>
    <row r="195" spans="3:11" x14ac:dyDescent="0.25">
      <c r="C195" s="43" t="s">
        <v>51</v>
      </c>
      <c r="D195">
        <v>20</v>
      </c>
      <c r="E195" s="1">
        <v>2.7513999999999998</v>
      </c>
      <c r="F195" s="1">
        <v>55.027999999999999</v>
      </c>
      <c r="H195"/>
      <c r="I195"/>
      <c r="J195" s="1"/>
      <c r="K195" s="1"/>
    </row>
    <row r="196" spans="3:11" x14ac:dyDescent="0.25">
      <c r="C196" s="43" t="s">
        <v>184</v>
      </c>
      <c r="D196">
        <v>35</v>
      </c>
      <c r="E196" s="1">
        <v>7.8621999999999996</v>
      </c>
      <c r="F196" s="1">
        <v>275.17700000000002</v>
      </c>
      <c r="H196"/>
      <c r="I196"/>
      <c r="J196" s="1"/>
      <c r="K196" s="1"/>
    </row>
    <row r="197" spans="3:11" x14ac:dyDescent="0.25">
      <c r="C197" s="43" t="s">
        <v>308</v>
      </c>
      <c r="D197">
        <v>20</v>
      </c>
      <c r="E197" s="1">
        <v>4.1711</v>
      </c>
      <c r="F197" s="1">
        <v>83.421999999999997</v>
      </c>
      <c r="H197"/>
      <c r="I197"/>
      <c r="J197" s="1"/>
      <c r="K197" s="1"/>
    </row>
    <row r="198" spans="3:11" x14ac:dyDescent="0.25">
      <c r="C198" s="43" t="s">
        <v>309</v>
      </c>
      <c r="D198">
        <v>14</v>
      </c>
      <c r="E198" s="1">
        <v>10.9855</v>
      </c>
      <c r="F198" s="1">
        <v>153.797</v>
      </c>
      <c r="H198"/>
      <c r="I198"/>
      <c r="J198" s="1"/>
      <c r="K198" s="1"/>
    </row>
    <row r="199" spans="3:11" x14ac:dyDescent="0.25">
      <c r="C199" s="43" t="s">
        <v>185</v>
      </c>
      <c r="D199">
        <v>10</v>
      </c>
      <c r="E199" s="1">
        <v>10.743399999999999</v>
      </c>
      <c r="F199" s="1">
        <v>107.434</v>
      </c>
      <c r="H199"/>
      <c r="I199"/>
      <c r="J199" s="1"/>
      <c r="K199" s="1"/>
    </row>
    <row r="200" spans="3:11" x14ac:dyDescent="0.25">
      <c r="C200" s="43" t="s">
        <v>310</v>
      </c>
      <c r="D200">
        <v>2</v>
      </c>
      <c r="E200" s="1">
        <v>4.7503000000000002</v>
      </c>
      <c r="F200" s="1">
        <v>9.5006000000000004</v>
      </c>
      <c r="H200"/>
      <c r="I200"/>
      <c r="J200" s="1"/>
      <c r="K200" s="1"/>
    </row>
    <row r="201" spans="3:11" x14ac:dyDescent="0.25">
      <c r="C201" s="43" t="s">
        <v>186</v>
      </c>
      <c r="D201">
        <v>15</v>
      </c>
      <c r="E201" s="1">
        <v>1.9806999999999999</v>
      </c>
      <c r="F201" s="1">
        <v>29.7105</v>
      </c>
      <c r="H201"/>
      <c r="I201"/>
      <c r="J201" s="1"/>
      <c r="K201" s="1"/>
    </row>
    <row r="202" spans="3:11" x14ac:dyDescent="0.25">
      <c r="C202" s="43" t="s">
        <v>117</v>
      </c>
      <c r="D202">
        <v>40</v>
      </c>
      <c r="E202" s="1">
        <v>2.0619000000000001</v>
      </c>
      <c r="F202" s="1">
        <v>82.475999999999999</v>
      </c>
      <c r="H202"/>
      <c r="I202"/>
      <c r="J202" s="1"/>
      <c r="K202" s="1"/>
    </row>
    <row r="203" spans="3:11" x14ac:dyDescent="0.25">
      <c r="C203" s="43" t="s">
        <v>187</v>
      </c>
      <c r="D203">
        <v>20</v>
      </c>
      <c r="E203" s="1">
        <v>2.7919999999999998</v>
      </c>
      <c r="F203" s="1">
        <v>55.84</v>
      </c>
      <c r="H203"/>
      <c r="I203"/>
      <c r="J203" s="1"/>
      <c r="K203" s="1"/>
    </row>
    <row r="204" spans="3:11" x14ac:dyDescent="0.25">
      <c r="C204" s="43" t="s">
        <v>188</v>
      </c>
      <c r="D204">
        <v>10</v>
      </c>
      <c r="E204" s="1">
        <v>2.7919999999999998</v>
      </c>
      <c r="F204" s="1">
        <v>27.92</v>
      </c>
      <c r="H204"/>
      <c r="I204"/>
      <c r="J204" s="1"/>
      <c r="K204" s="1"/>
    </row>
    <row r="205" spans="3:11" x14ac:dyDescent="0.25">
      <c r="C205" s="43" t="s">
        <v>118</v>
      </c>
      <c r="D205">
        <v>10</v>
      </c>
      <c r="E205" s="1">
        <v>2.8731</v>
      </c>
      <c r="F205" s="1">
        <v>28.731000000000002</v>
      </c>
      <c r="H205"/>
      <c r="I205"/>
      <c r="J205" s="1"/>
      <c r="K205" s="1"/>
    </row>
    <row r="206" spans="3:11" x14ac:dyDescent="0.25">
      <c r="C206" s="43" t="s">
        <v>189</v>
      </c>
      <c r="D206">
        <v>10</v>
      </c>
      <c r="E206" s="1">
        <v>3.6032000000000002</v>
      </c>
      <c r="F206" s="1">
        <v>36.031999999999996</v>
      </c>
      <c r="H206"/>
      <c r="I206"/>
      <c r="J206" s="1"/>
      <c r="K206" s="1"/>
    </row>
    <row r="207" spans="3:11" x14ac:dyDescent="0.25">
      <c r="C207" s="43" t="s">
        <v>190</v>
      </c>
      <c r="D207">
        <v>20</v>
      </c>
      <c r="E207" s="1">
        <v>2.0619000000000001</v>
      </c>
      <c r="F207" s="1">
        <v>41.238</v>
      </c>
      <c r="H207"/>
      <c r="I207"/>
      <c r="J207" s="1"/>
      <c r="K207" s="1"/>
    </row>
    <row r="208" spans="3:11" x14ac:dyDescent="0.25">
      <c r="C208" s="43" t="s">
        <v>53</v>
      </c>
      <c r="D208">
        <v>25</v>
      </c>
      <c r="E208" s="1">
        <v>2.7919999999999998</v>
      </c>
      <c r="F208" s="1">
        <v>69.8</v>
      </c>
      <c r="H208"/>
      <c r="I208"/>
      <c r="J208" s="1"/>
      <c r="K208" s="1"/>
    </row>
    <row r="209" spans="3:11" x14ac:dyDescent="0.25">
      <c r="C209" s="43" t="s">
        <v>249</v>
      </c>
      <c r="D209">
        <v>20</v>
      </c>
      <c r="E209" s="1">
        <v>6.0937000000000001</v>
      </c>
      <c r="F209" s="1">
        <v>121.874</v>
      </c>
      <c r="H209"/>
      <c r="I209"/>
      <c r="J209" s="1"/>
      <c r="K209" s="1"/>
    </row>
    <row r="210" spans="3:11" x14ac:dyDescent="0.25">
      <c r="C210" s="43" t="s">
        <v>119</v>
      </c>
      <c r="D210">
        <v>2</v>
      </c>
      <c r="E210" s="1">
        <v>3.9277000000000002</v>
      </c>
      <c r="F210" s="1">
        <v>7.8554000000000004</v>
      </c>
      <c r="H210"/>
      <c r="I210"/>
      <c r="J210" s="1"/>
      <c r="K210" s="1"/>
    </row>
    <row r="211" spans="3:11" x14ac:dyDescent="0.25">
      <c r="C211" s="43" t="s">
        <v>157</v>
      </c>
      <c r="D211">
        <v>7</v>
      </c>
      <c r="E211" s="1">
        <v>3.9683000000000002</v>
      </c>
      <c r="F211" s="1">
        <v>27.778099999999998</v>
      </c>
      <c r="H211"/>
      <c r="I211"/>
      <c r="J211" s="1"/>
      <c r="K211" s="1"/>
    </row>
    <row r="212" spans="3:11" x14ac:dyDescent="0.25">
      <c r="C212" s="43" t="s">
        <v>311</v>
      </c>
      <c r="D212">
        <v>10</v>
      </c>
      <c r="E212" s="1">
        <v>3.9683000000000002</v>
      </c>
      <c r="F212" s="1">
        <v>39.683</v>
      </c>
      <c r="H212"/>
      <c r="I212"/>
      <c r="J212" s="1"/>
      <c r="K212" s="1"/>
    </row>
    <row r="213" spans="3:11" x14ac:dyDescent="0.25">
      <c r="C213" s="43" t="s">
        <v>312</v>
      </c>
      <c r="D213">
        <v>7</v>
      </c>
      <c r="E213" s="1">
        <v>3.9683000000000002</v>
      </c>
      <c r="F213" s="1">
        <v>27.778099999999998</v>
      </c>
      <c r="H213"/>
      <c r="I213"/>
      <c r="J213" s="1"/>
      <c r="K213" s="1"/>
    </row>
    <row r="214" spans="3:11" x14ac:dyDescent="0.25">
      <c r="C214" s="43" t="s">
        <v>313</v>
      </c>
      <c r="D214">
        <v>10</v>
      </c>
      <c r="E214" s="1">
        <v>1.7779</v>
      </c>
      <c r="F214" s="1">
        <v>17.779</v>
      </c>
      <c r="H214"/>
      <c r="I214"/>
      <c r="J214" s="1"/>
      <c r="K214" s="1"/>
    </row>
    <row r="215" spans="3:11" x14ac:dyDescent="0.25">
      <c r="C215" s="43" t="s">
        <v>193</v>
      </c>
      <c r="D215">
        <v>10</v>
      </c>
      <c r="E215" s="1">
        <v>6.3686999999999996</v>
      </c>
      <c r="F215" s="1">
        <v>63.686999999999998</v>
      </c>
      <c r="H215"/>
      <c r="I215"/>
      <c r="J215" s="1"/>
      <c r="K215" s="1"/>
    </row>
    <row r="216" spans="3:11" x14ac:dyDescent="0.25">
      <c r="C216" s="43" t="s">
        <v>197</v>
      </c>
      <c r="D216">
        <v>15</v>
      </c>
      <c r="E216" s="1">
        <v>6.3686999999999996</v>
      </c>
      <c r="F216" s="1">
        <v>95.530500000000004</v>
      </c>
      <c r="H216"/>
      <c r="I216"/>
      <c r="J216" s="1"/>
      <c r="K216" s="1"/>
    </row>
    <row r="217" spans="3:11" x14ac:dyDescent="0.25">
      <c r="C217" s="43" t="s">
        <v>198</v>
      </c>
      <c r="D217">
        <v>10</v>
      </c>
      <c r="E217" s="1">
        <v>6.3686999999999996</v>
      </c>
      <c r="F217" s="1">
        <v>63.686999999999998</v>
      </c>
      <c r="H217"/>
      <c r="I217"/>
      <c r="J217" s="1"/>
      <c r="K217" s="1"/>
    </row>
    <row r="218" spans="3:11" x14ac:dyDescent="0.25">
      <c r="C218" s="43" t="s">
        <v>199</v>
      </c>
      <c r="D218">
        <v>20</v>
      </c>
      <c r="E218" s="1">
        <v>6.3686999999999996</v>
      </c>
      <c r="F218" s="1">
        <v>127.374</v>
      </c>
      <c r="H218"/>
      <c r="I218"/>
      <c r="J218" s="1"/>
      <c r="K218" s="1"/>
    </row>
    <row r="219" spans="3:11" x14ac:dyDescent="0.25">
      <c r="C219" s="43" t="s">
        <v>200</v>
      </c>
      <c r="D219">
        <v>20</v>
      </c>
      <c r="E219" s="1">
        <v>6.3686999999999996</v>
      </c>
      <c r="F219" s="1">
        <v>127.374</v>
      </c>
      <c r="H219"/>
      <c r="I219"/>
      <c r="J219" s="1"/>
      <c r="K219" s="1"/>
    </row>
    <row r="220" spans="3:11" x14ac:dyDescent="0.25">
      <c r="C220" s="43" t="s">
        <v>201</v>
      </c>
      <c r="D220">
        <v>20</v>
      </c>
      <c r="E220" s="1">
        <v>6.3686999999999996</v>
      </c>
      <c r="F220" s="1">
        <v>127.374</v>
      </c>
      <c r="H220"/>
      <c r="I220"/>
      <c r="J220" s="1"/>
      <c r="K220" s="1"/>
    </row>
    <row r="221" spans="3:11" x14ac:dyDescent="0.25">
      <c r="C221" s="43" t="s">
        <v>203</v>
      </c>
      <c r="D221">
        <v>10</v>
      </c>
      <c r="E221" s="1">
        <v>20.628499999999999</v>
      </c>
      <c r="F221" s="1">
        <v>206.285</v>
      </c>
      <c r="H221"/>
      <c r="I221"/>
      <c r="J221" s="1"/>
      <c r="K221" s="1"/>
    </row>
    <row r="222" spans="3:11" x14ac:dyDescent="0.25">
      <c r="C222" s="43" t="s">
        <v>205</v>
      </c>
      <c r="D222">
        <v>10</v>
      </c>
      <c r="E222" s="1">
        <v>2.0070999999999999</v>
      </c>
      <c r="F222" s="1">
        <v>20.071000000000002</v>
      </c>
      <c r="H222"/>
      <c r="I222"/>
      <c r="J222" s="1"/>
      <c r="K222" s="1"/>
    </row>
    <row r="223" spans="3:11" x14ac:dyDescent="0.25">
      <c r="C223" s="43" t="s">
        <v>208</v>
      </c>
      <c r="D223">
        <v>7</v>
      </c>
      <c r="E223" s="1">
        <v>2.9805999999999999</v>
      </c>
      <c r="F223" s="1">
        <v>20.8642</v>
      </c>
      <c r="H223"/>
      <c r="I223"/>
      <c r="J223" s="1"/>
      <c r="K223" s="1"/>
    </row>
    <row r="224" spans="3:11" x14ac:dyDescent="0.25">
      <c r="C224" s="43" t="s">
        <v>209</v>
      </c>
      <c r="D224">
        <v>10</v>
      </c>
      <c r="E224" s="1">
        <v>2.1694</v>
      </c>
      <c r="F224" s="1">
        <v>21.693999999999999</v>
      </c>
      <c r="H224"/>
      <c r="I224"/>
      <c r="J224" s="1"/>
      <c r="K224" s="1"/>
    </row>
    <row r="225" spans="3:11" x14ac:dyDescent="0.25">
      <c r="C225" s="43" t="s">
        <v>210</v>
      </c>
      <c r="D225">
        <v>15</v>
      </c>
      <c r="E225" s="1">
        <v>2.4533</v>
      </c>
      <c r="F225" s="1">
        <v>36.799500000000002</v>
      </c>
      <c r="H225"/>
      <c r="I225"/>
      <c r="J225" s="1"/>
      <c r="K225" s="1"/>
    </row>
    <row r="226" spans="3:11" x14ac:dyDescent="0.25">
      <c r="C226" s="43" t="s">
        <v>211</v>
      </c>
      <c r="D226">
        <v>10</v>
      </c>
      <c r="E226" s="1">
        <v>2.0070999999999999</v>
      </c>
      <c r="F226" s="1">
        <v>20.071000000000002</v>
      </c>
      <c r="H226"/>
      <c r="I226"/>
      <c r="J226" s="1"/>
      <c r="K226" s="1"/>
    </row>
    <row r="227" spans="3:11" x14ac:dyDescent="0.25">
      <c r="C227" s="43" t="s">
        <v>212</v>
      </c>
      <c r="D227">
        <v>10</v>
      </c>
      <c r="E227" s="1">
        <v>2.0070999999999999</v>
      </c>
      <c r="F227" s="1">
        <v>20.071000000000002</v>
      </c>
      <c r="H227"/>
      <c r="I227"/>
      <c r="J227" s="1"/>
      <c r="K227" s="1"/>
    </row>
    <row r="228" spans="3:11" x14ac:dyDescent="0.25">
      <c r="C228" s="43" t="s">
        <v>213</v>
      </c>
      <c r="D228">
        <v>10</v>
      </c>
      <c r="E228" s="1">
        <v>2.4127000000000001</v>
      </c>
      <c r="F228" s="1">
        <v>24.126999999999999</v>
      </c>
      <c r="H228"/>
      <c r="I228"/>
      <c r="J228" s="1"/>
      <c r="K228" s="1"/>
    </row>
    <row r="229" spans="3:11" x14ac:dyDescent="0.25">
      <c r="C229" s="43" t="s">
        <v>215</v>
      </c>
      <c r="D229">
        <v>20</v>
      </c>
      <c r="E229" s="1">
        <v>2.0070999999999999</v>
      </c>
      <c r="F229" s="1">
        <v>40.142000000000003</v>
      </c>
      <c r="H229"/>
      <c r="I229"/>
      <c r="J229" s="1"/>
      <c r="K229" s="1"/>
    </row>
    <row r="230" spans="3:11" x14ac:dyDescent="0.25">
      <c r="C230" s="43" t="s">
        <v>218</v>
      </c>
      <c r="D230">
        <v>10</v>
      </c>
      <c r="E230" s="1">
        <v>2.8995000000000002</v>
      </c>
      <c r="F230" s="1">
        <v>28.995000000000001</v>
      </c>
      <c r="H230"/>
      <c r="I230"/>
      <c r="J230" s="1"/>
      <c r="K230" s="1"/>
    </row>
    <row r="231" spans="3:11" x14ac:dyDescent="0.25">
      <c r="C231" s="43" t="s">
        <v>219</v>
      </c>
      <c r="D231">
        <v>10</v>
      </c>
      <c r="E231" s="1">
        <v>3.1833999999999998</v>
      </c>
      <c r="F231" s="1">
        <v>31.834</v>
      </c>
      <c r="H231"/>
      <c r="I231"/>
      <c r="J231" s="1"/>
      <c r="K231" s="1"/>
    </row>
    <row r="232" spans="3:11" x14ac:dyDescent="0.25">
      <c r="C232" s="43" t="s">
        <v>220</v>
      </c>
      <c r="D232">
        <v>10</v>
      </c>
      <c r="E232" s="1">
        <v>2.7372000000000001</v>
      </c>
      <c r="F232" s="1">
        <v>27.372</v>
      </c>
    </row>
    <row r="233" spans="3:11" x14ac:dyDescent="0.25">
      <c r="C233" s="43" t="s">
        <v>223</v>
      </c>
      <c r="D233">
        <v>10</v>
      </c>
      <c r="E233" s="1">
        <v>2.7372000000000001</v>
      </c>
      <c r="F233" s="1">
        <v>27.372</v>
      </c>
    </row>
    <row r="234" spans="3:11" x14ac:dyDescent="0.25">
      <c r="C234" s="43" t="s">
        <v>229</v>
      </c>
      <c r="D234">
        <v>12</v>
      </c>
      <c r="E234" s="1">
        <v>6.5795000000000003</v>
      </c>
      <c r="F234" s="1">
        <v>78.953999999999994</v>
      </c>
    </row>
    <row r="235" spans="3:11" x14ac:dyDescent="0.25">
      <c r="C235" s="43" t="s">
        <v>232</v>
      </c>
      <c r="D235">
        <v>10</v>
      </c>
      <c r="E235" s="1">
        <v>3.0211999999999999</v>
      </c>
      <c r="F235" s="1">
        <v>30.212</v>
      </c>
    </row>
    <row r="236" spans="3:11" x14ac:dyDescent="0.25">
      <c r="C236" s="43" t="s">
        <v>314</v>
      </c>
      <c r="D236">
        <v>14</v>
      </c>
      <c r="E236" s="1">
        <v>5.6962999999999999</v>
      </c>
      <c r="F236" s="1">
        <v>79.748199999999997</v>
      </c>
    </row>
    <row r="237" spans="3:11" x14ac:dyDescent="0.25">
      <c r="C237" s="43" t="s">
        <v>315</v>
      </c>
      <c r="D237">
        <v>14</v>
      </c>
      <c r="E237" s="1">
        <v>6.2032999999999996</v>
      </c>
      <c r="F237" s="1">
        <v>86.846199999999996</v>
      </c>
    </row>
    <row r="238" spans="3:11" x14ac:dyDescent="0.25">
      <c r="C238" s="43" t="s">
        <v>316</v>
      </c>
      <c r="D238">
        <v>14</v>
      </c>
      <c r="E238" s="1">
        <v>6.7587999999999999</v>
      </c>
      <c r="F238" s="1">
        <v>94.623199999999997</v>
      </c>
    </row>
    <row r="239" spans="3:11" x14ac:dyDescent="0.25">
      <c r="C239" s="43" t="s">
        <v>317</v>
      </c>
      <c r="D239">
        <v>14</v>
      </c>
      <c r="E239" s="1">
        <v>11.318</v>
      </c>
      <c r="F239" s="1">
        <v>158.452</v>
      </c>
    </row>
    <row r="240" spans="3:11" x14ac:dyDescent="0.25">
      <c r="C240" s="43" t="s">
        <v>318</v>
      </c>
      <c r="D240">
        <v>19</v>
      </c>
      <c r="E240" s="1">
        <v>12.668699999999999</v>
      </c>
      <c r="F240" s="1">
        <v>240.70529999999999</v>
      </c>
    </row>
    <row r="241" spans="3:6" x14ac:dyDescent="0.25">
      <c r="C241" s="43" t="s">
        <v>319</v>
      </c>
      <c r="D241">
        <v>14</v>
      </c>
      <c r="E241" s="1">
        <v>22.4816</v>
      </c>
      <c r="F241" s="1">
        <v>314.74239999999998</v>
      </c>
    </row>
    <row r="242" spans="3:6" x14ac:dyDescent="0.25">
      <c r="C242" s="43" t="s">
        <v>320</v>
      </c>
      <c r="D242">
        <v>14</v>
      </c>
      <c r="E242" s="1">
        <v>24.574200000000001</v>
      </c>
      <c r="F242" s="1">
        <v>344.03879999999998</v>
      </c>
    </row>
    <row r="243" spans="3:6" x14ac:dyDescent="0.25">
      <c r="C243" s="43" t="s">
        <v>321</v>
      </c>
      <c r="D243">
        <v>14</v>
      </c>
      <c r="E243" s="1">
        <v>6.5894000000000004</v>
      </c>
      <c r="F243" s="1">
        <v>92.251599999999996</v>
      </c>
    </row>
    <row r="244" spans="3:6" x14ac:dyDescent="0.25">
      <c r="C244" s="43" t="s">
        <v>322</v>
      </c>
      <c r="D244">
        <v>14</v>
      </c>
      <c r="E244" s="1">
        <v>7.1718999999999999</v>
      </c>
      <c r="F244" s="1">
        <v>100.4066</v>
      </c>
    </row>
    <row r="245" spans="3:6" x14ac:dyDescent="0.25">
      <c r="C245" s="43" t="s">
        <v>323</v>
      </c>
      <c r="D245">
        <v>14</v>
      </c>
      <c r="E245" s="1">
        <v>7.9114000000000004</v>
      </c>
      <c r="F245" s="1">
        <v>110.75960000000001</v>
      </c>
    </row>
    <row r="246" spans="3:6" x14ac:dyDescent="0.25">
      <c r="C246" s="43" t="s">
        <v>324</v>
      </c>
      <c r="D246">
        <v>14</v>
      </c>
      <c r="E246" s="1">
        <v>25.831900000000001</v>
      </c>
      <c r="F246" s="1">
        <v>361.64659999999998</v>
      </c>
    </row>
    <row r="247" spans="3:6" x14ac:dyDescent="0.25">
      <c r="C247" s="43" t="s">
        <v>325</v>
      </c>
      <c r="D247">
        <v>14</v>
      </c>
      <c r="E247" s="1">
        <v>31.611899999999999</v>
      </c>
      <c r="F247" s="1">
        <v>442.56659999999999</v>
      </c>
    </row>
    <row r="248" spans="3:6" x14ac:dyDescent="0.25">
      <c r="C248" s="43" t="s">
        <v>326</v>
      </c>
      <c r="D248">
        <v>14</v>
      </c>
      <c r="E248" s="1">
        <v>34.843699999999998</v>
      </c>
      <c r="F248" s="1">
        <v>487.81180000000001</v>
      </c>
    </row>
    <row r="249" spans="3:6" x14ac:dyDescent="0.25">
      <c r="C249" s="43" t="s">
        <v>327</v>
      </c>
      <c r="D249">
        <v>14</v>
      </c>
      <c r="E249" s="1">
        <v>12.922800000000001</v>
      </c>
      <c r="F249" s="1">
        <v>180.91919999999999</v>
      </c>
    </row>
    <row r="250" spans="3:6" x14ac:dyDescent="0.25">
      <c r="C250" s="43" t="s">
        <v>328</v>
      </c>
      <c r="D250">
        <v>14</v>
      </c>
      <c r="E250" s="1">
        <v>20.526700000000002</v>
      </c>
      <c r="F250" s="1">
        <v>287.37380000000002</v>
      </c>
    </row>
    <row r="251" spans="3:6" x14ac:dyDescent="0.25">
      <c r="C251" s="43" t="s">
        <v>329</v>
      </c>
      <c r="D251">
        <v>14</v>
      </c>
      <c r="E251" s="1">
        <v>23.6677</v>
      </c>
      <c r="F251" s="1">
        <v>331.34780000000001</v>
      </c>
    </row>
    <row r="252" spans="3:6" x14ac:dyDescent="0.25">
      <c r="C252" s="43" t="s">
        <v>330</v>
      </c>
      <c r="D252">
        <v>14</v>
      </c>
      <c r="E252" s="1">
        <v>27.321999999999999</v>
      </c>
      <c r="F252" s="1">
        <v>382.50799999999998</v>
      </c>
    </row>
    <row r="253" spans="3:6" x14ac:dyDescent="0.25">
      <c r="C253" s="43" t="s">
        <v>331</v>
      </c>
      <c r="D253">
        <v>14</v>
      </c>
      <c r="E253" s="1">
        <v>13.0579</v>
      </c>
      <c r="F253" s="1">
        <v>182.81059999999999</v>
      </c>
    </row>
    <row r="254" spans="3:6" x14ac:dyDescent="0.25">
      <c r="C254" s="43" t="s">
        <v>332</v>
      </c>
      <c r="D254">
        <v>14</v>
      </c>
      <c r="E254" s="1">
        <v>14.976599999999999</v>
      </c>
      <c r="F254" s="1">
        <v>209.67240000000001</v>
      </c>
    </row>
    <row r="255" spans="3:6" x14ac:dyDescent="0.25">
      <c r="C255" s="43" t="s">
        <v>333</v>
      </c>
      <c r="D255">
        <v>14</v>
      </c>
      <c r="E255" s="1">
        <v>15.0982</v>
      </c>
      <c r="F255" s="1">
        <v>211.37479999999999</v>
      </c>
    </row>
    <row r="256" spans="3:6" x14ac:dyDescent="0.25">
      <c r="C256" s="43" t="s">
        <v>334</v>
      </c>
      <c r="D256">
        <v>14</v>
      </c>
      <c r="E256" s="1">
        <v>23.307700000000001</v>
      </c>
      <c r="F256" s="1">
        <v>326.30779999999999</v>
      </c>
    </row>
    <row r="257" spans="3:6" x14ac:dyDescent="0.25">
      <c r="C257" s="43" t="s">
        <v>335</v>
      </c>
      <c r="D257">
        <v>14</v>
      </c>
      <c r="E257" s="1">
        <v>28.532</v>
      </c>
      <c r="F257" s="1">
        <v>399.44799999999998</v>
      </c>
    </row>
    <row r="258" spans="3:6" x14ac:dyDescent="0.25">
      <c r="C258" s="43" t="s">
        <v>336</v>
      </c>
      <c r="D258">
        <v>14</v>
      </c>
      <c r="E258" s="1">
        <v>32.067799999999998</v>
      </c>
      <c r="F258" s="1">
        <v>448.94920000000002</v>
      </c>
    </row>
    <row r="259" spans="3:6" x14ac:dyDescent="0.25">
      <c r="C259" s="43" t="s">
        <v>337</v>
      </c>
      <c r="D259">
        <v>19</v>
      </c>
      <c r="E259" s="1">
        <v>4.6932999999999998</v>
      </c>
      <c r="F259" s="1">
        <v>89.172700000000006</v>
      </c>
    </row>
    <row r="260" spans="3:6" x14ac:dyDescent="0.25">
      <c r="C260" s="43" t="s">
        <v>338</v>
      </c>
      <c r="D260">
        <v>14</v>
      </c>
      <c r="E260" s="1">
        <v>5.0397999999999996</v>
      </c>
      <c r="F260" s="1">
        <v>70.557199999999995</v>
      </c>
    </row>
    <row r="261" spans="3:6" x14ac:dyDescent="0.25">
      <c r="C261" s="43" t="s">
        <v>339</v>
      </c>
      <c r="D261">
        <v>14</v>
      </c>
      <c r="E261" s="1">
        <v>5.5469999999999997</v>
      </c>
      <c r="F261" s="1">
        <v>77.658000000000001</v>
      </c>
    </row>
    <row r="262" spans="3:6" x14ac:dyDescent="0.25">
      <c r="C262" s="43" t="s">
        <v>340</v>
      </c>
      <c r="D262">
        <v>14</v>
      </c>
      <c r="E262" s="1">
        <v>6.9820000000000002</v>
      </c>
      <c r="F262" s="1">
        <v>97.748000000000005</v>
      </c>
    </row>
    <row r="263" spans="3:6" x14ac:dyDescent="0.25">
      <c r="C263" s="43" t="s">
        <v>341</v>
      </c>
      <c r="D263">
        <v>14</v>
      </c>
      <c r="E263" s="1">
        <v>7.9599000000000002</v>
      </c>
      <c r="F263" s="1">
        <v>111.43859999999999</v>
      </c>
    </row>
    <row r="264" spans="3:6" x14ac:dyDescent="0.25">
      <c r="C264" s="43" t="s">
        <v>342</v>
      </c>
      <c r="D264">
        <v>14</v>
      </c>
      <c r="E264" s="1">
        <v>9.5213000000000001</v>
      </c>
      <c r="F264" s="1">
        <v>133.29820000000001</v>
      </c>
    </row>
    <row r="265" spans="3:6" x14ac:dyDescent="0.25">
      <c r="C265" s="43" t="s">
        <v>343</v>
      </c>
      <c r="D265">
        <v>14</v>
      </c>
      <c r="E265" s="1">
        <v>5.5785</v>
      </c>
      <c r="F265" s="1">
        <v>78.099000000000004</v>
      </c>
    </row>
    <row r="266" spans="3:6" x14ac:dyDescent="0.25">
      <c r="C266" s="43" t="s">
        <v>344</v>
      </c>
      <c r="D266">
        <v>14</v>
      </c>
      <c r="E266" s="1">
        <v>6.0372000000000003</v>
      </c>
      <c r="F266" s="1">
        <v>84.520799999999994</v>
      </c>
    </row>
    <row r="267" spans="3:6" x14ac:dyDescent="0.25">
      <c r="C267" s="43" t="s">
        <v>345</v>
      </c>
      <c r="D267">
        <v>14</v>
      </c>
      <c r="E267" s="1">
        <v>6.7278000000000002</v>
      </c>
      <c r="F267" s="1">
        <v>94.1892</v>
      </c>
    </row>
    <row r="268" spans="3:6" x14ac:dyDescent="0.25">
      <c r="C268" s="43" t="s">
        <v>346</v>
      </c>
      <c r="D268">
        <v>14</v>
      </c>
      <c r="E268" s="1">
        <v>8.1325000000000003</v>
      </c>
      <c r="F268" s="1">
        <v>113.855</v>
      </c>
    </row>
    <row r="269" spans="3:6" x14ac:dyDescent="0.25">
      <c r="C269" s="43" t="s">
        <v>347</v>
      </c>
      <c r="D269">
        <v>14</v>
      </c>
      <c r="E269" s="1">
        <v>9.9110999999999994</v>
      </c>
      <c r="F269" s="1">
        <v>138.75540000000001</v>
      </c>
    </row>
    <row r="270" spans="3:6" x14ac:dyDescent="0.25">
      <c r="C270" s="43" t="s">
        <v>348</v>
      </c>
      <c r="D270">
        <v>14</v>
      </c>
      <c r="E270" s="1">
        <v>10.9445</v>
      </c>
      <c r="F270" s="1">
        <v>153.22300000000001</v>
      </c>
    </row>
    <row r="271" spans="3:6" x14ac:dyDescent="0.25">
      <c r="C271" s="43" t="s">
        <v>349</v>
      </c>
      <c r="D271">
        <v>14</v>
      </c>
      <c r="E271" s="1">
        <v>5.5547000000000004</v>
      </c>
      <c r="F271" s="1">
        <v>77.765799999999999</v>
      </c>
    </row>
    <row r="272" spans="3:6" x14ac:dyDescent="0.25">
      <c r="C272" s="43" t="s">
        <v>350</v>
      </c>
      <c r="D272">
        <v>19</v>
      </c>
      <c r="E272" s="1">
        <v>6.2644000000000002</v>
      </c>
      <c r="F272" s="1">
        <v>119.0236</v>
      </c>
    </row>
    <row r="273" spans="3:6" x14ac:dyDescent="0.25">
      <c r="C273" s="43" t="s">
        <v>351</v>
      </c>
      <c r="D273">
        <v>14</v>
      </c>
      <c r="E273" s="1">
        <v>7.8704999999999998</v>
      </c>
      <c r="F273" s="1">
        <v>110.187</v>
      </c>
    </row>
    <row r="274" spans="3:6" x14ac:dyDescent="0.25">
      <c r="C274" s="43" t="s">
        <v>352</v>
      </c>
      <c r="D274">
        <v>14</v>
      </c>
      <c r="E274" s="1">
        <v>7.7698999999999998</v>
      </c>
      <c r="F274" s="1">
        <v>108.7786</v>
      </c>
    </row>
    <row r="275" spans="3:6" x14ac:dyDescent="0.25">
      <c r="C275" s="43" t="s">
        <v>353</v>
      </c>
      <c r="D275">
        <v>14</v>
      </c>
      <c r="E275" s="1">
        <v>9.0562000000000005</v>
      </c>
      <c r="F275" s="1">
        <v>126.7868</v>
      </c>
    </row>
    <row r="276" spans="3:6" x14ac:dyDescent="0.25">
      <c r="C276" s="43" t="s">
        <v>354</v>
      </c>
      <c r="D276">
        <v>14</v>
      </c>
      <c r="E276" s="1">
        <v>11.8781</v>
      </c>
      <c r="F276" s="1">
        <v>166.29339999999999</v>
      </c>
    </row>
    <row r="277" spans="3:6" x14ac:dyDescent="0.25">
      <c r="C277" s="43" t="s">
        <v>355</v>
      </c>
      <c r="D277">
        <v>14</v>
      </c>
      <c r="E277" s="1">
        <v>11.301600000000001</v>
      </c>
      <c r="F277" s="1">
        <v>158.22239999999999</v>
      </c>
    </row>
    <row r="278" spans="3:6" x14ac:dyDescent="0.25">
      <c r="C278" s="43" t="s">
        <v>356</v>
      </c>
      <c r="D278">
        <v>14</v>
      </c>
      <c r="E278" s="1">
        <v>12.586600000000001</v>
      </c>
      <c r="F278" s="1">
        <v>176.2124</v>
      </c>
    </row>
    <row r="279" spans="3:6" x14ac:dyDescent="0.25">
      <c r="C279" s="43" t="s">
        <v>357</v>
      </c>
      <c r="D279">
        <v>14</v>
      </c>
      <c r="E279" s="1">
        <v>16.117999999999999</v>
      </c>
      <c r="F279" s="1">
        <v>225.65199999999999</v>
      </c>
    </row>
    <row r="280" spans="3:6" x14ac:dyDescent="0.25">
      <c r="C280" s="43" t="s">
        <v>358</v>
      </c>
      <c r="D280">
        <v>14</v>
      </c>
      <c r="E280" s="1">
        <v>6.3227000000000002</v>
      </c>
      <c r="F280" s="1">
        <v>88.517799999999994</v>
      </c>
    </row>
    <row r="281" spans="3:6" x14ac:dyDescent="0.25">
      <c r="C281" s="43" t="s">
        <v>359</v>
      </c>
      <c r="D281">
        <v>14</v>
      </c>
      <c r="E281" s="1">
        <v>7.0105000000000004</v>
      </c>
      <c r="F281" s="1">
        <v>98.147000000000006</v>
      </c>
    </row>
    <row r="282" spans="3:6" x14ac:dyDescent="0.25">
      <c r="C282" s="43" t="s">
        <v>360</v>
      </c>
      <c r="D282">
        <v>14</v>
      </c>
      <c r="E282" s="1">
        <v>9.1815999999999995</v>
      </c>
      <c r="F282" s="1">
        <v>128.54239999999999</v>
      </c>
    </row>
    <row r="283" spans="3:6" x14ac:dyDescent="0.25">
      <c r="C283" s="43" t="s">
        <v>361</v>
      </c>
      <c r="D283">
        <v>14</v>
      </c>
      <c r="E283" s="1">
        <v>9.0328999999999997</v>
      </c>
      <c r="F283" s="1">
        <v>126.4606</v>
      </c>
    </row>
    <row r="284" spans="3:6" x14ac:dyDescent="0.25">
      <c r="C284" s="43" t="s">
        <v>362</v>
      </c>
      <c r="D284">
        <v>14</v>
      </c>
      <c r="E284" s="1">
        <v>10.5806</v>
      </c>
      <c r="F284" s="1">
        <v>148.1284</v>
      </c>
    </row>
    <row r="285" spans="3:6" x14ac:dyDescent="0.25">
      <c r="C285" s="43" t="s">
        <v>363</v>
      </c>
      <c r="D285">
        <v>14</v>
      </c>
      <c r="E285" s="1">
        <v>13.456099999999999</v>
      </c>
      <c r="F285" s="1">
        <v>188.3854</v>
      </c>
    </row>
    <row r="286" spans="3:6" x14ac:dyDescent="0.25">
      <c r="C286" s="43" t="s">
        <v>364</v>
      </c>
      <c r="D286">
        <v>14</v>
      </c>
      <c r="E286" s="1">
        <v>12.7219</v>
      </c>
      <c r="F286" s="1">
        <v>178.10659999999999</v>
      </c>
    </row>
    <row r="287" spans="3:6" x14ac:dyDescent="0.25">
      <c r="C287" s="43" t="s">
        <v>365</v>
      </c>
      <c r="D287">
        <v>14</v>
      </c>
      <c r="E287" s="1">
        <v>14.353999999999999</v>
      </c>
      <c r="F287" s="1">
        <v>200.95599999999999</v>
      </c>
    </row>
    <row r="288" spans="3:6" x14ac:dyDescent="0.25">
      <c r="C288" s="43" t="s">
        <v>366</v>
      </c>
      <c r="D288">
        <v>19</v>
      </c>
      <c r="E288" s="1">
        <v>18.730399999999999</v>
      </c>
      <c r="F288" s="1">
        <v>355.87759999999997</v>
      </c>
    </row>
    <row r="289" spans="3:6" x14ac:dyDescent="0.25">
      <c r="C289" s="43" t="s">
        <v>367</v>
      </c>
      <c r="D289">
        <v>2</v>
      </c>
      <c r="E289" s="1">
        <v>30.504799999999999</v>
      </c>
      <c r="F289" s="1">
        <v>61.009599999999999</v>
      </c>
    </row>
    <row r="290" spans="3:6" x14ac:dyDescent="0.25">
      <c r="C290" s="43" t="s">
        <v>368</v>
      </c>
      <c r="D290">
        <v>2</v>
      </c>
      <c r="E290" s="1">
        <v>27.354299999999999</v>
      </c>
      <c r="F290" s="1">
        <v>54.708599999999997</v>
      </c>
    </row>
  </sheetData>
  <mergeCells count="2">
    <mergeCell ref="C1:F3"/>
    <mergeCell ref="H1:K3"/>
  </mergeCells>
  <hyperlinks>
    <hyperlink ref="A6" r:id="rId2" xr:uid="{5BE7405E-EC22-4DE5-B973-C07CD4961492}"/>
    <hyperlink ref="A14" r:id="rId3" xr:uid="{BF15EF34-644D-47AE-BF72-41468176FF27}"/>
  </hyperlinks>
  <pageMargins left="0.7" right="0.7" top="0.75" bottom="0.75" header="0.3" footer="0.3"/>
  <pageSetup paperSize="9" orientation="portrait" verticalDpi="0" r:id="rId4"/>
  <drawing r:id="rId5"/>
  <legacyDrawing r:id="rId6"/>
  <controls>
    <mc:AlternateContent xmlns:mc="http://schemas.openxmlformats.org/markup-compatibility/2006">
      <mc:Choice Requires="x14">
        <control shapeId="8206" r:id="rId7" name="tbPuchase">
          <controlPr defaultSize="0" autoLine="0" r:id="rId8">
            <anchor moveWithCells="1">
              <from>
                <xdr:col>0</xdr:col>
                <xdr:colOff>133350</xdr:colOff>
                <xdr:row>23</xdr:row>
                <xdr:rowOff>95250</xdr:rowOff>
              </from>
              <to>
                <xdr:col>0</xdr:col>
                <xdr:colOff>1800225</xdr:colOff>
                <xdr:row>25</xdr:row>
                <xdr:rowOff>85725</xdr:rowOff>
              </to>
            </anchor>
          </controlPr>
        </control>
      </mc:Choice>
      <mc:Fallback>
        <control shapeId="8206" r:id="rId7" name="tbPuchase"/>
      </mc:Fallback>
    </mc:AlternateContent>
    <mc:AlternateContent xmlns:mc="http://schemas.openxmlformats.org/markup-compatibility/2006">
      <mc:Choice Requires="x14">
        <control shapeId="8193" r:id="rId9" name="CommandButton1">
          <controlPr defaultSize="0" autoLine="0" r:id="rId10">
            <anchor moveWithCells="1">
              <from>
                <xdr:col>0</xdr:col>
                <xdr:colOff>171450</xdr:colOff>
                <xdr:row>14</xdr:row>
                <xdr:rowOff>161925</xdr:rowOff>
              </from>
              <to>
                <xdr:col>0</xdr:col>
                <xdr:colOff>1485900</xdr:colOff>
                <xdr:row>17</xdr:row>
                <xdr:rowOff>180975</xdr:rowOff>
              </to>
            </anchor>
          </controlPr>
        </control>
      </mc:Choice>
      <mc:Fallback>
        <control shapeId="8193" r:id="rId9" name="CommandButton1"/>
      </mc:Fallback>
    </mc:AlternateContent>
    <mc:AlternateContent xmlns:mc="http://schemas.openxmlformats.org/markup-compatibility/2006">
      <mc:Choice Requires="x14">
        <control shapeId="8194" r:id="rId11" name="CommandButton2">
          <controlPr defaultSize="0" autoLine="0" r:id="rId12">
            <anchor moveWithCells="1">
              <from>
                <xdr:col>0</xdr:col>
                <xdr:colOff>2047875</xdr:colOff>
                <xdr:row>27</xdr:row>
                <xdr:rowOff>38100</xdr:rowOff>
              </from>
              <to>
                <xdr:col>0</xdr:col>
                <xdr:colOff>3448050</xdr:colOff>
                <xdr:row>30</xdr:row>
                <xdr:rowOff>114300</xdr:rowOff>
              </to>
            </anchor>
          </controlPr>
        </control>
      </mc:Choice>
      <mc:Fallback>
        <control shapeId="8194" r:id="rId11" name="CommandButton2"/>
      </mc:Fallback>
    </mc:AlternateContent>
    <mc:AlternateContent xmlns:mc="http://schemas.openxmlformats.org/markup-compatibility/2006">
      <mc:Choice Requires="x14">
        <control shapeId="8195" r:id="rId13" name="CommandButton3">
          <controlPr defaultSize="0" autoLine="0" r:id="rId14">
            <anchor moveWithCells="1">
              <from>
                <xdr:col>0</xdr:col>
                <xdr:colOff>95250</xdr:colOff>
                <xdr:row>30</xdr:row>
                <xdr:rowOff>161925</xdr:rowOff>
              </from>
              <to>
                <xdr:col>0</xdr:col>
                <xdr:colOff>1419225</xdr:colOff>
                <xdr:row>34</xdr:row>
                <xdr:rowOff>47625</xdr:rowOff>
              </to>
            </anchor>
          </controlPr>
        </control>
      </mc:Choice>
      <mc:Fallback>
        <control shapeId="8195" r:id="rId13" name="CommandButton3"/>
      </mc:Fallback>
    </mc:AlternateContent>
    <mc:AlternateContent xmlns:mc="http://schemas.openxmlformats.org/markup-compatibility/2006">
      <mc:Choice Requires="x14">
        <control shapeId="8205" r:id="rId15" name="cbTransfer">
          <controlPr defaultSize="0" autoLine="0" listFillRange="Developer!A3:A4" r:id="rId16">
            <anchor moveWithCells="1">
              <from>
                <xdr:col>0</xdr:col>
                <xdr:colOff>85725</xdr:colOff>
                <xdr:row>28</xdr:row>
                <xdr:rowOff>0</xdr:rowOff>
              </from>
              <to>
                <xdr:col>0</xdr:col>
                <xdr:colOff>1962150</xdr:colOff>
                <xdr:row>29</xdr:row>
                <xdr:rowOff>180975</xdr:rowOff>
              </to>
            </anchor>
          </controlPr>
        </control>
      </mc:Choice>
      <mc:Fallback>
        <control shapeId="8205" r:id="rId15" name="cbTransfer"/>
      </mc:Fallback>
    </mc:AlternateContent>
  </controls>
  <tableParts count="3">
    <tablePart r:id="rId17"/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16EB4-7F1F-46C2-A9A6-2D985BE94978}">
  <sheetPr codeName="shInvoice">
    <pageSetUpPr fitToPage="1"/>
  </sheetPr>
  <dimension ref="A1:AH149"/>
  <sheetViews>
    <sheetView tabSelected="1" topLeftCell="A130" workbookViewId="0">
      <selection activeCell="A17" sqref="A17:D138"/>
    </sheetView>
  </sheetViews>
  <sheetFormatPr defaultRowHeight="15" x14ac:dyDescent="0.25"/>
  <cols>
    <col min="1" max="1" width="39" bestFit="1" customWidth="1"/>
    <col min="2" max="2" width="15.28515625" bestFit="1" customWidth="1"/>
    <col min="3" max="3" width="17.42578125" style="1" bestFit="1" customWidth="1"/>
    <col min="4" max="4" width="14.85546875" style="1" bestFit="1" customWidth="1"/>
  </cols>
  <sheetData>
    <row r="1" spans="1:4" ht="18" x14ac:dyDescent="0.25">
      <c r="A1" s="2" t="s">
        <v>82</v>
      </c>
      <c r="B1" s="3"/>
      <c r="C1" s="57"/>
      <c r="D1" s="58"/>
    </row>
    <row r="2" spans="1:4" x14ac:dyDescent="0.25">
      <c r="A2" s="47" t="s">
        <v>54</v>
      </c>
      <c r="B2" s="4"/>
      <c r="C2" s="31"/>
      <c r="D2" s="23" t="s">
        <v>55</v>
      </c>
    </row>
    <row r="3" spans="1:4" x14ac:dyDescent="0.25">
      <c r="A3" s="6" t="s">
        <v>56</v>
      </c>
      <c r="B3" s="19"/>
      <c r="C3" s="32"/>
      <c r="D3" s="39">
        <f ca="1">TODAY()</f>
        <v>44657</v>
      </c>
    </row>
    <row r="4" spans="1:4" x14ac:dyDescent="0.25">
      <c r="A4" s="6" t="s">
        <v>57</v>
      </c>
      <c r="B4" s="19"/>
      <c r="C4" s="33"/>
      <c r="D4" s="24"/>
    </row>
    <row r="5" spans="1:4" x14ac:dyDescent="0.25">
      <c r="A5" s="6" t="s">
        <v>58</v>
      </c>
      <c r="B5" s="19"/>
      <c r="C5" s="38" t="s">
        <v>81</v>
      </c>
      <c r="D5" s="25" t="s">
        <v>379</v>
      </c>
    </row>
    <row r="6" spans="1:4" x14ac:dyDescent="0.25">
      <c r="A6" s="6" t="s">
        <v>59</v>
      </c>
      <c r="B6" s="19"/>
      <c r="C6" s="32"/>
      <c r="D6" s="24"/>
    </row>
    <row r="7" spans="1:4" x14ac:dyDescent="0.25">
      <c r="A7" s="6" t="s">
        <v>60</v>
      </c>
      <c r="B7" s="19"/>
      <c r="C7" s="32"/>
      <c r="D7" s="24"/>
    </row>
    <row r="8" spans="1:4" x14ac:dyDescent="0.25">
      <c r="A8" s="7"/>
      <c r="B8" s="19"/>
      <c r="C8" s="32"/>
      <c r="D8" s="24"/>
    </row>
    <row r="9" spans="1:4" x14ac:dyDescent="0.25">
      <c r="A9" s="8" t="s">
        <v>61</v>
      </c>
      <c r="B9" s="19"/>
      <c r="C9" s="32"/>
      <c r="D9" s="24"/>
    </row>
    <row r="10" spans="1:4" x14ac:dyDescent="0.25">
      <c r="A10" s="6" t="s">
        <v>62</v>
      </c>
      <c r="B10" s="19"/>
      <c r="C10" s="32"/>
      <c r="D10" s="24"/>
    </row>
    <row r="11" spans="1:4" x14ac:dyDescent="0.25">
      <c r="A11" s="6" t="s">
        <v>63</v>
      </c>
      <c r="B11" s="19"/>
      <c r="C11" s="32"/>
      <c r="D11" s="24"/>
    </row>
    <row r="12" spans="1:4" x14ac:dyDescent="0.25">
      <c r="A12" s="6" t="s">
        <v>57</v>
      </c>
      <c r="B12" s="19"/>
      <c r="C12" s="32"/>
      <c r="D12" s="24"/>
    </row>
    <row r="13" spans="1:4" x14ac:dyDescent="0.25">
      <c r="A13" s="6" t="s">
        <v>64</v>
      </c>
      <c r="B13" s="19"/>
      <c r="C13" s="32"/>
      <c r="D13" s="24"/>
    </row>
    <row r="14" spans="1:4" x14ac:dyDescent="0.25">
      <c r="A14" s="6" t="s">
        <v>65</v>
      </c>
      <c r="B14" s="19"/>
      <c r="C14" s="32"/>
      <c r="D14" s="24"/>
    </row>
    <row r="15" spans="1:4" x14ac:dyDescent="0.25">
      <c r="A15" s="5"/>
      <c r="B15" s="19"/>
      <c r="C15" s="34"/>
      <c r="D15" s="26"/>
    </row>
    <row r="16" spans="1:4" x14ac:dyDescent="0.25">
      <c r="A16" s="9" t="s">
        <v>74</v>
      </c>
      <c r="B16" s="15" t="s">
        <v>73</v>
      </c>
      <c r="C16" s="17" t="s">
        <v>66</v>
      </c>
      <c r="D16" s="27" t="s">
        <v>75</v>
      </c>
    </row>
    <row r="17" spans="1:34" s="16" customFormat="1" x14ac:dyDescent="0.25">
      <c r="A17" s="20" t="s">
        <v>46</v>
      </c>
      <c r="B17" s="21">
        <v>1</v>
      </c>
      <c r="C17" s="20">
        <v>19.037800000000001</v>
      </c>
      <c r="D17" s="22">
        <v>19.037800000000001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s="16" customFormat="1" x14ac:dyDescent="0.25">
      <c r="A18" s="20" t="s">
        <v>0</v>
      </c>
      <c r="B18" s="21">
        <v>1</v>
      </c>
      <c r="C18" s="20">
        <v>2.3437000000000001</v>
      </c>
      <c r="D18" s="22">
        <v>2.3437000000000001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s="16" customFormat="1" x14ac:dyDescent="0.25">
      <c r="A19" s="20" t="s">
        <v>1</v>
      </c>
      <c r="B19" s="21">
        <v>1</v>
      </c>
      <c r="C19" s="20">
        <v>2.7086999999999999</v>
      </c>
      <c r="D19" s="22">
        <v>2.7086999999999999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s="16" customFormat="1" x14ac:dyDescent="0.25">
      <c r="A20" s="20" t="s">
        <v>2</v>
      </c>
      <c r="B20" s="21">
        <v>1</v>
      </c>
      <c r="C20" s="20">
        <v>2.9824000000000002</v>
      </c>
      <c r="D20" s="22">
        <v>2.9824000000000002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s="16" customFormat="1" x14ac:dyDescent="0.25">
      <c r="A21" s="20" t="s">
        <v>105</v>
      </c>
      <c r="B21" s="21">
        <v>1</v>
      </c>
      <c r="C21" s="20">
        <v>2.8702000000000001</v>
      </c>
      <c r="D21" s="22">
        <v>2.8702000000000001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s="16" customFormat="1" x14ac:dyDescent="0.25">
      <c r="A22" s="20" t="s">
        <v>88</v>
      </c>
      <c r="B22" s="21">
        <v>1</v>
      </c>
      <c r="C22" s="20">
        <v>3.0863</v>
      </c>
      <c r="D22" s="22">
        <v>3.0863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s="16" customFormat="1" x14ac:dyDescent="0.25">
      <c r="A23" s="20" t="s">
        <v>161</v>
      </c>
      <c r="B23" s="21">
        <v>1</v>
      </c>
      <c r="C23" s="20">
        <v>4.5696000000000003</v>
      </c>
      <c r="D23" s="22">
        <v>4.5696000000000003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s="16" customFormat="1" x14ac:dyDescent="0.25">
      <c r="A24" s="20" t="s">
        <v>162</v>
      </c>
      <c r="B24" s="21">
        <v>1</v>
      </c>
      <c r="C24" s="20">
        <v>3.5276999999999998</v>
      </c>
      <c r="D24" s="22">
        <v>3.5276999999999998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s="16" customFormat="1" x14ac:dyDescent="0.25">
      <c r="A25" s="20" t="s">
        <v>4</v>
      </c>
      <c r="B25" s="21">
        <v>2</v>
      </c>
      <c r="C25" s="20">
        <v>3.1013999999999999</v>
      </c>
      <c r="D25" s="22">
        <v>6.2027999999999999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s="16" customFormat="1" x14ac:dyDescent="0.25">
      <c r="A26" s="20" t="s">
        <v>123</v>
      </c>
      <c r="B26" s="21">
        <v>2</v>
      </c>
      <c r="C26" s="20">
        <v>3.3471000000000002</v>
      </c>
      <c r="D26" s="22">
        <v>6.6942000000000004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s="16" customFormat="1" x14ac:dyDescent="0.25">
      <c r="A27" s="20" t="s">
        <v>114</v>
      </c>
      <c r="B27" s="21">
        <v>2</v>
      </c>
      <c r="C27" s="20">
        <v>4.2995000000000001</v>
      </c>
      <c r="D27" s="22">
        <v>8.5990000000000002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s="16" customFormat="1" x14ac:dyDescent="0.25">
      <c r="A28" s="20" t="s">
        <v>5</v>
      </c>
      <c r="B28" s="21">
        <v>2</v>
      </c>
      <c r="C28" s="20">
        <v>3.3637000000000001</v>
      </c>
      <c r="D28" s="22">
        <v>6.7274000000000003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s="16" customFormat="1" x14ac:dyDescent="0.25">
      <c r="A29" s="20" t="s">
        <v>168</v>
      </c>
      <c r="B29" s="21">
        <v>9</v>
      </c>
      <c r="C29" s="20">
        <v>2.3731</v>
      </c>
      <c r="D29" s="22">
        <v>21.357900000000001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s="16" customFormat="1" x14ac:dyDescent="0.25">
      <c r="A30" s="20" t="s">
        <v>169</v>
      </c>
      <c r="B30" s="21">
        <v>19</v>
      </c>
      <c r="C30" s="20">
        <v>2.7559</v>
      </c>
      <c r="D30" s="22">
        <v>52.362099999999998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s="16" customFormat="1" x14ac:dyDescent="0.25">
      <c r="A31" s="20" t="s">
        <v>170</v>
      </c>
      <c r="B31" s="21">
        <v>26</v>
      </c>
      <c r="C31" s="20">
        <v>2.9830999999999999</v>
      </c>
      <c r="D31" s="22">
        <v>77.560599999999994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s="16" customFormat="1" x14ac:dyDescent="0.25">
      <c r="A32" s="20" t="s">
        <v>171</v>
      </c>
      <c r="B32" s="21">
        <v>5</v>
      </c>
      <c r="C32" s="20">
        <v>3.9737</v>
      </c>
      <c r="D32" s="22">
        <v>19.868500000000001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s="16" customFormat="1" x14ac:dyDescent="0.25">
      <c r="A33" s="20" t="s">
        <v>127</v>
      </c>
      <c r="B33" s="21">
        <v>1</v>
      </c>
      <c r="C33" s="20">
        <v>4.6497999999999999</v>
      </c>
      <c r="D33" s="22">
        <v>4.6497999999999999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s="16" customFormat="1" x14ac:dyDescent="0.25">
      <c r="A34" s="20" t="s">
        <v>89</v>
      </c>
      <c r="B34" s="21">
        <v>4</v>
      </c>
      <c r="C34" s="20">
        <v>3.1537999999999999</v>
      </c>
      <c r="D34" s="22">
        <v>12.6152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s="16" customFormat="1" x14ac:dyDescent="0.25">
      <c r="A35" s="20" t="s">
        <v>130</v>
      </c>
      <c r="B35" s="21">
        <v>2</v>
      </c>
      <c r="C35" s="20">
        <v>3.4043999999999999</v>
      </c>
      <c r="D35" s="22">
        <v>6.8087999999999997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s="16" customFormat="1" x14ac:dyDescent="0.25">
      <c r="A36" s="20" t="s">
        <v>237</v>
      </c>
      <c r="B36" s="21">
        <v>1</v>
      </c>
      <c r="C36" s="20">
        <v>3.157</v>
      </c>
      <c r="D36" s="22">
        <v>3.157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s="16" customFormat="1" x14ac:dyDescent="0.25">
      <c r="A37" s="20" t="s">
        <v>90</v>
      </c>
      <c r="B37" s="21">
        <v>3</v>
      </c>
      <c r="C37" s="20">
        <v>6.8785999999999996</v>
      </c>
      <c r="D37" s="22">
        <v>20.6358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s="16" customFormat="1" x14ac:dyDescent="0.25">
      <c r="A38" s="20" t="s">
        <v>238</v>
      </c>
      <c r="B38" s="21">
        <v>3</v>
      </c>
      <c r="C38" s="20">
        <v>9.3364999999999991</v>
      </c>
      <c r="D38" s="22">
        <v>28.009499999999999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s="16" customFormat="1" x14ac:dyDescent="0.25">
      <c r="A39" s="20" t="s">
        <v>273</v>
      </c>
      <c r="B39" s="21">
        <v>1</v>
      </c>
      <c r="C39" s="20">
        <v>6.1064999999999996</v>
      </c>
      <c r="D39" s="22">
        <v>6.1064999999999996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s="16" customFormat="1" x14ac:dyDescent="0.25">
      <c r="A40" s="20" t="s">
        <v>369</v>
      </c>
      <c r="B40" s="21">
        <v>2</v>
      </c>
      <c r="C40" s="20">
        <v>4.5122</v>
      </c>
      <c r="D40" s="22">
        <v>9.0244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s="16" customFormat="1" x14ac:dyDescent="0.25">
      <c r="A41" s="20" t="s">
        <v>163</v>
      </c>
      <c r="B41" s="21">
        <v>1</v>
      </c>
      <c r="C41" s="20">
        <v>1.8293999999999999</v>
      </c>
      <c r="D41" s="22">
        <v>1.8293999999999999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s="16" customFormat="1" x14ac:dyDescent="0.25">
      <c r="A42" s="20" t="s">
        <v>7</v>
      </c>
      <c r="B42" s="21">
        <v>4</v>
      </c>
      <c r="C42" s="20">
        <v>1.7422</v>
      </c>
      <c r="D42" s="22">
        <v>6.9687999999999999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s="16" customFormat="1" x14ac:dyDescent="0.25">
      <c r="A43" s="20" t="s">
        <v>8</v>
      </c>
      <c r="B43" s="21">
        <v>2</v>
      </c>
      <c r="C43" s="20">
        <v>2.044</v>
      </c>
      <c r="D43" s="22">
        <v>4.0880000000000001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s="16" customFormat="1" x14ac:dyDescent="0.25">
      <c r="A44" s="20" t="s">
        <v>9</v>
      </c>
      <c r="B44" s="21">
        <v>3</v>
      </c>
      <c r="C44" s="20">
        <v>2.1539000000000001</v>
      </c>
      <c r="D44" s="22">
        <v>6.4617000000000004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s="16" customFormat="1" x14ac:dyDescent="0.25">
      <c r="A45" s="20" t="s">
        <v>10</v>
      </c>
      <c r="B45" s="21">
        <v>1</v>
      </c>
      <c r="C45" s="20">
        <v>2.7656000000000001</v>
      </c>
      <c r="D45" s="22">
        <v>2.7656000000000001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s="16" customFormat="1" x14ac:dyDescent="0.25">
      <c r="A46" s="20" t="s">
        <v>252</v>
      </c>
      <c r="B46" s="21">
        <v>1</v>
      </c>
      <c r="C46" s="20">
        <v>3.0205000000000002</v>
      </c>
      <c r="D46" s="22">
        <v>3.0205000000000002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s="16" customFormat="1" x14ac:dyDescent="0.25">
      <c r="A47" s="20" t="s">
        <v>92</v>
      </c>
      <c r="B47" s="21">
        <v>1</v>
      </c>
      <c r="C47" s="20">
        <v>4.3762999999999996</v>
      </c>
      <c r="D47" s="22">
        <v>4.3762999999999996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s="16" customFormat="1" x14ac:dyDescent="0.25">
      <c r="A48" s="20" t="s">
        <v>129</v>
      </c>
      <c r="B48" s="21">
        <v>2</v>
      </c>
      <c r="C48" s="20">
        <v>4.5561999999999996</v>
      </c>
      <c r="D48" s="22">
        <v>9.1123999999999992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s="16" customFormat="1" x14ac:dyDescent="0.25">
      <c r="A49" s="20" t="s">
        <v>93</v>
      </c>
      <c r="B49" s="21">
        <v>3</v>
      </c>
      <c r="C49" s="20">
        <v>2.7685</v>
      </c>
      <c r="D49" s="22">
        <v>8.3055000000000003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s="16" customFormat="1" x14ac:dyDescent="0.25">
      <c r="A50" s="20" t="s">
        <v>133</v>
      </c>
      <c r="B50" s="21">
        <v>1</v>
      </c>
      <c r="C50" s="20">
        <v>3.0865999999999998</v>
      </c>
      <c r="D50" s="22">
        <v>3.0865999999999998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s="16" customFormat="1" x14ac:dyDescent="0.25">
      <c r="A51" s="20" t="s">
        <v>94</v>
      </c>
      <c r="B51" s="21">
        <v>2</v>
      </c>
      <c r="C51" s="20">
        <v>3.3464</v>
      </c>
      <c r="D51" s="22">
        <v>6.6928000000000001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s="16" customFormat="1" x14ac:dyDescent="0.25">
      <c r="A52" s="20" t="s">
        <v>240</v>
      </c>
      <c r="B52" s="21">
        <v>2</v>
      </c>
      <c r="C52" s="20">
        <v>2.6274000000000002</v>
      </c>
      <c r="D52" s="22">
        <v>5.2548000000000004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s="16" customFormat="1" x14ac:dyDescent="0.25">
      <c r="A53" s="20" t="s">
        <v>370</v>
      </c>
      <c r="B53" s="21">
        <v>2</v>
      </c>
      <c r="C53" s="20">
        <v>3.548</v>
      </c>
      <c r="D53" s="22">
        <v>7.0960000000000001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s="16" customFormat="1" x14ac:dyDescent="0.25">
      <c r="A54" s="20" t="s">
        <v>13</v>
      </c>
      <c r="B54" s="21">
        <v>8</v>
      </c>
      <c r="C54" s="20">
        <v>2.9437000000000002</v>
      </c>
      <c r="D54" s="22">
        <v>23.549600000000002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s="16" customFormat="1" x14ac:dyDescent="0.25">
      <c r="A55" s="20" t="s">
        <v>165</v>
      </c>
      <c r="B55" s="21">
        <v>12</v>
      </c>
      <c r="C55" s="20">
        <v>2.5528</v>
      </c>
      <c r="D55" s="22">
        <v>30.633600000000001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s="16" customFormat="1" x14ac:dyDescent="0.25">
      <c r="A56" s="20" t="s">
        <v>14</v>
      </c>
      <c r="B56" s="21">
        <v>13</v>
      </c>
      <c r="C56" s="20">
        <v>2.8601999999999999</v>
      </c>
      <c r="D56" s="22">
        <v>37.182600000000001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s="16" customFormat="1" x14ac:dyDescent="0.25">
      <c r="A57" s="20" t="s">
        <v>15</v>
      </c>
      <c r="B57" s="21">
        <v>5</v>
      </c>
      <c r="C57" s="20">
        <v>3.2397</v>
      </c>
      <c r="D57" s="22">
        <v>16.198499999999999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s="16" customFormat="1" x14ac:dyDescent="0.25">
      <c r="A58" s="20" t="s">
        <v>276</v>
      </c>
      <c r="B58" s="21">
        <v>4</v>
      </c>
      <c r="C58" s="20">
        <v>9.0513999999999992</v>
      </c>
      <c r="D58" s="22">
        <v>36.205599999999997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s="16" customFormat="1" x14ac:dyDescent="0.25">
      <c r="A59" s="20" t="s">
        <v>124</v>
      </c>
      <c r="B59" s="21">
        <v>7</v>
      </c>
      <c r="C59" s="20">
        <v>3.7481</v>
      </c>
      <c r="D59" s="22">
        <v>26.236699999999999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s="16" customFormat="1" x14ac:dyDescent="0.25">
      <c r="A60" s="20" t="s">
        <v>126</v>
      </c>
      <c r="B60" s="21">
        <v>4</v>
      </c>
      <c r="C60" s="20">
        <v>3.9249999999999998</v>
      </c>
      <c r="D60" s="22">
        <v>15.7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s="16" customFormat="1" x14ac:dyDescent="0.25">
      <c r="A61" s="20" t="s">
        <v>277</v>
      </c>
      <c r="B61" s="21">
        <v>4</v>
      </c>
      <c r="C61" s="20">
        <v>2.0508999999999999</v>
      </c>
      <c r="D61" s="22">
        <v>8.2035999999999998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s="16" customFormat="1" x14ac:dyDescent="0.25">
      <c r="A62" s="20" t="s">
        <v>97</v>
      </c>
      <c r="B62" s="21">
        <v>3</v>
      </c>
      <c r="C62" s="20">
        <v>4.1805000000000003</v>
      </c>
      <c r="D62" s="22">
        <v>12.541499999999999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s="16" customFormat="1" x14ac:dyDescent="0.25">
      <c r="A63" s="20" t="s">
        <v>98</v>
      </c>
      <c r="B63" s="21">
        <v>2</v>
      </c>
      <c r="C63" s="20">
        <v>4.6474000000000002</v>
      </c>
      <c r="D63" s="22">
        <v>9.2948000000000004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s="16" customFormat="1" x14ac:dyDescent="0.25">
      <c r="A64" s="20" t="s">
        <v>128</v>
      </c>
      <c r="B64" s="21">
        <v>1</v>
      </c>
      <c r="C64" s="20">
        <v>5.4088000000000003</v>
      </c>
      <c r="D64" s="22">
        <v>5.4088000000000003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s="16" customFormat="1" x14ac:dyDescent="0.25">
      <c r="A65" s="20" t="s">
        <v>23</v>
      </c>
      <c r="B65" s="21">
        <v>1</v>
      </c>
      <c r="C65" s="20">
        <v>4.9355000000000002</v>
      </c>
      <c r="D65" s="22">
        <v>4.9355000000000002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s="16" customFormat="1" x14ac:dyDescent="0.25">
      <c r="A66" s="20" t="s">
        <v>24</v>
      </c>
      <c r="B66" s="21">
        <v>1</v>
      </c>
      <c r="C66" s="20">
        <v>5.4067999999999996</v>
      </c>
      <c r="D66" s="22">
        <v>5.4067999999999996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s="16" customFormat="1" x14ac:dyDescent="0.25">
      <c r="A67" s="20" t="s">
        <v>25</v>
      </c>
      <c r="B67" s="21">
        <v>10</v>
      </c>
      <c r="C67" s="20">
        <v>7.9935999999999998</v>
      </c>
      <c r="D67" s="22">
        <v>79.936000000000007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s="16" customFormat="1" x14ac:dyDescent="0.25">
      <c r="A68" s="20" t="s">
        <v>99</v>
      </c>
      <c r="B68" s="21">
        <v>3</v>
      </c>
      <c r="C68" s="20">
        <v>2.2097000000000002</v>
      </c>
      <c r="D68" s="22">
        <v>6.6291000000000002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s="16" customFormat="1" x14ac:dyDescent="0.25">
      <c r="A69" s="20" t="s">
        <v>125</v>
      </c>
      <c r="B69" s="21">
        <v>2</v>
      </c>
      <c r="C69" s="20">
        <v>5.5486000000000004</v>
      </c>
      <c r="D69" s="22">
        <v>11.097200000000001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s="16" customFormat="1" x14ac:dyDescent="0.25">
      <c r="A70" s="20" t="s">
        <v>283</v>
      </c>
      <c r="B70" s="21">
        <v>4</v>
      </c>
      <c r="C70" s="20">
        <v>5.3795000000000002</v>
      </c>
      <c r="D70" s="22">
        <v>21.518000000000001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s="16" customFormat="1" x14ac:dyDescent="0.25">
      <c r="A71" s="20" t="s">
        <v>121</v>
      </c>
      <c r="B71" s="21">
        <v>4</v>
      </c>
      <c r="C71" s="20">
        <v>3.2839</v>
      </c>
      <c r="D71" s="22">
        <v>13.1356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s="16" customFormat="1" x14ac:dyDescent="0.25">
      <c r="A72" s="20" t="s">
        <v>100</v>
      </c>
      <c r="B72" s="21">
        <v>1</v>
      </c>
      <c r="C72" s="20">
        <v>3.3769999999999998</v>
      </c>
      <c r="D72" s="22">
        <v>3.3769999999999998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s="16" customFormat="1" x14ac:dyDescent="0.25">
      <c r="A73" s="20" t="s">
        <v>241</v>
      </c>
      <c r="B73" s="21">
        <v>1</v>
      </c>
      <c r="C73" s="20">
        <v>4.8007999999999997</v>
      </c>
      <c r="D73" s="22">
        <v>4.8007999999999997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s="16" customFormat="1" x14ac:dyDescent="0.25">
      <c r="A74" s="20" t="s">
        <v>284</v>
      </c>
      <c r="B74" s="21">
        <v>3</v>
      </c>
      <c r="C74" s="20">
        <v>10.3805</v>
      </c>
      <c r="D74" s="22">
        <v>31.141500000000001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s="16" customFormat="1" x14ac:dyDescent="0.25">
      <c r="A75" s="20" t="s">
        <v>101</v>
      </c>
      <c r="B75" s="21">
        <v>3</v>
      </c>
      <c r="C75" s="20">
        <v>1.865</v>
      </c>
      <c r="D75" s="22">
        <v>5.5949999999999998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s="16" customFormat="1" x14ac:dyDescent="0.25">
      <c r="A76" s="20" t="s">
        <v>242</v>
      </c>
      <c r="B76" s="21">
        <v>5</v>
      </c>
      <c r="C76" s="20">
        <v>1.9436</v>
      </c>
      <c r="D76" s="22">
        <v>9.718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s="16" customFormat="1" x14ac:dyDescent="0.25">
      <c r="A77" s="20" t="s">
        <v>371</v>
      </c>
      <c r="B77" s="21">
        <v>1</v>
      </c>
      <c r="C77" s="20">
        <v>2.0028000000000001</v>
      </c>
      <c r="D77" s="22">
        <v>2.0028000000000001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s="16" customFormat="1" x14ac:dyDescent="0.25">
      <c r="A78" s="20" t="s">
        <v>27</v>
      </c>
      <c r="B78" s="21">
        <v>2</v>
      </c>
      <c r="C78" s="20">
        <v>2.3813</v>
      </c>
      <c r="D78" s="22">
        <v>4.7625999999999999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s="16" customFormat="1" x14ac:dyDescent="0.25">
      <c r="A79" s="20" t="s">
        <v>28</v>
      </c>
      <c r="B79" s="21">
        <v>1</v>
      </c>
      <c r="C79" s="20">
        <v>2.4948000000000001</v>
      </c>
      <c r="D79" s="22">
        <v>2.4948000000000001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s="16" customFormat="1" x14ac:dyDescent="0.25">
      <c r="A80" s="20" t="s">
        <v>135</v>
      </c>
      <c r="B80" s="21">
        <v>2</v>
      </c>
      <c r="C80" s="20">
        <v>4.6890999999999998</v>
      </c>
      <c r="D80" s="22">
        <v>9.3781999999999996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s="16" customFormat="1" x14ac:dyDescent="0.25">
      <c r="A81" s="20" t="s">
        <v>243</v>
      </c>
      <c r="B81" s="21">
        <v>3</v>
      </c>
      <c r="C81" s="20">
        <v>5.1477000000000004</v>
      </c>
      <c r="D81" s="22">
        <v>15.443099999999999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s="16" customFormat="1" x14ac:dyDescent="0.25">
      <c r="A82" s="20" t="s">
        <v>372</v>
      </c>
      <c r="B82" s="21">
        <v>2</v>
      </c>
      <c r="C82" s="20">
        <v>6.0065</v>
      </c>
      <c r="D82" s="22">
        <v>12.013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s="16" customFormat="1" x14ac:dyDescent="0.25">
      <c r="A83" s="20" t="s">
        <v>172</v>
      </c>
      <c r="B83" s="21">
        <v>2</v>
      </c>
      <c r="C83" s="20">
        <v>5.3132999999999999</v>
      </c>
      <c r="D83" s="22">
        <v>10.6266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s="16" customFormat="1" x14ac:dyDescent="0.25">
      <c r="A84" s="20" t="s">
        <v>139</v>
      </c>
      <c r="B84" s="21">
        <v>5</v>
      </c>
      <c r="C84" s="20">
        <v>6.3724999999999996</v>
      </c>
      <c r="D84" s="22">
        <v>31.862500000000001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s="16" customFormat="1" x14ac:dyDescent="0.25">
      <c r="A85" s="20" t="s">
        <v>31</v>
      </c>
      <c r="B85" s="21">
        <v>12</v>
      </c>
      <c r="C85" s="20">
        <v>2.2949000000000002</v>
      </c>
      <c r="D85" s="22">
        <v>27.538799999999998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s="16" customFormat="1" x14ac:dyDescent="0.25">
      <c r="A86" s="20" t="s">
        <v>32</v>
      </c>
      <c r="B86" s="21">
        <v>4</v>
      </c>
      <c r="C86" s="20">
        <v>2.3645</v>
      </c>
      <c r="D86" s="22">
        <v>9.4580000000000002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s="16" customFormat="1" x14ac:dyDescent="0.25">
      <c r="A87" s="20" t="s">
        <v>373</v>
      </c>
      <c r="B87" s="21">
        <v>1</v>
      </c>
      <c r="C87" s="20">
        <v>2.3168000000000002</v>
      </c>
      <c r="D87" s="22">
        <v>2.3168000000000002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s="16" customFormat="1" x14ac:dyDescent="0.25">
      <c r="A88" s="20" t="s">
        <v>285</v>
      </c>
      <c r="B88" s="21">
        <v>1</v>
      </c>
      <c r="C88" s="20">
        <v>1.6741999999999999</v>
      </c>
      <c r="D88" s="22">
        <v>1.6741999999999999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s="16" customFormat="1" x14ac:dyDescent="0.25">
      <c r="A89" s="20" t="s">
        <v>374</v>
      </c>
      <c r="B89" s="21">
        <v>1</v>
      </c>
      <c r="C89" s="20">
        <v>3.5131999999999999</v>
      </c>
      <c r="D89" s="22">
        <v>3.5131999999999999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s="16" customFormat="1" x14ac:dyDescent="0.25">
      <c r="A90" s="20" t="s">
        <v>244</v>
      </c>
      <c r="B90" s="21">
        <v>1</v>
      </c>
      <c r="C90" s="20">
        <v>3.9317000000000002</v>
      </c>
      <c r="D90" s="22">
        <v>3.9317000000000002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s="16" customFormat="1" x14ac:dyDescent="0.25">
      <c r="A91" s="20" t="s">
        <v>34</v>
      </c>
      <c r="B91" s="21">
        <v>1</v>
      </c>
      <c r="C91" s="20">
        <v>14.322100000000001</v>
      </c>
      <c r="D91" s="22">
        <v>14.322100000000001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s="16" customFormat="1" x14ac:dyDescent="0.25">
      <c r="A92" s="20" t="s">
        <v>37</v>
      </c>
      <c r="B92" s="21">
        <v>15</v>
      </c>
      <c r="C92" s="20">
        <v>3.9990999999999999</v>
      </c>
      <c r="D92" s="22">
        <v>59.986499999999999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s="16" customFormat="1" x14ac:dyDescent="0.25">
      <c r="A93" s="20" t="s">
        <v>39</v>
      </c>
      <c r="B93" s="21">
        <v>10</v>
      </c>
      <c r="C93" s="20">
        <v>7.7107999999999999</v>
      </c>
      <c r="D93" s="22">
        <v>77.108000000000004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s="16" customFormat="1" x14ac:dyDescent="0.25">
      <c r="A94" s="20" t="s">
        <v>41</v>
      </c>
      <c r="B94" s="21">
        <v>2</v>
      </c>
      <c r="C94" s="20">
        <v>1.7544</v>
      </c>
      <c r="D94" s="22">
        <v>3.5087999999999999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s="16" customFormat="1" x14ac:dyDescent="0.25">
      <c r="A95" s="20" t="s">
        <v>42</v>
      </c>
      <c r="B95" s="21">
        <v>1</v>
      </c>
      <c r="C95" s="20">
        <v>3.2599</v>
      </c>
      <c r="D95" s="22">
        <v>3.2599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s="16" customFormat="1" x14ac:dyDescent="0.25">
      <c r="A96" s="20" t="s">
        <v>47</v>
      </c>
      <c r="B96" s="21">
        <v>4</v>
      </c>
      <c r="C96" s="20">
        <v>1.8996</v>
      </c>
      <c r="D96" s="22">
        <v>7.5983999999999998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s="16" customFormat="1" x14ac:dyDescent="0.25">
      <c r="A97" s="20" t="s">
        <v>299</v>
      </c>
      <c r="B97" s="21">
        <v>1</v>
      </c>
      <c r="C97" s="20">
        <v>3.1976</v>
      </c>
      <c r="D97" s="22">
        <v>3.1976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s="16" customFormat="1" x14ac:dyDescent="0.25">
      <c r="A98" s="20" t="s">
        <v>245</v>
      </c>
      <c r="B98" s="21">
        <v>1</v>
      </c>
      <c r="C98" s="20">
        <v>2.7919999999999998</v>
      </c>
      <c r="D98" s="22">
        <v>2.7919999999999998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s="16" customFormat="1" x14ac:dyDescent="0.25">
      <c r="A99" s="20" t="s">
        <v>286</v>
      </c>
      <c r="B99" s="21">
        <v>1</v>
      </c>
      <c r="C99" s="20">
        <v>2.6212</v>
      </c>
      <c r="D99" s="22">
        <v>2.6212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s="16" customFormat="1" x14ac:dyDescent="0.25">
      <c r="A100" s="20" t="s">
        <v>287</v>
      </c>
      <c r="B100" s="21">
        <v>1</v>
      </c>
      <c r="C100" s="20">
        <v>3.2378999999999998</v>
      </c>
      <c r="D100" s="22">
        <v>3.2378999999999998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:34" s="16" customFormat="1" x14ac:dyDescent="0.25">
      <c r="A101" s="20" t="s">
        <v>288</v>
      </c>
      <c r="B101" s="21">
        <v>1</v>
      </c>
      <c r="C101" s="20">
        <v>3.2378999999999998</v>
      </c>
      <c r="D101" s="22">
        <v>3.2378999999999998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:34" s="16" customFormat="1" x14ac:dyDescent="0.25">
      <c r="A102" s="20" t="s">
        <v>289</v>
      </c>
      <c r="B102" s="21">
        <v>1</v>
      </c>
      <c r="C102" s="20">
        <v>6.3653000000000004</v>
      </c>
      <c r="D102" s="22">
        <v>6.3653000000000004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:34" s="16" customFormat="1" x14ac:dyDescent="0.25">
      <c r="A103" s="20" t="s">
        <v>246</v>
      </c>
      <c r="B103" s="21">
        <v>4</v>
      </c>
      <c r="C103" s="20">
        <v>2.0926</v>
      </c>
      <c r="D103" s="22">
        <v>8.3704000000000001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34" s="16" customFormat="1" x14ac:dyDescent="0.25">
      <c r="A104" s="20" t="s">
        <v>247</v>
      </c>
      <c r="B104" s="21">
        <v>2</v>
      </c>
      <c r="C104" s="20">
        <v>2.7313000000000001</v>
      </c>
      <c r="D104" s="22">
        <v>5.4626000000000001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34" s="16" customFormat="1" x14ac:dyDescent="0.25">
      <c r="A105" s="20" t="s">
        <v>248</v>
      </c>
      <c r="B105" s="21">
        <v>2</v>
      </c>
      <c r="C105" s="20">
        <v>3.2555000000000001</v>
      </c>
      <c r="D105" s="22">
        <v>6.5110000000000001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34" s="16" customFormat="1" x14ac:dyDescent="0.25">
      <c r="A106" s="20" t="s">
        <v>179</v>
      </c>
      <c r="B106" s="21">
        <v>1</v>
      </c>
      <c r="C106" s="20">
        <v>4.3804999999999996</v>
      </c>
      <c r="D106" s="22">
        <v>4.3804999999999996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:34" s="16" customFormat="1" x14ac:dyDescent="0.25">
      <c r="A107" s="20" t="s">
        <v>152</v>
      </c>
      <c r="B107" s="21">
        <v>1</v>
      </c>
      <c r="C107" s="20">
        <v>5.7469999999999999</v>
      </c>
      <c r="D107" s="22">
        <v>5.7469999999999999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:34" s="16" customFormat="1" x14ac:dyDescent="0.25">
      <c r="A108" s="20" t="s">
        <v>229</v>
      </c>
      <c r="B108" s="21">
        <v>1</v>
      </c>
      <c r="C108" s="20">
        <v>6.5795000000000003</v>
      </c>
      <c r="D108" s="22">
        <v>6.5795000000000003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:34" s="16" customFormat="1" x14ac:dyDescent="0.25">
      <c r="A109" s="20" t="s">
        <v>151</v>
      </c>
      <c r="B109" s="21">
        <v>1</v>
      </c>
      <c r="C109" s="20">
        <v>3.4815</v>
      </c>
      <c r="D109" s="22">
        <v>3.4815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:34" s="16" customFormat="1" x14ac:dyDescent="0.25">
      <c r="A110" s="20" t="s">
        <v>178</v>
      </c>
      <c r="B110" s="21">
        <v>1</v>
      </c>
      <c r="C110" s="20">
        <v>6.8075999999999999</v>
      </c>
      <c r="D110" s="22">
        <v>6.8075999999999999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:34" s="16" customFormat="1" x14ac:dyDescent="0.25">
      <c r="A111" s="20" t="s">
        <v>375</v>
      </c>
      <c r="B111" s="21">
        <v>3</v>
      </c>
      <c r="C111" s="20">
        <v>1.0275000000000001</v>
      </c>
      <c r="D111" s="22">
        <v>3.0825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:34" s="16" customFormat="1" x14ac:dyDescent="0.25">
      <c r="A112" s="20" t="s">
        <v>376</v>
      </c>
      <c r="B112" s="21">
        <v>1</v>
      </c>
      <c r="C112" s="20">
        <v>1.0275000000000001</v>
      </c>
      <c r="D112" s="22">
        <v>1.0275000000000001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:34" s="16" customFormat="1" x14ac:dyDescent="0.25">
      <c r="A113" s="20" t="s">
        <v>191</v>
      </c>
      <c r="B113" s="21">
        <v>1</v>
      </c>
      <c r="C113" s="20">
        <v>0.8044</v>
      </c>
      <c r="D113" s="22">
        <v>0.8044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:34" s="16" customFormat="1" x14ac:dyDescent="0.25">
      <c r="A114" s="20" t="s">
        <v>192</v>
      </c>
      <c r="B114" s="21">
        <v>2</v>
      </c>
      <c r="C114" s="20">
        <v>0.90590000000000004</v>
      </c>
      <c r="D114" s="22">
        <v>1.8118000000000001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:34" s="16" customFormat="1" x14ac:dyDescent="0.25">
      <c r="A115" s="20" t="s">
        <v>156</v>
      </c>
      <c r="B115" s="21">
        <v>1</v>
      </c>
      <c r="C115" s="20">
        <v>4.5827</v>
      </c>
      <c r="D115" s="22">
        <v>4.5827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:34" s="16" customFormat="1" x14ac:dyDescent="0.25">
      <c r="A116" s="20" t="s">
        <v>307</v>
      </c>
      <c r="B116" s="21">
        <v>1</v>
      </c>
      <c r="C116" s="20">
        <v>7.0876999999999999</v>
      </c>
      <c r="D116" s="22">
        <v>7.0876999999999999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:34" s="16" customFormat="1" x14ac:dyDescent="0.25">
      <c r="A117" s="20" t="s">
        <v>249</v>
      </c>
      <c r="B117" s="21">
        <v>2</v>
      </c>
      <c r="C117" s="20">
        <v>6.0937000000000001</v>
      </c>
      <c r="D117" s="22">
        <v>12.1874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:34" s="16" customFormat="1" x14ac:dyDescent="0.25">
      <c r="A118" s="20" t="s">
        <v>305</v>
      </c>
      <c r="B118" s="21">
        <v>2</v>
      </c>
      <c r="C118" s="20">
        <v>2.3458000000000001</v>
      </c>
      <c r="D118" s="22">
        <v>4.6916000000000002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:34" s="16" customFormat="1" x14ac:dyDescent="0.25">
      <c r="A119" s="20" t="s">
        <v>117</v>
      </c>
      <c r="B119" s="21">
        <v>3</v>
      </c>
      <c r="C119" s="20">
        <v>2.0619000000000001</v>
      </c>
      <c r="D119" s="22">
        <v>6.1856999999999998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:34" s="16" customFormat="1" x14ac:dyDescent="0.25">
      <c r="A120" s="20" t="s">
        <v>53</v>
      </c>
      <c r="B120" s="21">
        <v>1</v>
      </c>
      <c r="C120" s="20">
        <v>2.7919999999999998</v>
      </c>
      <c r="D120" s="22">
        <v>2.7919999999999998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:34" s="16" customFormat="1" x14ac:dyDescent="0.25">
      <c r="A121" s="20" t="s">
        <v>340</v>
      </c>
      <c r="B121" s="21">
        <v>1</v>
      </c>
      <c r="C121" s="20">
        <v>6.9820000000000002</v>
      </c>
      <c r="D121" s="22">
        <v>6.9820000000000002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:34" s="16" customFormat="1" x14ac:dyDescent="0.25">
      <c r="A122" s="20" t="s">
        <v>350</v>
      </c>
      <c r="B122" s="21">
        <v>1</v>
      </c>
      <c r="C122" s="20">
        <v>6.2644000000000002</v>
      </c>
      <c r="D122" s="22">
        <v>6.2644000000000002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:34" s="16" customFormat="1" x14ac:dyDescent="0.25">
      <c r="A123" s="20" t="s">
        <v>50</v>
      </c>
      <c r="B123" s="21">
        <v>1</v>
      </c>
      <c r="C123" s="20">
        <v>2.6297000000000001</v>
      </c>
      <c r="D123" s="22">
        <v>2.6297000000000001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:34" s="16" customFormat="1" x14ac:dyDescent="0.25">
      <c r="A124" s="20" t="s">
        <v>184</v>
      </c>
      <c r="B124" s="21">
        <v>1</v>
      </c>
      <c r="C124" s="20">
        <v>7.8621999999999996</v>
      </c>
      <c r="D124" s="22">
        <v>7.8621999999999996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:34" s="16" customFormat="1" x14ac:dyDescent="0.25">
      <c r="A125" s="20" t="s">
        <v>142</v>
      </c>
      <c r="B125" s="21">
        <v>1</v>
      </c>
      <c r="C125" s="20">
        <v>5.2069000000000001</v>
      </c>
      <c r="D125" s="22">
        <v>5.2069000000000001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:34" s="16" customFormat="1" x14ac:dyDescent="0.25">
      <c r="A126" s="20" t="s">
        <v>144</v>
      </c>
      <c r="B126" s="21">
        <v>1</v>
      </c>
      <c r="C126" s="20">
        <v>5.2283999999999997</v>
      </c>
      <c r="D126" s="22">
        <v>5.2283999999999997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:34" s="16" customFormat="1" x14ac:dyDescent="0.25">
      <c r="A127" s="20" t="s">
        <v>145</v>
      </c>
      <c r="B127" s="21">
        <v>1</v>
      </c>
      <c r="C127" s="20">
        <v>4.6889000000000003</v>
      </c>
      <c r="D127" s="22">
        <v>4.6889000000000003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:34" s="16" customFormat="1" x14ac:dyDescent="0.25">
      <c r="A128" s="20" t="s">
        <v>146</v>
      </c>
      <c r="B128" s="21">
        <v>1</v>
      </c>
      <c r="C128" s="20">
        <v>4.4298000000000002</v>
      </c>
      <c r="D128" s="22">
        <v>4.4298000000000002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:34" s="16" customFormat="1" x14ac:dyDescent="0.25">
      <c r="A129" s="20" t="s">
        <v>148</v>
      </c>
      <c r="B129" s="21">
        <v>1</v>
      </c>
      <c r="C129" s="20">
        <v>6.6097999999999999</v>
      </c>
      <c r="D129" s="22">
        <v>6.6097999999999999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:34" s="16" customFormat="1" x14ac:dyDescent="0.25">
      <c r="A130" s="20" t="s">
        <v>149</v>
      </c>
      <c r="B130" s="21">
        <v>1</v>
      </c>
      <c r="C130" s="20">
        <v>4.2355999999999998</v>
      </c>
      <c r="D130" s="22">
        <v>4.2355999999999998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:34" s="16" customFormat="1" x14ac:dyDescent="0.25">
      <c r="A131" s="20" t="s">
        <v>102</v>
      </c>
      <c r="B131" s="21">
        <v>1</v>
      </c>
      <c r="C131" s="20">
        <v>5.2994000000000003</v>
      </c>
      <c r="D131" s="22">
        <v>5.2994000000000003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:34" s="16" customFormat="1" x14ac:dyDescent="0.25">
      <c r="A132" s="20" t="s">
        <v>180</v>
      </c>
      <c r="B132" s="21">
        <v>1</v>
      </c>
      <c r="C132" s="20">
        <v>5.9964000000000004</v>
      </c>
      <c r="D132" s="22">
        <v>5.9964000000000004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:34" s="16" customFormat="1" x14ac:dyDescent="0.25">
      <c r="A133" s="20" t="s">
        <v>303</v>
      </c>
      <c r="B133" s="21">
        <v>1</v>
      </c>
      <c r="C133" s="20">
        <v>3.9683000000000002</v>
      </c>
      <c r="D133" s="22">
        <v>3.9683000000000002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:34" s="16" customFormat="1" x14ac:dyDescent="0.25">
      <c r="A134" s="20" t="s">
        <v>311</v>
      </c>
      <c r="B134" s="21">
        <v>1</v>
      </c>
      <c r="C134" s="20">
        <v>3.9683000000000002</v>
      </c>
      <c r="D134" s="22">
        <v>3.9683000000000002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:34" s="16" customFormat="1" x14ac:dyDescent="0.25">
      <c r="A135" s="20" t="s">
        <v>201</v>
      </c>
      <c r="B135" s="21">
        <v>1</v>
      </c>
      <c r="C135" s="20">
        <v>6.3686999999999996</v>
      </c>
      <c r="D135" s="22">
        <v>6.3686999999999996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:34" s="16" customFormat="1" x14ac:dyDescent="0.25">
      <c r="A136" s="20" t="s">
        <v>377</v>
      </c>
      <c r="B136" s="21">
        <v>1</v>
      </c>
      <c r="C136" s="20">
        <v>3.7654999999999998</v>
      </c>
      <c r="D136" s="22">
        <v>3.7654999999999998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:34" s="16" customFormat="1" x14ac:dyDescent="0.25">
      <c r="A137" s="20" t="s">
        <v>222</v>
      </c>
      <c r="B137" s="21">
        <v>1</v>
      </c>
      <c r="C137" s="20">
        <v>3.1429</v>
      </c>
      <c r="D137" s="22">
        <v>3.1429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:34" s="16" customFormat="1" x14ac:dyDescent="0.25">
      <c r="A138" s="20" t="s">
        <v>378</v>
      </c>
      <c r="B138" s="21">
        <v>1</v>
      </c>
      <c r="C138" s="20">
        <v>5.4565999999999999</v>
      </c>
      <c r="D138" s="22">
        <v>5.4565999999999999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:34" s="16" customFormat="1" x14ac:dyDescent="0.25">
      <c r="A139" s="20"/>
      <c r="B139" s="21"/>
      <c r="C139" s="29"/>
      <c r="D139" s="22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:34" x14ac:dyDescent="0.25">
      <c r="A140" s="18" t="s">
        <v>76</v>
      </c>
      <c r="B140" s="18">
        <f ca="1">SUM(B17:OFFSET(B140,-1,0))</f>
        <v>343</v>
      </c>
      <c r="C140" s="35"/>
      <c r="D140" s="30">
        <f ca="1">SUM(D17                : OFFSET(D140,-1,0))</f>
        <v>1326.9592000000005</v>
      </c>
    </row>
    <row r="141" spans="1:34" x14ac:dyDescent="0.25">
      <c r="A141" s="5"/>
      <c r="B141" s="10"/>
      <c r="C141" s="33"/>
      <c r="D141" s="28"/>
    </row>
    <row r="142" spans="1:34" x14ac:dyDescent="0.25">
      <c r="A142" s="13" t="s">
        <v>80</v>
      </c>
      <c r="B142" s="11"/>
      <c r="C142" s="33"/>
      <c r="D142" s="28"/>
    </row>
    <row r="143" spans="1:34" x14ac:dyDescent="0.25">
      <c r="A143" s="14" t="s">
        <v>67</v>
      </c>
      <c r="B143" s="11" t="s">
        <v>54</v>
      </c>
      <c r="C143" s="33"/>
      <c r="D143" s="28"/>
    </row>
    <row r="144" spans="1:34" x14ac:dyDescent="0.25">
      <c r="A144" s="14" t="s">
        <v>68</v>
      </c>
      <c r="B144" s="11" t="s">
        <v>69</v>
      </c>
      <c r="C144" s="33"/>
      <c r="D144" s="28"/>
    </row>
    <row r="145" spans="1:4" x14ac:dyDescent="0.25">
      <c r="A145" s="14" t="s">
        <v>70</v>
      </c>
      <c r="B145" s="12">
        <v>13780643</v>
      </c>
      <c r="C145" s="33"/>
      <c r="D145" s="28"/>
    </row>
    <row r="146" spans="1:4" x14ac:dyDescent="0.25">
      <c r="A146" s="5"/>
      <c r="B146" s="10"/>
      <c r="C146" s="33"/>
      <c r="D146" s="28"/>
    </row>
    <row r="147" spans="1:4" x14ac:dyDescent="0.25">
      <c r="A147" s="5"/>
      <c r="B147" s="10"/>
      <c r="C147" s="33"/>
      <c r="D147" s="28"/>
    </row>
    <row r="148" spans="1:4" x14ac:dyDescent="0.25">
      <c r="A148" s="51" t="s">
        <v>71</v>
      </c>
      <c r="B148" s="52"/>
      <c r="C148" s="52"/>
      <c r="D148" s="53"/>
    </row>
    <row r="149" spans="1:4" x14ac:dyDescent="0.25">
      <c r="A149" s="54" t="s">
        <v>72</v>
      </c>
      <c r="B149" s="55"/>
      <c r="C149" s="55"/>
      <c r="D149" s="56"/>
    </row>
  </sheetData>
  <mergeCells count="3">
    <mergeCell ref="A148:D148"/>
    <mergeCell ref="A149:D149"/>
    <mergeCell ref="C1:D1"/>
  </mergeCells>
  <dataValidations count="1">
    <dataValidation showInputMessage="1" showErrorMessage="1" sqref="D3" xr:uid="{A60F3BA7-7F35-489B-A789-B4A34DEED3FD}"/>
  </dataValidations>
  <pageMargins left="0" right="0" top="0" bottom="0" header="0" footer="0"/>
  <pageSetup paperSize="9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306B-F60A-423E-BD40-40E349CA228F}">
  <sheetPr codeName="Sheet4"/>
  <dimension ref="A1:A4"/>
  <sheetViews>
    <sheetView workbookViewId="0">
      <selection activeCell="A3" sqref="A3:A4"/>
    </sheetView>
  </sheetViews>
  <sheetFormatPr defaultRowHeight="15" x14ac:dyDescent="0.25"/>
  <cols>
    <col min="1" max="1" width="17.85546875" bestFit="1" customWidth="1"/>
  </cols>
  <sheetData>
    <row r="1" spans="1:1" x14ac:dyDescent="0.25">
      <c r="A1" s="36" t="s">
        <v>87</v>
      </c>
    </row>
    <row r="3" spans="1:1" x14ac:dyDescent="0.25">
      <c r="A3" s="37" t="s">
        <v>85</v>
      </c>
    </row>
    <row r="4" spans="1:1" x14ac:dyDescent="0.25">
      <c r="A4" s="37" t="s">
        <v>86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6F5C2F0-32D2-4198-8026-ED99AF997405}">
  <ds:schemaRefs/>
</ds:datastoreItem>
</file>

<file path=customXml/itemProps2.xml><?xml version="1.0" encoding="utf-8"?>
<ds:datastoreItem xmlns:ds="http://schemas.openxmlformats.org/officeDocument/2006/customXml" ds:itemID="{727D71D2-E107-463E-A2EA-9D41D5C21DE9}">
  <ds:schemaRefs/>
</ds:datastoreItem>
</file>

<file path=customXml/itemProps3.xml><?xml version="1.0" encoding="utf-8"?>
<ds:datastoreItem xmlns:ds="http://schemas.openxmlformats.org/officeDocument/2006/customXml" ds:itemID="{4558822E-0225-4500-8754-F7526008AD31}">
  <ds:schemaRefs/>
</ds:datastoreItem>
</file>

<file path=customXml/itemProps4.xml><?xml version="1.0" encoding="utf-8"?>
<ds:datastoreItem xmlns:ds="http://schemas.openxmlformats.org/officeDocument/2006/customXml" ds:itemID="{04694135-9906-4860-B7B7-D34137BDF6B8}">
  <ds:schemaRefs/>
</ds:datastoreItem>
</file>

<file path=customXml/itemProps5.xml><?xml version="1.0" encoding="utf-8"?>
<ds:datastoreItem xmlns:ds="http://schemas.openxmlformats.org/officeDocument/2006/customXml" ds:itemID="{8879E16F-375F-496C-9731-CD25F8CC7B85}">
  <ds:schemaRefs/>
</ds:datastoreItem>
</file>

<file path=customXml/itemProps6.xml><?xml version="1.0" encoding="utf-8"?>
<ds:datastoreItem xmlns:ds="http://schemas.openxmlformats.org/officeDocument/2006/customXml" ds:itemID="{55956FE4-9AB4-4C4B-BF08-079384A94EF2}">
  <ds:schemaRefs/>
</ds:datastoreItem>
</file>

<file path=customXml/itemProps7.xml><?xml version="1.0" encoding="utf-8"?>
<ds:datastoreItem xmlns:ds="http://schemas.openxmlformats.org/officeDocument/2006/customXml" ds:itemID="{B8D3A192-7D36-4E1E-BA97-E2C3647B0302}">
  <ds:schemaRefs/>
</ds:datastoreItem>
</file>

<file path=customXml/itemProps8.xml><?xml version="1.0" encoding="utf-8"?>
<ds:datastoreItem xmlns:ds="http://schemas.openxmlformats.org/officeDocument/2006/customXml" ds:itemID="{EAAD0FBC-0270-4174-BAC5-DDE3C853AFE7}">
  <ds:schemaRefs/>
</ds:datastoreItem>
</file>

<file path=customXml/itemProps9.xml><?xml version="1.0" encoding="utf-8"?>
<ds:datastoreItem xmlns:ds="http://schemas.openxmlformats.org/officeDocument/2006/customXml" ds:itemID="{31D05A2A-2F8B-4C2B-A1E9-5D669D682F6B}">
  <ds:schemaRefs/>
</ds:datastoreItem>
</file>

<file path=customXml/itemProps10.xml><?xml version="1.0" encoding="utf-8"?>
<ds:datastoreItem xmlns:ds="http://schemas.openxmlformats.org/officeDocument/2006/customXml" ds:itemID="{FCB54562-A475-4684-8E3D-3DF2B4490CFE}">
  <ds:schemaRefs/>
</ds:datastoreItem>
</file>

<file path=customXml/itemProps11.xml><?xml version="1.0" encoding="utf-8"?>
<ds:datastoreItem xmlns:ds="http://schemas.openxmlformats.org/officeDocument/2006/customXml" ds:itemID="{42F29391-CD7E-4938-9B7B-895CB9F8A7BA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7D899792-0DE2-486C-96CA-71E9221B1368}">
  <ds:schemaRefs/>
</ds:datastoreItem>
</file>

<file path=customXml/itemProps13.xml><?xml version="1.0" encoding="utf-8"?>
<ds:datastoreItem xmlns:ds="http://schemas.openxmlformats.org/officeDocument/2006/customXml" ds:itemID="{31525163-1A87-4988-91CF-A4740E045D58}">
  <ds:schemaRefs/>
</ds:datastoreItem>
</file>

<file path=customXml/itemProps14.xml><?xml version="1.0" encoding="utf-8"?>
<ds:datastoreItem xmlns:ds="http://schemas.openxmlformats.org/officeDocument/2006/customXml" ds:itemID="{330D6FE0-BFF8-4088-8409-FEEF9C7B128D}">
  <ds:schemaRefs/>
</ds:datastoreItem>
</file>

<file path=customXml/itemProps15.xml><?xml version="1.0" encoding="utf-8"?>
<ds:datastoreItem xmlns:ds="http://schemas.openxmlformats.org/officeDocument/2006/customXml" ds:itemID="{39D6C0E2-E311-46FA-852D-56EF6BB0F068}">
  <ds:schemaRefs/>
</ds:datastoreItem>
</file>

<file path=customXml/itemProps16.xml><?xml version="1.0" encoding="utf-8"?>
<ds:datastoreItem xmlns:ds="http://schemas.openxmlformats.org/officeDocument/2006/customXml" ds:itemID="{E24E291A-C945-4F03-8F19-D83BD82129F8}">
  <ds:schemaRefs/>
</ds:datastoreItem>
</file>

<file path=customXml/itemProps17.xml><?xml version="1.0" encoding="utf-8"?>
<ds:datastoreItem xmlns:ds="http://schemas.openxmlformats.org/officeDocument/2006/customXml" ds:itemID="{70D51378-673F-4394-A960-485D4FD06088}">
  <ds:schemaRefs/>
</ds:datastoreItem>
</file>

<file path=customXml/itemProps18.xml><?xml version="1.0" encoding="utf-8"?>
<ds:datastoreItem xmlns:ds="http://schemas.openxmlformats.org/officeDocument/2006/customXml" ds:itemID="{6CDE6803-D844-4002-84CF-E04A5A5825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PERSONAL DATA</vt:lpstr>
      <vt:lpstr>Invoice</vt:lpstr>
      <vt:lpstr>Developer</vt:lpstr>
      <vt:lpstr>invItems</vt:lpstr>
      <vt:lpstr>invoiceNumber</vt:lpstr>
      <vt:lpstr>invSub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cp:lastPrinted>2022-04-06T10:33:01Z</cp:lastPrinted>
  <dcterms:created xsi:type="dcterms:W3CDTF">2021-11-17T16:34:02Z</dcterms:created>
  <dcterms:modified xsi:type="dcterms:W3CDTF">2022-04-06T11:15:39Z</dcterms:modified>
</cp:coreProperties>
</file>