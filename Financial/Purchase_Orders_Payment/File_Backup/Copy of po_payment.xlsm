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AA0D9A9B-F47C-4771-81B3-6CE74CF7DC2C}" xr6:coauthVersionLast="47" xr6:coauthVersionMax="47" xr10:uidLastSave="{00000000-0000-0000-0000-000000000000}"/>
  <bookViews>
    <workbookView xWindow="-120" yWindow="-120" windowWidth="29040" windowHeight="15840" firstSheet="1" activeTab="2" xr2:uid="{FB177EF9-19CC-4E6E-95F5-F4FCC6921A71}"/>
  </bookViews>
  <sheets>
    <sheet name="Developer" sheetId="3" state="hidden" r:id="rId1"/>
    <sheet name="Payment Tracker" sheetId="1" r:id="rId2"/>
    <sheet name="Master" sheetId="2" r:id="rId3"/>
    <sheet name="Sample" sheetId="4" r:id="rId4"/>
  </sheets>
  <definedNames>
    <definedName name="ExternalData_2" localSheetId="2" hidden="1">Master!$K$3:$K$26</definedName>
    <definedName name="path">Developer!$A$4</definedName>
  </definedNames>
  <calcPr calcId="191029"/>
  <pivotCaches>
    <pivotCache cacheId="5" r:id="rId5"/>
    <pivotCache cacheId="8" r:id="rId6"/>
    <pivotCache cacheId="11" r:id="rId7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Summary_69e6865a-07be-4363-9fb6-dda4473d4fde" name="tbSummary" connection="Query - tbSummary"/>
          <x15:modelTable id="kanifa_06de2205-d159-4ee3-abc2-7dd355d51de8" name="kanifa" connection="Query - kanifa"/>
          <x15:modelTable id="Sample_19bdf23f-dff4-4f25-a799-178adc32386e" name="Sample" connection="Query - Sampl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" l="1"/>
  <c r="B4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CA1BDC1-DFAB-4484-86DF-1F278197187D}" keepAlive="1" name="ModelConnection_ExternalData_2" description="Data Model" type="5" refreshedVersion="7" minRefreshableVersion="5" saveData="1">
    <dbPr connection="Data Model Connection" command="kanifa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D3285C5-0D6E-4C73-9E31-42B191FE2460}" name="Query - kanifa" description="Connection to the 'kanifa' query in the workbook." type="100" refreshedVersion="7" minRefreshableVersion="5">
    <extLst>
      <ext xmlns:x15="http://schemas.microsoft.com/office/spreadsheetml/2010/11/main" uri="{DE250136-89BD-433C-8126-D09CA5730AF9}">
        <x15:connection id="91277bae-0a88-4f13-a0ba-1e2137a2c09e"/>
      </ext>
    </extLst>
  </connection>
  <connection id="3" xr16:uid="{132F1DE4-A5EB-422C-90C1-B895E575ED86}" name="Query - Sample" description="Connection to the 'Sample' query in the workbook." type="100" refreshedVersion="7" minRefreshableVersion="5">
    <extLst>
      <ext xmlns:x15="http://schemas.microsoft.com/office/spreadsheetml/2010/11/main" uri="{DE250136-89BD-433C-8126-D09CA5730AF9}">
        <x15:connection id="e65adda0-ad6d-46e3-82d3-4e99b741de1c"/>
      </ext>
    </extLst>
  </connection>
  <connection id="4" xr16:uid="{1D6DB08C-1CE8-411C-A3D7-79F8EEB5947D}" keepAlive="1" name="Query - Table2" description="Connection to the 'Table2' query in the workbook." type="5" refreshedVersion="7" background="1" saveData="1">
    <dbPr connection="Provider=Microsoft.Mashup.OleDb.1;Data Source=$Workbook$;Location=Table2;Extended Properties=&quot;&quot;" command="SELECT * FROM [Table2]"/>
  </connection>
  <connection id="5" xr16:uid="{F20F8B58-9DB7-45A0-B512-F36D669331CB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8c40f941-b104-4797-890f-735010e412c7"/>
      </ext>
    </extLst>
  </connection>
  <connection id="6" xr16:uid="{D69996A5-3FE0-41FC-A891-C26CD2C3D5B0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<sst xmlns="http://schemas.openxmlformats.org/spreadsheetml/2006/main" count="109" uniqueCount="57">
  <si>
    <t>PURCHASE ORDER</t>
  </si>
  <si>
    <t>PAYMENT</t>
  </si>
  <si>
    <t>INVOICE</t>
  </si>
  <si>
    <t>PO210921-21/001CHI</t>
  </si>
  <si>
    <t>PO210921-21/009CHR</t>
  </si>
  <si>
    <t>PO210927-21/001SAR</t>
  </si>
  <si>
    <t>PO211004-21/001TOP</t>
  </si>
  <si>
    <t>PO211007-21/015PAV</t>
  </si>
  <si>
    <t>PO211015-21/010CHR</t>
  </si>
  <si>
    <t>PO211015-21/014GS</t>
  </si>
  <si>
    <t>PO211027-21/004FAN</t>
  </si>
  <si>
    <t>PO211105-21/017PAV</t>
  </si>
  <si>
    <t>PO211111-21/011CHR</t>
  </si>
  <si>
    <t>PO211111-21/016GS</t>
  </si>
  <si>
    <t>PO211111-21/018PAV</t>
  </si>
  <si>
    <t>PO211210-21/002CSJC</t>
  </si>
  <si>
    <t>PO211210-21/002MS</t>
  </si>
  <si>
    <t>PO211210-21/003BP</t>
  </si>
  <si>
    <t>PO211210-21/005FAN</t>
  </si>
  <si>
    <t>PO211210-21/007MAR</t>
  </si>
  <si>
    <t>PO211210-21/012CHR</t>
  </si>
  <si>
    <t>PO211210-21/014BIA</t>
  </si>
  <si>
    <t>PO211210-21/017GS</t>
  </si>
  <si>
    <t>PO211210-21/019PAV</t>
  </si>
  <si>
    <t>CURRENT PURCHASE ORDERS IN OPEN</t>
  </si>
  <si>
    <t>PURCHASE ORDERS PAID</t>
  </si>
  <si>
    <t>PO210729-21/002CAV</t>
  </si>
  <si>
    <t>Purchase Order</t>
  </si>
  <si>
    <t>filename</t>
  </si>
  <si>
    <t>Path</t>
  </si>
  <si>
    <t>DEVELOPER AREA</t>
  </si>
  <si>
    <t>Payment Date</t>
  </si>
  <si>
    <t>Delivery Date</t>
  </si>
  <si>
    <t>Currency</t>
  </si>
  <si>
    <t>WAYBILL</t>
  </si>
  <si>
    <t>Courier</t>
  </si>
  <si>
    <t>Sum of PAYMENT</t>
  </si>
  <si>
    <t>Doc 5</t>
  </si>
  <si>
    <t>EUR</t>
  </si>
  <si>
    <t>(blank)</t>
  </si>
  <si>
    <t>NKT111221UK</t>
  </si>
  <si>
    <t>USD</t>
  </si>
  <si>
    <t>Doc1</t>
  </si>
  <si>
    <t>8452060024</t>
  </si>
  <si>
    <t>DHL</t>
  </si>
  <si>
    <t>4AS</t>
  </si>
  <si>
    <t>28/09/2021</t>
  </si>
  <si>
    <t>fedEx</t>
  </si>
  <si>
    <t>PO220106-22/001BIA</t>
  </si>
  <si>
    <t>FS 13/2022</t>
  </si>
  <si>
    <t>1872098071</t>
  </si>
  <si>
    <t>17/01/2022</t>
  </si>
  <si>
    <t>FS 12/2022</t>
  </si>
  <si>
    <t>2.88557E+11</t>
  </si>
  <si>
    <t>7072512436</t>
  </si>
  <si>
    <t>SAMPLE</t>
  </si>
  <si>
    <t>frg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</si>
</sst>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£&quot;#,##0.00"/>
    <numFmt numFmtId="165" formatCode="&quot;£&quot;#,##0.00;\-&quot;£&quot;#,##0.00;&quot;£&quot;#,##0.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center"/>
    </xf>
    <xf numFmtId="49" fontId="0" fillId="0" borderId="0" xfId="0" applyNumberFormat="1"/>
    <xf numFmtId="49" fontId="2" fillId="3" borderId="0" xfId="0" applyNumberFormat="1" applyFont="1" applyFill="1" applyAlignment="1">
      <alignment horizontal="center" vertical="center"/>
    </xf>
    <xf numFmtId="0" fontId="3" fillId="5" borderId="0" xfId="0" applyFont="1" applyFill="1"/>
    <xf numFmtId="14" fontId="0" fillId="0" borderId="0" xfId="0" applyNumberFormat="1" applyAlignment="1">
      <alignment horizontal="center"/>
    </xf>
    <xf numFmtId="14" fontId="0" fillId="0" borderId="0" xfId="0" applyNumberFormat="1" applyAlignment="1">
      <alignment horizontal="left"/>
    </xf>
    <xf numFmtId="0" fontId="3" fillId="0" borderId="0" xfId="0" applyFont="1"/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" fontId="0" fillId="0" borderId="0" xfId="0" applyNumberFormat="1" applyAlignment="1">
      <alignment horizontal="right"/>
    </xf>
    <xf numFmtId="2" fontId="0" fillId="0" borderId="0" xfId="0" applyNumberFormat="1"/>
    <xf numFmtId="0" fontId="0" fillId="4" borderId="0" xfId="0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65" fontId="3" fillId="0" borderId="0" xfId="0" applyNumberFormat="1" applyFont="1"/>
  </cellXfs>
  <cellStyles count="1">
    <cellStyle name="Normal" xfId="0" builtinId="0"/>
  </cellStyles>
  <dxfs count="17">
    <dxf>
      <numFmt numFmtId="0" formatCode="General"/>
    </dxf>
    <dxf>
      <numFmt numFmtId="2" formatCode="0.00"/>
    </dxf>
    <dxf>
      <numFmt numFmtId="19" formatCode="dd/mm/yyyy"/>
      <alignment horizontal="center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30" formatCode="@"/>
    </dxf>
    <dxf>
      <numFmt numFmtId="0" formatCode="General"/>
      <alignment horizontal="right" vertical="bottom" textRotation="0" wrapText="0" indent="0" justifyLastLine="0" shrinkToFit="0" readingOrder="0"/>
    </dxf>
    <dxf>
      <numFmt numFmtId="30" formatCode="@"/>
    </dxf>
    <dxf>
      <numFmt numFmtId="164" formatCode="&quot;£&quot;#,##0.00"/>
    </dxf>
    <dxf>
      <numFmt numFmtId="30" formatCode="@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theme="7" tint="0.79998168889431442"/>
        </patternFill>
      </fill>
    </dxf>
    <dxf>
      <fill>
        <patternFill patternType="solid"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57150</xdr:rowOff>
        </xdr:from>
        <xdr:to>
          <xdr:col>10</xdr:col>
          <xdr:colOff>28575</xdr:colOff>
          <xdr:row>3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3</xdr:row>
      <xdr:rowOff>38100</xdr:rowOff>
    </xdr:from>
    <xdr:to>
      <xdr:col>12</xdr:col>
      <xdr:colOff>1038225</xdr:colOff>
      <xdr:row>8</xdr:row>
      <xdr:rowOff>19049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2534900" y="609600"/>
          <a:ext cx="2228850" cy="933449"/>
          <a:chOff x="8067675" y="590551"/>
          <a:chExt cx="2971800" cy="523874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THIS TABLE</a:t>
            </a:r>
          </a:p>
          <a:p>
            <a:pPr algn="l"/>
            <a:r>
              <a:rPr lang="en-GB" sz="1100" baseline="0"/>
              <a:t>TO ADD A NEW PURCHASE ORDER.</a:t>
            </a:r>
          </a:p>
        </xdr:txBody>
      </xdr:sp>
      <xdr:sp macro="" textlink="">
        <xdr:nvSpPr>
          <xdr:cNvPr id="3" name="Arrow: Left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8</xdr:col>
      <xdr:colOff>38101</xdr:colOff>
      <xdr:row>0</xdr:row>
      <xdr:rowOff>0</xdr:rowOff>
    </xdr:from>
    <xdr:to>
      <xdr:col>9</xdr:col>
      <xdr:colOff>895350</xdr:colOff>
      <xdr:row>5</xdr:row>
      <xdr:rowOff>123824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8696326" y="0"/>
          <a:ext cx="2019299" cy="1076324"/>
          <a:chOff x="8067675" y="476251"/>
          <a:chExt cx="2971801" cy="676274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DOUBLE-CLICK ON ANY </a:t>
            </a:r>
            <a:r>
              <a:rPr lang="en-GB" sz="1100" baseline="0">
                <a:solidFill>
                  <a:srgbClr val="FFFF00"/>
                </a:solidFill>
              </a:rPr>
              <a:t>PURCHASE ORDER NUMBER </a:t>
            </a:r>
            <a:r>
              <a:rPr lang="en-GB" sz="1100" baseline="0"/>
              <a:t>ON THIS TABLE</a:t>
            </a:r>
          </a:p>
          <a:p>
            <a:pPr algn="l"/>
            <a:r>
              <a:rPr lang="en-GB" sz="1100" baseline="0"/>
              <a:t>TO EDIT OR DELETE AN ENTRY.</a:t>
            </a:r>
          </a:p>
        </xdr:txBody>
      </xdr:sp>
      <xdr:sp macro="" textlink="">
        <xdr:nvSpPr>
          <xdr:cNvPr id="7" name="Arrow: Lef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8067675" y="704850"/>
            <a:ext cx="428625" cy="314325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581025</xdr:colOff>
          <xdr:row>9</xdr:row>
          <xdr:rowOff>19050</xdr:rowOff>
        </xdr:from>
        <xdr:to>
          <xdr:col>12</xdr:col>
          <xdr:colOff>942975</xdr:colOff>
          <xdr:row>13</xdr:row>
          <xdr:rowOff>95250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459582</xdr:colOff>
      <xdr:row>14</xdr:row>
      <xdr:rowOff>11843</xdr:rowOff>
    </xdr:from>
    <xdr:to>
      <xdr:col>12</xdr:col>
      <xdr:colOff>1009651</xdr:colOff>
      <xdr:row>19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12813507" y="2678843"/>
          <a:ext cx="1921669" cy="1083532"/>
          <a:chOff x="8477250" y="444827"/>
          <a:chExt cx="2562225" cy="669598"/>
        </a:xfrm>
      </xdr:grpSpPr>
      <xdr:sp macro="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8477250" y="590551"/>
            <a:ext cx="2562225" cy="523874"/>
          </a:xfrm>
          <a:prstGeom prst="roundRect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Click Here if you uploaded a new report.</a:t>
            </a:r>
          </a:p>
        </xdr:txBody>
      </xdr:sp>
      <xdr:sp macro="" textlink="">
        <xdr:nvSpPr>
          <xdr:cNvPr id="11" name="Arrow: Left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 rot="5400000">
            <a:off x="9643156" y="205067"/>
            <a:ext cx="198660" cy="678180"/>
          </a:xfrm>
          <a:prstGeom prst="leftArrow">
            <a:avLst/>
          </a:prstGeom>
        </xdr:spPr>
        <xdr:style>
          <a:lnRef idx="3">
            <a:schemeClr val="lt1"/>
          </a:lnRef>
          <a:fillRef idx="1">
            <a:schemeClr val="accent6"/>
          </a:fillRef>
          <a:effectRef idx="1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361950</xdr:colOff>
          <xdr:row>6</xdr:row>
          <xdr:rowOff>180975</xdr:rowOff>
        </xdr:from>
        <xdr:to>
          <xdr:col>9</xdr:col>
          <xdr:colOff>876300</xdr:colOff>
          <xdr:row>12</xdr:row>
          <xdr:rowOff>9525</xdr:rowOff>
        </xdr:to>
        <xdr:sp macro="" textlink="">
          <xdr:nvSpPr>
            <xdr:cNvPr id="1026" name="cbBackU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202101</xdr:colOff>
      <xdr:row>11</xdr:row>
      <xdr:rowOff>182587</xdr:rowOff>
    </xdr:from>
    <xdr:to>
      <xdr:col>9</xdr:col>
      <xdr:colOff>781048</xdr:colOff>
      <xdr:row>19</xdr:row>
      <xdr:rowOff>28574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8860326" y="2278087"/>
          <a:ext cx="1740997" cy="1369987"/>
          <a:chOff x="8477251" y="291737"/>
          <a:chExt cx="2562225" cy="860788"/>
        </a:xfrm>
      </xdr:grpSpPr>
      <xdr:sp macro="" textlink="">
        <xdr:nvSpPr>
          <xdr:cNvPr id="14" name="Rectangle: Rounded Corner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8477251" y="476251"/>
            <a:ext cx="2562225" cy="676274"/>
          </a:xfrm>
          <a:prstGeom prst="roundRect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1100" baseline="0"/>
              <a:t>ONE YOU ENTERED THE PO, BACKUP YOUR DATA IN THE TXT FILE BY CLICKING THIS BUTTON.</a:t>
            </a:r>
          </a:p>
          <a:p>
            <a:pPr algn="l"/>
            <a:endParaRPr lang="en-GB" sz="1100" baseline="0"/>
          </a:p>
        </xdr:txBody>
      </xdr:sp>
      <xdr:sp macro="" textlink="">
        <xdr:nvSpPr>
          <xdr:cNvPr id="15" name="Arrow: Left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/>
        </xdr:nvSpPr>
        <xdr:spPr>
          <a:xfrm rot="5400000">
            <a:off x="9746482" y="15116"/>
            <a:ext cx="182995" cy="736238"/>
          </a:xfrm>
          <a:prstGeom prst="leftArrow">
            <a:avLst/>
          </a:prstGeom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4967013891" backgroundQuery="1" createdVersion="7" refreshedVersion="7" minRefreshableVersion="3" recordCount="0" supportSubquery="1" supportAdvancedDrill="1" xr:uid="{E75F5EE2-A0A4-43AE-8503-6C0D8866C59D}">
  <cacheSource type="external" connectionId="6"/>
  <cacheFields count="2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Measures].[Sum of PAYMENT]" caption="Sum of PAYMENT" numFmtId="0" hierarchy="21" level="32767"/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4968055553" backgroundQuery="1" createdVersion="7" refreshedVersion="7" minRefreshableVersion="3" recordCount="0" supportSubquery="1" supportAdvancedDrill="1" xr:uid="{CA84CF11-209A-415E-95B3-4309F73EBADC}">
  <cacheSource type="external" connectionId="6"/>
  <cacheFields count="4">
    <cacheField name="[tbSummary].[PURCHASE ORDER].[PURCHASE ORDER]" caption="PURCHASE ORDER" numFmtId="0" hierarchy="9" level="1">
      <sharedItems count="5">
        <s v="PO210729-21/002CAV"/>
        <s v="PO210927-21/001SAR"/>
        <s v="PO211210-21/002CSJC"/>
        <s v="PO211210-21/014BIA"/>
        <s v="PO220106-22/001BIA"/>
      </sharedItems>
    </cacheField>
    <cacheField name="[tbSummary].[PAYMENT].[PAYMENT]" caption="PAYMENT" numFmtId="0" hierarchy="10" level="1">
      <sharedItems containsSemiMixedTypes="0" containsString="0" containsNumber="1" minValue="51" maxValue="5669.32" count="6">
        <n v="3256.31"/>
        <n v="1779.84"/>
        <n v="4149.7"/>
        <n v="1805.72"/>
        <n v="5669.32"/>
        <n v="51"/>
      </sharedItems>
    </cacheField>
    <cacheField name="[tbSummary].[INVOICE].[INVOICE]" caption="INVOICE" numFmtId="0" hierarchy="11" level="1">
      <sharedItems count="6">
        <s v="Doc 5"/>
        <s v="4AS"/>
        <s v="Doc1"/>
        <s v="NKT111221UK"/>
        <s v="FS 12/2022"/>
        <s v="FS 13/2022"/>
      </sharedItems>
    </cacheField>
    <cacheField name="[tbSummary].[WAYBILL].[WAYBILL]" caption="WAYBILL" numFmtId="0" hierarchy="12" level="1">
      <sharedItems containsBlank="1" count="5">
        <s v="2.88557E+11"/>
        <m/>
        <s v="8452060024"/>
        <s v="7072512436"/>
        <s v="1872098071"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0" memberValueDatatype="130" unbalanced="0"/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0" memberValueDatatype="130" unbalanced="0"/>
    <cacheHierarchy uniqueName="[Sample].[WAYBILL]" caption="WAYBILL" attribute="1" defaultMemberUniqueName="[Sample].[WAYBILL].[All]" allUniqueName="[Sample].[WAYBILL].[All]" dimensionUniqueName="[Sample]" displayFolder="" count="0" memberValueDatatype="130" unbalanced="0"/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]" caption="PAYMENT" attribute="1" defaultMemberUniqueName="[tbSummary].[PAYMENT].[All]" allUniqueName="[tbSummary].[PAYMENT].[All]" dimensionUniqueName="[tbSummary]" displayFolder="" count="2" memberValueDatatype="5" unbalanced="0">
      <fieldsUsage count="2">
        <fieldUsage x="-1"/>
        <fieldUsage x="1"/>
      </fieldsUsage>
    </cacheHierarchy>
    <cacheHierarchy uniqueName="[tbSummary].[INVOICE]" caption="INVOICE" attribute="1" defaultMemberUniqueName="[tbSummary].[INVOICE].[All]" allUniqueName="[tbSummary].[INVOICE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].[WAYBILL]" caption="WAYBILL" attribute="1" defaultMemberUniqueName="[tbSummary].[WAYBILL].[All]" allUniqueName="[tbSummary].[WAYBILL].[All]" dimensionUniqueName="[tbSummary]" displayFolder="" count="2" memberValueDatatype="130" unbalanced="0">
      <fieldsUsage count="2">
        <fieldUsage x="-1"/>
        <fieldUsage x="3"/>
      </fieldsUsage>
    </cacheHierarchy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8" refreshedDate="44586.504968865738" backgroundQuery="1" createdVersion="7" refreshedVersion="7" minRefreshableVersion="3" recordCount="0" supportSubquery="1" supportAdvancedDrill="1" xr:uid="{5FBE7C08-C260-4F89-BC85-AD3A33DB1972}">
  <cacheSource type="external" connectionId="6"/>
  <cacheFields count="4">
    <cacheField name="[Sample].[SAMPLE].[SAMPLE]" caption="SAMPLE" numFmtId="0" hierarchy="1" level="1">
      <sharedItems count="1">
        <s v="frg"/>
      </sharedItems>
    </cacheField>
    <cacheField name="[Sample].[INVOICE].[INVOICE]" caption="INVOICE" numFmtId="0" hierarchy="3" level="1">
      <sharedItems containsNonDate="0" containsString="0" containsBlank="1" count="1">
        <m/>
      </sharedItems>
    </cacheField>
    <cacheField name="[Measures].[Sum of PAYMENT 2]" caption="Sum of PAYMENT 2" numFmtId="0" hierarchy="23" level="32767"/>
    <cacheField name="[Sample].[WAYBILL].[WAYBILL]" caption="WAYBILL" numFmtId="0" hierarchy="4" level="1">
      <sharedItems containsNonDate="0" containsString="0" containsBlank="1" count="1">
        <m/>
      </sharedItems>
    </cacheField>
  </cacheFields>
  <cacheHierarchies count="24">
    <cacheHierarchy uniqueName="[kanifa].[Purchase Order]" caption="Purchase Order" attribute="1" defaultMemberUniqueName="[kanifa].[Purchase Order].[All]" allUniqueName="[kanifa].[Purchase Order].[All]" dimensionUniqueName="[kanifa]" displayFolder="" count="0" memberValueDatatype="130" unbalanced="0"/>
    <cacheHierarchy uniqueName="[Sample].[SAMPLE]" caption="SAMPLE" attribute="1" defaultMemberUniqueName="[Sample].[SAMPLE].[All]" allUniqueName="[Sample].[SAMPLE].[All]" dimensionUniqueName="[Sample]" displayFolder="" count="2" memberValueDatatype="130" unbalanced="0">
      <fieldsUsage count="2">
        <fieldUsage x="-1"/>
        <fieldUsage x="0"/>
      </fieldsUsage>
    </cacheHierarchy>
    <cacheHierarchy uniqueName="[Sample].[PAYMENT]" caption="PAYMENT" attribute="1" defaultMemberUniqueName="[Sample].[PAYMENT].[All]" allUniqueName="[Sample].[PAYMENT].[All]" dimensionUniqueName="[Sample]" displayFolder="" count="0" memberValueDatatype="5" unbalanced="0"/>
    <cacheHierarchy uniqueName="[Sample].[INVOICE]" caption="INVOICE" attribute="1" defaultMemberUniqueName="[Sample].[INVOICE].[All]" allUniqueName="[Sample].[INVOICE].[All]" dimensionUniqueName="[Sample]" displayFolder="" count="2" memberValueDatatype="130" unbalanced="0">
      <fieldsUsage count="2">
        <fieldUsage x="-1"/>
        <fieldUsage x="1"/>
      </fieldsUsage>
    </cacheHierarchy>
    <cacheHierarchy uniqueName="[Sample].[WAYBILL]" caption="WAYBILL" attribute="1" defaultMemberUniqueName="[Sample].[WAYBILL].[All]" allUniqueName="[Sample].[WAYBILL].[All]" dimensionUniqueName="[Sample]" displayFolder="" count="2" memberValueDatatype="130" unbalanced="0">
      <fieldsUsage count="2">
        <fieldUsage x="-1"/>
        <fieldUsage x="3"/>
      </fieldsUsage>
    </cacheHierarchy>
    <cacheHierarchy uniqueName="[Sample].[Courier]" caption="Courier" attribute="1" defaultMemberUniqueName="[Sample].[Courier].[All]" allUniqueName="[Sample].[Courier].[All]" dimensionUniqueName="[Sample]" displayFolder="" count="0" memberValueDatatype="130" unbalanced="0"/>
    <cacheHierarchy uniqueName="[Sample].[Payment Date]" caption="Payment Date" attribute="1" time="1" defaultMemberUniqueName="[Sample].[Payment Date].[All]" allUniqueName="[Sample].[Payment Date].[All]" dimensionUniqueName="[Sample]" displayFolder="" count="0" memberValueDatatype="7" unbalanced="0"/>
    <cacheHierarchy uniqueName="[Sample].[Delivery Date]" caption="Delivery Date" attribute="1" time="1" defaultMemberUniqueName="[Sample].[Delivery Date].[All]" allUniqueName="[Sample].[Delivery Date].[All]" dimensionUniqueName="[Sample]" displayFolder="" count="0" memberValueDatatype="7" unbalanced="0"/>
    <cacheHierarchy uniqueName="[Sample].[Currency]" caption="Currency" attribute="1" defaultMemberUniqueName="[Sample].[Currency].[All]" allUniqueName="[Sample].[Currency].[All]" dimensionUniqueName="[Sample]" displayFolder="" count="0" memberValueDatatype="130" unbalanced="0"/>
    <cacheHierarchy uniqueName="[tbSummary].[PURCHASE ORDER]" caption="PURCHASE ORDER" attribute="1" defaultMemberUniqueName="[tbSummary].[PURCHASE ORDER].[All]" allUniqueName="[tbSummary].[PURCHASE ORDER].[All]" dimensionUniqueName="[tbSummary]" displayFolder="" count="0" memberValueDatatype="130" unbalanced="0"/>
    <cacheHierarchy uniqueName="[tbSummary].[PAYMENT]" caption="PAYMENT" attribute="1" defaultMemberUniqueName="[tbSummary].[PAYMENT].[All]" allUniqueName="[tbSummary].[PAYME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130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Payment Date]" caption="Payment Date" attribute="1" time="1" defaultMemberUniqueName="[tbSummary].[Payment Date].[All]" allUniqueName="[tbSummary].[Payment Date].[All]" dimensionUniqueName="[tbSummary]" displayFolder="" count="0" memberValueDatatype="7" unbalanced="0"/>
    <cacheHierarchy uniqueName="[tbSummary].[Delivery Date]" caption="Delivery Date" attribute="1" time="1" defaultMemberUniqueName="[tbSummary].[Delivery Date].[All]" allUniqueName="[tbSummary].[Delivery Date].[All]" dimensionUniqueName="[tbSummary]" displayFolder="" count="0" memberValueDatatype="7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Measures].[__XL_Count tbSummary]" caption="__XL_Count tbSummary" measure="1" displayFolder="" measureGroup="tbSummary" count="0" hidden="1"/>
    <cacheHierarchy uniqueName="[Measures].[__XL_Count kanifa]" caption="__XL_Count kanifa" measure="1" displayFolder="" measureGroup="kanifa" count="0" hidden="1"/>
    <cacheHierarchy uniqueName="[Measures].[__XL_Count Sample]" caption="__XL_Count Sample" measure="1" displayFolder="" measureGroup="Sample" count="0" hidden="1"/>
    <cacheHierarchy uniqueName="[Measures].[__No measures defined]" caption="__No measures defined" measure="1" displayFolder="" count="0" hidden="1"/>
    <cacheHierarchy uniqueName="[Measures].[Sum of PAYMENT]" caption="Sum of PAYMENT" measure="1" displayFolder="" measureGroup="tbSummary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Count of PAYMENT]" caption="Count of PAYMENT" measure="1" displayFolder="" measureGroup="Sample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PAYMENT 2]" caption="Sum of PAYMENT 2" measure="1" displayFolder="" measureGroup="Sample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</cacheHierarchies>
  <kpis count="0"/>
  <dimensions count="4">
    <dimension name="kanifa" uniqueName="[kanifa]" caption="kanifa"/>
    <dimension measure="1" name="Measures" uniqueName="[Measures]" caption="Measures"/>
    <dimension name="Sample" uniqueName="[Sample]" caption="Sample"/>
    <dimension name="tbSummary" uniqueName="[tbSummary]" caption="tbSummary"/>
  </dimensions>
  <measureGroups count="3">
    <measureGroup name="kanifa" caption="kanifa"/>
    <measureGroup name="Sample" caption="Sample"/>
    <measureGroup name="tbSummary" caption="tbSummary"/>
  </measureGroups>
  <maps count="3">
    <map measureGroup="0" dimension="0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4879C0-86B7-4B25-AB70-3BA827B2DE10}" name="PivotTable3" cacheId="11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L1:O2" firstHeaderRow="1" firstDataRow="1" firstDataCol="3"/>
  <pivotFields count="4">
    <pivotField axis="axisRow" compact="0" allDrilled="1" outline="0" subtotalTop="0" showAll="0" dataSourceSort="1" defaultSubtotal="0" defaultAttributeDrillState="1">
      <items count="1">
        <item x="0"/>
      </items>
    </pivotField>
    <pivotField axis="axisRow" compact="0" allDrilled="1" outline="0" subtotalTop="0" showAll="0" dataSourceSort="1" defaultSubtotal="0" defaultAttributeDrillState="1">
      <items count="1">
        <item x="0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1">
        <item x="0"/>
      </items>
    </pivotField>
  </pivotFields>
  <rowFields count="3">
    <field x="0"/>
    <field x="1"/>
    <field x="3"/>
  </rowFields>
  <rowItems count="1">
    <i>
      <x/>
      <x/>
      <x/>
    </i>
  </rowItems>
  <colItems count="1">
    <i/>
  </colItems>
  <dataFields count="1">
    <dataField name="Sum of PAYMENT" fld="2" baseField="0" baseItem="386337024"/>
  </dataField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PAYMENT"/>
  </pivotHierarchies>
  <pivotTableStyleInfo name="PivotStyleLight16" showRowHeaders="1" showColHeaders="1" showRowStripes="0" showColStripes="0" showLastColumn="1"/>
  <rowHierarchiesUsage count="3">
    <rowHierarchyUsage hierarchyUsage="1"/>
    <rowHierarchyUsage hierarchyUsage="3"/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ample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BFBD44-C357-4EE7-B1A7-291EA7C3F681}" name="PivotTable1" cacheId="5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F1:G6" firstHeaderRow="1" firstDataRow="1" firstDataCol="1"/>
  <pivotFields count="2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dataField="1" compact="0" outline="0" subtotalTop="0" showAll="0" defaultSubtota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PAYMENT" fld="1" baseField="0" baseItem="0"/>
  </dataFields>
  <formats count="7">
    <format dxfId="16">
      <pivotArea field="0" type="button" dataOnly="0" labelOnly="1" outline="0" axis="axisRow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0" type="button" dataOnly="0" labelOnly="1" outline="0" axis="axisRow" fieldPosition="0"/>
    </format>
    <format dxfId="11">
      <pivotArea dataOnly="0" labelOnly="1" outline="0" fieldPosition="0">
        <references count="1">
          <reference field="0" count="0"/>
        </references>
      </pivotArea>
    </format>
    <format dxfId="10">
      <pivotArea dataOnly="0" labelOnly="1" outline="0" axis="axisValues" fieldPosition="0"/>
    </format>
  </format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879EE2-7963-4576-B8F0-0CFE0564E512}" name="PivotTable2" cacheId="8" applyNumberFormats="0" applyBorderFormats="0" applyFontFormats="0" applyPatternFormats="0" applyAlignmentFormats="0" applyWidthHeightFormats="1" dataCaption="Values" updatedVersion="7" minRefreshableVersion="3" showDrill="0" useAutoFormatting="1" rowGrandTotals="0" colGrandTotals="0" itemPrintTitles="1" createdVersion="7" indent="0" compact="0" compactData="0" multipleFieldFilters="0">
  <location ref="A1:D7" firstHeaderRow="1" firstDataRow="1" firstDataCol="4"/>
  <pivotFields count="4"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4">
    <field x="0"/>
    <field x="1"/>
    <field x="2"/>
    <field x="3"/>
  </rowFields>
  <rowItems count="6">
    <i>
      <x/>
      <x/>
      <x/>
      <x/>
    </i>
    <i>
      <x v="1"/>
      <x v="1"/>
      <x v="1"/>
      <x v="1"/>
    </i>
    <i r="1">
      <x v="2"/>
      <x v="2"/>
      <x v="2"/>
    </i>
    <i>
      <x v="2"/>
      <x v="3"/>
      <x v="3"/>
      <x v="3"/>
    </i>
    <i>
      <x v="3"/>
      <x v="4"/>
      <x v="4"/>
      <x v="4"/>
    </i>
    <i>
      <x v="4"/>
      <x v="5"/>
      <x v="5"/>
      <x v="4"/>
    </i>
  </rowItems>
  <pivotHierarchies count="2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4">
    <rowHierarchyUsage hierarchyUsage="9"/>
    <rowHierarchyUsage hierarchyUsage="10"/>
    <rowHierarchyUsage hierarchyUsage="11"/>
    <rowHierarchyUsage hierarchyUsage="1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0115C87C-FF56-491D-BC18-52A71AC0C062}" autoFormatId="16" applyNumberFormats="0" applyBorderFormats="0" applyFontFormats="0" applyPatternFormats="0" applyAlignmentFormats="0" applyWidthHeightFormats="0">
  <queryTableRefresh nextId="2">
    <queryTableFields count="1">
      <queryTableField id="1" name="Purchase Order" tableColumnId="1"/>
    </queryTableFields>
  </queryTableRefresh>
  <extLst>
    <ext xmlns:x15="http://schemas.microsoft.com/office/spreadsheetml/2010/11/main" uri="{883FBD77-0823-4a55-B5E3-86C4891E6966}">
      <x15:queryTable sourceDataName="Query - kanifa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668387-1604-4AC0-9108-57DCC9F6893A}" name="Table3" displayName="Table3" ref="A3:B4" totalsRowShown="0">
  <tableColumns count="2">
    <tableColumn id="1" xr3:uid="{655BC7B2-EE10-4FB7-B769-5882DEABE445}" name="filename">
      <calculatedColumnFormula>CELL("fileName", Master!A1)</calculatedColumnFormula>
    </tableColumn>
    <tableColumn id="2" xr3:uid="{D2EDA877-E783-410B-A28B-8FAD1B010A51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A37CF3-0D3F-45F1-8D65-7390C596FCC5}" name="tbSummary" displayName="tbSummary" ref="A3:H9" totalsRowShown="0">
  <autoFilter ref="A3:H9" xr:uid="{57A37CF3-0D3F-45F1-8D65-7390C596FCC5}"/>
  <tableColumns count="8">
    <tableColumn id="1" xr3:uid="{C1589840-7E1D-4CA5-95C1-E290D3080EC3}" name="PURCHASE ORDER" dataDxfId="9"/>
    <tableColumn id="2" xr3:uid="{DEED32B2-1B43-44B7-9D25-DBF9E08D756C}" name="PAYMENT" dataDxfId="8"/>
    <tableColumn id="3" xr3:uid="{F85A705F-E87C-4473-91AC-1E02FCC4B165}" name="INVOICE" dataDxfId="7"/>
    <tableColumn id="4" xr3:uid="{CCA412F3-7AA0-4828-BA6D-C7148B7F7978}" name="WAYBILL" dataDxfId="6"/>
    <tableColumn id="5" xr3:uid="{2637C973-E146-45DD-AC85-200378AE0ADB}" name="Courier" dataDxfId="5"/>
    <tableColumn id="6" xr3:uid="{FF255A4F-F960-4D0D-9BF1-A938C8A9A02D}" name="Payment Date" dataDxfId="4"/>
    <tableColumn id="7" xr3:uid="{8C0096E9-5175-4A31-9167-7E89732D762F}" name="Delivery Date" dataDxfId="3"/>
    <tableColumn id="8" xr3:uid="{72017AAF-974B-4CA7-A281-FD6BB62D3F99}" name="Currency" dataDxfId="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45CF2BA-A796-4FAB-A7DA-D91CE99F143D}" name="kanifa" displayName="kanifa" ref="K3:K26" tableType="queryTable" totalsRowShown="0">
  <autoFilter ref="K3:K26" xr:uid="{045CF2BA-A796-4FAB-A7DA-D91CE99F143D}"/>
  <tableColumns count="1">
    <tableColumn id="1" xr3:uid="{255440E8-4FA9-4E0E-9577-70FD81042BC8}" uniqueName="1" name="Purchase Order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184E59-C3A7-4C3E-A2ED-AFA6ACDE7125}" name="Table2" displayName="Table2" ref="A1:H2" totalsRowShown="0">
  <autoFilter ref="A1:H2" xr:uid="{51184E59-C3A7-4C3E-A2ED-AFA6ACDE7125}"/>
  <tableColumns count="8">
    <tableColumn id="1" xr3:uid="{752C36BF-022A-45CD-B040-A790F7A89735}" name="SAMPLE"/>
    <tableColumn id="2" xr3:uid="{C67E480D-6C7C-4120-B625-96E82BFC7D5F}" name="PAYMENT" dataDxfId="1"/>
    <tableColumn id="3" xr3:uid="{72786124-347F-4F2E-8BB4-90C1BE680F15}" name="INVOICE"/>
    <tableColumn id="4" xr3:uid="{0C0C19D5-C884-4513-BE98-D876DBA24A1B}" name="WAYBILL"/>
    <tableColumn id="5" xr3:uid="{91974097-4E16-44AF-A777-68FCC346A4DA}" name="Courier"/>
    <tableColumn id="6" xr3:uid="{3CD895F3-00A2-4686-8415-39E2A7169995}" name="Payment Date"/>
    <tableColumn id="7" xr3:uid="{6FF0C35A-AFB9-4CFF-95F8-5630B43A5979}" name="Delivery Date"/>
    <tableColumn id="8" xr3:uid="{D3BDCEFF-6974-414F-A035-549D8024ECFA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pivotTable" Target="../pivotTables/pivotTable3.xml"/><Relationship Id="rId7" Type="http://schemas.openxmlformats.org/officeDocument/2006/relationships/control" Target="../activeX/activeX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ontrol" Target="../activeX/activeX2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2BEC3-6763-46C8-8787-87CBFAE71987}">
  <sheetPr codeName="Sheet1"/>
  <dimension ref="A1:O4"/>
  <sheetViews>
    <sheetView workbookViewId="0">
      <selection activeCell="B4" sqref="B4"/>
    </sheetView>
  </sheetViews>
  <sheetFormatPr defaultRowHeight="15" x14ac:dyDescent="0.25"/>
  <cols>
    <col min="1" max="1" width="14.140625" customWidth="1"/>
  </cols>
  <sheetData>
    <row r="1" spans="1:15" x14ac:dyDescent="0.25">
      <c r="A1" s="15" t="s">
        <v>30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5" x14ac:dyDescent="0.2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x14ac:dyDescent="0.25">
      <c r="A3" t="s">
        <v>28</v>
      </c>
      <c r="B3" t="s">
        <v>29</v>
      </c>
    </row>
    <row r="4" spans="1:15" x14ac:dyDescent="0.25">
      <c r="A4" t="str">
        <f ca="1">CELL("fileName", Master!A1)</f>
        <v>\\NIKOTSY-PC\Amberta LTD - Accounting\Purchase_Orders_Payment\[Copy of po_payment.xlsm]Master</v>
      </c>
      <c r="B4" t="str">
        <f ca="1">LEFT(path,FIND("?",SUBSTITUTE(path,"\","?",LEN(path)-LEN(SUBSTITUTE(path,"\",""))))) &amp; "reports\"</f>
        <v>\\NIKOTSY-PC\Amberta LTD - Accounting\Purchase_Orders_Payment\reports\</v>
      </c>
    </row>
  </sheetData>
  <mergeCells count="1">
    <mergeCell ref="A1:O2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DE8C6-B9C3-428D-956D-5E8D6D8C6541}">
  <sheetPr codeName="shPay"/>
  <dimension ref="A1:O7"/>
  <sheetViews>
    <sheetView showGridLines="0" topLeftCell="B1" workbookViewId="0">
      <selection activeCell="H14" sqref="H14"/>
    </sheetView>
  </sheetViews>
  <sheetFormatPr defaultRowHeight="15" x14ac:dyDescent="0.25"/>
  <cols>
    <col min="1" max="1" width="22" bestFit="1" customWidth="1"/>
    <col min="2" max="2" width="12.140625" bestFit="1" customWidth="1"/>
    <col min="3" max="3" width="13.140625" bestFit="1" customWidth="1"/>
    <col min="4" max="4" width="11.5703125" bestFit="1" customWidth="1"/>
    <col min="6" max="6" width="22.5703125" bestFit="1" customWidth="1"/>
    <col min="7" max="7" width="18.42578125" bestFit="1" customWidth="1"/>
    <col min="8" max="9" width="16.5703125" bestFit="1" customWidth="1"/>
    <col min="12" max="12" width="10.42578125" bestFit="1" customWidth="1"/>
    <col min="13" max="13" width="10.7109375" bestFit="1" customWidth="1"/>
    <col min="14" max="14" width="11.140625" bestFit="1" customWidth="1"/>
    <col min="15" max="15" width="16.5703125" bestFit="1" customWidth="1"/>
  </cols>
  <sheetData>
    <row r="1" spans="1:15" ht="15.75" x14ac:dyDescent="0.25">
      <c r="A1" s="3" t="s">
        <v>0</v>
      </c>
      <c r="B1" s="3" t="s">
        <v>1</v>
      </c>
      <c r="C1" s="3" t="s">
        <v>2</v>
      </c>
      <c r="D1" s="3" t="s">
        <v>34</v>
      </c>
      <c r="F1" s="7" t="s">
        <v>0</v>
      </c>
      <c r="G1" s="7" t="s">
        <v>36</v>
      </c>
      <c r="L1" s="3" t="s">
        <v>55</v>
      </c>
      <c r="M1" s="3" t="s">
        <v>2</v>
      </c>
      <c r="N1" s="3" t="s">
        <v>34</v>
      </c>
      <c r="O1" t="s">
        <v>36</v>
      </c>
    </row>
    <row r="2" spans="1:15" ht="15.75" x14ac:dyDescent="0.25">
      <c r="A2" t="s">
        <v>26</v>
      </c>
      <c r="B2">
        <v>3256.31</v>
      </c>
      <c r="C2" t="s">
        <v>37</v>
      </c>
      <c r="D2" t="s">
        <v>53</v>
      </c>
      <c r="F2" s="10" t="s">
        <v>26</v>
      </c>
      <c r="G2" s="18">
        <v>3256.31</v>
      </c>
      <c r="L2" t="s">
        <v>56</v>
      </c>
      <c r="M2" t="s">
        <v>39</v>
      </c>
      <c r="N2" t="s">
        <v>39</v>
      </c>
      <c r="O2" s="1">
        <v>5555</v>
      </c>
    </row>
    <row r="3" spans="1:15" ht="15.75" x14ac:dyDescent="0.25">
      <c r="A3" t="s">
        <v>5</v>
      </c>
      <c r="B3">
        <v>1779.84</v>
      </c>
      <c r="C3" t="s">
        <v>45</v>
      </c>
      <c r="D3" t="s">
        <v>39</v>
      </c>
      <c r="F3" s="10" t="s">
        <v>5</v>
      </c>
      <c r="G3" s="18">
        <v>5929.54</v>
      </c>
    </row>
    <row r="4" spans="1:15" ht="15.75" x14ac:dyDescent="0.25">
      <c r="B4">
        <v>4149.7</v>
      </c>
      <c r="C4" t="s">
        <v>42</v>
      </c>
      <c r="D4" t="s">
        <v>43</v>
      </c>
      <c r="F4" s="10" t="s">
        <v>15</v>
      </c>
      <c r="G4" s="18">
        <v>1805.72</v>
      </c>
    </row>
    <row r="5" spans="1:15" ht="15.75" x14ac:dyDescent="0.25">
      <c r="A5" t="s">
        <v>15</v>
      </c>
      <c r="B5">
        <v>1805.72</v>
      </c>
      <c r="C5" t="s">
        <v>40</v>
      </c>
      <c r="D5" t="s">
        <v>54</v>
      </c>
      <c r="F5" s="10" t="s">
        <v>21</v>
      </c>
      <c r="G5" s="18">
        <v>5669.32</v>
      </c>
    </row>
    <row r="6" spans="1:15" ht="15.75" x14ac:dyDescent="0.25">
      <c r="A6" t="s">
        <v>21</v>
      </c>
      <c r="B6">
        <v>5669.32</v>
      </c>
      <c r="C6" t="s">
        <v>52</v>
      </c>
      <c r="D6" t="s">
        <v>50</v>
      </c>
      <c r="F6" s="10" t="s">
        <v>48</v>
      </c>
      <c r="G6" s="18">
        <v>51</v>
      </c>
    </row>
    <row r="7" spans="1:15" x14ac:dyDescent="0.25">
      <c r="A7" t="s">
        <v>48</v>
      </c>
      <c r="B7">
        <v>51</v>
      </c>
      <c r="C7" t="s">
        <v>49</v>
      </c>
      <c r="D7" t="s">
        <v>50</v>
      </c>
    </row>
  </sheetData>
  <pageMargins left="0.7" right="0.7" top="0.75" bottom="0.75" header="0.3" footer="0.3"/>
  <pageSetup paperSize="125" orientation="portrait" horizontalDpi="203" verticalDpi="203" r:id="rId4"/>
  <drawing r:id="rId5"/>
  <legacyDrawing r:id="rId6"/>
  <controls>
    <mc:AlternateContent xmlns:mc="http://schemas.openxmlformats.org/markup-compatibility/2006">
      <mc:Choice Requires="x14">
        <control shapeId="3073" r:id="rId7" name="CommandButton1">
          <controlPr defaultSize="0" autoLine="0" r:id="rId8">
            <anchor moveWithCells="1">
              <from>
                <xdr:col>8</xdr:col>
                <xdr:colOff>0</xdr:colOff>
                <xdr:row>0</xdr:row>
                <xdr:rowOff>57150</xdr:rowOff>
              </from>
              <to>
                <xdr:col>10</xdr:col>
                <xdr:colOff>28575</xdr:colOff>
                <xdr:row>3</xdr:row>
                <xdr:rowOff>190500</xdr:rowOff>
              </to>
            </anchor>
          </controlPr>
        </control>
      </mc:Choice>
      <mc:Fallback>
        <control shapeId="307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A9BB4-C1A7-4598-97A5-2CD6CCAA28F1}">
  <sheetPr codeName="shMaster"/>
  <dimension ref="A1:O26"/>
  <sheetViews>
    <sheetView tabSelected="1" workbookViewId="0">
      <selection activeCell="H21" sqref="H21"/>
    </sheetView>
  </sheetViews>
  <sheetFormatPr defaultRowHeight="15" x14ac:dyDescent="0.25"/>
  <cols>
    <col min="1" max="1" width="20.140625" style="5" bestFit="1" customWidth="1"/>
    <col min="2" max="2" width="12.7109375" style="2" bestFit="1" customWidth="1"/>
    <col min="3" max="3" width="17.42578125" style="5" customWidth="1"/>
    <col min="4" max="4" width="17.42578125" style="1" customWidth="1"/>
    <col min="5" max="5" width="9.85546875" style="5" bestFit="1" customWidth="1"/>
    <col min="6" max="7" width="17.42578125" style="9" customWidth="1"/>
    <col min="8" max="8" width="17.42578125" style="8" customWidth="1"/>
    <col min="9" max="10" width="17.42578125" customWidth="1"/>
    <col min="11" max="12" width="20.5703125" bestFit="1" customWidth="1"/>
    <col min="13" max="13" width="22.42578125" bestFit="1" customWidth="1"/>
    <col min="14" max="14" width="15.5703125" bestFit="1" customWidth="1"/>
    <col min="16" max="16" width="24.7109375" bestFit="1" customWidth="1"/>
    <col min="17" max="17" width="17.42578125" bestFit="1" customWidth="1"/>
    <col min="18" max="18" width="8.5703125" bestFit="1" customWidth="1"/>
  </cols>
  <sheetData>
    <row r="1" spans="1:15" ht="15" customHeight="1" x14ac:dyDescent="0.25">
      <c r="A1" s="17" t="s">
        <v>25</v>
      </c>
      <c r="B1" s="17"/>
      <c r="C1" s="17"/>
      <c r="D1" s="17"/>
      <c r="E1" s="6"/>
      <c r="H1" s="4"/>
      <c r="K1" s="16" t="s">
        <v>24</v>
      </c>
      <c r="L1" s="16"/>
    </row>
    <row r="2" spans="1:15" ht="15" customHeight="1" x14ac:dyDescent="0.25">
      <c r="A2" s="17"/>
      <c r="B2" s="17"/>
      <c r="C2" s="17"/>
      <c r="D2" s="17"/>
      <c r="E2" s="6"/>
      <c r="H2" s="4"/>
      <c r="K2" s="16"/>
      <c r="L2" s="16"/>
    </row>
    <row r="3" spans="1:15" x14ac:dyDescent="0.25">
      <c r="A3" s="5" t="s">
        <v>0</v>
      </c>
      <c r="B3" s="2" t="s">
        <v>1</v>
      </c>
      <c r="C3" s="5" t="s">
        <v>2</v>
      </c>
      <c r="D3" s="1" t="s">
        <v>34</v>
      </c>
      <c r="E3" s="5" t="s">
        <v>35</v>
      </c>
      <c r="F3" s="9" t="s">
        <v>31</v>
      </c>
      <c r="G3" s="9" t="s">
        <v>32</v>
      </c>
      <c r="H3" s="8" t="s">
        <v>33</v>
      </c>
      <c r="K3" t="s">
        <v>27</v>
      </c>
    </row>
    <row r="4" spans="1:15" x14ac:dyDescent="0.25">
      <c r="A4" s="5" t="s">
        <v>21</v>
      </c>
      <c r="B4" s="2">
        <v>5669.32</v>
      </c>
      <c r="C4" s="5" t="s">
        <v>52</v>
      </c>
      <c r="D4" s="11">
        <v>1872098071</v>
      </c>
      <c r="E4" s="5" t="s">
        <v>44</v>
      </c>
      <c r="F4" s="9" t="s">
        <v>51</v>
      </c>
      <c r="H4" s="8" t="s">
        <v>38</v>
      </c>
      <c r="K4" s="1" t="s">
        <v>26</v>
      </c>
      <c r="M4" s="1"/>
      <c r="N4" s="1"/>
      <c r="O4" s="1"/>
    </row>
    <row r="5" spans="1:15" x14ac:dyDescent="0.25">
      <c r="A5" s="5" t="s">
        <v>48</v>
      </c>
      <c r="B5" s="2">
        <v>51</v>
      </c>
      <c r="C5" s="5" t="s">
        <v>49</v>
      </c>
      <c r="D5" s="12" t="s">
        <v>50</v>
      </c>
      <c r="E5" s="5" t="s">
        <v>44</v>
      </c>
      <c r="F5" s="9" t="s">
        <v>51</v>
      </c>
      <c r="G5" s="9" t="s">
        <v>51</v>
      </c>
      <c r="H5" s="8" t="s">
        <v>38</v>
      </c>
      <c r="K5" s="1" t="s">
        <v>3</v>
      </c>
      <c r="M5" s="1"/>
      <c r="N5" s="1"/>
      <c r="O5" s="1"/>
    </row>
    <row r="6" spans="1:15" x14ac:dyDescent="0.25">
      <c r="A6" s="5" t="s">
        <v>26</v>
      </c>
      <c r="B6" s="2">
        <v>3256.31</v>
      </c>
      <c r="C6" s="5" t="s">
        <v>37</v>
      </c>
      <c r="D6" s="13">
        <v>288556536200</v>
      </c>
      <c r="E6" s="5" t="s">
        <v>47</v>
      </c>
      <c r="F6" s="9">
        <v>44835</v>
      </c>
      <c r="G6" s="9">
        <v>44896</v>
      </c>
      <c r="H6" s="8" t="s">
        <v>38</v>
      </c>
      <c r="K6" s="1" t="s">
        <v>4</v>
      </c>
      <c r="M6" s="1"/>
      <c r="N6" s="1"/>
      <c r="O6" s="1"/>
    </row>
    <row r="7" spans="1:15" x14ac:dyDescent="0.25">
      <c r="A7" s="5" t="s">
        <v>5</v>
      </c>
      <c r="B7" s="2">
        <v>1779.84</v>
      </c>
      <c r="C7" s="5" t="s">
        <v>45</v>
      </c>
      <c r="D7" s="11"/>
      <c r="F7" s="9" t="s">
        <v>46</v>
      </c>
      <c r="H7" s="8" t="s">
        <v>38</v>
      </c>
      <c r="K7" s="1" t="s">
        <v>5</v>
      </c>
      <c r="M7" s="1"/>
      <c r="N7" s="1"/>
      <c r="O7" s="1"/>
    </row>
    <row r="8" spans="1:15" x14ac:dyDescent="0.25">
      <c r="A8" s="5" t="s">
        <v>5</v>
      </c>
      <c r="B8" s="2">
        <v>4149.7</v>
      </c>
      <c r="C8" s="5" t="s">
        <v>42</v>
      </c>
      <c r="D8" s="11">
        <v>8452060024</v>
      </c>
      <c r="E8" s="5" t="s">
        <v>44</v>
      </c>
      <c r="F8" s="9">
        <v>44896</v>
      </c>
      <c r="G8" s="9">
        <v>44896</v>
      </c>
      <c r="H8" s="8" t="s">
        <v>38</v>
      </c>
      <c r="K8" s="1" t="s">
        <v>6</v>
      </c>
      <c r="M8" s="1"/>
      <c r="N8" s="1"/>
      <c r="O8" s="1"/>
    </row>
    <row r="9" spans="1:15" x14ac:dyDescent="0.25">
      <c r="A9" s="5" t="s">
        <v>15</v>
      </c>
      <c r="B9" s="2">
        <v>1805.72</v>
      </c>
      <c r="C9" s="5" t="s">
        <v>40</v>
      </c>
      <c r="D9" s="11">
        <v>7072512436</v>
      </c>
      <c r="E9" s="5" t="s">
        <v>44</v>
      </c>
      <c r="F9" s="9">
        <v>44896</v>
      </c>
      <c r="H9" s="8" t="s">
        <v>41</v>
      </c>
      <c r="K9" s="1" t="s">
        <v>7</v>
      </c>
      <c r="M9" s="1"/>
      <c r="N9" s="1"/>
      <c r="O9" s="1"/>
    </row>
    <row r="10" spans="1:15" x14ac:dyDescent="0.25">
      <c r="K10" s="1" t="s">
        <v>8</v>
      </c>
      <c r="M10" s="1"/>
      <c r="N10" s="1"/>
      <c r="O10" s="1"/>
    </row>
    <row r="11" spans="1:15" x14ac:dyDescent="0.25">
      <c r="K11" s="1" t="s">
        <v>9</v>
      </c>
      <c r="M11" s="1"/>
      <c r="N11" s="1"/>
      <c r="O11" s="1"/>
    </row>
    <row r="12" spans="1:15" x14ac:dyDescent="0.25">
      <c r="K12" s="1" t="s">
        <v>10</v>
      </c>
      <c r="M12" s="1"/>
      <c r="N12" s="1"/>
      <c r="O12" s="1"/>
    </row>
    <row r="13" spans="1:15" x14ac:dyDescent="0.25">
      <c r="K13" s="1" t="s">
        <v>11</v>
      </c>
      <c r="M13" s="1"/>
      <c r="N13" s="1"/>
      <c r="O13" s="1"/>
    </row>
    <row r="14" spans="1:15" x14ac:dyDescent="0.25">
      <c r="K14" s="1" t="s">
        <v>12</v>
      </c>
      <c r="M14" s="1"/>
      <c r="N14" s="1"/>
      <c r="O14" s="1"/>
    </row>
    <row r="15" spans="1:15" x14ac:dyDescent="0.25">
      <c r="K15" s="1" t="s">
        <v>13</v>
      </c>
      <c r="M15" s="1"/>
      <c r="N15" s="1"/>
      <c r="O15" s="1"/>
    </row>
    <row r="16" spans="1:15" x14ac:dyDescent="0.25">
      <c r="K16" s="1" t="s">
        <v>14</v>
      </c>
      <c r="M16" s="1"/>
      <c r="N16" s="1"/>
      <c r="O16" s="1"/>
    </row>
    <row r="17" spans="11:15" x14ac:dyDescent="0.25">
      <c r="K17" s="1" t="s">
        <v>15</v>
      </c>
      <c r="M17" s="1"/>
      <c r="N17" s="1"/>
      <c r="O17" s="1"/>
    </row>
    <row r="18" spans="11:15" x14ac:dyDescent="0.25">
      <c r="K18" s="1" t="s">
        <v>16</v>
      </c>
      <c r="M18" s="1"/>
      <c r="N18" s="1"/>
      <c r="O18" s="1"/>
    </row>
    <row r="19" spans="11:15" x14ac:dyDescent="0.25">
      <c r="K19" s="1" t="s">
        <v>17</v>
      </c>
    </row>
    <row r="20" spans="11:15" x14ac:dyDescent="0.25">
      <c r="K20" s="1" t="s">
        <v>18</v>
      </c>
    </row>
    <row r="21" spans="11:15" x14ac:dyDescent="0.25">
      <c r="K21" s="1" t="s">
        <v>19</v>
      </c>
    </row>
    <row r="22" spans="11:15" x14ac:dyDescent="0.25">
      <c r="K22" s="1" t="s">
        <v>20</v>
      </c>
    </row>
    <row r="23" spans="11:15" x14ac:dyDescent="0.25">
      <c r="K23" s="1" t="s">
        <v>21</v>
      </c>
    </row>
    <row r="24" spans="11:15" x14ac:dyDescent="0.25">
      <c r="K24" s="1" t="s">
        <v>22</v>
      </c>
    </row>
    <row r="25" spans="11:15" x14ac:dyDescent="0.25">
      <c r="K25" s="1" t="s">
        <v>23</v>
      </c>
    </row>
    <row r="26" spans="11:15" x14ac:dyDescent="0.25">
      <c r="K26" s="1" t="s">
        <v>48</v>
      </c>
    </row>
  </sheetData>
  <mergeCells count="2">
    <mergeCell ref="K1:L2"/>
    <mergeCell ref="A1:D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bBackUp">
          <controlPr defaultSize="0" autoLine="0" r:id="rId4">
            <anchor moveWithCells="1">
              <from>
                <xdr:col>8</xdr:col>
                <xdr:colOff>361950</xdr:colOff>
                <xdr:row>6</xdr:row>
                <xdr:rowOff>180975</xdr:rowOff>
              </from>
              <to>
                <xdr:col>9</xdr:col>
                <xdr:colOff>876300</xdr:colOff>
                <xdr:row>12</xdr:row>
                <xdr:rowOff>9525</xdr:rowOff>
              </to>
            </anchor>
          </controlPr>
        </control>
      </mc:Choice>
      <mc:Fallback>
        <control shapeId="1026" r:id="rId3" name="cbBackUp"/>
      </mc:Fallback>
    </mc:AlternateContent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11</xdr:col>
                <xdr:colOff>581025</xdr:colOff>
                <xdr:row>9</xdr:row>
                <xdr:rowOff>19050</xdr:rowOff>
              </from>
              <to>
                <xdr:col>12</xdr:col>
                <xdr:colOff>942975</xdr:colOff>
                <xdr:row>13</xdr:row>
                <xdr:rowOff>95250</xdr:rowOff>
              </to>
            </anchor>
          </controlPr>
        </control>
      </mc:Choice>
      <mc:Fallback>
        <control shapeId="1025" r:id="rId5" name="CommandButton1"/>
      </mc:Fallback>
    </mc:AlternateContent>
  </controls>
  <tableParts count="2"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2DAD4-AA80-4A0A-AEA0-28229526C820}">
  <sheetPr codeName="Sheet2"/>
  <dimension ref="A1:H2"/>
  <sheetViews>
    <sheetView workbookViewId="0">
      <selection activeCell="G20" sqref="G20"/>
    </sheetView>
  </sheetViews>
  <sheetFormatPr defaultRowHeight="15" x14ac:dyDescent="0.25"/>
  <cols>
    <col min="1" max="1" width="10.28515625" customWidth="1"/>
    <col min="2" max="2" width="12" style="14" customWidth="1"/>
    <col min="3" max="3" width="10.5703125" customWidth="1"/>
    <col min="4" max="4" width="11" customWidth="1"/>
    <col min="5" max="5" width="9.7109375" customWidth="1"/>
    <col min="6" max="6" width="15.5703125" customWidth="1"/>
    <col min="7" max="7" width="15.140625" customWidth="1"/>
    <col min="8" max="8" width="11" customWidth="1"/>
  </cols>
  <sheetData>
    <row r="1" spans="1:8" x14ac:dyDescent="0.25">
      <c r="A1" t="s">
        <v>55</v>
      </c>
      <c r="B1" s="14" t="s">
        <v>1</v>
      </c>
      <c r="C1" t="s">
        <v>2</v>
      </c>
      <c r="D1" t="s">
        <v>34</v>
      </c>
      <c r="E1" t="s">
        <v>35</v>
      </c>
      <c r="F1" t="s">
        <v>31</v>
      </c>
      <c r="G1" t="s">
        <v>32</v>
      </c>
      <c r="H1" t="s">
        <v>33</v>
      </c>
    </row>
    <row r="2" spans="1:8" x14ac:dyDescent="0.25">
      <c r="A2" t="s">
        <v>56</v>
      </c>
      <c r="B2" s="14">
        <v>5555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9B044A-B196-4F9F-8CCA-AD3DA27DE8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Developer</vt:lpstr>
      <vt:lpstr>Payment Tracker</vt:lpstr>
      <vt:lpstr>Master</vt:lpstr>
      <vt:lpstr>Sample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Support8</cp:lastModifiedBy>
  <dcterms:created xsi:type="dcterms:W3CDTF">2021-12-24T11:33:29Z</dcterms:created>
  <dcterms:modified xsi:type="dcterms:W3CDTF">2022-01-25T12:09:14Z</dcterms:modified>
</cp:coreProperties>
</file>