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9DA4D8E6-DC90-420A-A805-E1C1FECE6300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Value of Stock" sheetId="6" r:id="rId4"/>
  </sheets>
  <definedNames>
    <definedName name="_xlcn.WorksheetConnection_PO_PAYMENT.xlsmtbSummary1" hidden="1">tbSummary[]</definedName>
    <definedName name="ExternalData_1" localSheetId="1" hidden="1">Main!$M$1:$M$29</definedName>
    <definedName name="ExternalData_1" localSheetId="0" hidden="1">'Map '!$A$1:$B$24</definedName>
    <definedName name="path">'Map '!$N$2</definedName>
  </definedNames>
  <calcPr calcId="191029" calcMode="manual"/>
  <pivotCaches>
    <pivotCache cacheId="10" r:id="rId5"/>
    <pivotCache cacheId="13" r:id="rId6"/>
    <pivotCache cacheId="16" r:id="rId7"/>
    <pivotCache cacheId="19" r:id="rId8"/>
    <pivotCache cacheId="22" r:id="rId9"/>
    <pivotCache cacheId="25" r:id="rId10"/>
    <pivotCache cacheId="28" r:id="rId11"/>
    <pivotCache cacheId="31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E2" i="2" a="1"/>
  <c r="E2" i="2" s="1"/>
  <c r="N2" i="2" a="1"/>
  <c r="N2" i="2" s="1"/>
  <c r="O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5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6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7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8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9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0" xr16:uid="{6967E776-DFCC-43E9-BF72-C399FAEDCB81}" keepAlive="1" name="Query - tbSummary (2)" description="Connection to the 'tbSummary (2)' query in the workbook." type="5" refreshedVersion="7" background="1" saveData="1">
    <dbPr connection="Provider=Microsoft.Mashup.OleDb.1;Data Source=$Workbook$;Location=&quot;tbSummary (2)&quot;;Extended Properties=&quot;&quot;" command="SELECT * FROM [tbSummary (2)]"/>
  </connection>
  <connection id="11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2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4">
    <s v="ThisWorkbookDataModel"/>
    <s v="{[tbSummary 1].[PAYMENT/DEPOSIT].[All]}"/>
    <s v="{[Est_Cost].[Tot Paid].[All]}"/>
    <s v="{[tbSummary 1].[PAYMENT/DEPOSIT].&amp;[Deposit]}"/>
  </metadataStrings>
  <mdxMetadata count="3">
    <mdx n="0" f="s">
      <ms ns="1" c="0"/>
    </mdx>
    <mdx n="0" f="s">
      <ms ns="2" c="0"/>
    </mdx>
    <mdx n="0" f="s">
      <ms ns="3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5">
    <bk>
      <rc t="1" v="0"/>
    </bk>
    <bk>
      <rc t="1" v="1"/>
    </bk>
    <bk>
      <rc t="1" v="2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<sst xmlns="http://schemas.openxmlformats.org/spreadsheetml/2006/main" count="395" uniqueCount="139">
  <si>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</si>
  <si>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</si>
  <si>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</si>
  <si>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</si>
  <si>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</si>
  <si>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</si>
  <si>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</si>
  <si>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</si>
  <si>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</si>
  <si>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</si>
  <si>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</si>
  <si>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</si>
  <si>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</si>
  <si>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</si>
  <si>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</si>
  <si>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</si>
  <si>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</si>
  <si>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</si>
  <si>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</si>
  <si>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</si>
  <si>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</si>
  <si>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</si>
  <si>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</si>
  <si>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</si>
  <si>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</si>
  <si>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</si>
  <si>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</si>
  <si>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</si>
  <si>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</si>
  <si>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</si>
  <si>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</si>
  <si>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</si>
  <si>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</si>
  <si>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</si>
  <si>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</si>
  <si>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</si>
  <si>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</si>
  <si>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</si>
  <si>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</si>
  <si>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</si>
  <si>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</si>
  <si>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</si>
  <si>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</si>
  <si>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</si>
  <si>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</si>
  <si>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</si>
  <si>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</si>
  <si>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</si>
  <si>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</si>
  <si>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</si>
  <si>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</si>
  <si>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</si>
  <si>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</si>
  <si>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</si>
  <si>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</si>
  <si>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</si>
  <si>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</si>
  <si>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</si>
  <si>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</si>
  <si>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</si>
  <si>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</si>
  <si>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</si>
  <si>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</si>
  <si>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</si>
  <si>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ORDERS:REGULAR PAYMENTS</t>
  </si>
  <si>
    <t>PURCHASE ORDERS: DEPOSITS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</si>
  <si>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</si>
  <si>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</si>
  <si>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</si>
  <si>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</si>
  <si>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</si>
  <si>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</si>
  <si>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</si>
  <si>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</si>
  <si>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</si>
  <si>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</si>
  <si>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</si>
  <si>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</si>
  <si>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</si>
  <si>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</si>
  <si>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</si>
  <si>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</si>
  <si>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</si>
  <si>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</si>
  <si>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</si>
  <si>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</si>
  <si>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</si>
  <si>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</si>
  <si>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</si>
  <si>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</si>
  <si>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</si>
  <si>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</si>
  <si>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</si>
  <si>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</si>
  <si>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</si>
  <si>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</si>
  <si>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</si>
  <si>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</si>
  <si>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</si>
  <si>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</si>
  <si>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</si>
  <si>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</si>
  <si>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</si>
  <si>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</si>
  <si>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</si>
  <si>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</si>
  <si>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</si>
  <si>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</si>
  <si>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</si>
  <si>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</si>
  <si>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</si>
  <si>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</si>
  <si>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</si>
  <si>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</si>
  <si>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</si>
  <si>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</si>
  <si>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</si>
  <si>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</si>
  <si>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PO210928-21/001ADD</t>
  </si>
  <si>
    <t>PO211210-21/007BC</t>
  </si>
  <si>
    <t>PO210729-21/002BP</t>
  </si>
  <si>
    <t>PO210716-21/009BIA</t>
  </si>
  <si>
    <t>PO210921-21/011BIA</t>
  </si>
  <si>
    <t>PO211015-21/012BIA</t>
  </si>
  <si>
    <t>PO211111-21/013BIA</t>
  </si>
  <si>
    <t>PO210921-21/003CAV</t>
  </si>
  <si>
    <t>PO210729-21/008CHR</t>
  </si>
  <si>
    <t>PO210716-21/004CS</t>
  </si>
  <si>
    <t>PO210907-21/013GS</t>
  </si>
  <si>
    <t>PO211028-21/015GS</t>
  </si>
  <si>
    <t>PO210929-21/001LOL</t>
  </si>
  <si>
    <t>PO210930-21/004MAR</t>
  </si>
  <si>
    <t>PO211015-21/005MAR</t>
  </si>
  <si>
    <t>PO211111-21/006MAR</t>
  </si>
  <si>
    <t>PO210921-21/014PAV</t>
  </si>
  <si>
    <t>PO211015-21/016PAV</t>
  </si>
  <si>
    <t>PO210915-21/001VIE</t>
  </si>
  <si>
    <t>156 CHR</t>
  </si>
  <si>
    <t>FedEx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</si>
</sst>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&quot;£&quot;#,##0.00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6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4" formatCode="_-[$£-809]* #,##0.00_-;\-[$£-809]* #,##0.00_-;_-[$£-809]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microsoft.com/office/2017/06/relationships/rdSupportingPropertyBagStructure" Target="richData/rdsupportingpropertybagstructure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microsoft.com/office/2006/relationships/vbaProject" Target="vbaProject.bin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23" Type="http://schemas.microsoft.com/office/2017/06/relationships/rdRichValueTypes" Target="richData/rdRichValueType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pivotCacheDefinition" Target="pivotCache/pivotCacheDefinition6.xml"/><Relationship Id="rId19" Type="http://schemas.microsoft.com/office/2017/06/relationships/rdRichValueStructure" Target="richData/rdrichvaluestructure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connections" Target="connections.xml"/><Relationship Id="rId22" Type="http://schemas.microsoft.com/office/2017/06/relationships/rdSupportingPropertyBag" Target="richData/rdsupportingpropertybag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8.xml"/><Relationship Id="rId17" Type="http://schemas.openxmlformats.org/officeDocument/2006/relationships/sheetMetadata" Target="metadata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20" Type="http://schemas.microsoft.com/office/2017/06/relationships/richStyles" Target="richData/richStyles.xml"/><Relationship Id="rId41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5EF186-538E-49EE-9608-3845D262F003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883621-2AD7-46E8-BC4D-9949B2F8CA6E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77B593DB-1E1A-47BA-9481-6D55F8A2BAB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93C3B9F-8230-4F83-B178-75E5171F9606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9.650212499997" backgroundQuery="1" createdVersion="7" refreshedVersion="7" minRefreshableVersion="3" recordCount="0" supportSubquery="1" supportAdvancedDrill="1" xr:uid="{D164DC5D-3DAC-4954-8622-03BE40AFF938}">
  <cacheSource type="external" connectionId="11"/>
  <cacheFields count="3">
    <cacheField name="[tbSummary 1].[PO Number].[PO Number]" caption="PO Number" numFmtId="0" hierarchy="22" level="1">
      <sharedItems count="3">
        <s v="PO210927-21/001SAR"/>
        <s v="PO211105-21/017PAV"/>
        <s v="PO220119-22/001PAV"/>
      </sharedItems>
    </cacheField>
    <cacheField name="[tbSummary 1].[PAYMENT/DEPOSIT].[PAYMENT/DEPOSIT]" caption="PAYMENT/DEPOSIT" numFmtId="0" hierarchy="24" level="1">
      <sharedItems containsSemiMixedTypes="0" containsNonDate="0" containsString="0"/>
    </cacheField>
    <cacheField name="[Measures].[Sum of AMOUNT]" caption="Sum of AMOUNT" numFmtId="0" hierarchy="40" level="32767"/>
  </cacheFields>
  <cacheHierarchies count="47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Est Cost]" caption="Est Cost" attribute="1" defaultMemberUniqueName="[Only_open_po].[Est Cost].[All]" allUniqueName="[Only_open_po].[Est Cost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Est Cost 2]" caption="Sum of Est Cost 2" measure="1" displayFolder="" measureGroup="Only_open_p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9.650213773151" backgroundQuery="1" createdVersion="7" refreshedVersion="7" minRefreshableVersion="3" recordCount="0" supportSubquery="1" supportAdvancedDrill="1" xr:uid="{93122940-1544-425B-A8F2-690DB7F24ADC}">
  <cacheSource type="external" connectionId="11"/>
  <cacheFields count="6">
    <cacheField name="[Est_Cost].[Supplier].[Supplier]" caption="Supplier" numFmtId="0" level="1">
      <sharedItems count="18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Lolita"/>
        <s v="Mainly-Silver"/>
        <s v="Martinelli"/>
        <s v="Pavee"/>
        <s v="SilverArt"/>
        <s v="Top Star"/>
        <s v="Vieri"/>
      </sharedItems>
    </cacheField>
    <cacheField name="[Est_Cost].[PO Number].[PO Number]" caption="PO Number" numFmtId="0" hierarchy="1" level="1">
      <sharedItems count="50">
        <s v="PO210928-21/001ADD"/>
        <s v="PO211210-21/007BC"/>
        <s v="PO220119-22/001BC"/>
        <s v="PO210729-21/002BP"/>
        <s v="PO211210-21/003BP"/>
        <s v="PO220119-22/001BP"/>
        <s v="PO210716-21/009BIA"/>
        <s v="PO210921-21/011BIA"/>
        <s v="PO211015-21/012BIA"/>
        <s v="PO211111-21/013BIA"/>
        <s v="PO211210-21/014BIA"/>
        <s v="PO220106-22/001BIA"/>
        <s v="PO220119-22/002BIA"/>
        <s v="PO210729-21/002CAV"/>
        <s v="PO210921-21/003CAV"/>
        <s v="PO210921-21/001CHI"/>
        <s v="PO210729-21/008CHR"/>
        <s v="PO210921-21/009CHR"/>
        <s v="PO211015-21/010CHR"/>
        <s v="PO211111-21/011CHR"/>
        <s v="PO211210-21/012CHR"/>
        <s v="PO220119-22/001CHR"/>
        <s v="PO210716-21/004CS"/>
        <s v="PO220119-22/001CS"/>
        <s v="PO211210-21/002CSJC"/>
        <s v="PO211027-21/004FAN"/>
        <s v="PO211210-21/005FAN"/>
        <s v="PO210907-21/013GS"/>
        <s v="PO211015-21/014GS"/>
        <s v="PO211028-21/015GS"/>
        <s v="PO211111-21/016GS"/>
        <s v="PO211210-21/017GS"/>
        <s v="PO220119-22/001GS"/>
        <s v="PO210929-21/001LOL"/>
        <s v="PO211210-21/002MS"/>
        <s v="PO210930-21/004MAR"/>
        <s v="PO211015-21/005MAR"/>
        <s v="PO211111-21/006MAR"/>
        <s v="PO211210-21/007MAR"/>
        <s v="PO220119-22/001MAR"/>
        <s v="PO210921-21/014PAV"/>
        <s v="PO211007-21/015PAV"/>
        <s v="PO211015-21/016PAV"/>
        <s v="PO211105-21/017PAV"/>
        <s v="PO211111-21/018PAV"/>
        <s v="PO211210-21/019PAV"/>
        <s v="PO220119-22/001PAV"/>
        <s v="PO210927-21/001SAR"/>
        <s v="PO211004-21/001TOP"/>
        <s v="PO210915-21/001VIE"/>
      </sharedItems>
    </cacheField>
    <cacheField name="[Measures].[Sum of Est Cost]" caption="Sum of Est Cost" numFmtId="0" hierarchy="41" level="32767"/>
    <cacheField name="[Measures].[Sum of Tot Paid]" caption="Sum of Tot Paid" numFmtId="0" hierarchy="42" level="32767"/>
    <cacheField name="[Measures].[Sum of Difference]" caption="Sum of Difference" numFmtId="0" hierarchy="44" level="32767"/>
    <cacheField name="[Est_Cost].[Tot Paid].[Tot Paid]" caption="Tot Paid" numFmtId="0" hierarchy="3" level="1">
      <sharedItems containsSemiMixedTypes="0" containsNonDate="0" containsString="0"/>
    </cacheField>
  </cacheFields>
  <cacheHierarchies count="47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Est Cost]" caption="Est Cost" attribute="1" defaultMemberUniqueName="[Only_open_po].[Est Cost].[All]" allUniqueName="[Only_open_po].[Est Cost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Est Cost 2]" caption="Sum of Est Cost 2" measure="1" displayFolder="" measureGroup="Only_open_p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9.650214930552" backgroundQuery="1" createdVersion="7" refreshedVersion="7" minRefreshableVersion="3" recordCount="0" supportSubquery="1" supportAdvancedDrill="1" xr:uid="{A9F644CA-048F-4231-8E70-471183307DE6}">
  <cacheSource type="external" connectionId="11"/>
  <cacheFields count="3">
    <cacheField name="[tbSummary 1].[PO Number].[PO Number]" caption="PO Number" numFmtId="0" hierarchy="22" level="1">
      <sharedItems count="13">
        <s v="PO210729-21/002CAV"/>
        <s v="PO210921-21/001CHI"/>
        <s v="PO210927-21/001SAR"/>
        <s v="PO211015-21/010CHR"/>
        <s v="PO211105-21/017PAV"/>
        <s v="PO211111-21/018PAV"/>
        <s v="PO211210-21/002CSJC"/>
        <s v="PO211210-21/005FAN"/>
        <s v="PO211210-21/007MAR"/>
        <s v="PO211210-21/012CHR"/>
        <s v="PO211210-21/014BIA"/>
        <s v="PO220106-22/001BIA"/>
        <s v="PO220119-22/001PAV"/>
      </sharedItems>
    </cacheField>
    <cacheField name="[Measures].[Sum of AMOUNT]" caption="Sum of AMOUNT" numFmtId="0" hierarchy="40" level="32767"/>
    <cacheField name="[tbSummary 1].[PAYMENT/DEPOSIT].[PAYMENT/DEPOSIT]" caption="PAYMENT/DEPOSIT" numFmtId="0" hierarchy="24" level="1">
      <sharedItems containsSemiMixedTypes="0" containsNonDate="0" containsString="0"/>
    </cacheField>
  </cacheFields>
  <cacheHierarchies count="47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Est Cost]" caption="Est Cost" attribute="1" defaultMemberUniqueName="[Only_open_po].[Est Cost].[All]" allUniqueName="[Only_open_po].[Est Cost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Est Cost 2]" caption="Sum of Est Cost 2" measure="1" displayFolder="" measureGroup="Only_open_p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9.650215972222" backgroundQuery="1" createdVersion="7" refreshedVersion="7" minRefreshableVersion="3" recordCount="0" supportSubquery="1" supportAdvancedDrill="1" xr:uid="{F21A60BE-7F32-4475-A5CF-C3E5719F07AE}">
  <cacheSource type="external" connectionId="11"/>
  <cacheFields count="2">
    <cacheField name="[tbSummary 1].[PO Number].[PO Number]" caption="PO Number" numFmtId="0" hierarchy="22" level="1">
      <sharedItems count="13">
        <s v="PO210729-21/002CAV"/>
        <s v="PO210921-21/001CHI"/>
        <s v="PO210927-21/001SAR"/>
        <s v="PO211015-21/010CHR"/>
        <s v="PO211105-21/017PAV"/>
        <s v="PO211111-21/018PAV"/>
        <s v="PO211210-21/002CSJC"/>
        <s v="PO211210-21/005FAN"/>
        <s v="PO211210-21/007MAR"/>
        <s v="PO211210-21/012CHR"/>
        <s v="PO211210-21/014BIA"/>
        <s v="PO220106-22/001BIA"/>
        <s v="PO220119-22/001PAV"/>
      </sharedItems>
    </cacheField>
    <cacheField name="[Measures].[Sum of AMOUNT]" caption="Sum of AMOUNT" numFmtId="0" hierarchy="40" level="32767"/>
  </cacheFields>
  <cacheHierarchies count="47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Est Cost]" caption="Est Cost" attribute="1" defaultMemberUniqueName="[Only_open_po].[Est Cost].[All]" allUniqueName="[Only_open_po].[Est Cost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Est Cost 2]" caption="Sum of Est Cost 2" measure="1" displayFolder="" measureGroup="Only_open_p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9.650217129631" backgroundQuery="1" createdVersion="7" refreshedVersion="7" minRefreshableVersion="3" recordCount="0" supportSubquery="1" supportAdvancedDrill="1" xr:uid="{B5AC3FAA-E5DE-47CC-97C4-A7E8CDD800A2}">
  <cacheSource type="external" connectionId="11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9" level="1">
      <sharedItems count="6">
        <s v="Chrysos"/>
        <s v="Fantasy"/>
        <s v="GandS"/>
        <s v="Mainly-Silver"/>
        <s v="Pavee"/>
        <s v="Top Star"/>
      </sharedItems>
    </cacheField>
    <cacheField name="[Only_open_po].[PO Number].[PO Number]" caption="PO Number" numFmtId="0" hierarchy="10" level="1">
      <sharedItems count="7">
        <s v="PO211015-21/010CHR"/>
        <s v="PO211111-21/011CHR"/>
        <s v="PO211027-21/004FAN"/>
        <s v="PO211015-21/014GS"/>
        <s v="PO211210-21/002MS"/>
        <s v="PO211007-21/015PAV"/>
        <s v="PO211004-21/001TOP"/>
      </sharedItems>
    </cacheField>
    <cacheField name="[Measures].[Sum of Est Cost 2]" caption="Sum of Est Cost 2" numFmtId="0" hierarchy="43" level="32767"/>
  </cacheFields>
  <cacheHierarchies count="47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Est Cost]" caption="Est Cost" attribute="1" defaultMemberUniqueName="[Only_open_po].[Est Cost].[All]" allUniqueName="[Only_open_po].[Est Cost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Est Cost 2]" caption="Sum of Est Cost 2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9.650217939816" backgroundQuery="1" createdVersion="7" refreshedVersion="7" minRefreshableVersion="3" recordCount="0" supportSubquery="1" supportAdvancedDrill="1" xr:uid="{B70072A1-4DC0-4F0A-B10D-324345C4B85C}">
  <cacheSource type="external" connectionId="11"/>
  <cacheFields count="2">
    <cacheField name="[Only_open_po].[Supplier].[Supplier]" caption="Supplier" numFmtId="0" hierarchy="9" level="1">
      <sharedItems count="6">
        <s v="Chrysos"/>
        <s v="Fantasy"/>
        <s v="GandS"/>
        <s v="Mainly-Silver"/>
        <s v="Pavee"/>
        <s v="Top Star"/>
      </sharedItems>
    </cacheField>
    <cacheField name="[Measures].[Sum of Est Cost 2]" caption="Sum of Est Cost 2" numFmtId="0" hierarchy="43" level="32767"/>
  </cacheFields>
  <cacheHierarchies count="47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Est Cost]" caption="Est Cost" attribute="1" defaultMemberUniqueName="[Only_open_po].[Est Cost].[All]" allUniqueName="[Only_open_po].[Est Cost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Est Cost 2]" caption="Sum of Est Cost 2" measure="1" displayFolder="" measureGroup="Only_open_p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9.650218750001" backgroundQuery="1" createdVersion="7" refreshedVersion="7" minRefreshableVersion="3" recordCount="0" supportSubquery="1" supportAdvancedDrill="1" xr:uid="{F100D6AB-5ACF-49B2-9B22-67393FA65DE1}">
  <cacheSource type="external" connectionId="11"/>
  <cacheFields count="2">
    <cacheField name="[Listed].[Listed Status?].[Listed Status?]" caption="Listed Status?" numFmtId="0" hierarchy="7" level="1">
      <sharedItems count="2">
        <s v="LISTED STOCK"/>
        <s v="NON-LISTED STOCK"/>
      </sharedItems>
    </cacheField>
    <cacheField name="[Measures].[Sum of Count]" caption="Sum of Count" numFmtId="0" hierarchy="45" level="32767"/>
  </cacheFields>
  <cacheHierarchies count="47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Est Cost]" caption="Est Cost" attribute="1" defaultMemberUniqueName="[Only_open_po].[Est Cost].[All]" allUniqueName="[Only_open_po].[Est Cost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Est Cost 2]" caption="Sum of Est Cost 2" measure="1" displayFolder="" measureGroup="Only_open_p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9.65022210648" backgroundQuery="1" createdVersion="7" refreshedVersion="7" minRefreshableVersion="3" recordCount="0" supportSubquery="1" supportAdvancedDrill="1" xr:uid="{BFDC80A6-53E9-4FE1-8B60-ECD7650F9D7C}">
  <cacheSource type="external" connectionId="11"/>
  <cacheFields count="2">
    <cacheField name="[tbSummary].[Manufacturer].[Manufacturer]" caption="Manufacturer" numFmtId="0" hierarchy="13" level="1">
      <sharedItems count="9">
        <s v="Biamet Bis"/>
        <s v="Cavinato Dino"/>
        <s v="Chini"/>
        <s v="Chrysos"/>
        <s v="CSJC"/>
        <s v="Fantasy"/>
        <s v="Martinelli"/>
        <s v="Pavee"/>
        <s v="SilverArt"/>
      </sharedItems>
    </cacheField>
    <cacheField name="[Measures].[Sum of AMOUNT 2]" caption="Sum of AMOUNT 2" numFmtId="0" hierarchy="46" level="32767"/>
  </cacheFields>
  <cacheHierarchies count="47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Est Cost]" caption="Est Cost" attribute="1" defaultMemberUniqueName="[Only_open_po].[Est Cost].[All]" allUniqueName="[Only_open_po].[Est Cost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Est Cost 2]" caption="Sum of Est Cost 2" measure="1" displayFolder="" measureGroup="Only_open_p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31" applyNumberFormats="0" applyBorderFormats="0" applyFontFormats="0" applyPatternFormats="0" applyAlignmentFormats="0" applyWidthHeightFormats="1" dataCaption="Values" tag="d3159f28-89e7-4e5e-9ff4-e1381f2ed466" updatedVersion="7" minRefreshableVersion="3" useAutoFormatting="1" itemPrintTitles="1" createdVersion="7" indent="0" outline="1" outlineData="1" multipleFieldFilters="0" rowHeaderCaption="Manufacturer">
  <location ref="U7:V17" firstHeaderRow="1" firstDataRow="1" firstDataCol="1"/>
  <pivotFields count="2"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dataField="1" subtotalTop="0"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AMOUNT" fld="1" baseField="0" baseItem="0"/>
  </dataField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25" applyNumberFormats="0" applyBorderFormats="0" applyFontFormats="0" applyPatternFormats="0" applyAlignmentFormats="0" applyWidthHeightFormats="1" dataCaption="Values" tag="6940e18a-74d5-4877-811a-ba3537d6708b" updatedVersion="7" minRefreshableVersion="3" useAutoFormatting="1" itemPrintTitles="1" createdVersion="7" indent="0" outline="1" outlineData="1" multipleFieldFilters="0">
  <location ref="R7:S14" firstHeaderRow="1" firstDataRow="1" firstDataCol="1"/>
  <pivotFields count="2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Est Cost" fld="1" baseField="0" baseItem="0"/>
  </dataField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13" applyNumberFormats="0" applyBorderFormats="0" applyFontFormats="0" applyPatternFormats="0" applyAlignmentFormats="0" applyWidthHeightFormats="1" dataCaption="Values" tag="314e0829-6dd3-4f67-b645-d1d5b8d4542a" updatedVersion="7" minRefreshableVersion="3" useAutoFormatting="1" itemPrintTitles="1" createdVersion="7" indent="0" outline="1" outlineData="1" multipleFieldFilters="0" rowHeaderCaption="Manufacturer / PO">
  <location ref="M7:P76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allDrilled="1" subtotalTop="0" showAll="0" dataSourceSort="1" defaultSubtotal="0" defaultAttributeDrillState="1">
      <items count="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69">
    <i>
      <x/>
    </i>
    <i r="1">
      <x/>
    </i>
    <i>
      <x v="1"/>
    </i>
    <i r="1">
      <x v="1"/>
    </i>
    <i r="1">
      <x v="2"/>
    </i>
    <i>
      <x v="2"/>
    </i>
    <i r="1">
      <x v="3"/>
    </i>
    <i r="1">
      <x v="4"/>
    </i>
    <i r="1">
      <x v="5"/>
    </i>
    <i>
      <x v="3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 r="1">
      <x v="14"/>
    </i>
    <i>
      <x v="5"/>
    </i>
    <i r="1">
      <x v="15"/>
    </i>
    <i>
      <x v="6"/>
    </i>
    <i r="1">
      <x v="16"/>
    </i>
    <i r="1">
      <x v="17"/>
    </i>
    <i r="1">
      <x v="18"/>
    </i>
    <i r="1">
      <x v="19"/>
    </i>
    <i r="1">
      <x v="20"/>
    </i>
    <i r="1">
      <x v="21"/>
    </i>
    <i>
      <x v="7"/>
    </i>
    <i r="1">
      <x v="22"/>
    </i>
    <i r="1">
      <x v="23"/>
    </i>
    <i>
      <x v="8"/>
    </i>
    <i r="1">
      <x v="24"/>
    </i>
    <i>
      <x v="9"/>
    </i>
    <i r="1">
      <x v="25"/>
    </i>
    <i r="1">
      <x v="26"/>
    </i>
    <i>
      <x v="10"/>
    </i>
    <i r="1">
      <x v="27"/>
    </i>
    <i r="1">
      <x v="28"/>
    </i>
    <i r="1">
      <x v="29"/>
    </i>
    <i r="1">
      <x v="30"/>
    </i>
    <i r="1">
      <x v="31"/>
    </i>
    <i r="1">
      <x v="32"/>
    </i>
    <i>
      <x v="11"/>
    </i>
    <i r="1">
      <x v="33"/>
    </i>
    <i>
      <x v="12"/>
    </i>
    <i r="1">
      <x v="34"/>
    </i>
    <i>
      <x v="13"/>
    </i>
    <i r="1">
      <x v="35"/>
    </i>
    <i r="1">
      <x v="36"/>
    </i>
    <i r="1">
      <x v="37"/>
    </i>
    <i r="1">
      <x v="38"/>
    </i>
    <i r="1">
      <x v="39"/>
    </i>
    <i>
      <x v="14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15"/>
    </i>
    <i r="1">
      <x v="47"/>
    </i>
    <i>
      <x v="16"/>
    </i>
    <i r="1">
      <x v="48"/>
    </i>
    <i>
      <x v="17"/>
    </i>
    <i r="1">
      <x v="4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[All]" cap="All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19" applyNumberFormats="0" applyBorderFormats="0" applyFontFormats="0" applyPatternFormats="0" applyAlignmentFormats="0" applyWidthHeightFormats="1" dataCaption="Values" tag="f20aaacf-9e38-4bbc-98d1-749c424d01a7" updatedVersion="7" minRefreshableVersion="3" useAutoFormatting="1" itemPrintTitles="1" createdVersion="7" indent="0" compact="0" compactData="0" multipleFieldFilters="0">
  <location ref="G7:H21" firstHeaderRow="1" firstDataRow="1" firstDataCol="1"/>
  <pivotFields count="2"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dataField="1" compact="0" outline="0" subtotalTop="0" showAll="0" defaultSubtota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AMOUNT" fld="1" baseField="0" baseItem="0"/>
  </dataField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7ED1CE-F02A-4DEE-8CAE-B744483D55F7}" name="PivotTable13" cacheId="16" applyNumberFormats="0" applyBorderFormats="0" applyFontFormats="0" applyPatternFormats="0" applyAlignmentFormats="0" applyWidthHeightFormats="1" dataCaption="Values" tag="425e9fd0-cde3-4be3-a79c-3d5a8269e90d" updatedVersion="7" minRefreshableVersion="3" useAutoFormatting="1" itemPrintTitles="1" createdVersion="7" indent="0" compact="0" compactData="0" multipleFieldFilters="0">
  <location ref="A7:B21" firstHeaderRow="1" firstDataRow="1" firstDataCol="1" rowPageCount="1" colPageCount="1"/>
  <pivotFields count="3"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dataField="1" compact="0" outline="0" subtotalTop="0" showAll="0" defaultSubtotal="0"/>
    <pivotField axis="axisPage" compact="0" allDrilled="1" outline="0" subtotalTop="0" showAll="0" dataSourceSort="1" defaultSubtotal="0" defaultAttributeDrillState="1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2" hier="24" name="[tbSummary 1].[PAYMENT/DEPOSIT].[All]" cap="All"/>
  </pageFields>
  <dataFields count="1">
    <dataField name="Sum of AMOUNT" fld="1" baseField="0" baseItem="0"/>
  </dataField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um of AMOUNT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10" applyNumberFormats="0" applyBorderFormats="0" applyFontFormats="0" applyPatternFormats="0" applyAlignmentFormats="0" applyWidthHeightFormats="1" dataCaption="Values" tag="b6d7dd94-bf68-47e1-98f6-84ab03965283" updatedVersion="7" minRefreshableVersion="3" useAutoFormatting="1" itemPrintTitles="1" createdVersion="7" indent="0" compact="0" compactData="0" multipleFieldFilters="0">
  <location ref="D7:E11" firstHeaderRow="1" firstDataRow="1" firstDataCol="1" rowPageCount="1" colPageCount="1"/>
  <pivotFields count="3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24" name="[tbSummary 1].[PAYMENT/DEPOSIT].&amp;[Deposit]" cap="Deposit"/>
  </pageFields>
  <dataFields count="1">
    <dataField name="Sum of AMOUNT" fld="2" baseField="0" baseItem="0"/>
  </dataField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22" applyNumberFormats="0" applyBorderFormats="0" applyFontFormats="0" applyPatternFormats="0" applyAlignmentFormats="0" applyWidthHeightFormats="1" dataCaption="Values" tag="362c2655-a032-4833-a4b2-a8416269ffa7" updatedVersion="7" minRefreshableVersion="3" useAutoFormatting="1" itemPrintTitles="1" createdVersion="7" indent="0" outline="1" outlineData="1" multipleFieldFilters="0" rowHeaderCaption="Manufacturer / PO">
  <location ref="J7:K21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</pivotFields>
  <rowFields count="2">
    <field x="1"/>
    <field x="2"/>
  </rowFields>
  <rowItems count="14">
    <i>
      <x/>
    </i>
    <i r="1">
      <x/>
    </i>
    <i r="1">
      <x v="1"/>
    </i>
    <i>
      <x v="1"/>
    </i>
    <i r="1">
      <x v="2"/>
    </i>
    <i>
      <x v="2"/>
    </i>
    <i r="1">
      <x v="3"/>
    </i>
    <i>
      <x v="3"/>
    </i>
    <i r="1">
      <x v="4"/>
    </i>
    <i>
      <x v="4"/>
    </i>
    <i r="1">
      <x v="5"/>
    </i>
    <i>
      <x v="5"/>
    </i>
    <i r="1">
      <x v="6"/>
    </i>
    <i t="grand">
      <x/>
    </i>
  </rowItems>
  <colItems count="1">
    <i/>
  </colItems>
  <dataFields count="1">
    <dataField name="Sum of Est Cost" fld="3" baseField="0" baseItem="0"/>
  </dataFields>
  <pivotHierarchies count="47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28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1:B4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0.88390000000000002</v>
    <v>0.82809999999999995</v>
    <v>-4.0000000000000002E-4</v>
    <v>-4.729E-4</v>
    <v>GBP</v>
    <v>EUR</v>
    <v>0.84770000000000001</v>
    <v>Currency Pair</v>
    <v>44599.650057870371</v>
    <v>0.84389999999999998</v>
    <v>Euro/UK Pound Sterling FX Cross Rate</v>
    <v>0.84589999999999999</v>
    <v>0.84589999999999999</v>
    <v>0.84550000000000003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0.75939999999999996</v>
    <v>0.70169999999999999</v>
    <v>5.0000000000000001E-4</v>
    <v>6.7659999999999997E-4</v>
    <v>GBP</v>
    <v>USD</v>
    <v>0.74119999999999997</v>
    <v>Currency Pair</v>
    <v>44599.650081018517</v>
    <v>0.73799999999999999</v>
    <v>US Dollar/UK Pound Sterling FX Cross Rate</v>
    <v>0.73899999999999999</v>
    <v>0.73899999999999999</v>
    <v>0.73950000000000005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N1:O2" totalsRowShown="0">
  <autoFilter ref="N1:O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701916-03B8-4DA8-9EDC-8DA35FCF4F52}" name="Table2" displayName="Table2" ref="E1:F3" totalsRowShown="0">
  <autoFilter ref="E1:F3" xr:uid="{00701916-03B8-4DA8-9EDC-8DA35FCF4F52}"/>
  <tableColumns count="2">
    <tableColumn id="1" xr3:uid="{A533A175-DC64-449B-9062-9EAAACB9B018}" name="Column1" dataDxfId="4">
      <calculatedColumnFormula array="1">_FV(D1,"Price")</calculatedColumnFormula>
    </tableColumn>
    <tableColumn id="2" xr3:uid="{E645D2E2-745F-44A2-8010-993EC0D0D33A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29" tableType="queryTable" totalsRowShown="0">
  <autoFilter ref="M1:M29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21" totalsRowShown="0">
  <autoFilter ref="A1:J21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O24"/>
  <sheetViews>
    <sheetView workbookViewId="0">
      <selection activeCell="J4" sqref="J4"/>
    </sheetView>
  </sheetViews>
  <sheetFormatPr defaultRowHeight="15" x14ac:dyDescent="0.25"/>
  <cols>
    <col min="1" max="1" width="20.7109375" bestFit="1" customWidth="1"/>
    <col min="2" max="2" width="25.5703125" bestFit="1" customWidth="1"/>
    <col min="5" max="5" width="12.42578125" customWidth="1"/>
    <col min="6" max="6" width="11" customWidth="1"/>
    <col min="14" max="14" width="11.140625" customWidth="1"/>
  </cols>
  <sheetData>
    <row r="1" spans="1:15" x14ac:dyDescent="0.25">
      <c r="A1" t="s">
        <v>32</v>
      </c>
      <c r="B1" t="s">
        <v>33</v>
      </c>
      <c r="D1" t="e" vm="4">
        <v>#VALUE!</v>
      </c>
      <c r="E1" s="7" t="s">
        <v>90</v>
      </c>
      <c r="F1" t="s">
        <v>91</v>
      </c>
      <c r="N1" t="s">
        <v>58</v>
      </c>
      <c r="O1" t="s">
        <v>59</v>
      </c>
    </row>
    <row r="2" spans="1:15" x14ac:dyDescent="0.25">
      <c r="A2" s="1" t="s">
        <v>55</v>
      </c>
      <c r="B2" t="s">
        <v>31</v>
      </c>
      <c r="D2" t="e" vm="5">
        <v>#VALUE!</v>
      </c>
      <c r="E2" s="7" cm="1">
        <f t="array" ref="E2">_FV(D1,"Price")</f>
        <v>0.84550000000000003</v>
      </c>
      <c r="F2" t="s">
        <v>31</v>
      </c>
      <c r="N2" t="str" cm="1">
        <f t="array" aca="1" ref="N2" ca="1">CELL("filename", A1)</f>
        <v xml:space="preserve">\\NIKOTSY-PC\Amberta LTD - Accounting\Purchase_Orders_Payment\[PO_PAYMENT .xlsm]Map </v>
      </c>
      <c r="O2" t="str">
        <f ca="1">LEFT(path,FIND("?",SUBSTITUTE(path,"\","?",LEN(path)-LEN(SUBSTITUTE(path,"\",""))))) &amp; "reports\"</f>
        <v>\\NIKOTSY-PC\Amberta LTD - Accounting\Purchase_Orders_Payment\reports\</v>
      </c>
    </row>
    <row r="3" spans="1:15" x14ac:dyDescent="0.25">
      <c r="A3" s="1" t="s">
        <v>38</v>
      </c>
      <c r="B3" t="s">
        <v>31</v>
      </c>
      <c r="E3" s="7" cm="1">
        <f t="array" ref="E3">_FV(D2,"Price")</f>
        <v>0.73950000000000005</v>
      </c>
      <c r="F3" t="s">
        <v>43</v>
      </c>
    </row>
    <row r="4" spans="1:15" x14ac:dyDescent="0.25">
      <c r="A4" s="1" t="s">
        <v>35</v>
      </c>
      <c r="B4" t="s">
        <v>31</v>
      </c>
    </row>
    <row r="5" spans="1:15" x14ac:dyDescent="0.25">
      <c r="A5" s="1" t="s">
        <v>34</v>
      </c>
      <c r="B5" t="s">
        <v>31</v>
      </c>
    </row>
    <row r="6" spans="1:15" x14ac:dyDescent="0.25">
      <c r="A6" s="1" t="s">
        <v>45</v>
      </c>
      <c r="B6" t="s">
        <v>43</v>
      </c>
    </row>
    <row r="7" spans="1:15" x14ac:dyDescent="0.25">
      <c r="A7" s="1" t="s">
        <v>50</v>
      </c>
      <c r="B7" t="s">
        <v>31</v>
      </c>
    </row>
    <row r="8" spans="1:15" x14ac:dyDescent="0.25">
      <c r="A8" s="1" t="s">
        <v>47</v>
      </c>
      <c r="B8" t="s">
        <v>31</v>
      </c>
    </row>
    <row r="9" spans="1:15" x14ac:dyDescent="0.25">
      <c r="A9" s="1" t="s">
        <v>57</v>
      </c>
      <c r="B9" t="s">
        <v>31</v>
      </c>
    </row>
    <row r="10" spans="1:15" x14ac:dyDescent="0.25">
      <c r="A10" s="1" t="s">
        <v>36</v>
      </c>
      <c r="B10" t="s">
        <v>31</v>
      </c>
    </row>
    <row r="11" spans="1:15" x14ac:dyDescent="0.25">
      <c r="A11" s="1" t="s">
        <v>41</v>
      </c>
      <c r="B11" t="s">
        <v>31</v>
      </c>
    </row>
    <row r="12" spans="1:15" x14ac:dyDescent="0.25">
      <c r="A12" s="1" t="s">
        <v>49</v>
      </c>
      <c r="B12" t="s">
        <v>31</v>
      </c>
    </row>
    <row r="13" spans="1:15" x14ac:dyDescent="0.25">
      <c r="A13" s="1" t="s">
        <v>46</v>
      </c>
      <c r="B13" t="s">
        <v>31</v>
      </c>
    </row>
    <row r="14" spans="1:15" x14ac:dyDescent="0.25">
      <c r="A14" s="1" t="s">
        <v>37</v>
      </c>
      <c r="B14" t="s">
        <v>31</v>
      </c>
    </row>
    <row r="15" spans="1:15" x14ac:dyDescent="0.25">
      <c r="A15" s="1" t="s">
        <v>40</v>
      </c>
      <c r="B15" t="s">
        <v>31</v>
      </c>
    </row>
    <row r="16" spans="1:15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10"/>
  <sheetViews>
    <sheetView showGridLines="0" tabSelected="1" workbookViewId="0">
      <selection activeCell="K10" sqref="K10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7.14062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72</v>
      </c>
      <c r="B1" t="s">
        <v>71</v>
      </c>
      <c r="C1" t="s">
        <v>75</v>
      </c>
      <c r="D1" t="s">
        <v>76</v>
      </c>
      <c r="E1" t="s">
        <v>73</v>
      </c>
      <c r="F1" t="s">
        <v>29</v>
      </c>
      <c r="G1" t="s">
        <v>30</v>
      </c>
      <c r="H1" t="s">
        <v>77</v>
      </c>
      <c r="I1" t="s">
        <v>78</v>
      </c>
      <c r="J1" t="s">
        <v>79</v>
      </c>
      <c r="M1" t="s">
        <v>0</v>
      </c>
    </row>
    <row r="2" spans="1:13" x14ac:dyDescent="0.25">
      <c r="A2" t="s">
        <v>20</v>
      </c>
      <c r="B2" t="s">
        <v>36</v>
      </c>
      <c r="C2" t="s">
        <v>117</v>
      </c>
      <c r="D2">
        <v>2061.1799999999998</v>
      </c>
      <c r="E2" t="s">
        <v>137</v>
      </c>
      <c r="F2">
        <v>6364015490</v>
      </c>
      <c r="G2" t="s">
        <v>89</v>
      </c>
      <c r="H2" s="6">
        <v>44744</v>
      </c>
      <c r="I2" s="6">
        <v>44599</v>
      </c>
      <c r="J2" t="s">
        <v>31</v>
      </c>
      <c r="M2" s="1" t="s">
        <v>23</v>
      </c>
    </row>
    <row r="3" spans="1:13" x14ac:dyDescent="0.25">
      <c r="A3" t="s">
        <v>19</v>
      </c>
      <c r="B3" t="s">
        <v>36</v>
      </c>
      <c r="C3" t="s">
        <v>117</v>
      </c>
      <c r="D3">
        <v>4355.5200000000004</v>
      </c>
      <c r="E3" t="s">
        <v>137</v>
      </c>
      <c r="F3">
        <v>6364015490</v>
      </c>
      <c r="G3" t="s">
        <v>89</v>
      </c>
      <c r="H3" s="6">
        <v>44744</v>
      </c>
      <c r="I3" s="6">
        <v>44599</v>
      </c>
      <c r="J3" t="s">
        <v>31</v>
      </c>
      <c r="M3" s="1" t="s">
        <v>15</v>
      </c>
    </row>
    <row r="4" spans="1:13" x14ac:dyDescent="0.25">
      <c r="A4" t="s">
        <v>7</v>
      </c>
      <c r="B4" t="s">
        <v>51</v>
      </c>
      <c r="C4" t="s">
        <v>117</v>
      </c>
      <c r="D4">
        <v>2083.92</v>
      </c>
      <c r="E4" t="s">
        <v>92</v>
      </c>
      <c r="F4" s="8">
        <v>531175632782</v>
      </c>
      <c r="G4" t="s">
        <v>111</v>
      </c>
      <c r="H4" s="6">
        <v>44622</v>
      </c>
      <c r="I4" s="6">
        <v>44599</v>
      </c>
      <c r="J4" t="s">
        <v>31</v>
      </c>
      <c r="M4" s="1" t="s">
        <v>8</v>
      </c>
    </row>
    <row r="5" spans="1:13" x14ac:dyDescent="0.25">
      <c r="A5" t="s">
        <v>4</v>
      </c>
      <c r="B5" t="s">
        <v>57</v>
      </c>
      <c r="C5" t="s">
        <v>117</v>
      </c>
      <c r="D5">
        <v>22615.51</v>
      </c>
      <c r="E5" t="s">
        <v>93</v>
      </c>
      <c r="F5">
        <v>8720498721</v>
      </c>
      <c r="G5" t="s">
        <v>89</v>
      </c>
      <c r="H5" s="9" t="s">
        <v>94</v>
      </c>
      <c r="I5" s="9">
        <v>44593</v>
      </c>
      <c r="J5" s="6" t="s">
        <v>31</v>
      </c>
      <c r="M5" s="1" t="s">
        <v>13</v>
      </c>
    </row>
    <row r="6" spans="1:13" x14ac:dyDescent="0.25">
      <c r="A6" t="s">
        <v>4</v>
      </c>
      <c r="B6" t="s">
        <v>57</v>
      </c>
      <c r="C6" t="s">
        <v>117</v>
      </c>
      <c r="D6">
        <v>22700.57</v>
      </c>
      <c r="E6" t="s">
        <v>95</v>
      </c>
      <c r="F6">
        <v>4811007876</v>
      </c>
      <c r="G6" t="s">
        <v>89</v>
      </c>
      <c r="H6" s="9" t="s">
        <v>94</v>
      </c>
      <c r="I6" s="9">
        <v>44593</v>
      </c>
      <c r="J6" s="6" t="s">
        <v>31</v>
      </c>
      <c r="M6" s="1" t="s">
        <v>22</v>
      </c>
    </row>
    <row r="7" spans="1:13" x14ac:dyDescent="0.25">
      <c r="A7" t="s">
        <v>96</v>
      </c>
      <c r="B7" t="s">
        <v>46</v>
      </c>
      <c r="C7" t="s">
        <v>117</v>
      </c>
      <c r="D7">
        <v>710.83</v>
      </c>
      <c r="E7" t="s">
        <v>97</v>
      </c>
      <c r="F7">
        <v>4599804366</v>
      </c>
      <c r="G7" t="s">
        <v>89</v>
      </c>
      <c r="H7" s="9" t="s">
        <v>98</v>
      </c>
      <c r="I7" s="9">
        <v>44593</v>
      </c>
      <c r="J7" s="6" t="s">
        <v>31</v>
      </c>
      <c r="M7" s="1" t="s">
        <v>20</v>
      </c>
    </row>
    <row r="8" spans="1:13" x14ac:dyDescent="0.25">
      <c r="A8" t="s">
        <v>1</v>
      </c>
      <c r="B8" t="s">
        <v>34</v>
      </c>
      <c r="C8" t="s">
        <v>117</v>
      </c>
      <c r="D8">
        <v>1340.43</v>
      </c>
      <c r="E8" t="s">
        <v>99</v>
      </c>
      <c r="F8">
        <v>4328279476</v>
      </c>
      <c r="G8" t="s">
        <v>89</v>
      </c>
      <c r="H8" s="9" t="s">
        <v>98</v>
      </c>
      <c r="I8" s="9" t="s">
        <v>98</v>
      </c>
      <c r="J8" s="6" t="s">
        <v>31</v>
      </c>
      <c r="M8" s="1" t="s">
        <v>26</v>
      </c>
    </row>
    <row r="9" spans="1:13" x14ac:dyDescent="0.25">
      <c r="A9" t="s">
        <v>2</v>
      </c>
      <c r="B9" t="s">
        <v>34</v>
      </c>
      <c r="C9" t="s">
        <v>117</v>
      </c>
      <c r="D9">
        <v>14344.03</v>
      </c>
      <c r="E9" t="s">
        <v>100</v>
      </c>
      <c r="F9">
        <v>4328279476</v>
      </c>
      <c r="G9" t="s">
        <v>89</v>
      </c>
      <c r="H9" s="9" t="s">
        <v>98</v>
      </c>
      <c r="I9" s="9" t="s">
        <v>98</v>
      </c>
      <c r="J9" s="6" t="s">
        <v>31</v>
      </c>
      <c r="M9" s="1" t="s">
        <v>18</v>
      </c>
    </row>
    <row r="10" spans="1:13" x14ac:dyDescent="0.25">
      <c r="A10" t="s">
        <v>15</v>
      </c>
      <c r="B10" t="s">
        <v>44</v>
      </c>
      <c r="C10" t="s">
        <v>88</v>
      </c>
      <c r="D10">
        <v>6500</v>
      </c>
      <c r="H10" s="9" t="s">
        <v>101</v>
      </c>
      <c r="I10" s="9"/>
      <c r="J10" s="6" t="s">
        <v>43</v>
      </c>
      <c r="M10" s="1" t="s">
        <v>1</v>
      </c>
    </row>
    <row r="11" spans="1:13" x14ac:dyDescent="0.25">
      <c r="A11" t="s">
        <v>19</v>
      </c>
      <c r="B11" t="s">
        <v>36</v>
      </c>
      <c r="C11" t="s">
        <v>117</v>
      </c>
      <c r="D11">
        <v>4875.57</v>
      </c>
      <c r="E11" t="s">
        <v>102</v>
      </c>
      <c r="F11">
        <v>9236689965</v>
      </c>
      <c r="G11" t="s">
        <v>89</v>
      </c>
      <c r="H11" s="9" t="s">
        <v>103</v>
      </c>
      <c r="I11" s="9"/>
      <c r="J11" s="6" t="s">
        <v>31</v>
      </c>
      <c r="M11" s="1" t="s">
        <v>3</v>
      </c>
    </row>
    <row r="12" spans="1:13" x14ac:dyDescent="0.25">
      <c r="A12" t="s">
        <v>17</v>
      </c>
      <c r="B12" t="s">
        <v>36</v>
      </c>
      <c r="C12" t="s">
        <v>117</v>
      </c>
      <c r="D12">
        <v>4335.45</v>
      </c>
      <c r="E12" t="s">
        <v>102</v>
      </c>
      <c r="F12">
        <v>9236689965</v>
      </c>
      <c r="G12" t="s">
        <v>89</v>
      </c>
      <c r="H12" s="9" t="s">
        <v>103</v>
      </c>
      <c r="I12" s="9"/>
      <c r="J12" s="6" t="s">
        <v>31</v>
      </c>
      <c r="M12" s="1" t="s">
        <v>10</v>
      </c>
    </row>
    <row r="13" spans="1:13" x14ac:dyDescent="0.25">
      <c r="A13" t="s">
        <v>21</v>
      </c>
      <c r="B13" t="s">
        <v>44</v>
      </c>
      <c r="C13" t="s">
        <v>117</v>
      </c>
      <c r="D13">
        <v>3968.18</v>
      </c>
      <c r="E13" s="3">
        <v>22200004</v>
      </c>
      <c r="F13">
        <v>1412253334</v>
      </c>
      <c r="G13" t="s">
        <v>89</v>
      </c>
      <c r="H13" s="9" t="s">
        <v>94</v>
      </c>
      <c r="I13" s="9">
        <v>44591</v>
      </c>
      <c r="J13" s="6" t="s">
        <v>43</v>
      </c>
      <c r="M13" s="1" t="s">
        <v>2</v>
      </c>
    </row>
    <row r="14" spans="1:13" x14ac:dyDescent="0.25">
      <c r="A14" t="s">
        <v>6</v>
      </c>
      <c r="B14" t="s">
        <v>44</v>
      </c>
      <c r="C14" t="s">
        <v>117</v>
      </c>
      <c r="D14">
        <v>15862.26</v>
      </c>
      <c r="E14" t="s">
        <v>104</v>
      </c>
      <c r="F14">
        <v>1412253334</v>
      </c>
      <c r="G14" t="s">
        <v>89</v>
      </c>
      <c r="H14" s="9" t="s">
        <v>94</v>
      </c>
      <c r="I14" s="9">
        <v>44591</v>
      </c>
      <c r="J14" s="6" t="s">
        <v>43</v>
      </c>
      <c r="M14" s="1" t="s">
        <v>19</v>
      </c>
    </row>
    <row r="15" spans="1:13" x14ac:dyDescent="0.25">
      <c r="A15" t="s">
        <v>6</v>
      </c>
      <c r="B15" t="s">
        <v>44</v>
      </c>
      <c r="C15" t="s">
        <v>88</v>
      </c>
      <c r="D15">
        <v>8500</v>
      </c>
      <c r="H15" s="9" t="s">
        <v>105</v>
      </c>
      <c r="I15" s="9"/>
      <c r="J15" s="6" t="s">
        <v>43</v>
      </c>
      <c r="M15" s="1" t="s">
        <v>7</v>
      </c>
    </row>
    <row r="16" spans="1:13" x14ac:dyDescent="0.25">
      <c r="A16" t="s">
        <v>2</v>
      </c>
      <c r="B16" t="s">
        <v>34</v>
      </c>
      <c r="C16" t="s">
        <v>117</v>
      </c>
      <c r="D16">
        <v>5669.32</v>
      </c>
      <c r="E16" t="s">
        <v>106</v>
      </c>
      <c r="F16">
        <v>1872098071</v>
      </c>
      <c r="G16" t="s">
        <v>89</v>
      </c>
      <c r="H16" s="9" t="s">
        <v>107</v>
      </c>
      <c r="I16" s="9">
        <v>44579</v>
      </c>
      <c r="J16" s="6" t="s">
        <v>31</v>
      </c>
      <c r="M16" s="1" t="s">
        <v>25</v>
      </c>
    </row>
    <row r="17" spans="1:13" x14ac:dyDescent="0.25">
      <c r="A17" t="s">
        <v>1</v>
      </c>
      <c r="B17" t="s">
        <v>34</v>
      </c>
      <c r="C17" t="s">
        <v>117</v>
      </c>
      <c r="D17">
        <v>51</v>
      </c>
      <c r="E17" t="s">
        <v>108</v>
      </c>
      <c r="F17">
        <v>1872098071</v>
      </c>
      <c r="G17" t="s">
        <v>89</v>
      </c>
      <c r="H17" s="9" t="s">
        <v>107</v>
      </c>
      <c r="I17" s="9">
        <v>44579</v>
      </c>
      <c r="J17" s="6" t="s">
        <v>31</v>
      </c>
      <c r="M17" s="1" t="s">
        <v>28</v>
      </c>
    </row>
    <row r="18" spans="1:13" x14ac:dyDescent="0.25">
      <c r="A18" t="s">
        <v>109</v>
      </c>
      <c r="B18" t="s">
        <v>50</v>
      </c>
      <c r="C18" t="s">
        <v>117</v>
      </c>
      <c r="D18">
        <v>3256.31</v>
      </c>
      <c r="E18" t="s">
        <v>110</v>
      </c>
      <c r="F18" s="8">
        <v>288556536200</v>
      </c>
      <c r="G18" t="s">
        <v>111</v>
      </c>
      <c r="H18" s="9">
        <v>44835</v>
      </c>
      <c r="I18" s="9">
        <v>44573</v>
      </c>
      <c r="J18" s="6" t="s">
        <v>31</v>
      </c>
      <c r="M18" s="1" t="s">
        <v>21</v>
      </c>
    </row>
    <row r="19" spans="1:13" x14ac:dyDescent="0.25">
      <c r="A19" t="s">
        <v>5</v>
      </c>
      <c r="B19" t="s">
        <v>53</v>
      </c>
      <c r="C19" t="s">
        <v>88</v>
      </c>
      <c r="D19">
        <v>1779.84</v>
      </c>
      <c r="E19" t="s">
        <v>112</v>
      </c>
      <c r="H19" s="9" t="s">
        <v>113</v>
      </c>
      <c r="I19" s="9"/>
      <c r="J19" s="6" t="s">
        <v>31</v>
      </c>
      <c r="M19" s="1" t="s">
        <v>11</v>
      </c>
    </row>
    <row r="20" spans="1:13" x14ac:dyDescent="0.25">
      <c r="A20" t="s">
        <v>5</v>
      </c>
      <c r="B20" t="s">
        <v>53</v>
      </c>
      <c r="C20" t="s">
        <v>117</v>
      </c>
      <c r="D20">
        <v>4149.7</v>
      </c>
      <c r="E20" t="s">
        <v>114</v>
      </c>
      <c r="F20">
        <v>8452060024</v>
      </c>
      <c r="G20" t="s">
        <v>89</v>
      </c>
      <c r="H20" s="9">
        <v>44573</v>
      </c>
      <c r="I20" s="9">
        <v>44573</v>
      </c>
      <c r="J20" s="6" t="s">
        <v>31</v>
      </c>
      <c r="M20" s="1" t="s">
        <v>27</v>
      </c>
    </row>
    <row r="21" spans="1:13" x14ac:dyDescent="0.25">
      <c r="A21" t="s">
        <v>115</v>
      </c>
      <c r="B21" t="s">
        <v>45</v>
      </c>
      <c r="C21" t="s">
        <v>117</v>
      </c>
      <c r="D21">
        <v>1805.72</v>
      </c>
      <c r="E21" t="s">
        <v>116</v>
      </c>
      <c r="F21">
        <v>7072512436</v>
      </c>
      <c r="G21" t="s">
        <v>89</v>
      </c>
      <c r="H21" s="9">
        <v>44573</v>
      </c>
      <c r="I21" s="9">
        <v>44582</v>
      </c>
      <c r="J21" s="6" t="s">
        <v>43</v>
      </c>
      <c r="M21" s="1" t="s">
        <v>6</v>
      </c>
    </row>
    <row r="22" spans="1:13" x14ac:dyDescent="0.25">
      <c r="H22" s="6"/>
      <c r="M22" s="1" t="s">
        <v>16</v>
      </c>
    </row>
    <row r="23" spans="1:13" x14ac:dyDescent="0.25">
      <c r="H23" s="6"/>
      <c r="M23" s="1" t="s">
        <v>9</v>
      </c>
    </row>
    <row r="24" spans="1:13" x14ac:dyDescent="0.25">
      <c r="H24" s="6"/>
      <c r="M24" s="1" t="s">
        <v>17</v>
      </c>
    </row>
    <row r="25" spans="1:13" x14ac:dyDescent="0.25">
      <c r="H25" s="6"/>
      <c r="M25" s="1" t="s">
        <v>14</v>
      </c>
    </row>
    <row r="26" spans="1:13" x14ac:dyDescent="0.25">
      <c r="H26" s="6"/>
      <c r="M26" s="1" t="s">
        <v>24</v>
      </c>
    </row>
    <row r="27" spans="1:13" x14ac:dyDescent="0.25">
      <c r="H27" s="6"/>
      <c r="M27" s="1" t="s">
        <v>5</v>
      </c>
    </row>
    <row r="28" spans="1:13" x14ac:dyDescent="0.25">
      <c r="H28" s="6"/>
      <c r="M28" s="1" t="s">
        <v>12</v>
      </c>
    </row>
    <row r="29" spans="1:13" x14ac:dyDescent="0.25">
      <c r="H29" s="6"/>
      <c r="M29" s="1" t="s">
        <v>4</v>
      </c>
    </row>
    <row r="30" spans="1:13" x14ac:dyDescent="0.25">
      <c r="H30" s="6"/>
    </row>
    <row r="31" spans="1:13" x14ac:dyDescent="0.25">
      <c r="H31" s="6"/>
    </row>
    <row r="32" spans="1:13" x14ac:dyDescent="0.25">
      <c r="H32" s="6"/>
    </row>
    <row r="33" spans="8:8" x14ac:dyDescent="0.25">
      <c r="H33" s="6"/>
    </row>
    <row r="34" spans="8:8" x14ac:dyDescent="0.25">
      <c r="H34" s="6"/>
    </row>
    <row r="35" spans="8:8" x14ac:dyDescent="0.25">
      <c r="H35" s="6"/>
    </row>
    <row r="36" spans="8:8" x14ac:dyDescent="0.25">
      <c r="H36" s="6"/>
    </row>
    <row r="37" spans="8:8" x14ac:dyDescent="0.25">
      <c r="H37" s="6"/>
    </row>
    <row r="38" spans="8:8" x14ac:dyDescent="0.25">
      <c r="H38" s="6"/>
    </row>
    <row r="39" spans="8:8" x14ac:dyDescent="0.25">
      <c r="H39" s="6"/>
    </row>
    <row r="40" spans="8:8" x14ac:dyDescent="0.25">
      <c r="H40" s="6"/>
    </row>
    <row r="41" spans="8:8" x14ac:dyDescent="0.25">
      <c r="H41" s="6"/>
    </row>
    <row r="110" spans="1:10" x14ac:dyDescent="0.25">
      <c r="A110" t="s">
        <v>7</v>
      </c>
      <c r="B110" t="s">
        <v>51</v>
      </c>
      <c r="C110" t="s">
        <v>117</v>
      </c>
      <c r="D110">
        <v>2083.92</v>
      </c>
      <c r="E110" t="s">
        <v>92</v>
      </c>
      <c r="F110">
        <v>531175632782</v>
      </c>
      <c r="G110" t="s">
        <v>138</v>
      </c>
      <c r="H110" s="6">
        <v>44622</v>
      </c>
      <c r="J110" t="s">
        <v>31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V76"/>
  <sheetViews>
    <sheetView showGridLines="0" topLeftCell="C1" workbookViewId="0">
      <selection activeCell="P23" sqref="P23"/>
    </sheetView>
  </sheetViews>
  <sheetFormatPr defaultRowHeight="15" x14ac:dyDescent="0.25"/>
  <cols>
    <col min="1" max="1" width="20.5703125" bestFit="1" customWidth="1"/>
    <col min="2" max="2" width="16.140625" bestFit="1" customWidth="1"/>
    <col min="3" max="3" width="2.85546875" customWidth="1"/>
    <col min="4" max="4" width="20.140625" bestFit="1" customWidth="1"/>
    <col min="5" max="5" width="16.140625" bestFit="1" customWidth="1"/>
    <col min="6" max="6" width="2.28515625" customWidth="1"/>
    <col min="7" max="7" width="20.5703125" bestFit="1" customWidth="1"/>
    <col min="8" max="8" width="16.140625" bestFit="1" customWidth="1"/>
    <col min="9" max="9" width="2.7109375" customWidth="1"/>
    <col min="10" max="10" width="24" bestFit="1" customWidth="1"/>
    <col min="11" max="11" width="14.5703125" bestFit="1" customWidth="1"/>
    <col min="12" max="12" width="3.140625" customWidth="1"/>
    <col min="13" max="13" width="24.425781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3.140625" bestFit="1" customWidth="1"/>
    <col min="19" max="19" width="14.5703125" bestFit="1" customWidth="1"/>
    <col min="20" max="20" width="3.85546875" customWidth="1"/>
    <col min="21" max="21" width="15.5703125" bestFit="1" customWidth="1"/>
    <col min="22" max="22" width="16.140625" bestFit="1" customWidth="1"/>
    <col min="23" max="23" width="2.85546875" customWidth="1"/>
    <col min="24" max="24" width="14.85546875" bestFit="1" customWidth="1"/>
    <col min="25" max="25" width="17.28515625" bestFit="1" customWidth="1"/>
  </cols>
  <sheetData>
    <row r="1" spans="1:22" ht="15" customHeight="1" x14ac:dyDescent="0.25">
      <c r="A1" s="10" t="s">
        <v>64</v>
      </c>
      <c r="B1" s="10"/>
      <c r="D1" s="10" t="s">
        <v>65</v>
      </c>
      <c r="E1" s="10"/>
      <c r="G1" s="11" t="s">
        <v>66</v>
      </c>
      <c r="H1" s="10"/>
      <c r="J1" s="11" t="s">
        <v>67</v>
      </c>
      <c r="K1" s="10"/>
      <c r="M1" s="11" t="s">
        <v>68</v>
      </c>
      <c r="N1" s="11"/>
      <c r="O1" s="11"/>
      <c r="P1" s="11"/>
      <c r="R1" s="11" t="s">
        <v>69</v>
      </c>
      <c r="S1" s="10"/>
      <c r="U1" s="10" t="s">
        <v>70</v>
      </c>
      <c r="V1" s="10"/>
    </row>
    <row r="2" spans="1:22" x14ac:dyDescent="0.25">
      <c r="A2" s="10"/>
      <c r="B2" s="10"/>
      <c r="D2" s="10"/>
      <c r="E2" s="10"/>
      <c r="G2" s="10"/>
      <c r="H2" s="10"/>
      <c r="J2" s="10"/>
      <c r="K2" s="10"/>
      <c r="M2" s="11"/>
      <c r="N2" s="11"/>
      <c r="O2" s="11"/>
      <c r="P2" s="11"/>
      <c r="R2" s="10"/>
      <c r="S2" s="10"/>
      <c r="U2" s="10"/>
      <c r="V2" s="10"/>
    </row>
    <row r="5" spans="1:22" x14ac:dyDescent="0.25">
      <c r="A5" s="2" t="s">
        <v>75</v>
      </c>
      <c r="B5" t="s" vm="1">
        <v>62</v>
      </c>
      <c r="D5" s="2" t="s">
        <v>75</v>
      </c>
      <c r="E5" t="s" vm="3">
        <v>88</v>
      </c>
      <c r="M5" s="2" t="s">
        <v>82</v>
      </c>
      <c r="N5" t="s" vm="2">
        <v>62</v>
      </c>
    </row>
    <row r="7" spans="1:22" x14ac:dyDescent="0.25">
      <c r="A7" s="2" t="s">
        <v>72</v>
      </c>
      <c r="B7" t="s">
        <v>80</v>
      </c>
      <c r="D7" s="2" t="s">
        <v>72</v>
      </c>
      <c r="E7" t="s">
        <v>80</v>
      </c>
      <c r="G7" s="2" t="s">
        <v>72</v>
      </c>
      <c r="H7" t="s">
        <v>80</v>
      </c>
      <c r="J7" s="2" t="s">
        <v>86</v>
      </c>
      <c r="K7" t="s">
        <v>63</v>
      </c>
      <c r="M7" s="2" t="s">
        <v>86</v>
      </c>
      <c r="N7" t="s">
        <v>63</v>
      </c>
      <c r="O7" t="s">
        <v>81</v>
      </c>
      <c r="P7" t="s">
        <v>74</v>
      </c>
      <c r="R7" s="2" t="s">
        <v>60</v>
      </c>
      <c r="S7" t="s">
        <v>63</v>
      </c>
      <c r="U7" s="2" t="s">
        <v>71</v>
      </c>
      <c r="V7" t="s">
        <v>80</v>
      </c>
    </row>
    <row r="8" spans="1:22" x14ac:dyDescent="0.25">
      <c r="A8" t="s">
        <v>109</v>
      </c>
      <c r="B8" s="1">
        <v>3256.31</v>
      </c>
      <c r="D8" t="s">
        <v>5</v>
      </c>
      <c r="E8" s="1">
        <v>1779.84</v>
      </c>
      <c r="G8" t="s">
        <v>109</v>
      </c>
      <c r="H8" s="1">
        <v>3256.31</v>
      </c>
      <c r="J8" s="3" t="s">
        <v>36</v>
      </c>
      <c r="K8" s="1"/>
      <c r="M8" s="3" t="s">
        <v>55</v>
      </c>
      <c r="N8" s="1"/>
      <c r="O8" s="1"/>
      <c r="P8" s="1"/>
      <c r="R8" s="3" t="s">
        <v>36</v>
      </c>
      <c r="S8" s="1">
        <v>12691.89</v>
      </c>
      <c r="U8" s="3" t="s">
        <v>34</v>
      </c>
      <c r="V8" s="1">
        <v>21404.78</v>
      </c>
    </row>
    <row r="9" spans="1:22" x14ac:dyDescent="0.25">
      <c r="A9" t="s">
        <v>4</v>
      </c>
      <c r="B9" s="1">
        <v>45316.08</v>
      </c>
      <c r="D9" t="s">
        <v>6</v>
      </c>
      <c r="E9" s="1">
        <v>8500</v>
      </c>
      <c r="G9" t="s">
        <v>4</v>
      </c>
      <c r="H9" s="1">
        <v>45316.08</v>
      </c>
      <c r="J9" s="4" t="s">
        <v>17</v>
      </c>
      <c r="K9" s="1">
        <v>8732.84</v>
      </c>
      <c r="M9" s="4" t="s">
        <v>118</v>
      </c>
      <c r="N9" s="1">
        <v>0</v>
      </c>
      <c r="O9" s="1">
        <v>0</v>
      </c>
      <c r="P9" s="1">
        <v>0</v>
      </c>
      <c r="Q9" s="1"/>
      <c r="R9" s="3" t="s">
        <v>46</v>
      </c>
      <c r="S9" s="1">
        <v>11999.94</v>
      </c>
      <c r="U9" s="3" t="s">
        <v>50</v>
      </c>
      <c r="V9" s="1">
        <v>3256.31</v>
      </c>
    </row>
    <row r="10" spans="1:22" x14ac:dyDescent="0.25">
      <c r="A10" t="s">
        <v>5</v>
      </c>
      <c r="B10" s="1">
        <v>5929.54</v>
      </c>
      <c r="D10" t="s">
        <v>15</v>
      </c>
      <c r="E10" s="1">
        <v>6500</v>
      </c>
      <c r="G10" t="s">
        <v>5</v>
      </c>
      <c r="H10" s="1">
        <v>5929.54</v>
      </c>
      <c r="J10" s="4" t="s">
        <v>27</v>
      </c>
      <c r="K10" s="1">
        <v>3959.05</v>
      </c>
      <c r="M10" s="3" t="s">
        <v>38</v>
      </c>
      <c r="N10" s="1"/>
      <c r="O10" s="1"/>
      <c r="P10" s="1"/>
      <c r="Q10" s="1"/>
      <c r="R10" s="3" t="s">
        <v>37</v>
      </c>
      <c r="S10" s="1">
        <v>2536.8000000000002</v>
      </c>
      <c r="U10" s="3" t="s">
        <v>57</v>
      </c>
      <c r="V10" s="1">
        <v>45316.08</v>
      </c>
    </row>
    <row r="11" spans="1:22" x14ac:dyDescent="0.25">
      <c r="A11" t="s">
        <v>17</v>
      </c>
      <c r="B11" s="1">
        <v>4335.45</v>
      </c>
      <c r="D11" t="s">
        <v>61</v>
      </c>
      <c r="E11" s="1">
        <v>16779.84</v>
      </c>
      <c r="G11" t="s">
        <v>17</v>
      </c>
      <c r="H11" s="1">
        <v>4335.45</v>
      </c>
      <c r="J11" s="3" t="s">
        <v>46</v>
      </c>
      <c r="K11" s="1"/>
      <c r="M11" s="4" t="s">
        <v>119</v>
      </c>
      <c r="N11" s="1">
        <v>0</v>
      </c>
      <c r="O11" s="1">
        <v>0</v>
      </c>
      <c r="P11" s="1">
        <v>0</v>
      </c>
      <c r="Q11" s="1"/>
      <c r="R11" s="3" t="s">
        <v>42</v>
      </c>
      <c r="S11" s="1">
        <v>817.96</v>
      </c>
      <c r="U11" s="3" t="s">
        <v>36</v>
      </c>
      <c r="V11" s="1">
        <v>9211.02</v>
      </c>
    </row>
    <row r="12" spans="1:22" x14ac:dyDescent="0.25">
      <c r="A12" t="s">
        <v>6</v>
      </c>
      <c r="B12" s="1">
        <v>24362.26</v>
      </c>
      <c r="G12" t="s">
        <v>6</v>
      </c>
      <c r="H12" s="1">
        <v>24362.26</v>
      </c>
      <c r="J12" s="4" t="s">
        <v>16</v>
      </c>
      <c r="K12" s="1">
        <v>11999.94</v>
      </c>
      <c r="M12" s="4" t="s">
        <v>18</v>
      </c>
      <c r="N12" s="1">
        <v>0</v>
      </c>
      <c r="O12" s="1">
        <v>0</v>
      </c>
      <c r="P12" s="1">
        <v>0</v>
      </c>
      <c r="Q12" s="1"/>
      <c r="R12" s="3" t="s">
        <v>44</v>
      </c>
      <c r="S12" s="1">
        <v>36997.07</v>
      </c>
      <c r="U12" s="3" t="s">
        <v>45</v>
      </c>
      <c r="V12" s="1">
        <v>1805.72</v>
      </c>
    </row>
    <row r="13" spans="1:22" x14ac:dyDescent="0.25">
      <c r="A13" t="s">
        <v>21</v>
      </c>
      <c r="B13" s="1">
        <v>3968.18</v>
      </c>
      <c r="G13" t="s">
        <v>21</v>
      </c>
      <c r="H13" s="1">
        <v>3968.18</v>
      </c>
      <c r="J13" s="3" t="s">
        <v>37</v>
      </c>
      <c r="K13" s="1"/>
      <c r="M13" s="3" t="s">
        <v>35</v>
      </c>
      <c r="N13" s="1"/>
      <c r="O13" s="1"/>
      <c r="P13" s="1"/>
      <c r="Q13" s="1"/>
      <c r="R13" s="3" t="s">
        <v>56</v>
      </c>
      <c r="S13" s="1">
        <v>9385.09</v>
      </c>
      <c r="U13" s="3" t="s">
        <v>46</v>
      </c>
      <c r="V13" s="1">
        <v>710.83</v>
      </c>
    </row>
    <row r="14" spans="1:22" x14ac:dyDescent="0.25">
      <c r="A14" t="s">
        <v>115</v>
      </c>
      <c r="B14" s="1">
        <v>1805.72</v>
      </c>
      <c r="G14" t="s">
        <v>115</v>
      </c>
      <c r="H14" s="1">
        <v>1805.72</v>
      </c>
      <c r="J14" s="4" t="s">
        <v>9</v>
      </c>
      <c r="K14" s="1">
        <v>2536.8000000000002</v>
      </c>
      <c r="M14" s="4" t="s">
        <v>120</v>
      </c>
      <c r="N14" s="1">
        <v>7421.13</v>
      </c>
      <c r="O14" s="1">
        <v>0</v>
      </c>
      <c r="P14" s="1">
        <v>-7421.13</v>
      </c>
      <c r="R14" s="3" t="s">
        <v>61</v>
      </c>
      <c r="S14" s="1">
        <v>74428.75</v>
      </c>
      <c r="U14" s="3" t="s">
        <v>51</v>
      </c>
      <c r="V14" s="1">
        <v>2083.92</v>
      </c>
    </row>
    <row r="15" spans="1:22" x14ac:dyDescent="0.25">
      <c r="A15" t="s">
        <v>96</v>
      </c>
      <c r="B15" s="1">
        <v>710.83</v>
      </c>
      <c r="G15" t="s">
        <v>96</v>
      </c>
      <c r="H15" s="1">
        <v>710.83</v>
      </c>
      <c r="J15" s="3" t="s">
        <v>42</v>
      </c>
      <c r="K15" s="1"/>
      <c r="M15" s="4" t="s">
        <v>25</v>
      </c>
      <c r="N15" s="1">
        <v>0</v>
      </c>
      <c r="O15" s="1">
        <v>0</v>
      </c>
      <c r="P15" s="1">
        <v>0</v>
      </c>
      <c r="U15" s="3" t="s">
        <v>44</v>
      </c>
      <c r="V15" s="1">
        <v>34830.44</v>
      </c>
    </row>
    <row r="16" spans="1:22" x14ac:dyDescent="0.25">
      <c r="A16" t="s">
        <v>7</v>
      </c>
      <c r="B16" s="1">
        <v>2083.92</v>
      </c>
      <c r="G16" t="s">
        <v>7</v>
      </c>
      <c r="H16" s="1">
        <v>2083.92</v>
      </c>
      <c r="J16" s="4" t="s">
        <v>28</v>
      </c>
      <c r="K16" s="1">
        <v>817.96</v>
      </c>
      <c r="M16" s="4" t="s">
        <v>26</v>
      </c>
      <c r="N16" s="1">
        <v>0</v>
      </c>
      <c r="O16" s="1">
        <v>0</v>
      </c>
      <c r="P16" s="1">
        <v>0</v>
      </c>
      <c r="U16" s="3" t="s">
        <v>53</v>
      </c>
      <c r="V16" s="1">
        <v>5929.54</v>
      </c>
    </row>
    <row r="17" spans="1:22" x14ac:dyDescent="0.25">
      <c r="A17" t="s">
        <v>19</v>
      </c>
      <c r="B17" s="1">
        <v>4875.57</v>
      </c>
      <c r="G17" t="s">
        <v>19</v>
      </c>
      <c r="H17" s="1">
        <v>4875.57</v>
      </c>
      <c r="J17" s="3" t="s">
        <v>44</v>
      </c>
      <c r="K17" s="1"/>
      <c r="M17" s="3" t="s">
        <v>34</v>
      </c>
      <c r="N17" s="1"/>
      <c r="O17" s="1"/>
      <c r="P17" s="1"/>
      <c r="U17" s="3" t="s">
        <v>61</v>
      </c>
      <c r="V17" s="1">
        <v>124548.64</v>
      </c>
    </row>
    <row r="18" spans="1:22" x14ac:dyDescent="0.25">
      <c r="A18" t="s">
        <v>2</v>
      </c>
      <c r="B18" s="1">
        <v>20013.349999999999</v>
      </c>
      <c r="G18" t="s">
        <v>2</v>
      </c>
      <c r="H18" s="1">
        <v>20013.349999999999</v>
      </c>
      <c r="J18" s="4" t="s">
        <v>14</v>
      </c>
      <c r="K18" s="1">
        <v>36997.07</v>
      </c>
      <c r="M18" s="4" t="s">
        <v>121</v>
      </c>
      <c r="N18" s="1">
        <v>58119.16</v>
      </c>
      <c r="O18" s="1">
        <v>0</v>
      </c>
      <c r="P18" s="1">
        <v>-58119.16</v>
      </c>
    </row>
    <row r="19" spans="1:22" x14ac:dyDescent="0.25">
      <c r="A19" t="s">
        <v>1</v>
      </c>
      <c r="B19" s="1">
        <v>1391.43</v>
      </c>
      <c r="G19" t="s">
        <v>1</v>
      </c>
      <c r="H19" s="1">
        <v>1391.43</v>
      </c>
      <c r="J19" s="3" t="s">
        <v>56</v>
      </c>
      <c r="K19" s="1"/>
      <c r="M19" s="4" t="s">
        <v>122</v>
      </c>
      <c r="N19" s="1">
        <v>0</v>
      </c>
      <c r="O19" s="1">
        <v>0</v>
      </c>
      <c r="P19" s="1">
        <v>0</v>
      </c>
    </row>
    <row r="20" spans="1:22" x14ac:dyDescent="0.25">
      <c r="A20" t="s">
        <v>15</v>
      </c>
      <c r="B20" s="1">
        <v>6500</v>
      </c>
      <c r="G20" t="s">
        <v>15</v>
      </c>
      <c r="H20" s="1">
        <v>6500</v>
      </c>
      <c r="J20" s="4" t="s">
        <v>24</v>
      </c>
      <c r="K20" s="1">
        <v>9385.09</v>
      </c>
      <c r="M20" s="4" t="s">
        <v>123</v>
      </c>
      <c r="N20" s="1">
        <v>0</v>
      </c>
      <c r="O20" s="1">
        <v>0</v>
      </c>
      <c r="P20" s="1">
        <v>0</v>
      </c>
    </row>
    <row r="21" spans="1:22" x14ac:dyDescent="0.25">
      <c r="A21" t="s">
        <v>61</v>
      </c>
      <c r="B21" s="1">
        <v>124548.64</v>
      </c>
      <c r="G21" t="s">
        <v>61</v>
      </c>
      <c r="H21" s="1">
        <v>124548.64</v>
      </c>
      <c r="J21" s="3" t="s">
        <v>61</v>
      </c>
      <c r="K21" s="1">
        <v>74428.75</v>
      </c>
      <c r="M21" s="4" t="s">
        <v>124</v>
      </c>
      <c r="N21" s="1">
        <v>0</v>
      </c>
      <c r="O21" s="1">
        <v>0</v>
      </c>
      <c r="P21" s="1">
        <v>0</v>
      </c>
    </row>
    <row r="22" spans="1:22" x14ac:dyDescent="0.25">
      <c r="M22" s="4" t="s">
        <v>2</v>
      </c>
      <c r="N22" s="1">
        <v>0</v>
      </c>
      <c r="O22" s="1">
        <v>20013.349999999999</v>
      </c>
      <c r="P22" s="1">
        <v>20013.349999999999</v>
      </c>
    </row>
    <row r="23" spans="1:22" x14ac:dyDescent="0.25">
      <c r="M23" s="4" t="s">
        <v>1</v>
      </c>
      <c r="N23" s="1">
        <v>0</v>
      </c>
      <c r="O23" s="1">
        <v>1391.43</v>
      </c>
      <c r="P23" s="1">
        <v>1391.43</v>
      </c>
    </row>
    <row r="24" spans="1:22" x14ac:dyDescent="0.25">
      <c r="M24" s="4" t="s">
        <v>23</v>
      </c>
      <c r="N24" s="1">
        <v>0</v>
      </c>
      <c r="O24" s="1">
        <v>0</v>
      </c>
      <c r="P24" s="1">
        <v>0</v>
      </c>
    </row>
    <row r="25" spans="1:22" x14ac:dyDescent="0.25">
      <c r="M25" s="3" t="s">
        <v>50</v>
      </c>
      <c r="N25" s="1"/>
      <c r="O25" s="1"/>
      <c r="P25" s="1"/>
    </row>
    <row r="26" spans="1:22" x14ac:dyDescent="0.25">
      <c r="M26" s="4" t="s">
        <v>109</v>
      </c>
      <c r="N26" s="1">
        <v>0</v>
      </c>
      <c r="O26" s="1">
        <v>3256.31</v>
      </c>
      <c r="P26" s="1">
        <v>3256.31</v>
      </c>
    </row>
    <row r="27" spans="1:22" x14ac:dyDescent="0.25">
      <c r="M27" s="4" t="s">
        <v>125</v>
      </c>
      <c r="N27" s="1">
        <v>0</v>
      </c>
      <c r="O27" s="1">
        <v>0</v>
      </c>
      <c r="P27" s="1">
        <v>0</v>
      </c>
    </row>
    <row r="28" spans="1:22" x14ac:dyDescent="0.25">
      <c r="M28" s="3" t="s">
        <v>57</v>
      </c>
      <c r="N28" s="1"/>
      <c r="O28" s="1"/>
      <c r="P28" s="1"/>
    </row>
    <row r="29" spans="1:22" x14ac:dyDescent="0.25">
      <c r="M29" s="4" t="s">
        <v>4</v>
      </c>
      <c r="N29" s="1">
        <v>0</v>
      </c>
      <c r="O29" s="1">
        <v>45316.08</v>
      </c>
      <c r="P29" s="1">
        <v>45316.08</v>
      </c>
    </row>
    <row r="30" spans="1:22" x14ac:dyDescent="0.25">
      <c r="M30" s="3" t="s">
        <v>36</v>
      </c>
      <c r="N30" s="1"/>
      <c r="O30" s="1"/>
      <c r="P30" s="1"/>
    </row>
    <row r="31" spans="1:22" x14ac:dyDescent="0.25">
      <c r="M31" s="4" t="s">
        <v>126</v>
      </c>
      <c r="N31" s="1">
        <v>20299.484</v>
      </c>
      <c r="O31" s="1">
        <v>0</v>
      </c>
      <c r="P31" s="1">
        <v>-20299.484</v>
      </c>
    </row>
    <row r="32" spans="1:22" x14ac:dyDescent="0.25">
      <c r="M32" s="4" t="s">
        <v>12</v>
      </c>
      <c r="N32" s="1">
        <v>0</v>
      </c>
      <c r="O32" s="1">
        <v>0</v>
      </c>
      <c r="P32" s="1">
        <v>0</v>
      </c>
    </row>
    <row r="33" spans="13:16" x14ac:dyDescent="0.25">
      <c r="M33" s="4" t="s">
        <v>17</v>
      </c>
      <c r="N33" s="1">
        <v>10327.39</v>
      </c>
      <c r="O33" s="1">
        <v>4335.45</v>
      </c>
      <c r="P33" s="1">
        <v>-5991.94</v>
      </c>
    </row>
    <row r="34" spans="13:16" x14ac:dyDescent="0.25">
      <c r="M34" s="4" t="s">
        <v>27</v>
      </c>
      <c r="N34" s="1">
        <v>4681.9399999999996</v>
      </c>
      <c r="O34" s="1">
        <v>0</v>
      </c>
      <c r="P34" s="1">
        <v>-4681.9399999999996</v>
      </c>
    </row>
    <row r="35" spans="13:16" x14ac:dyDescent="0.25">
      <c r="M35" s="4" t="s">
        <v>19</v>
      </c>
      <c r="N35" s="1">
        <v>0</v>
      </c>
      <c r="O35" s="1">
        <v>4875.57</v>
      </c>
      <c r="P35" s="1">
        <v>4875.57</v>
      </c>
    </row>
    <row r="36" spans="13:16" x14ac:dyDescent="0.25">
      <c r="M36" s="4" t="s">
        <v>20</v>
      </c>
      <c r="N36" s="1">
        <v>0</v>
      </c>
      <c r="O36" s="1">
        <v>0</v>
      </c>
      <c r="P36" s="1">
        <v>0</v>
      </c>
    </row>
    <row r="37" spans="13:16" x14ac:dyDescent="0.25">
      <c r="M37" s="3" t="s">
        <v>41</v>
      </c>
      <c r="N37" s="1"/>
      <c r="O37" s="1"/>
      <c r="P37" s="1"/>
    </row>
    <row r="38" spans="13:16" x14ac:dyDescent="0.25">
      <c r="M38" s="4" t="s">
        <v>127</v>
      </c>
      <c r="N38" s="1">
        <v>3818.67</v>
      </c>
      <c r="O38" s="1">
        <v>0</v>
      </c>
      <c r="P38" s="1">
        <v>-3818.67</v>
      </c>
    </row>
    <row r="39" spans="13:16" x14ac:dyDescent="0.25">
      <c r="M39" s="4" t="s">
        <v>22</v>
      </c>
      <c r="N39" s="1">
        <v>0</v>
      </c>
      <c r="O39" s="1">
        <v>0</v>
      </c>
      <c r="P39" s="1">
        <v>0</v>
      </c>
    </row>
    <row r="40" spans="13:16" x14ac:dyDescent="0.25">
      <c r="M40" s="3" t="s">
        <v>45</v>
      </c>
      <c r="N40" s="1"/>
      <c r="O40" s="1"/>
      <c r="P40" s="1"/>
    </row>
    <row r="41" spans="13:16" x14ac:dyDescent="0.25">
      <c r="M41" s="4" t="s">
        <v>115</v>
      </c>
      <c r="N41" s="1">
        <v>0</v>
      </c>
      <c r="O41" s="1">
        <v>1805.72</v>
      </c>
      <c r="P41" s="1">
        <v>1805.72</v>
      </c>
    </row>
    <row r="42" spans="13:16" x14ac:dyDescent="0.25">
      <c r="M42" s="3" t="s">
        <v>46</v>
      </c>
      <c r="N42" s="1"/>
      <c r="O42" s="1"/>
      <c r="P42" s="1"/>
    </row>
    <row r="43" spans="13:16" x14ac:dyDescent="0.25">
      <c r="M43" s="4" t="s">
        <v>16</v>
      </c>
      <c r="N43" s="1">
        <v>14191.04</v>
      </c>
      <c r="O43" s="1">
        <v>0</v>
      </c>
      <c r="P43" s="1">
        <v>-14191.04</v>
      </c>
    </row>
    <row r="44" spans="13:16" x14ac:dyDescent="0.25">
      <c r="M44" s="4" t="s">
        <v>96</v>
      </c>
      <c r="N44" s="1">
        <v>0</v>
      </c>
      <c r="O44" s="1">
        <v>710.83</v>
      </c>
      <c r="P44" s="1">
        <v>710.83</v>
      </c>
    </row>
    <row r="45" spans="13:16" x14ac:dyDescent="0.25">
      <c r="M45" s="3" t="s">
        <v>37</v>
      </c>
      <c r="N45" s="1"/>
      <c r="O45" s="1"/>
      <c r="P45" s="1"/>
    </row>
    <row r="46" spans="13:16" x14ac:dyDescent="0.25">
      <c r="M46" s="4" t="s">
        <v>128</v>
      </c>
      <c r="N46" s="1">
        <v>8847.2800000000007</v>
      </c>
      <c r="O46" s="1">
        <v>0</v>
      </c>
      <c r="P46" s="1">
        <v>-8847.2800000000007</v>
      </c>
    </row>
    <row r="47" spans="13:16" x14ac:dyDescent="0.25">
      <c r="M47" s="4" t="s">
        <v>9</v>
      </c>
      <c r="N47" s="1">
        <v>3000</v>
      </c>
      <c r="O47" s="1">
        <v>0</v>
      </c>
      <c r="P47" s="1">
        <v>-3000</v>
      </c>
    </row>
    <row r="48" spans="13:16" x14ac:dyDescent="0.25">
      <c r="M48" s="4" t="s">
        <v>129</v>
      </c>
      <c r="N48" s="1">
        <v>1438.5</v>
      </c>
      <c r="O48" s="1">
        <v>0</v>
      </c>
      <c r="P48" s="1">
        <v>-1438.5</v>
      </c>
    </row>
    <row r="49" spans="13:16" x14ac:dyDescent="0.25">
      <c r="M49" s="4" t="s">
        <v>11</v>
      </c>
      <c r="N49" s="1">
        <v>0</v>
      </c>
      <c r="O49" s="1">
        <v>0</v>
      </c>
      <c r="P49" s="1">
        <v>0</v>
      </c>
    </row>
    <row r="50" spans="13:16" x14ac:dyDescent="0.25">
      <c r="M50" s="4" t="s">
        <v>10</v>
      </c>
      <c r="N50" s="1">
        <v>0</v>
      </c>
      <c r="O50" s="1">
        <v>0</v>
      </c>
      <c r="P50" s="1">
        <v>0</v>
      </c>
    </row>
    <row r="51" spans="13:16" x14ac:dyDescent="0.25">
      <c r="M51" s="4" t="s">
        <v>13</v>
      </c>
      <c r="N51" s="1">
        <v>0</v>
      </c>
      <c r="O51" s="1">
        <v>0</v>
      </c>
      <c r="P51" s="1">
        <v>0</v>
      </c>
    </row>
    <row r="52" spans="13:16" x14ac:dyDescent="0.25">
      <c r="M52" s="3" t="s">
        <v>54</v>
      </c>
      <c r="N52" s="1"/>
      <c r="O52" s="1"/>
      <c r="P52" s="1"/>
    </row>
    <row r="53" spans="13:16" x14ac:dyDescent="0.25">
      <c r="M53" s="4" t="s">
        <v>130</v>
      </c>
      <c r="N53" s="1">
        <v>0</v>
      </c>
      <c r="O53" s="1">
        <v>0</v>
      </c>
      <c r="P53" s="1">
        <v>0</v>
      </c>
    </row>
    <row r="54" spans="13:16" x14ac:dyDescent="0.25">
      <c r="M54" s="3" t="s">
        <v>42</v>
      </c>
      <c r="N54" s="1"/>
      <c r="O54" s="1"/>
      <c r="P54" s="1"/>
    </row>
    <row r="55" spans="13:16" x14ac:dyDescent="0.25">
      <c r="M55" s="4" t="s">
        <v>28</v>
      </c>
      <c r="N55" s="1">
        <v>1105.5</v>
      </c>
      <c r="O55" s="1">
        <v>0</v>
      </c>
      <c r="P55" s="1">
        <v>-1105.5</v>
      </c>
    </row>
    <row r="56" spans="13:16" x14ac:dyDescent="0.25">
      <c r="M56" s="3" t="s">
        <v>51</v>
      </c>
      <c r="N56" s="1"/>
      <c r="O56" s="1"/>
      <c r="P56" s="1"/>
    </row>
    <row r="57" spans="13:16" x14ac:dyDescent="0.25">
      <c r="M57" s="4" t="s">
        <v>131</v>
      </c>
      <c r="N57" s="1">
        <v>0</v>
      </c>
      <c r="O57" s="1">
        <v>0</v>
      </c>
      <c r="P57" s="1">
        <v>0</v>
      </c>
    </row>
    <row r="58" spans="13:16" x14ac:dyDescent="0.25">
      <c r="M58" s="4" t="s">
        <v>132</v>
      </c>
      <c r="N58" s="1">
        <v>0</v>
      </c>
      <c r="O58" s="1">
        <v>0</v>
      </c>
      <c r="P58" s="1">
        <v>0</v>
      </c>
    </row>
    <row r="59" spans="13:16" x14ac:dyDescent="0.25">
      <c r="M59" s="4" t="s">
        <v>133</v>
      </c>
      <c r="N59" s="1">
        <v>0</v>
      </c>
      <c r="O59" s="1">
        <v>0</v>
      </c>
      <c r="P59" s="1">
        <v>0</v>
      </c>
    </row>
    <row r="60" spans="13:16" x14ac:dyDescent="0.25">
      <c r="M60" s="4" t="s">
        <v>7</v>
      </c>
      <c r="N60" s="1">
        <v>0</v>
      </c>
      <c r="O60" s="1">
        <v>2083.92</v>
      </c>
      <c r="P60" s="1">
        <v>2083.92</v>
      </c>
    </row>
    <row r="61" spans="13:16" x14ac:dyDescent="0.25">
      <c r="M61" s="4" t="s">
        <v>8</v>
      </c>
      <c r="N61" s="1">
        <v>0</v>
      </c>
      <c r="O61" s="1">
        <v>0</v>
      </c>
      <c r="P61" s="1">
        <v>0</v>
      </c>
    </row>
    <row r="62" spans="13:16" x14ac:dyDescent="0.25">
      <c r="M62" s="3" t="s">
        <v>44</v>
      </c>
      <c r="N62" s="1"/>
      <c r="O62" s="1"/>
      <c r="P62" s="1"/>
    </row>
    <row r="63" spans="13:16" x14ac:dyDescent="0.25">
      <c r="M63" s="4" t="s">
        <v>134</v>
      </c>
      <c r="N63" s="1">
        <v>0</v>
      </c>
      <c r="O63" s="1">
        <v>0</v>
      </c>
      <c r="P63" s="1">
        <v>0</v>
      </c>
    </row>
    <row r="64" spans="13:16" x14ac:dyDescent="0.25">
      <c r="M64" s="4" t="s">
        <v>14</v>
      </c>
      <c r="N64" s="1">
        <v>50002.8</v>
      </c>
      <c r="O64" s="1">
        <v>0</v>
      </c>
      <c r="P64" s="1">
        <v>-50002.8</v>
      </c>
    </row>
    <row r="65" spans="13:16" x14ac:dyDescent="0.25">
      <c r="M65" s="4" t="s">
        <v>135</v>
      </c>
      <c r="N65" s="1">
        <v>2470</v>
      </c>
      <c r="O65" s="1">
        <v>0</v>
      </c>
      <c r="P65" s="1">
        <v>-2470</v>
      </c>
    </row>
    <row r="66" spans="13:16" x14ac:dyDescent="0.25">
      <c r="M66" s="4" t="s">
        <v>6</v>
      </c>
      <c r="N66" s="1">
        <v>0</v>
      </c>
      <c r="O66" s="1">
        <v>24362.260000000002</v>
      </c>
      <c r="P66" s="1">
        <v>24362.260000000002</v>
      </c>
    </row>
    <row r="67" spans="13:16" x14ac:dyDescent="0.25">
      <c r="M67" s="4" t="s">
        <v>21</v>
      </c>
      <c r="N67" s="1">
        <v>0</v>
      </c>
      <c r="O67" s="1">
        <v>3968.18</v>
      </c>
      <c r="P67" s="1">
        <v>3968.18</v>
      </c>
    </row>
    <row r="68" spans="13:16" x14ac:dyDescent="0.25">
      <c r="M68" s="4" t="s">
        <v>3</v>
      </c>
      <c r="N68" s="1">
        <v>0</v>
      </c>
      <c r="O68" s="1">
        <v>0</v>
      </c>
      <c r="P68" s="1">
        <v>0</v>
      </c>
    </row>
    <row r="69" spans="13:16" x14ac:dyDescent="0.25">
      <c r="M69" s="4" t="s">
        <v>15</v>
      </c>
      <c r="N69" s="1">
        <v>0</v>
      </c>
      <c r="O69" s="1">
        <v>6500</v>
      </c>
      <c r="P69" s="1">
        <v>6500</v>
      </c>
    </row>
    <row r="70" spans="13:16" x14ac:dyDescent="0.25">
      <c r="M70" s="3" t="s">
        <v>53</v>
      </c>
      <c r="N70" s="1"/>
      <c r="O70" s="1"/>
      <c r="P70" s="1"/>
    </row>
    <row r="71" spans="13:16" x14ac:dyDescent="0.25">
      <c r="M71" s="4" t="s">
        <v>5</v>
      </c>
      <c r="N71" s="1">
        <v>0</v>
      </c>
      <c r="O71" s="1">
        <v>5929.54</v>
      </c>
      <c r="P71" s="1">
        <v>5929.54</v>
      </c>
    </row>
    <row r="72" spans="13:16" x14ac:dyDescent="0.25">
      <c r="M72" s="3" t="s">
        <v>56</v>
      </c>
      <c r="N72" s="1"/>
      <c r="O72" s="1"/>
      <c r="P72" s="1"/>
    </row>
    <row r="73" spans="13:16" x14ac:dyDescent="0.25">
      <c r="M73" s="4" t="s">
        <v>24</v>
      </c>
      <c r="N73" s="1">
        <v>11098.74</v>
      </c>
      <c r="O73" s="1">
        <v>0</v>
      </c>
      <c r="P73" s="1">
        <v>-11098.74</v>
      </c>
    </row>
    <row r="74" spans="13:16" x14ac:dyDescent="0.25">
      <c r="M74" s="3" t="s">
        <v>52</v>
      </c>
      <c r="N74" s="1"/>
      <c r="O74" s="1"/>
      <c r="P74" s="1"/>
    </row>
    <row r="75" spans="13:16" x14ac:dyDescent="0.25">
      <c r="M75" s="4" t="s">
        <v>136</v>
      </c>
      <c r="N75" s="1">
        <v>0</v>
      </c>
      <c r="O75" s="1">
        <v>0</v>
      </c>
      <c r="P75" s="1">
        <v>0</v>
      </c>
    </row>
    <row r="76" spans="13:16" x14ac:dyDescent="0.25">
      <c r="M76" s="3" t="s">
        <v>61</v>
      </c>
      <c r="N76" s="1">
        <v>196821.63399999999</v>
      </c>
      <c r="O76" s="1">
        <v>124548.63999999998</v>
      </c>
      <c r="P76" s="1">
        <v>-72272.994000000006</v>
      </c>
    </row>
  </sheetData>
  <mergeCells count="7">
    <mergeCell ref="U1:V2"/>
    <mergeCell ref="A1:B2"/>
    <mergeCell ref="D1:E2"/>
    <mergeCell ref="G1:H2"/>
    <mergeCell ref="J1:K2"/>
    <mergeCell ref="R1:S2"/>
    <mergeCell ref="M1:P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B4"/>
  <sheetViews>
    <sheetView showGridLines="0" workbookViewId="0">
      <selection activeCell="B3" sqref="B3"/>
    </sheetView>
  </sheetViews>
  <sheetFormatPr defaultRowHeight="15" x14ac:dyDescent="0.25"/>
  <cols>
    <col min="1" max="1" width="18.140625" bestFit="1" customWidth="1"/>
    <col min="2" max="2" width="11.28515625" style="5" bestFit="1" customWidth="1"/>
  </cols>
  <sheetData>
    <row r="1" spans="1:2" x14ac:dyDescent="0.25">
      <c r="A1" s="2" t="s">
        <v>85</v>
      </c>
      <c r="B1" s="5" t="s">
        <v>87</v>
      </c>
    </row>
    <row r="2" spans="1:2" x14ac:dyDescent="0.25">
      <c r="A2" t="s">
        <v>83</v>
      </c>
      <c r="B2" s="5">
        <v>144655.76000000018</v>
      </c>
    </row>
    <row r="3" spans="1:2" x14ac:dyDescent="0.25">
      <c r="A3" t="s">
        <v>84</v>
      </c>
      <c r="B3" s="5">
        <v>201533.44000000006</v>
      </c>
    </row>
    <row r="4" spans="1:2" x14ac:dyDescent="0.25">
      <c r="A4" t="s">
        <v>61</v>
      </c>
      <c r="B4" s="5">
        <v>346189.20000000024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49012496-4FCF-4AE6-99D1-94BF9E0C7C68}">
  <ds:schemaRefs/>
</ds:datastoreItem>
</file>

<file path=customXml/itemProps2.xml><?xml version="1.0" encoding="utf-8"?>
<ds:datastoreItem xmlns:ds="http://schemas.openxmlformats.org/officeDocument/2006/customXml" ds:itemID="{73279E5D-ED54-4484-B14F-65F5FA25A582}">
  <ds:schemaRefs/>
</ds:datastoreItem>
</file>

<file path=customXml/itemProps3.xml><?xml version="1.0" encoding="utf-8"?>
<ds:datastoreItem xmlns:ds="http://schemas.openxmlformats.org/officeDocument/2006/customXml" ds:itemID="{ABD3D19E-117C-4AFF-8937-AF76DEF06355}">
  <ds:schemaRefs/>
</ds:datastoreItem>
</file>

<file path=customXml/itemProps4.xml><?xml version="1.0" encoding="utf-8"?>
<ds:datastoreItem xmlns:ds="http://schemas.openxmlformats.org/officeDocument/2006/customXml" ds:itemID="{1CF74B85-1FB7-4573-B187-D8C837B28436}">
  <ds:schemaRefs/>
</ds:datastoreItem>
</file>

<file path=customXml/itemProps5.xml><?xml version="1.0" encoding="utf-8"?>
<ds:datastoreItem xmlns:ds="http://schemas.openxmlformats.org/officeDocument/2006/customXml" ds:itemID="{698DEF0B-3684-449E-87D1-AEC34B032A26}">
  <ds:schemaRefs/>
</ds:datastoreItem>
</file>

<file path=customXml/itemProps6.xml><?xml version="1.0" encoding="utf-8"?>
<ds:datastoreItem xmlns:ds="http://schemas.openxmlformats.org/officeDocument/2006/customXml" ds:itemID="{B314A0F5-5094-4F5C-AB31-5B75E819CEEE}">
  <ds:schemaRefs/>
</ds:datastoreItem>
</file>

<file path=customXml/itemProps7.xml><?xml version="1.0" encoding="utf-8"?>
<ds:datastoreItem xmlns:ds="http://schemas.openxmlformats.org/officeDocument/2006/customXml" ds:itemID="{3AE802CE-35ED-4F19-AD6F-E78EB44D95CE}">
  <ds:schemaRefs/>
</ds:datastoreItem>
</file>

<file path=customXml/itemProps8.xml><?xml version="1.0" encoding="utf-8"?>
<ds:datastoreItem xmlns:ds="http://schemas.openxmlformats.org/officeDocument/2006/customXml" ds:itemID="{B2FA1BA6-A909-4127-AD7A-3438105EC924}">
  <ds:schemaRefs/>
</ds:datastoreItem>
</file>

<file path=customXml/itemProps9.xml><?xml version="1.0" encoding="utf-8"?>
<ds:datastoreItem xmlns:ds="http://schemas.openxmlformats.org/officeDocument/2006/customXml" ds:itemID="{C3A6158A-FB8C-4534-9DED-0D95659CFCDF}">
  <ds:schemaRefs/>
</ds:datastoreItem>
</file>

<file path=customXml/itemProps10.xml><?xml version="1.0" encoding="utf-8"?>
<ds:datastoreItem xmlns:ds="http://schemas.openxmlformats.org/officeDocument/2006/customXml" ds:itemID="{0174DD6F-8ADC-496C-8E8A-D99BCEA1690F}">
  <ds:schemaRefs/>
</ds:datastoreItem>
</file>

<file path=customXml/itemProps11.xml><?xml version="1.0" encoding="utf-8"?>
<ds:datastoreItem xmlns:ds="http://schemas.openxmlformats.org/officeDocument/2006/customXml" ds:itemID="{31FA5929-F92A-4FF1-838F-9945A0A567FB}">
  <ds:schemaRefs/>
</ds:datastoreItem>
</file>

<file path=customXml/itemProps12.xml><?xml version="1.0" encoding="utf-8"?>
<ds:datastoreItem xmlns:ds="http://schemas.openxmlformats.org/officeDocument/2006/customXml" ds:itemID="{F01B107A-FA95-4689-933E-7D2AD44BF2B8}">
  <ds:schemaRefs/>
</ds:datastoreItem>
</file>

<file path=customXml/itemProps13.xml><?xml version="1.0" encoding="utf-8"?>
<ds:datastoreItem xmlns:ds="http://schemas.openxmlformats.org/officeDocument/2006/customXml" ds:itemID="{31AA328E-6215-4AAD-9339-D0C29EC86FAE}">
  <ds:schemaRefs/>
</ds:datastoreItem>
</file>

<file path=customXml/itemProps14.xml><?xml version="1.0" encoding="utf-8"?>
<ds:datastoreItem xmlns:ds="http://schemas.openxmlformats.org/officeDocument/2006/customXml" ds:itemID="{C38F7A33-4084-46F8-8007-D79B2B08336B}">
  <ds:schemaRefs/>
</ds:datastoreItem>
</file>

<file path=customXml/itemProps15.xml><?xml version="1.0" encoding="utf-8"?>
<ds:datastoreItem xmlns:ds="http://schemas.openxmlformats.org/officeDocument/2006/customXml" ds:itemID="{5AD7E720-6D3E-408C-B3B4-6A9E36690DBC}">
  <ds:schemaRefs/>
</ds:datastoreItem>
</file>

<file path=customXml/itemProps16.xml><?xml version="1.0" encoding="utf-8"?>
<ds:datastoreItem xmlns:ds="http://schemas.openxmlformats.org/officeDocument/2006/customXml" ds:itemID="{DDABB575-3927-42DE-B7A7-29206D84956F}">
  <ds:schemaRefs/>
</ds:datastoreItem>
</file>

<file path=customXml/itemProps17.xml><?xml version="1.0" encoding="utf-8"?>
<ds:datastoreItem xmlns:ds="http://schemas.openxmlformats.org/officeDocument/2006/customXml" ds:itemID="{AF581C9E-6DE3-460C-9F70-5EDD5CFDAC9B}">
  <ds:schemaRefs/>
</ds:datastoreItem>
</file>

<file path=customXml/itemProps18.xml><?xml version="1.0" encoding="utf-8"?>
<ds:datastoreItem xmlns:ds="http://schemas.openxmlformats.org/officeDocument/2006/customXml" ds:itemID="{DFEB6609-595A-4DD7-92A3-04AB9295719A}">
  <ds:schemaRefs/>
</ds:datastoreItem>
</file>

<file path=customXml/itemProps19.xml><?xml version="1.0" encoding="utf-8"?>
<ds:datastoreItem xmlns:ds="http://schemas.openxmlformats.org/officeDocument/2006/customXml" ds:itemID="{55B1924E-DE37-4460-9C11-626D1E99A3A9}">
  <ds:schemaRefs/>
</ds:datastoreItem>
</file>

<file path=customXml/itemProps20.xml><?xml version="1.0" encoding="utf-8"?>
<ds:datastoreItem xmlns:ds="http://schemas.openxmlformats.org/officeDocument/2006/customXml" ds:itemID="{EC447B35-AD68-45A4-A384-CDBD2D9F43F7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Map </vt:lpstr>
      <vt:lpstr>Main</vt:lpstr>
      <vt:lpstr>Dashboard</vt:lpstr>
      <vt:lpstr>Value of Stock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2022-02-07T16:00:30Z</dcterms:modified>
</cp:coreProperties>
</file>