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C150ED9A-64CF-4B87-8C40-9C0CB1410B5A}" xr6:coauthVersionLast="47" xr6:coauthVersionMax="47" xr10:uidLastSave="{00000000-0000-0000-0000-000000000000}"/>
  <bookViews>
    <workbookView xWindow="-289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Value of Stock" sheetId="6" r:id="rId4"/>
  </sheets>
  <definedNames>
    <definedName name="_xlcn.WorksheetConnection_PO_PAYMENT.xlsmtbSummary1" hidden="1">tbSummary[]</definedName>
    <definedName name="ExternalData_1" localSheetId="1" hidden="1">Main!$M$1:$M$28</definedName>
    <definedName name="ExternalData_1" localSheetId="0" hidden="1">'Map '!$A$1:$B$24</definedName>
    <definedName name="path">'Map '!$H$2</definedName>
  </definedNames>
  <calcPr calcId="191029"/>
  <pivotCaches>
    <pivotCache cacheId="10" r:id="rId5"/>
    <pivotCache cacheId="13" r:id="rId6"/>
    <pivotCache cacheId="16" r:id="rId7"/>
    <pivotCache cacheId="19" r:id="rId8"/>
    <pivotCache cacheId="22" r:id="rId9"/>
    <pivotCache cacheId="25" r:id="rId10"/>
    <pivotCache cacheId="28" r:id="rId11"/>
    <pivotCache cacheId="31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6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7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8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9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0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1" xr16:uid="{6967E776-DFCC-43E9-BF72-C399FAEDCB81}" keepAlive="1" name="Query - tbSummary (2)" description="Connection to the 'tbSummary (2)' query in the workbook." type="5" refreshedVersion="7" background="1" saveData="1">
    <dbPr connection="Provider=Microsoft.Mashup.OleDb.1;Data Source=$Workbook$;Location=&quot;tbSummary (2)&quot;;Extended Properties=&quot;&quot;" command="SELECT * FROM [tbSummary (2)]"/>
  </connection>
  <connection id="12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5">
    <s v="ThisWorkbookDataModel"/>
    <s v="{[tbSummary 1].[PAYMENT/DEPOSIT].[All]}"/>
    <s v="{[tbSummary 1].[PAYMENT/DEPOSIT].&amp;[Deposit]}"/>
    <s v="{[Est_Cost].[Tot Paid].&amp;[3.3E3],[Est_Cost].[Tot Paid].&amp;[6.5E3],[Est_Cost].[Tot Paid].&amp;[2.8571E3],[Est_Cost].[Tot Paid].&amp;[5.6616E2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9.99458E3],[Est_Cost].[Tot Paid].&amp;[1.422914E4],[Est_Cost].[Tot Paid].&amp;[1.779191E4],[Est_Cost].[Tot Paid].&amp;[4.531608E4],[Est_Cost].[Tot Paid].&amp;[4.960898E4],[Est_Cost].[Tot Paid].&amp;[2.4362260000000002E4],[Est_Cost].[Tot Paid].&amp;[2.6799620000000002E4]}"/>
    <s v="{[Est_Cost].[Difference].[All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6">
    <bk>
      <rc t="1" v="0"/>
    </bk>
    <bk>
      <rc t="1" v="1"/>
    </bk>
    <bk>
      <rc t="1" v="2"/>
    </bk>
    <bk>
      <rc t="1" v="3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<sst xmlns="http://schemas.openxmlformats.org/spreadsheetml/2006/main" count="564" uniqueCount="140">
  <si>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</si>
  <si>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</si>
  <si>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</si>
  <si>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</si>
  <si>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</si>
  <si>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</si>
  <si>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</si>
  <si>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</si>
  <si>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</si>
  <si>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</si>
  <si>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</si>
  <si>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</si>
  <si>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</si>
  <si>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</si>
  <si>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</si>
  <si>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</si>
  <si>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</si>
  <si>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</si>
  <si>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</si>
  <si>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</si>
  <si>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</si>
  <si>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</si>
  <si>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</si>
  <si>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</si>
  <si>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</si>
  <si>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</si>
  <si>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</si>
  <si>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</si>
  <si>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</si>
  <si>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</si>
  <si>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</si>
  <si>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</si>
  <si>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</si>
  <si>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</si>
  <si>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</si>
  <si>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</si>
  <si>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</si>
  <si>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</si>
  <si>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</si>
  <si>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</si>
  <si>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</si>
  <si>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</si>
  <si>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</si>
  <si>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</si>
  <si>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</si>
  <si>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</si>
  <si>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</si>
  <si>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</si>
  <si>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</si>
  <si>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</si>
  <si>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</si>
  <si>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</si>
  <si>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</si>
  <si>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</si>
  <si>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</si>
  <si>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</si>
  <si>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</si>
  <si>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</si>
  <si>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</si>
  <si>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</si>
  <si>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</si>
  <si>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</si>
  <si>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</si>
  <si>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</si>
  <si>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ORDERS:REGULAR PAYMENTS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</si>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</sst>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6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microsoft.com/office/2017/06/relationships/rdSupportingPropertyBagStructure" Target="richData/rdsupportingpropertybagstructure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6.xml"/><Relationship Id="rId19" Type="http://schemas.microsoft.com/office/2017/06/relationships/rdRichValueStructure" Target="richData/rdrichvaluestructure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sheetMetadata" Target="metadata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microsoft.com/office/2017/06/relationships/richStyles" Target="richData/richStyles.xml"/><Relationship Id="rId41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75284375002" backgroundQuery="1" createdVersion="7" refreshedVersion="7" minRefreshableVersion="3" recordCount="0" supportSubquery="1" supportAdvancedDrill="1" xr:uid="{F100D6AB-5ACF-49B2-9B22-67393FA65DE1}">
  <cacheSource type="external" connectionId="12"/>
  <cacheFields count="2">
    <cacheField name="[Listed].[Listed Status?].[Listed Status?]" caption="Listed Status?" numFmtId="0" hierarchy="8" level="1">
      <sharedItems count="2">
        <s v="LISTED STOCK"/>
        <s v="NON-LISTED STOCK"/>
      </sharedItems>
    </cacheField>
    <cacheField name="[Measures].[Sum of Count]" caption="Sum of Count" numFmtId="0" hierarchy="46" level="32767"/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75285300925" backgroundQuery="1" createdVersion="7" refreshedVersion="7" minRefreshableVersion="3" recordCount="0" supportSubquery="1" supportAdvancedDrill="1" xr:uid="{B5AC3FAA-E5DE-47CC-97C4-A7E8CDD800A2}">
  <cacheSource type="external" connectionId="12"/>
  <cacheFields count="3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0" level="1">
      <sharedItems count="11">
        <s v="BC"/>
        <s v="Benedetti Palmiro"/>
        <s v="Biamet Bis"/>
        <s v="Chrysos"/>
        <s v="Costa Sergio"/>
        <s v="Fantasy"/>
        <s v="GandS"/>
        <s v="Mainly-Silver"/>
        <s v="Martinelli"/>
        <s v="Pavee"/>
        <s v="Top Star"/>
      </sharedItems>
    </cacheField>
    <cacheField name="[Only_open_po].[PO Number].[PO Number]" caption="PO Number" numFmtId="0" hierarchy="11" level="1">
      <sharedItems count="28">
        <s v="PO220119-22/001BC"/>
        <s v="PO211210-21/003BP"/>
        <s v="PO220119-22/001BP"/>
        <s v="PO211210-21/014BIA"/>
        <s v="PO220106-22/001BIA"/>
        <s v="PO220119-22/002BIA"/>
        <s v="PO220203-22/003BIA"/>
        <s v="PO210921-21/009CHR"/>
        <s v="PO211015-21/010CHR"/>
        <s v="PO211111-21/011CHR"/>
        <s v="PO211210-21/012CHR"/>
        <s v="PO220119-22/001CHR"/>
        <s v="PO220203-22/002CHR"/>
        <s v="PO220119-22/001CS"/>
        <s v="PO220203-22/001FAN"/>
        <s v="PO211015-21/014GS"/>
        <s v="PO211111-21/016GS"/>
        <s v="PO211210-21/017GS"/>
        <s v="PO220119-22/001GS"/>
        <s v="PO220203-22/002GS"/>
        <s v="PO211210-21/002MS"/>
        <s v="PO220203-22/001MS"/>
        <s v="PO220119-22/001MAR"/>
        <s v="PO220203-22/002MAR"/>
        <s v="PO211210-21/019PAV"/>
        <s v="PO220119-22/001PAV"/>
        <s v="PO220203-22/002PAV"/>
        <s v="PO211004-21/001TOP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75286226849" backgroundQuery="1" createdVersion="7" refreshedVersion="7" minRefreshableVersion="3" recordCount="0" supportSubquery="1" supportAdvancedDrill="1" xr:uid="{A9F644CA-048F-4231-8E70-471183307DE6}">
  <cacheSource type="external" connectionId="12"/>
  <cacheFields count="4">
    <cacheField name="[tbSummary 1].[PO Number].[PO Number]" caption="PO Number" numFmtId="0" hierarchy="24" level="1">
      <sharedItems count="21">
        <s v="PO210729-21/002CAV"/>
        <s v="PO210921-21/001CHI"/>
        <s v="PO210927-21/001SAR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5FAN"/>
        <s v="PO211210-21/007MAR"/>
        <s v="PO211210-21/012CHR"/>
        <s v="PO211210-21/014BIA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PAYMENT/DEPOSIT].[PAYMENT/DEPOSIT]" caption="PAYMENT/DEPOSIT" numFmtId="0" hierarchy="26" level="1">
      <sharedItems containsSemiMixedTypes="0" containsNonDate="0" containsString="0"/>
    </cacheField>
    <cacheField name="[tbSummary 1].[CURRENCY].[CURRENCY]" caption="CURRENCY" numFmtId="0" hierarchy="3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75287037034" backgroundQuery="1" createdVersion="7" refreshedVersion="7" minRefreshableVersion="3" recordCount="0" supportSubquery="1" supportAdvancedDrill="1" xr:uid="{D164DC5D-3DAC-4954-8622-03BE40AFF938}">
  <cacheSource type="external" connectionId="12"/>
  <cacheFields count="4">
    <cacheField name="[tbSummary 1].[PO Number].[PO Number]" caption="PO Number" numFmtId="0" hierarchy="24" level="1">
      <sharedItems count="6">
        <s v="PO210927-21/001SAR"/>
        <s v="PO211004-21/001TOP"/>
        <s v="PO211007-21/015PAV"/>
        <s v="PO211105-21/017PAV"/>
        <s v="PO211210-21/019PAV"/>
        <s v="PO220119-22/001PAV"/>
      </sharedItems>
    </cacheField>
    <cacheField name="[tbSummary 1].[PAYMENT/DEPOSIT].[PAYMENT/DEPOSIT]" caption="PAYMENT/DEPOSIT" numFmtId="0" hierarchy="26" level="1">
      <sharedItems containsSemiMixedTypes="0" containsNonDate="0" containsString="0"/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75288078704" backgroundQuery="1" createdVersion="7" refreshedVersion="7" minRefreshableVersion="3" recordCount="0" supportSubquery="1" supportAdvancedDrill="1" xr:uid="{F21A60BE-7F32-4475-A5CF-C3E5719F07AE}">
  <cacheSource type="external" connectionId="12"/>
  <cacheFields count="3">
    <cacheField name="[tbSummary 1].[PO Number].[PO Number]" caption="PO Number" numFmtId="0" hierarchy="24" level="1">
      <sharedItems count="21">
        <s v="PO210729-21/002CAV"/>
        <s v="PO210921-21/001CHI"/>
        <s v="PO210927-21/001SAR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5FAN"/>
        <s v="PO211210-21/007MAR"/>
        <s v="PO211210-21/012CHR"/>
        <s v="PO211210-21/014BIA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75288888889" backgroundQuery="1" createdVersion="7" refreshedVersion="7" minRefreshableVersion="3" recordCount="0" supportSubquery="1" supportAdvancedDrill="1" xr:uid="{B70072A1-4DC0-4F0A-B10D-324345C4B85C}">
  <cacheSource type="external" connectionId="12"/>
  <cacheFields count="4">
    <cacheField name="[Est_Cost].[Supplier].[Supplier]" caption="Supplier" numFmtId="0" level="1">
      <sharedItems count="11">
        <s v="Biamet Bis"/>
        <s v="Cavinato Dino"/>
        <s v="Chini"/>
        <s v="Chrysos"/>
        <s v="CSJC"/>
        <s v="Fantasy"/>
        <s v="GandS"/>
        <s v="Martinelli"/>
        <s v="Pavee"/>
        <s v="SilverArt"/>
        <s v="Top Star"/>
      </sharedItems>
    </cacheField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75290046298" backgroundQuery="1" createdVersion="7" refreshedVersion="7" minRefreshableVersion="3" recordCount="0" supportSubquery="1" supportAdvancedDrill="1" xr:uid="{93122940-1544-425B-A8F2-690DB7F24ADC}">
  <cacheSource type="external" connectionId="12"/>
  <cacheFields count="7">
    <cacheField name="[Est_Cost].[Supplier].[Supplier]" caption="Supplier" numFmtId="0" level="1">
      <sharedItems count="11">
        <s v="Biamet Bis"/>
        <s v="Cavinato Dino"/>
        <s v="Chini"/>
        <s v="Chrysos"/>
        <s v="CSJC"/>
        <s v="Fantasy"/>
        <s v="GandS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0"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07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43" level="32767"/>
    <cacheField name="[Measures].[Sum of Tot Paid]" caption="Sum of Tot Paid" numFmtId="0" hierarchy="44" level="32767"/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6.575293287038" backgroundQuery="1" createdVersion="7" refreshedVersion="7" minRefreshableVersion="3" recordCount="0" supportSubquery="1" supportAdvancedDrill="1" xr:uid="{BFDC80A6-53E9-4FE1-8B60-ECD7650F9D7C}">
  <cacheSource type="external" connectionId="12"/>
  <cacheFields count="3">
    <cacheField name="[tbSummary].[Manufacturer].[Manufacturer]" caption="Manufacturer" numFmtId="0" hierarchy="15" level="1">
      <sharedItems count="12"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47" level="32767"/>
    <cacheField name="[tbSummary].[CURRENCY].[CURRENCY]" caption="CURRENCY" numFmtId="0" hierarchy="23" level="1">
      <sharedItems count="2">
        <s v="EUR"/>
        <s v="USD"/>
      </sharedItems>
    </cacheField>
  </cacheFields>
  <cacheHierarchies count="48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ED1CE-F02A-4DEE-8CAE-B744483D55F7}" name="PivotTable13" cacheId="16" applyNumberFormats="0" applyBorderFormats="0" applyFontFormats="0" applyPatternFormats="0" applyAlignmentFormats="0" applyWidthHeightFormats="1" dataCaption="Values" tag="425e9fd0-cde3-4be3-a79c-3d5a8269e90d" updatedVersion="7" minRefreshableVersion="3" useAutoFormatting="1" rowGrandTotals="0" colGrandTotals="0" itemPrintTitles="1" createdVersion="7" indent="0" compact="0" compactData="0" multipleFieldFilters="0">
  <location ref="A7:C28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21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 v="1"/>
    </i>
    <i>
      <x v="11"/>
      <x v="1"/>
    </i>
    <i>
      <x v="12"/>
      <x v="1"/>
    </i>
    <i>
      <x v="13"/>
      <x/>
    </i>
    <i>
      <x v="14"/>
      <x/>
    </i>
    <i>
      <x v="15"/>
      <x/>
    </i>
    <i>
      <x v="16"/>
      <x/>
    </i>
    <i>
      <x v="17"/>
      <x v="1"/>
    </i>
    <i>
      <x v="18"/>
      <x/>
    </i>
    <i>
      <x v="19"/>
      <x/>
    </i>
    <i>
      <x v="20"/>
      <x v="1"/>
    </i>
  </rowItems>
  <colItems count="1">
    <i/>
  </colItems>
  <pageFields count="1">
    <pageField fld="2" hier="26" name="[tbSummary 1].[PAYMENT/DEPOSIT].[All]" cap="All"/>
  </pageFields>
  <dataFields count="1">
    <dataField name="Sum of AMOUNT" fld="1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AMOUNT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3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M7:M46" firstHeaderRow="1" firstDataRow="1" firstDataCol="1"/>
  <pivotFields count="3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</pivotFields>
  <rowFields count="2">
    <field x="1"/>
    <field x="2"/>
  </rowFields>
  <rowItems count="39">
    <i>
      <x/>
    </i>
    <i r="1">
      <x/>
    </i>
    <i>
      <x v="1"/>
    </i>
    <i r="1">
      <x v="1"/>
    </i>
    <i r="1">
      <x v="2"/>
    </i>
    <i>
      <x v="2"/>
    </i>
    <i r="1">
      <x v="3"/>
    </i>
    <i r="1">
      <x v="4"/>
    </i>
    <i r="1">
      <x v="5"/>
    </i>
    <i r="1">
      <x v="6"/>
    </i>
    <i>
      <x v="3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3"/>
    </i>
    <i>
      <x v="5"/>
    </i>
    <i r="1">
      <x v="14"/>
    </i>
    <i>
      <x v="6"/>
    </i>
    <i r="1">
      <x v="15"/>
    </i>
    <i r="1">
      <x v="16"/>
    </i>
    <i r="1">
      <x v="17"/>
    </i>
    <i r="1">
      <x v="18"/>
    </i>
    <i r="1">
      <x v="19"/>
    </i>
    <i>
      <x v="7"/>
    </i>
    <i r="1">
      <x v="20"/>
    </i>
    <i r="1">
      <x v="21"/>
    </i>
    <i>
      <x v="8"/>
    </i>
    <i r="1">
      <x v="22"/>
    </i>
    <i r="1">
      <x v="23"/>
    </i>
    <i>
      <x v="9"/>
    </i>
    <i r="1">
      <x v="24"/>
    </i>
    <i r="1">
      <x v="25"/>
    </i>
    <i r="1">
      <x v="26"/>
    </i>
    <i>
      <x v="10"/>
    </i>
    <i r="1">
      <x v="27"/>
    </i>
  </rowItems>
  <pivotHierarchies count="48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0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9" applyNumberFormats="0" applyBorderFormats="0" applyFontFormats="0" applyPatternFormats="0" applyAlignmentFormats="0" applyWidthHeightFormats="1" dataCaption="Values" tag="b6d7dd94-bf68-47e1-98f6-84ab03965283" updatedVersion="7" minRefreshableVersion="3" useAutoFormatting="1" rowGrandTotals="0" colGrandTotals="0" itemPrintTitles="1" createdVersion="7" indent="0" compact="0" compactData="0" multipleFieldFilters="0">
  <location ref="E7:G13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6">
    <i>
      <x/>
      <x/>
    </i>
    <i>
      <x v="1"/>
      <x/>
    </i>
    <i>
      <x v="2"/>
      <x v="1"/>
    </i>
    <i>
      <x v="3"/>
      <x v="1"/>
    </i>
    <i>
      <x v="4"/>
      <x v="1"/>
    </i>
    <i>
      <x v="5"/>
      <x v="1"/>
    </i>
  </rowItems>
  <colItems count="1">
    <i/>
  </colItems>
  <pageFields count="1">
    <pageField fld="1" hier="26" name="[tbSummary 1].[PAYMENT/DEPOSIT].&amp;[Deposit]" cap="Deposit"/>
  </pageFields>
  <dataFields count="1">
    <dataField name="Sum of AMOUNT" fld="2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22" applyNumberFormats="0" applyBorderFormats="0" applyFontFormats="0" applyPatternFormats="0" applyAlignmentFormats="0" applyWidthHeightFormats="1" dataCaption="Values" tag="f20aaacf-9e38-4bbc-98d1-749c424d01a7" updatedVersion="7" minRefreshableVersion="3" useAutoFormatting="1" rowGrandTotals="0" colGrandTotals="0" itemPrintTitles="1" createdVersion="7" indent="0" compact="0" compactData="0" multipleFieldFilters="0">
  <location ref="I7:K28" firstHeaderRow="1" firstDataRow="1" firstDataCol="2"/>
  <pivotFields count="3">
    <pivotField axis="axisRow" compact="0" allDrilled="1" outline="0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21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 v="1"/>
    </i>
    <i>
      <x v="11"/>
      <x v="1"/>
    </i>
    <i>
      <x v="12"/>
      <x v="1"/>
    </i>
    <i>
      <x v="13"/>
      <x/>
    </i>
    <i>
      <x v="14"/>
      <x/>
    </i>
    <i>
      <x v="15"/>
      <x/>
    </i>
    <i>
      <x v="16"/>
      <x/>
    </i>
    <i>
      <x v="17"/>
      <x v="1"/>
    </i>
    <i>
      <x v="18"/>
      <x/>
    </i>
    <i>
      <x v="19"/>
      <x/>
    </i>
    <i>
      <x v="20"/>
      <x v="1"/>
    </i>
  </rowItems>
  <colItems count="1">
    <i/>
  </colItems>
  <dataFields count="1">
    <dataField name="Sum of AMOUNT" fld="1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31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X7:Z19" firstHeaderRow="1" firstDataRow="1" firstDataCol="2"/>
  <pivotFields count="3">
    <pivotField axis="axisRow" compact="0" allDrilled="1" outline="0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2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 v="1"/>
    </i>
    <i>
      <x v="8"/>
      <x/>
    </i>
    <i>
      <x v="9"/>
      <x v="1"/>
    </i>
    <i>
      <x v="10"/>
      <x/>
    </i>
    <i>
      <x v="11"/>
      <x/>
    </i>
  </rowItems>
  <colItems count="1">
    <i/>
  </colItems>
  <dataFields count="1">
    <dataField name="Sum of AMOUNT" fld="1" baseField="0" baseItem="0"/>
  </dataField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28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P7:S49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42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>
      <x v="3"/>
    </i>
    <i r="1">
      <x/>
    </i>
    <i r="2">
      <x v="4"/>
    </i>
    <i r="2">
      <x v="5"/>
    </i>
    <i r="2">
      <x v="6"/>
    </i>
    <i>
      <x v="4"/>
    </i>
    <i r="1">
      <x v="1"/>
    </i>
    <i r="2">
      <x v="7"/>
    </i>
    <i>
      <x v="5"/>
    </i>
    <i r="1">
      <x/>
    </i>
    <i r="2">
      <x v="8"/>
    </i>
    <i r="2">
      <x v="9"/>
    </i>
    <i>
      <x v="6"/>
    </i>
    <i r="1">
      <x/>
    </i>
    <i r="2">
      <x v="10"/>
    </i>
    <i r="2">
      <x v="11"/>
    </i>
    <i>
      <x v="7"/>
    </i>
    <i r="1">
      <x/>
    </i>
    <i r="2">
      <x v="12"/>
    </i>
    <i>
      <x v="8"/>
    </i>
    <i r="1">
      <x v="1"/>
    </i>
    <i r="2">
      <x v="13"/>
    </i>
    <i r="2">
      <x v="14"/>
    </i>
    <i r="2">
      <x v="15"/>
    </i>
    <i r="2">
      <x v="16"/>
    </i>
    <i r="2">
      <x v="17"/>
    </i>
    <i>
      <x v="9"/>
    </i>
    <i r="1">
      <x/>
    </i>
    <i r="2">
      <x v="18"/>
    </i>
    <i>
      <x v="10"/>
    </i>
    <i r="1">
      <x/>
    </i>
    <i r="2">
      <x v="19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&amp;[3.3E3]" cap="3300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48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[Est_Cost].[Tot Paid].&amp;[2.8571E3]"/>
        <member name="[Est_Cost].[Tot Paid].&amp;[5.6616E2]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25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U7:V18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48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[Est_Cost].[Tot Paid].&amp;[2.8571E3]"/>
        <member name="[Est_Cost].[Tot Paid].&amp;[5.6616E2]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9.99458E3]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[Est_Cost].[Tot Paid].&amp;[2.679962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1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1:B4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0.87960000000000005</v>
    <v>0.82809999999999995</v>
    <v>-1E-4</v>
    <v>-1.195E-4</v>
    <v>GBP</v>
    <v>EUR</v>
    <v>0.83860000000000001</v>
    <v>Currency Pair</v>
    <v>44606.575254629628</v>
    <v>0.83589999999999998</v>
    <v>Euro/UK Pound Sterling FX Cross Rate</v>
    <v>0.8367</v>
    <v>0.8367</v>
    <v>0.83660000000000001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1.8E-3</v>
    <v>2.4420000000000002E-3</v>
    <v>GBP</v>
    <v>USD</v>
    <v>0.74099999999999999</v>
    <v>Currency Pair</v>
    <v>44606.575231481482</v>
    <v>0.73680000000000001</v>
    <v>US Dollar/UK Pound Sterling FX Cross Rate</v>
    <v>0.73719999999999997</v>
    <v>0.73719999999999997</v>
    <v>0.73899999999999999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5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8" tableType="queryTable" totalsRowShown="0">
  <autoFilter ref="M1:M28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36" totalsRowShown="0">
  <autoFilter ref="A1:J36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4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activeCell="I22" sqref="I22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137</v>
      </c>
      <c r="E1" s="14" t="s">
        <v>89</v>
      </c>
      <c r="F1" s="17" t="s">
        <v>90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5">
        <v>#VALUE!</v>
      </c>
      <c r="E2" s="15" cm="1">
        <f t="array" ref="E2">_FV(D2,"Price")</f>
        <v>0.83660000000000001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6">
        <v>#VALUE!</v>
      </c>
      <c r="E3" s="16" cm="1">
        <f t="array" ref="E3">_FV(D3,"Price")</f>
        <v>0.73899999999999999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25"/>
  <sheetViews>
    <sheetView showGridLines="0" tabSelected="1" workbookViewId="0">
      <selection activeCell="K13" sqref="K13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5.7109375" bestFit="1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71</v>
      </c>
      <c r="B1" t="s">
        <v>70</v>
      </c>
      <c r="C1" t="s">
        <v>74</v>
      </c>
      <c r="D1" t="s">
        <v>75</v>
      </c>
      <c r="E1" t="s">
        <v>72</v>
      </c>
      <c r="F1" t="s">
        <v>29</v>
      </c>
      <c r="G1" t="s">
        <v>30</v>
      </c>
      <c r="H1" t="s">
        <v>76</v>
      </c>
      <c r="I1" t="s">
        <v>77</v>
      </c>
      <c r="J1" t="s">
        <v>78</v>
      </c>
      <c r="M1" t="s">
        <v>0</v>
      </c>
    </row>
    <row r="2" spans="1:13" x14ac:dyDescent="0.25">
      <c r="A2" t="s">
        <v>10</v>
      </c>
      <c r="B2" t="s">
        <v>37</v>
      </c>
      <c r="C2" t="s">
        <v>116</v>
      </c>
      <c r="D2">
        <v>4898.54</v>
      </c>
      <c r="E2" s="12">
        <v>158</v>
      </c>
      <c r="H2" t="s">
        <v>139</v>
      </c>
      <c r="J2" t="s">
        <v>31</v>
      </c>
      <c r="M2" s="1" t="s">
        <v>120</v>
      </c>
    </row>
    <row r="3" spans="1:13" x14ac:dyDescent="0.25">
      <c r="A3" t="s">
        <v>11</v>
      </c>
      <c r="B3" t="s">
        <v>37</v>
      </c>
      <c r="C3" t="s">
        <v>116</v>
      </c>
      <c r="D3">
        <v>619.6</v>
      </c>
      <c r="E3" s="12">
        <v>158</v>
      </c>
      <c r="H3" t="s">
        <v>139</v>
      </c>
      <c r="J3" t="s">
        <v>31</v>
      </c>
      <c r="M3" s="1" t="s">
        <v>135</v>
      </c>
    </row>
    <row r="4" spans="1:13" x14ac:dyDescent="0.25">
      <c r="A4" t="s">
        <v>9</v>
      </c>
      <c r="B4" t="s">
        <v>37</v>
      </c>
      <c r="C4" t="s">
        <v>116</v>
      </c>
      <c r="D4">
        <v>353.7</v>
      </c>
      <c r="E4" s="12">
        <v>158</v>
      </c>
      <c r="H4" t="s">
        <v>139</v>
      </c>
      <c r="J4" t="s">
        <v>31</v>
      </c>
      <c r="M4" s="1" t="s">
        <v>121</v>
      </c>
    </row>
    <row r="5" spans="1:13" x14ac:dyDescent="0.25">
      <c r="A5" t="s">
        <v>28</v>
      </c>
      <c r="B5" t="s">
        <v>42</v>
      </c>
      <c r="C5" t="s">
        <v>116</v>
      </c>
      <c r="D5">
        <v>1112.8699999999999</v>
      </c>
      <c r="E5" s="12" t="s">
        <v>138</v>
      </c>
      <c r="F5">
        <v>3383960985</v>
      </c>
      <c r="G5" t="s">
        <v>88</v>
      </c>
      <c r="H5" t="s">
        <v>139</v>
      </c>
      <c r="J5" t="s">
        <v>43</v>
      </c>
      <c r="M5" s="1" t="s">
        <v>122</v>
      </c>
    </row>
    <row r="6" spans="1:13" x14ac:dyDescent="0.25">
      <c r="A6" t="s">
        <v>2</v>
      </c>
      <c r="B6" t="s">
        <v>34</v>
      </c>
      <c r="C6" t="s">
        <v>116</v>
      </c>
      <c r="D6">
        <v>6786.27</v>
      </c>
      <c r="E6" s="12" t="s">
        <v>133</v>
      </c>
      <c r="F6">
        <v>6984317664</v>
      </c>
      <c r="G6" t="s">
        <v>88</v>
      </c>
      <c r="H6" s="6">
        <v>44601</v>
      </c>
      <c r="I6" s="6">
        <v>44602</v>
      </c>
      <c r="J6" t="s">
        <v>31</v>
      </c>
      <c r="M6" s="1" t="s">
        <v>123</v>
      </c>
    </row>
    <row r="7" spans="1:13" x14ac:dyDescent="0.25">
      <c r="A7" t="s">
        <v>1</v>
      </c>
      <c r="B7" t="s">
        <v>34</v>
      </c>
      <c r="C7" t="s">
        <v>116</v>
      </c>
      <c r="D7">
        <v>8603.15</v>
      </c>
      <c r="E7" s="12" t="s">
        <v>132</v>
      </c>
      <c r="F7">
        <v>6984317664</v>
      </c>
      <c r="G7" t="s">
        <v>88</v>
      </c>
      <c r="H7" s="6">
        <v>44601</v>
      </c>
      <c r="I7" s="6">
        <v>44602</v>
      </c>
      <c r="J7" t="s">
        <v>31</v>
      </c>
      <c r="M7" s="1" t="s">
        <v>124</v>
      </c>
    </row>
    <row r="8" spans="1:13" x14ac:dyDescent="0.25">
      <c r="A8" t="s">
        <v>3</v>
      </c>
      <c r="B8" t="s">
        <v>44</v>
      </c>
      <c r="C8" t="s">
        <v>116</v>
      </c>
      <c r="D8">
        <v>12291.91</v>
      </c>
      <c r="E8" s="12">
        <v>22200031</v>
      </c>
      <c r="H8" s="6">
        <v>44601</v>
      </c>
      <c r="J8" t="s">
        <v>43</v>
      </c>
      <c r="M8" s="1" t="s">
        <v>23</v>
      </c>
    </row>
    <row r="9" spans="1:13" x14ac:dyDescent="0.25">
      <c r="A9" t="s">
        <v>14</v>
      </c>
      <c r="B9" t="s">
        <v>44</v>
      </c>
      <c r="C9" t="s">
        <v>116</v>
      </c>
      <c r="D9">
        <v>34608.980000000003</v>
      </c>
      <c r="E9" s="12">
        <v>22100297</v>
      </c>
      <c r="H9" s="11" t="s">
        <v>128</v>
      </c>
      <c r="J9" t="s">
        <v>43</v>
      </c>
      <c r="M9" s="1" t="s">
        <v>15</v>
      </c>
    </row>
    <row r="10" spans="1:13" x14ac:dyDescent="0.25">
      <c r="A10" t="s">
        <v>3</v>
      </c>
      <c r="B10" t="s">
        <v>44</v>
      </c>
      <c r="C10" t="s">
        <v>87</v>
      </c>
      <c r="D10">
        <v>5500</v>
      </c>
      <c r="E10" s="12"/>
      <c r="H10" s="11" t="s">
        <v>131</v>
      </c>
      <c r="J10" t="s">
        <v>43</v>
      </c>
      <c r="M10" s="1" t="s">
        <v>8</v>
      </c>
    </row>
    <row r="11" spans="1:13" x14ac:dyDescent="0.25">
      <c r="A11" t="s">
        <v>14</v>
      </c>
      <c r="B11" t="s">
        <v>44</v>
      </c>
      <c r="C11" t="s">
        <v>87</v>
      </c>
      <c r="D11">
        <v>15000</v>
      </c>
      <c r="E11" s="12"/>
      <c r="H11" s="11" t="s">
        <v>130</v>
      </c>
      <c r="J11" t="s">
        <v>43</v>
      </c>
      <c r="M11" s="1" t="s">
        <v>13</v>
      </c>
    </row>
    <row r="12" spans="1:13" x14ac:dyDescent="0.25">
      <c r="A12" t="s">
        <v>11</v>
      </c>
      <c r="B12" t="s">
        <v>37</v>
      </c>
      <c r="C12" t="s">
        <v>116</v>
      </c>
      <c r="D12">
        <v>566.16</v>
      </c>
      <c r="E12" s="12">
        <v>1949</v>
      </c>
      <c r="F12" s="7">
        <v>531175617440</v>
      </c>
      <c r="G12" t="s">
        <v>110</v>
      </c>
      <c r="H12" s="11" t="s">
        <v>129</v>
      </c>
      <c r="I12" s="6">
        <v>44553</v>
      </c>
      <c r="J12" t="s">
        <v>31</v>
      </c>
      <c r="M12" s="1" t="s">
        <v>22</v>
      </c>
    </row>
    <row r="13" spans="1:13" x14ac:dyDescent="0.25">
      <c r="A13" t="s">
        <v>9</v>
      </c>
      <c r="B13" t="s">
        <v>37</v>
      </c>
      <c r="C13" t="s">
        <v>116</v>
      </c>
      <c r="D13">
        <v>187.27</v>
      </c>
      <c r="E13" s="12">
        <v>1776</v>
      </c>
      <c r="F13" s="7">
        <v>531175603889</v>
      </c>
      <c r="G13" t="s">
        <v>110</v>
      </c>
      <c r="H13" s="6">
        <v>44531</v>
      </c>
      <c r="I13" s="6">
        <v>44532</v>
      </c>
      <c r="J13" t="s">
        <v>31</v>
      </c>
      <c r="M13" s="1" t="s">
        <v>20</v>
      </c>
    </row>
    <row r="14" spans="1:13" x14ac:dyDescent="0.25">
      <c r="A14" t="s">
        <v>9</v>
      </c>
      <c r="B14" t="s">
        <v>37</v>
      </c>
      <c r="C14" t="s">
        <v>116</v>
      </c>
      <c r="D14">
        <v>2669.83</v>
      </c>
      <c r="E14" s="12">
        <v>1949</v>
      </c>
      <c r="F14" s="7">
        <v>531175617440</v>
      </c>
      <c r="G14" t="s">
        <v>110</v>
      </c>
      <c r="H14" s="11" t="s">
        <v>129</v>
      </c>
      <c r="I14" s="6">
        <v>44553</v>
      </c>
      <c r="J14" t="s">
        <v>31</v>
      </c>
      <c r="M14" s="1" t="s">
        <v>26</v>
      </c>
    </row>
    <row r="15" spans="1:13" x14ac:dyDescent="0.25">
      <c r="A15" t="s">
        <v>16</v>
      </c>
      <c r="B15" t="s">
        <v>46</v>
      </c>
      <c r="C15" t="s">
        <v>116</v>
      </c>
      <c r="D15">
        <v>14229.14</v>
      </c>
      <c r="E15" s="12" t="s">
        <v>127</v>
      </c>
      <c r="F15">
        <v>7718151475</v>
      </c>
      <c r="G15" t="s">
        <v>88</v>
      </c>
      <c r="H15" s="8" t="s">
        <v>128</v>
      </c>
      <c r="I15" s="6">
        <v>44560</v>
      </c>
      <c r="J15" t="s">
        <v>31</v>
      </c>
      <c r="M15" s="1" t="s">
        <v>18</v>
      </c>
    </row>
    <row r="16" spans="1:13" x14ac:dyDescent="0.25">
      <c r="A16" t="s">
        <v>24</v>
      </c>
      <c r="B16" t="s">
        <v>56</v>
      </c>
      <c r="C16" t="s">
        <v>87</v>
      </c>
      <c r="D16">
        <v>3300</v>
      </c>
      <c r="E16" s="12" t="s">
        <v>126</v>
      </c>
      <c r="H16" s="6">
        <v>44474</v>
      </c>
      <c r="J16" t="s">
        <v>31</v>
      </c>
      <c r="M16" s="1" t="s">
        <v>1</v>
      </c>
    </row>
    <row r="17" spans="1:13" x14ac:dyDescent="0.25">
      <c r="A17" t="s">
        <v>20</v>
      </c>
      <c r="B17" t="s">
        <v>36</v>
      </c>
      <c r="C17" t="s">
        <v>116</v>
      </c>
      <c r="D17">
        <v>2061.1799999999998</v>
      </c>
      <c r="E17" s="12" t="s">
        <v>117</v>
      </c>
      <c r="F17">
        <v>6364015490</v>
      </c>
      <c r="G17" t="s">
        <v>88</v>
      </c>
      <c r="H17" s="6">
        <v>44599</v>
      </c>
      <c r="I17" s="6">
        <v>44599</v>
      </c>
      <c r="J17" t="s">
        <v>31</v>
      </c>
      <c r="M17" s="1" t="s">
        <v>3</v>
      </c>
    </row>
    <row r="18" spans="1:13" x14ac:dyDescent="0.25">
      <c r="A18" t="s">
        <v>19</v>
      </c>
      <c r="B18" t="s">
        <v>36</v>
      </c>
      <c r="C18" t="s">
        <v>116</v>
      </c>
      <c r="D18">
        <v>4355.5200000000004</v>
      </c>
      <c r="E18" s="12" t="s">
        <v>117</v>
      </c>
      <c r="F18">
        <v>6364015490</v>
      </c>
      <c r="G18" t="s">
        <v>88</v>
      </c>
      <c r="H18" s="6">
        <v>44599</v>
      </c>
      <c r="I18" s="6">
        <v>44599</v>
      </c>
      <c r="J18" t="s">
        <v>31</v>
      </c>
      <c r="M18" s="1" t="s">
        <v>10</v>
      </c>
    </row>
    <row r="19" spans="1:13" x14ac:dyDescent="0.25">
      <c r="A19" t="s">
        <v>7</v>
      </c>
      <c r="B19" t="s">
        <v>51</v>
      </c>
      <c r="C19" t="s">
        <v>116</v>
      </c>
      <c r="D19">
        <v>2083.92</v>
      </c>
      <c r="E19" s="12" t="s">
        <v>91</v>
      </c>
      <c r="F19" s="7">
        <v>531175632782</v>
      </c>
      <c r="G19" t="s">
        <v>110</v>
      </c>
      <c r="H19" s="6">
        <v>44595</v>
      </c>
      <c r="I19" s="6">
        <v>44599</v>
      </c>
      <c r="J19" t="s">
        <v>31</v>
      </c>
      <c r="M19" s="1" t="s">
        <v>2</v>
      </c>
    </row>
    <row r="20" spans="1:13" x14ac:dyDescent="0.25">
      <c r="A20" t="s">
        <v>4</v>
      </c>
      <c r="B20" t="s">
        <v>57</v>
      </c>
      <c r="C20" t="s">
        <v>116</v>
      </c>
      <c r="D20">
        <v>22615.51</v>
      </c>
      <c r="E20" s="12" t="s">
        <v>92</v>
      </c>
      <c r="F20">
        <v>8720498721</v>
      </c>
      <c r="G20" t="s">
        <v>88</v>
      </c>
      <c r="H20" s="8" t="s">
        <v>93</v>
      </c>
      <c r="I20" s="8">
        <v>44593</v>
      </c>
      <c r="J20" s="6" t="s">
        <v>31</v>
      </c>
      <c r="M20" s="1" t="s">
        <v>19</v>
      </c>
    </row>
    <row r="21" spans="1:13" x14ac:dyDescent="0.25">
      <c r="A21" t="s">
        <v>4</v>
      </c>
      <c r="B21" t="s">
        <v>57</v>
      </c>
      <c r="C21" t="s">
        <v>116</v>
      </c>
      <c r="D21">
        <v>22700.57</v>
      </c>
      <c r="E21" s="12" t="s">
        <v>94</v>
      </c>
      <c r="F21">
        <v>4811007876</v>
      </c>
      <c r="G21" t="s">
        <v>88</v>
      </c>
      <c r="H21" s="8" t="s">
        <v>93</v>
      </c>
      <c r="I21" s="8">
        <v>44593</v>
      </c>
      <c r="J21" s="6" t="s">
        <v>31</v>
      </c>
      <c r="M21" s="1" t="s">
        <v>25</v>
      </c>
    </row>
    <row r="22" spans="1:13" x14ac:dyDescent="0.25">
      <c r="A22" t="s">
        <v>95</v>
      </c>
      <c r="B22" t="s">
        <v>46</v>
      </c>
      <c r="C22" t="s">
        <v>116</v>
      </c>
      <c r="D22">
        <v>710.83</v>
      </c>
      <c r="E22" s="12" t="s">
        <v>96</v>
      </c>
      <c r="F22">
        <v>4599804366</v>
      </c>
      <c r="G22" t="s">
        <v>88</v>
      </c>
      <c r="H22" s="8" t="s">
        <v>97</v>
      </c>
      <c r="I22" s="8">
        <v>44593</v>
      </c>
      <c r="J22" s="6" t="s">
        <v>31</v>
      </c>
      <c r="M22" s="1" t="s">
        <v>28</v>
      </c>
    </row>
    <row r="23" spans="1:13" x14ac:dyDescent="0.25">
      <c r="A23" t="s">
        <v>1</v>
      </c>
      <c r="B23" t="s">
        <v>34</v>
      </c>
      <c r="C23" t="s">
        <v>116</v>
      </c>
      <c r="D23">
        <v>1340.43</v>
      </c>
      <c r="E23" s="12" t="s">
        <v>98</v>
      </c>
      <c r="F23">
        <v>4328279476</v>
      </c>
      <c r="G23" t="s">
        <v>88</v>
      </c>
      <c r="H23" s="8" t="s">
        <v>97</v>
      </c>
      <c r="I23" s="8" t="s">
        <v>97</v>
      </c>
      <c r="J23" s="6" t="s">
        <v>31</v>
      </c>
      <c r="M23" s="1" t="s">
        <v>11</v>
      </c>
    </row>
    <row r="24" spans="1:13" x14ac:dyDescent="0.25">
      <c r="A24" t="s">
        <v>2</v>
      </c>
      <c r="B24" t="s">
        <v>34</v>
      </c>
      <c r="C24" t="s">
        <v>116</v>
      </c>
      <c r="D24">
        <v>14344.03</v>
      </c>
      <c r="E24" s="12" t="s">
        <v>99</v>
      </c>
      <c r="F24">
        <v>4328279476</v>
      </c>
      <c r="G24" t="s">
        <v>88</v>
      </c>
      <c r="H24" s="8" t="s">
        <v>97</v>
      </c>
      <c r="I24" s="8" t="s">
        <v>97</v>
      </c>
      <c r="J24" s="6" t="s">
        <v>31</v>
      </c>
      <c r="M24" s="1" t="s">
        <v>27</v>
      </c>
    </row>
    <row r="25" spans="1:13" x14ac:dyDescent="0.25">
      <c r="A25" t="s">
        <v>15</v>
      </c>
      <c r="B25" t="s">
        <v>44</v>
      </c>
      <c r="C25" t="s">
        <v>87</v>
      </c>
      <c r="D25">
        <v>6500</v>
      </c>
      <c r="E25" s="12"/>
      <c r="H25" s="8" t="s">
        <v>100</v>
      </c>
      <c r="I25" s="8"/>
      <c r="J25" s="6" t="s">
        <v>43</v>
      </c>
      <c r="M25" s="1" t="s">
        <v>9</v>
      </c>
    </row>
    <row r="26" spans="1:13" x14ac:dyDescent="0.25">
      <c r="A26" t="s">
        <v>19</v>
      </c>
      <c r="B26" t="s">
        <v>36</v>
      </c>
      <c r="C26" t="s">
        <v>116</v>
      </c>
      <c r="D26">
        <v>4875.57</v>
      </c>
      <c r="E26" s="12" t="s">
        <v>101</v>
      </c>
      <c r="F26">
        <v>9236689965</v>
      </c>
      <c r="G26" t="s">
        <v>88</v>
      </c>
      <c r="H26" s="8" t="s">
        <v>102</v>
      </c>
      <c r="I26" s="8"/>
      <c r="J26" s="6" t="s">
        <v>31</v>
      </c>
      <c r="M26" s="1" t="s">
        <v>17</v>
      </c>
    </row>
    <row r="27" spans="1:13" x14ac:dyDescent="0.25">
      <c r="A27" t="s">
        <v>17</v>
      </c>
      <c r="B27" t="s">
        <v>36</v>
      </c>
      <c r="C27" t="s">
        <v>116</v>
      </c>
      <c r="D27">
        <v>4335.45</v>
      </c>
      <c r="E27" s="12" t="s">
        <v>101</v>
      </c>
      <c r="F27">
        <v>9236689965</v>
      </c>
      <c r="G27" t="s">
        <v>88</v>
      </c>
      <c r="H27" s="8" t="s">
        <v>102</v>
      </c>
      <c r="I27" s="8"/>
      <c r="J27" s="6" t="s">
        <v>31</v>
      </c>
      <c r="M27" s="1" t="s">
        <v>24</v>
      </c>
    </row>
    <row r="28" spans="1:13" x14ac:dyDescent="0.25">
      <c r="A28" t="s">
        <v>21</v>
      </c>
      <c r="B28" t="s">
        <v>44</v>
      </c>
      <c r="C28" t="s">
        <v>116</v>
      </c>
      <c r="D28">
        <v>3968.18</v>
      </c>
      <c r="E28" s="12">
        <v>22200004</v>
      </c>
      <c r="F28">
        <v>1412253334</v>
      </c>
      <c r="G28" t="s">
        <v>88</v>
      </c>
      <c r="H28" s="8" t="s">
        <v>93</v>
      </c>
      <c r="I28" s="8">
        <v>44591</v>
      </c>
      <c r="J28" s="6" t="s">
        <v>43</v>
      </c>
      <c r="M28" s="1" t="s">
        <v>12</v>
      </c>
    </row>
    <row r="29" spans="1:13" x14ac:dyDescent="0.25">
      <c r="A29" t="s">
        <v>6</v>
      </c>
      <c r="B29" t="s">
        <v>44</v>
      </c>
      <c r="C29" t="s">
        <v>116</v>
      </c>
      <c r="D29">
        <v>15862.26</v>
      </c>
      <c r="E29" s="12" t="s">
        <v>103</v>
      </c>
      <c r="F29">
        <v>1412253334</v>
      </c>
      <c r="G29" t="s">
        <v>88</v>
      </c>
      <c r="H29" s="8" t="s">
        <v>93</v>
      </c>
      <c r="I29" s="8">
        <v>44591</v>
      </c>
      <c r="J29" s="6" t="s">
        <v>43</v>
      </c>
    </row>
    <row r="30" spans="1:13" x14ac:dyDescent="0.25">
      <c r="A30" t="s">
        <v>6</v>
      </c>
      <c r="B30" t="s">
        <v>44</v>
      </c>
      <c r="C30" t="s">
        <v>87</v>
      </c>
      <c r="D30">
        <v>8500</v>
      </c>
      <c r="E30" s="12"/>
      <c r="H30" s="8" t="s">
        <v>104</v>
      </c>
      <c r="I30" s="8"/>
      <c r="J30" s="6" t="s">
        <v>43</v>
      </c>
    </row>
    <row r="31" spans="1:13" x14ac:dyDescent="0.25">
      <c r="A31" t="s">
        <v>2</v>
      </c>
      <c r="B31" t="s">
        <v>34</v>
      </c>
      <c r="C31" t="s">
        <v>116</v>
      </c>
      <c r="D31">
        <v>5669.32</v>
      </c>
      <c r="E31" s="12" t="s">
        <v>105</v>
      </c>
      <c r="F31">
        <v>1872098071</v>
      </c>
      <c r="G31" t="s">
        <v>88</v>
      </c>
      <c r="H31" s="8" t="s">
        <v>106</v>
      </c>
      <c r="I31" s="8">
        <v>44579</v>
      </c>
      <c r="J31" s="6" t="s">
        <v>31</v>
      </c>
    </row>
    <row r="32" spans="1:13" x14ac:dyDescent="0.25">
      <c r="A32" t="s">
        <v>1</v>
      </c>
      <c r="B32" t="s">
        <v>34</v>
      </c>
      <c r="C32" t="s">
        <v>116</v>
      </c>
      <c r="D32">
        <v>51</v>
      </c>
      <c r="E32" s="12" t="s">
        <v>107</v>
      </c>
      <c r="F32">
        <v>1872098071</v>
      </c>
      <c r="G32" t="s">
        <v>88</v>
      </c>
      <c r="H32" s="8" t="s">
        <v>106</v>
      </c>
      <c r="I32" s="8">
        <v>44579</v>
      </c>
      <c r="J32" s="6" t="s">
        <v>31</v>
      </c>
    </row>
    <row r="33" spans="1:10" x14ac:dyDescent="0.25">
      <c r="A33" t="s">
        <v>108</v>
      </c>
      <c r="B33" t="s">
        <v>50</v>
      </c>
      <c r="C33" t="s">
        <v>116</v>
      </c>
      <c r="D33">
        <v>3256.31</v>
      </c>
      <c r="E33" s="12" t="s">
        <v>109</v>
      </c>
      <c r="F33" s="7">
        <v>288556536200</v>
      </c>
      <c r="G33" t="s">
        <v>110</v>
      </c>
      <c r="H33" s="8">
        <v>44835</v>
      </c>
      <c r="I33" s="8">
        <v>44573</v>
      </c>
      <c r="J33" s="6" t="s">
        <v>31</v>
      </c>
    </row>
    <row r="34" spans="1:10" x14ac:dyDescent="0.25">
      <c r="A34" t="s">
        <v>5</v>
      </c>
      <c r="B34" t="s">
        <v>53</v>
      </c>
      <c r="C34" t="s">
        <v>87</v>
      </c>
      <c r="D34">
        <v>1779.84</v>
      </c>
      <c r="E34" s="12" t="s">
        <v>111</v>
      </c>
      <c r="H34" s="8" t="s">
        <v>112</v>
      </c>
      <c r="I34" s="8"/>
      <c r="J34" s="6" t="s">
        <v>31</v>
      </c>
    </row>
    <row r="35" spans="1:10" x14ac:dyDescent="0.25">
      <c r="A35" t="s">
        <v>5</v>
      </c>
      <c r="B35" t="s">
        <v>53</v>
      </c>
      <c r="C35" t="s">
        <v>116</v>
      </c>
      <c r="D35">
        <v>4149.7</v>
      </c>
      <c r="E35" s="12" t="s">
        <v>113</v>
      </c>
      <c r="F35">
        <v>8452060024</v>
      </c>
      <c r="G35" t="s">
        <v>88</v>
      </c>
      <c r="H35" s="8">
        <v>44573</v>
      </c>
      <c r="I35" s="8">
        <v>44573</v>
      </c>
      <c r="J35" s="6" t="s">
        <v>31</v>
      </c>
    </row>
    <row r="36" spans="1:10" x14ac:dyDescent="0.25">
      <c r="A36" t="s">
        <v>114</v>
      </c>
      <c r="B36" t="s">
        <v>45</v>
      </c>
      <c r="C36" t="s">
        <v>116</v>
      </c>
      <c r="D36">
        <v>1805.72</v>
      </c>
      <c r="E36" s="12" t="s">
        <v>115</v>
      </c>
      <c r="F36">
        <v>7072512436</v>
      </c>
      <c r="G36" t="s">
        <v>88</v>
      </c>
      <c r="H36" s="8">
        <v>44573</v>
      </c>
      <c r="I36" s="8">
        <v>44582</v>
      </c>
      <c r="J36" s="6" t="s">
        <v>43</v>
      </c>
    </row>
    <row r="37" spans="1:10" x14ac:dyDescent="0.25">
      <c r="H37" s="6"/>
    </row>
    <row r="38" spans="1:10" x14ac:dyDescent="0.25">
      <c r="H38" s="6"/>
    </row>
    <row r="39" spans="1:10" x14ac:dyDescent="0.25">
      <c r="H39" s="6"/>
    </row>
    <row r="40" spans="1:10" x14ac:dyDescent="0.25">
      <c r="H40" s="6"/>
    </row>
    <row r="41" spans="1:10" x14ac:dyDescent="0.25">
      <c r="H41" s="6"/>
    </row>
    <row r="42" spans="1:10" x14ac:dyDescent="0.25">
      <c r="H42" s="6"/>
    </row>
    <row r="43" spans="1:10" x14ac:dyDescent="0.25">
      <c r="H43" s="6"/>
    </row>
    <row r="44" spans="1:10" x14ac:dyDescent="0.25">
      <c r="H44" s="6"/>
    </row>
    <row r="45" spans="1:10" x14ac:dyDescent="0.25">
      <c r="H45" s="6"/>
    </row>
    <row r="46" spans="1:10" x14ac:dyDescent="0.25">
      <c r="H46" s="6"/>
    </row>
    <row r="47" spans="1:10" x14ac:dyDescent="0.25">
      <c r="H47" s="6"/>
    </row>
    <row r="48" spans="1:10" x14ac:dyDescent="0.25">
      <c r="H48" s="6"/>
    </row>
    <row r="49" spans="8:8" x14ac:dyDescent="0.25">
      <c r="H49" s="6"/>
    </row>
    <row r="50" spans="8:8" x14ac:dyDescent="0.25">
      <c r="H50" s="6"/>
    </row>
    <row r="51" spans="8:8" x14ac:dyDescent="0.25">
      <c r="H51" s="6"/>
    </row>
    <row r="52" spans="8:8" x14ac:dyDescent="0.25">
      <c r="H52" s="6"/>
    </row>
    <row r="53" spans="8:8" x14ac:dyDescent="0.25">
      <c r="H53" s="6"/>
    </row>
    <row r="54" spans="8:8" x14ac:dyDescent="0.25">
      <c r="H54" s="6"/>
    </row>
    <row r="55" spans="8:8" x14ac:dyDescent="0.25">
      <c r="H55" s="6"/>
    </row>
    <row r="56" spans="8:8" x14ac:dyDescent="0.25">
      <c r="H56" s="6"/>
    </row>
    <row r="125" spans="1:10" x14ac:dyDescent="0.25">
      <c r="A125" t="s">
        <v>7</v>
      </c>
      <c r="B125" t="s">
        <v>51</v>
      </c>
      <c r="C125" t="s">
        <v>116</v>
      </c>
      <c r="D125">
        <v>2083.92</v>
      </c>
      <c r="E125" t="s">
        <v>91</v>
      </c>
      <c r="F125">
        <v>531175632782</v>
      </c>
      <c r="G125" t="s">
        <v>118</v>
      </c>
      <c r="H125" s="6">
        <v>44622</v>
      </c>
      <c r="J125" t="s">
        <v>31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Z49"/>
  <sheetViews>
    <sheetView showGridLines="0" topLeftCell="N1" workbookViewId="0">
      <selection activeCell="V22" sqref="V22"/>
    </sheetView>
  </sheetViews>
  <sheetFormatPr defaultRowHeight="15" x14ac:dyDescent="0.25"/>
  <cols>
    <col min="1" max="1" width="20.5703125" bestFit="1" customWidth="1"/>
    <col min="2" max="2" width="12.85546875" bestFit="1" customWidth="1"/>
    <col min="3" max="3" width="16.140625" customWidth="1"/>
    <col min="4" max="4" width="2.85546875" customWidth="1"/>
    <col min="5" max="5" width="20.140625" bestFit="1" customWidth="1"/>
    <col min="6" max="6" width="12.85546875" bestFit="1" customWidth="1"/>
    <col min="7" max="7" width="16.140625" customWidth="1"/>
    <col min="8" max="8" width="2.28515625" customWidth="1"/>
    <col min="9" max="9" width="22.5703125" bestFit="1" customWidth="1"/>
    <col min="10" max="10" width="12.85546875" bestFit="1" customWidth="1"/>
    <col min="11" max="11" width="16.140625" customWidth="1"/>
    <col min="12" max="12" width="2.7109375" customWidth="1"/>
    <col min="13" max="13" width="24.42578125" bestFit="1" customWidth="1"/>
    <col min="14" max="14" width="9" bestFit="1" customWidth="1"/>
    <col min="15" max="15" width="3.140625" customWidth="1"/>
    <col min="16" max="16" width="26.28515625" bestFit="1" customWidth="1"/>
    <col min="17" max="17" width="17.85546875" bestFit="1" customWidth="1"/>
    <col min="18" max="18" width="14.85546875" bestFit="1" customWidth="1"/>
    <col min="19" max="19" width="17.28515625" bestFit="1" customWidth="1"/>
    <col min="20" max="20" width="3.5703125" customWidth="1"/>
    <col min="21" max="21" width="13.42578125" bestFit="1" customWidth="1"/>
    <col min="22" max="22" width="17.85546875" bestFit="1" customWidth="1"/>
    <col min="23" max="23" width="3.85546875" customWidth="1"/>
    <col min="24" max="24" width="15.5703125" bestFit="1" customWidth="1"/>
    <col min="25" max="25" width="12.85546875" bestFit="1" customWidth="1"/>
    <col min="26" max="26" width="16.140625" bestFit="1" customWidth="1"/>
    <col min="27" max="27" width="14.85546875" bestFit="1" customWidth="1"/>
    <col min="28" max="28" width="17.28515625" bestFit="1" customWidth="1"/>
  </cols>
  <sheetData>
    <row r="1" spans="1:26" ht="15" customHeight="1" x14ac:dyDescent="0.25">
      <c r="A1" s="19" t="s">
        <v>64</v>
      </c>
      <c r="B1" s="19"/>
      <c r="C1" s="9"/>
      <c r="E1" s="20" t="s">
        <v>119</v>
      </c>
      <c r="F1" s="19"/>
      <c r="G1" s="9"/>
      <c r="I1" s="20" t="s">
        <v>65</v>
      </c>
      <c r="J1" s="19"/>
      <c r="K1" s="9"/>
      <c r="M1" s="20" t="s">
        <v>66</v>
      </c>
      <c r="N1" s="19"/>
      <c r="P1" s="20" t="s">
        <v>67</v>
      </c>
      <c r="Q1" s="20"/>
      <c r="R1" s="20"/>
      <c r="S1" s="20"/>
      <c r="U1" s="20" t="s">
        <v>68</v>
      </c>
      <c r="V1" s="19"/>
      <c r="X1" s="19" t="s">
        <v>69</v>
      </c>
      <c r="Y1" s="19"/>
    </row>
    <row r="2" spans="1:26" x14ac:dyDescent="0.25">
      <c r="A2" s="19"/>
      <c r="B2" s="19"/>
      <c r="C2" s="9"/>
      <c r="E2" s="19"/>
      <c r="F2" s="19"/>
      <c r="G2" s="9"/>
      <c r="I2" s="19"/>
      <c r="J2" s="19"/>
      <c r="K2" s="9"/>
      <c r="M2" s="19"/>
      <c r="N2" s="19"/>
      <c r="P2" s="20"/>
      <c r="Q2" s="20"/>
      <c r="R2" s="20"/>
      <c r="S2" s="20"/>
      <c r="U2" s="19"/>
      <c r="V2" s="19"/>
      <c r="X2" s="19"/>
      <c r="Y2" s="19"/>
    </row>
    <row r="4" spans="1:26" x14ac:dyDescent="0.25">
      <c r="U4" s="2" t="s">
        <v>81</v>
      </c>
      <c r="V4" t="s" vm="3">
        <v>125</v>
      </c>
    </row>
    <row r="5" spans="1:26" x14ac:dyDescent="0.25">
      <c r="A5" s="2" t="s">
        <v>74</v>
      </c>
      <c r="B5" t="s" vm="1">
        <v>62</v>
      </c>
      <c r="E5" s="2" t="s">
        <v>74</v>
      </c>
      <c r="F5" t="s" vm="2">
        <v>87</v>
      </c>
      <c r="P5" s="2" t="s">
        <v>81</v>
      </c>
      <c r="Q5" t="s" vm="3">
        <v>125</v>
      </c>
      <c r="U5" s="2" t="s">
        <v>136</v>
      </c>
      <c r="V5" t="s" vm="4">
        <v>62</v>
      </c>
    </row>
    <row r="7" spans="1:26" x14ac:dyDescent="0.25">
      <c r="A7" s="2" t="s">
        <v>71</v>
      </c>
      <c r="B7" s="2" t="s">
        <v>78</v>
      </c>
      <c r="C7" t="s">
        <v>79</v>
      </c>
      <c r="E7" s="2" t="s">
        <v>71</v>
      </c>
      <c r="F7" s="2" t="s">
        <v>78</v>
      </c>
      <c r="G7" t="s">
        <v>79</v>
      </c>
      <c r="I7" s="2" t="s">
        <v>71</v>
      </c>
      <c r="J7" s="2" t="s">
        <v>78</v>
      </c>
      <c r="K7" t="s">
        <v>79</v>
      </c>
      <c r="M7" s="2" t="s">
        <v>85</v>
      </c>
      <c r="P7" s="2" t="s">
        <v>85</v>
      </c>
      <c r="Q7" t="s">
        <v>63</v>
      </c>
      <c r="R7" t="s">
        <v>80</v>
      </c>
      <c r="S7" t="s">
        <v>73</v>
      </c>
      <c r="U7" s="2" t="s">
        <v>60</v>
      </c>
      <c r="V7" t="s">
        <v>73</v>
      </c>
      <c r="X7" s="2" t="s">
        <v>70</v>
      </c>
      <c r="Y7" s="2" t="s">
        <v>78</v>
      </c>
      <c r="Z7" t="s">
        <v>79</v>
      </c>
    </row>
    <row r="8" spans="1:26" x14ac:dyDescent="0.25">
      <c r="A8" t="s">
        <v>108</v>
      </c>
      <c r="B8" t="s">
        <v>31</v>
      </c>
      <c r="C8" s="1">
        <v>3256.31</v>
      </c>
      <c r="E8" t="s">
        <v>5</v>
      </c>
      <c r="F8" t="s">
        <v>31</v>
      </c>
      <c r="G8" s="1">
        <v>1779.84</v>
      </c>
      <c r="I8" t="s">
        <v>108</v>
      </c>
      <c r="J8" t="s">
        <v>31</v>
      </c>
      <c r="K8" s="1">
        <v>3256.31</v>
      </c>
      <c r="M8" s="3" t="s">
        <v>38</v>
      </c>
      <c r="P8" s="3" t="s">
        <v>34</v>
      </c>
      <c r="Q8" s="1"/>
      <c r="R8" s="1"/>
      <c r="S8" s="1"/>
      <c r="U8" s="3" t="s">
        <v>34</v>
      </c>
      <c r="V8" s="1">
        <v>-36794.200000000004</v>
      </c>
      <c r="X8" t="s">
        <v>34</v>
      </c>
      <c r="Y8" t="s">
        <v>31</v>
      </c>
      <c r="Z8" s="1">
        <v>36794.199999999997</v>
      </c>
    </row>
    <row r="9" spans="1:26" x14ac:dyDescent="0.25">
      <c r="A9" t="s">
        <v>4</v>
      </c>
      <c r="B9" t="s">
        <v>31</v>
      </c>
      <c r="C9" s="1">
        <v>45316.08</v>
      </c>
      <c r="E9" t="s">
        <v>24</v>
      </c>
      <c r="F9" t="s">
        <v>31</v>
      </c>
      <c r="G9" s="1">
        <v>3300</v>
      </c>
      <c r="I9" t="s">
        <v>4</v>
      </c>
      <c r="J9" t="s">
        <v>31</v>
      </c>
      <c r="K9" s="1">
        <v>45316.08</v>
      </c>
      <c r="M9" s="4" t="s">
        <v>18</v>
      </c>
      <c r="P9" s="4" t="s">
        <v>31</v>
      </c>
      <c r="Q9" s="1"/>
      <c r="R9" s="1"/>
      <c r="S9" s="1"/>
      <c r="T9" s="1"/>
      <c r="U9" s="3" t="s">
        <v>50</v>
      </c>
      <c r="V9" s="1">
        <v>-3256.31</v>
      </c>
      <c r="X9" t="s">
        <v>50</v>
      </c>
      <c r="Y9" t="s">
        <v>31</v>
      </c>
      <c r="Z9" s="1">
        <v>3256.31</v>
      </c>
    </row>
    <row r="10" spans="1:26" x14ac:dyDescent="0.25">
      <c r="A10" t="s">
        <v>5</v>
      </c>
      <c r="B10" t="s">
        <v>31</v>
      </c>
      <c r="C10" s="1">
        <v>5929.54</v>
      </c>
      <c r="E10" t="s">
        <v>14</v>
      </c>
      <c r="F10" t="s">
        <v>43</v>
      </c>
      <c r="G10" s="1">
        <v>15000</v>
      </c>
      <c r="I10" t="s">
        <v>5</v>
      </c>
      <c r="J10" t="s">
        <v>31</v>
      </c>
      <c r="K10" s="1">
        <v>5929.54</v>
      </c>
      <c r="M10" s="3" t="s">
        <v>35</v>
      </c>
      <c r="P10" s="10" t="s">
        <v>2</v>
      </c>
      <c r="Q10" s="1">
        <v>0</v>
      </c>
      <c r="R10" s="1">
        <v>26799.620000000003</v>
      </c>
      <c r="S10" s="1">
        <v>-26799.620000000003</v>
      </c>
      <c r="T10" s="1"/>
      <c r="U10" s="3" t="s">
        <v>57</v>
      </c>
      <c r="V10" s="1">
        <v>-45316.08</v>
      </c>
      <c r="X10" t="s">
        <v>57</v>
      </c>
      <c r="Y10" t="s">
        <v>31</v>
      </c>
      <c r="Z10" s="1">
        <v>45316.08</v>
      </c>
    </row>
    <row r="11" spans="1:26" x14ac:dyDescent="0.25">
      <c r="A11" t="s">
        <v>24</v>
      </c>
      <c r="B11" t="s">
        <v>31</v>
      </c>
      <c r="C11" s="1">
        <v>3300</v>
      </c>
      <c r="E11" t="s">
        <v>6</v>
      </c>
      <c r="F11" t="s">
        <v>43</v>
      </c>
      <c r="G11" s="1">
        <v>8500</v>
      </c>
      <c r="I11" t="s">
        <v>24</v>
      </c>
      <c r="J11" t="s">
        <v>31</v>
      </c>
      <c r="K11" s="1">
        <v>3300</v>
      </c>
      <c r="M11" s="4" t="s">
        <v>25</v>
      </c>
      <c r="P11" s="10" t="s">
        <v>1</v>
      </c>
      <c r="Q11" s="1">
        <v>0</v>
      </c>
      <c r="R11" s="1">
        <v>9994.58</v>
      </c>
      <c r="S11" s="1">
        <v>-9994.58</v>
      </c>
      <c r="T11" s="1"/>
      <c r="U11" s="3" t="s">
        <v>36</v>
      </c>
      <c r="V11" s="1">
        <v>-5300.33</v>
      </c>
      <c r="X11" t="s">
        <v>36</v>
      </c>
      <c r="Y11" t="s">
        <v>31</v>
      </c>
      <c r="Z11" s="1">
        <v>15627.72</v>
      </c>
    </row>
    <row r="12" spans="1:26" x14ac:dyDescent="0.25">
      <c r="A12" t="s">
        <v>14</v>
      </c>
      <c r="B12" t="s">
        <v>43</v>
      </c>
      <c r="C12" s="1">
        <v>49608.98</v>
      </c>
      <c r="E12" t="s">
        <v>3</v>
      </c>
      <c r="F12" t="s">
        <v>43</v>
      </c>
      <c r="G12" s="1">
        <v>5500</v>
      </c>
      <c r="I12" t="s">
        <v>14</v>
      </c>
      <c r="J12" t="s">
        <v>43</v>
      </c>
      <c r="K12" s="1">
        <v>49608.98</v>
      </c>
      <c r="M12" s="4" t="s">
        <v>26</v>
      </c>
      <c r="P12" s="3" t="s">
        <v>50</v>
      </c>
      <c r="Q12" s="1"/>
      <c r="R12" s="1"/>
      <c r="S12" s="1"/>
      <c r="T12" s="1"/>
      <c r="U12" s="3" t="s">
        <v>45</v>
      </c>
      <c r="V12" s="1">
        <v>-1805.72</v>
      </c>
      <c r="X12" t="s">
        <v>45</v>
      </c>
      <c r="Y12" t="s">
        <v>43</v>
      </c>
      <c r="Z12" s="1">
        <v>1805.72</v>
      </c>
    </row>
    <row r="13" spans="1:26" x14ac:dyDescent="0.25">
      <c r="A13" t="s">
        <v>17</v>
      </c>
      <c r="B13" t="s">
        <v>31</v>
      </c>
      <c r="C13" s="1">
        <v>4335.45</v>
      </c>
      <c r="E13" t="s">
        <v>15</v>
      </c>
      <c r="F13" t="s">
        <v>43</v>
      </c>
      <c r="G13" s="1">
        <v>6500</v>
      </c>
      <c r="I13" t="s">
        <v>17</v>
      </c>
      <c r="J13" t="s">
        <v>31</v>
      </c>
      <c r="K13" s="1">
        <v>4335.45</v>
      </c>
      <c r="M13" s="3" t="s">
        <v>34</v>
      </c>
      <c r="P13" s="4" t="s">
        <v>31</v>
      </c>
      <c r="Q13" s="1"/>
      <c r="R13" s="1"/>
      <c r="S13" s="1"/>
      <c r="T13" s="1"/>
      <c r="U13" s="3" t="s">
        <v>46</v>
      </c>
      <c r="V13" s="1">
        <v>-748.92999999999859</v>
      </c>
      <c r="X13" t="s">
        <v>46</v>
      </c>
      <c r="Y13" t="s">
        <v>31</v>
      </c>
      <c r="Z13" s="1">
        <v>14939.97</v>
      </c>
    </row>
    <row r="14" spans="1:26" x14ac:dyDescent="0.25">
      <c r="A14" t="s">
        <v>9</v>
      </c>
      <c r="B14" t="s">
        <v>31</v>
      </c>
      <c r="C14" s="1">
        <v>2857.1</v>
      </c>
      <c r="I14" t="s">
        <v>9</v>
      </c>
      <c r="J14" t="s">
        <v>31</v>
      </c>
      <c r="K14" s="1">
        <v>2857.1</v>
      </c>
      <c r="M14" s="4" t="s">
        <v>2</v>
      </c>
      <c r="P14" s="10" t="s">
        <v>108</v>
      </c>
      <c r="Q14" s="1">
        <v>0</v>
      </c>
      <c r="R14" s="1">
        <v>3256.31</v>
      </c>
      <c r="S14" s="1">
        <v>-3256.31</v>
      </c>
      <c r="U14" s="3" t="s">
        <v>37</v>
      </c>
      <c r="V14" s="1">
        <v>-423.25999999999988</v>
      </c>
      <c r="X14" t="s">
        <v>37</v>
      </c>
      <c r="Y14" t="s">
        <v>31</v>
      </c>
      <c r="Z14" s="1">
        <v>3423.26</v>
      </c>
    </row>
    <row r="15" spans="1:26" x14ac:dyDescent="0.25">
      <c r="A15" t="s">
        <v>16</v>
      </c>
      <c r="B15" t="s">
        <v>31</v>
      </c>
      <c r="C15" s="1">
        <v>14229.14</v>
      </c>
      <c r="I15" t="s">
        <v>16</v>
      </c>
      <c r="J15" t="s">
        <v>31</v>
      </c>
      <c r="K15" s="1">
        <v>14229.14</v>
      </c>
      <c r="M15" s="4" t="s">
        <v>1</v>
      </c>
      <c r="P15" s="3" t="s">
        <v>57</v>
      </c>
      <c r="Q15" s="1"/>
      <c r="R15" s="1"/>
      <c r="S15" s="1"/>
      <c r="U15" s="3" t="s">
        <v>51</v>
      </c>
      <c r="V15" s="1">
        <v>-2083.92</v>
      </c>
      <c r="X15" t="s">
        <v>42</v>
      </c>
      <c r="Y15" t="s">
        <v>43</v>
      </c>
      <c r="Z15" s="1">
        <v>1112.8699999999999</v>
      </c>
    </row>
    <row r="16" spans="1:26" x14ac:dyDescent="0.25">
      <c r="A16" t="s">
        <v>6</v>
      </c>
      <c r="B16" t="s">
        <v>43</v>
      </c>
      <c r="C16" s="1">
        <v>24362.26</v>
      </c>
      <c r="I16" t="s">
        <v>6</v>
      </c>
      <c r="J16" t="s">
        <v>43</v>
      </c>
      <c r="K16" s="1">
        <v>24362.26</v>
      </c>
      <c r="M16" s="4" t="s">
        <v>23</v>
      </c>
      <c r="P16" s="4" t="s">
        <v>31</v>
      </c>
      <c r="Q16" s="1"/>
      <c r="R16" s="1"/>
      <c r="S16" s="1"/>
      <c r="U16" s="3" t="s">
        <v>44</v>
      </c>
      <c r="V16" s="1">
        <v>-52228.53</v>
      </c>
      <c r="X16" t="s">
        <v>51</v>
      </c>
      <c r="Y16" t="s">
        <v>31</v>
      </c>
      <c r="Z16" s="1">
        <v>2083.92</v>
      </c>
    </row>
    <row r="17" spans="1:26" x14ac:dyDescent="0.25">
      <c r="A17" t="s">
        <v>11</v>
      </c>
      <c r="B17" t="s">
        <v>31</v>
      </c>
      <c r="C17" s="1">
        <v>566.16</v>
      </c>
      <c r="I17" t="s">
        <v>11</v>
      </c>
      <c r="J17" t="s">
        <v>31</v>
      </c>
      <c r="K17" s="1">
        <v>566.16</v>
      </c>
      <c r="M17" s="4" t="s">
        <v>120</v>
      </c>
      <c r="P17" s="10" t="s">
        <v>4</v>
      </c>
      <c r="Q17" s="1">
        <v>0</v>
      </c>
      <c r="R17" s="1">
        <v>45316.08</v>
      </c>
      <c r="S17" s="1">
        <v>-45316.08</v>
      </c>
      <c r="U17" s="3" t="s">
        <v>53</v>
      </c>
      <c r="V17" s="1">
        <v>-5929.54</v>
      </c>
      <c r="X17" t="s">
        <v>44</v>
      </c>
      <c r="Y17" t="s">
        <v>43</v>
      </c>
      <c r="Z17" s="1">
        <v>102231.33</v>
      </c>
    </row>
    <row r="18" spans="1:26" x14ac:dyDescent="0.25">
      <c r="A18" t="s">
        <v>21</v>
      </c>
      <c r="B18" t="s">
        <v>43</v>
      </c>
      <c r="C18" s="1">
        <v>3968.18</v>
      </c>
      <c r="I18" t="s">
        <v>21</v>
      </c>
      <c r="J18" t="s">
        <v>43</v>
      </c>
      <c r="K18" s="1">
        <v>3968.18</v>
      </c>
      <c r="M18" s="3" t="s">
        <v>36</v>
      </c>
      <c r="P18" s="3" t="s">
        <v>36</v>
      </c>
      <c r="Q18" s="1"/>
      <c r="R18" s="1"/>
      <c r="S18" s="1"/>
      <c r="U18" s="3" t="s">
        <v>56</v>
      </c>
      <c r="V18" s="1">
        <v>7798.74</v>
      </c>
      <c r="X18" t="s">
        <v>53</v>
      </c>
      <c r="Y18" t="s">
        <v>31</v>
      </c>
      <c r="Z18" s="1">
        <v>5929.54</v>
      </c>
    </row>
    <row r="19" spans="1:26" x14ac:dyDescent="0.25">
      <c r="A19" t="s">
        <v>114</v>
      </c>
      <c r="B19" t="s">
        <v>43</v>
      </c>
      <c r="C19" s="1">
        <v>1805.72</v>
      </c>
      <c r="I19" t="s">
        <v>114</v>
      </c>
      <c r="J19" t="s">
        <v>43</v>
      </c>
      <c r="K19" s="1">
        <v>1805.72</v>
      </c>
      <c r="M19" s="4" t="s">
        <v>12</v>
      </c>
      <c r="P19" s="4" t="s">
        <v>31</v>
      </c>
      <c r="Q19" s="1"/>
      <c r="R19" s="1"/>
      <c r="S19" s="1"/>
      <c r="X19" t="s">
        <v>56</v>
      </c>
      <c r="Y19" t="s">
        <v>31</v>
      </c>
      <c r="Z19" s="1">
        <v>3300</v>
      </c>
    </row>
    <row r="20" spans="1:26" x14ac:dyDescent="0.25">
      <c r="A20" t="s">
        <v>28</v>
      </c>
      <c r="B20" t="s">
        <v>43</v>
      </c>
      <c r="C20" s="1">
        <v>1112.8699999999999</v>
      </c>
      <c r="I20" t="s">
        <v>28</v>
      </c>
      <c r="J20" t="s">
        <v>43</v>
      </c>
      <c r="K20" s="1">
        <v>1112.8699999999999</v>
      </c>
      <c r="M20" s="4" t="s">
        <v>17</v>
      </c>
      <c r="P20" s="10" t="s">
        <v>17</v>
      </c>
      <c r="Q20" s="1">
        <v>10327.39</v>
      </c>
      <c r="R20" s="1">
        <v>4335.45</v>
      </c>
      <c r="S20" s="1">
        <v>5991.94</v>
      </c>
    </row>
    <row r="21" spans="1:26" x14ac:dyDescent="0.25">
      <c r="A21" t="s">
        <v>95</v>
      </c>
      <c r="B21" t="s">
        <v>31</v>
      </c>
      <c r="C21" s="1">
        <v>710.83</v>
      </c>
      <c r="I21" t="s">
        <v>95</v>
      </c>
      <c r="J21" t="s">
        <v>31</v>
      </c>
      <c r="K21" s="1">
        <v>710.83</v>
      </c>
      <c r="M21" s="4" t="s">
        <v>27</v>
      </c>
      <c r="P21" s="10" t="s">
        <v>19</v>
      </c>
      <c r="Q21" s="1">
        <v>0</v>
      </c>
      <c r="R21" s="1">
        <v>9231.09</v>
      </c>
      <c r="S21" s="1">
        <v>-9231.09</v>
      </c>
    </row>
    <row r="22" spans="1:26" x14ac:dyDescent="0.25">
      <c r="A22" t="s">
        <v>7</v>
      </c>
      <c r="B22" t="s">
        <v>31</v>
      </c>
      <c r="C22" s="1">
        <v>2083.92</v>
      </c>
      <c r="I22" t="s">
        <v>7</v>
      </c>
      <c r="J22" t="s">
        <v>31</v>
      </c>
      <c r="K22" s="1">
        <v>2083.92</v>
      </c>
      <c r="M22" s="4" t="s">
        <v>19</v>
      </c>
      <c r="P22" s="10" t="s">
        <v>20</v>
      </c>
      <c r="Q22" s="1">
        <v>0</v>
      </c>
      <c r="R22" s="1">
        <v>2061.1799999999998</v>
      </c>
      <c r="S22" s="1">
        <v>-2061.1799999999998</v>
      </c>
    </row>
    <row r="23" spans="1:26" x14ac:dyDescent="0.25">
      <c r="A23" t="s">
        <v>19</v>
      </c>
      <c r="B23" t="s">
        <v>31</v>
      </c>
      <c r="C23" s="1">
        <v>9231.09</v>
      </c>
      <c r="I23" t="s">
        <v>19</v>
      </c>
      <c r="J23" t="s">
        <v>31</v>
      </c>
      <c r="K23" s="1">
        <v>9231.09</v>
      </c>
      <c r="M23" s="4" t="s">
        <v>20</v>
      </c>
      <c r="P23" s="3" t="s">
        <v>45</v>
      </c>
      <c r="Q23" s="1"/>
      <c r="R23" s="1"/>
      <c r="S23" s="1"/>
    </row>
    <row r="24" spans="1:26" x14ac:dyDescent="0.25">
      <c r="A24" t="s">
        <v>2</v>
      </c>
      <c r="B24" t="s">
        <v>31</v>
      </c>
      <c r="C24" s="1">
        <v>26799.62</v>
      </c>
      <c r="I24" t="s">
        <v>2</v>
      </c>
      <c r="J24" t="s">
        <v>31</v>
      </c>
      <c r="K24" s="1">
        <v>26799.62</v>
      </c>
      <c r="M24" s="4" t="s">
        <v>122</v>
      </c>
      <c r="P24" s="4" t="s">
        <v>43</v>
      </c>
      <c r="Q24" s="1"/>
      <c r="R24" s="1"/>
      <c r="S24" s="1"/>
    </row>
    <row r="25" spans="1:26" x14ac:dyDescent="0.25">
      <c r="A25" t="s">
        <v>3</v>
      </c>
      <c r="B25" t="s">
        <v>43</v>
      </c>
      <c r="C25" s="1">
        <v>17791.91</v>
      </c>
      <c r="I25" t="s">
        <v>3</v>
      </c>
      <c r="J25" t="s">
        <v>43</v>
      </c>
      <c r="K25" s="1">
        <v>17791.91</v>
      </c>
      <c r="M25" s="3" t="s">
        <v>41</v>
      </c>
      <c r="P25" s="10" t="s">
        <v>114</v>
      </c>
      <c r="Q25" s="1">
        <v>0</v>
      </c>
      <c r="R25" s="1">
        <v>1805.72</v>
      </c>
      <c r="S25" s="1">
        <v>-1805.72</v>
      </c>
    </row>
    <row r="26" spans="1:26" x14ac:dyDescent="0.25">
      <c r="A26" t="s">
        <v>1</v>
      </c>
      <c r="B26" t="s">
        <v>31</v>
      </c>
      <c r="C26" s="1">
        <v>9994.58</v>
      </c>
      <c r="I26" t="s">
        <v>1</v>
      </c>
      <c r="J26" t="s">
        <v>31</v>
      </c>
      <c r="K26" s="1">
        <v>9994.58</v>
      </c>
      <c r="M26" s="4" t="s">
        <v>22</v>
      </c>
      <c r="P26" s="3" t="s">
        <v>46</v>
      </c>
      <c r="Q26" s="1"/>
      <c r="R26" s="1"/>
      <c r="S26" s="1"/>
    </row>
    <row r="27" spans="1:26" x14ac:dyDescent="0.25">
      <c r="A27" t="s">
        <v>20</v>
      </c>
      <c r="B27" t="s">
        <v>31</v>
      </c>
      <c r="C27" s="1">
        <v>2061.1799999999998</v>
      </c>
      <c r="I27" t="s">
        <v>20</v>
      </c>
      <c r="J27" t="s">
        <v>31</v>
      </c>
      <c r="K27" s="1">
        <v>2061.1799999999998</v>
      </c>
      <c r="M27" s="3" t="s">
        <v>46</v>
      </c>
      <c r="P27" s="4" t="s">
        <v>31</v>
      </c>
      <c r="Q27" s="1"/>
      <c r="R27" s="1"/>
      <c r="S27" s="1"/>
    </row>
    <row r="28" spans="1:26" x14ac:dyDescent="0.25">
      <c r="A28" t="s">
        <v>15</v>
      </c>
      <c r="B28" t="s">
        <v>43</v>
      </c>
      <c r="C28" s="1">
        <v>6500</v>
      </c>
      <c r="I28" t="s">
        <v>15</v>
      </c>
      <c r="J28" t="s">
        <v>43</v>
      </c>
      <c r="K28" s="1">
        <v>6500</v>
      </c>
      <c r="M28" s="4" t="s">
        <v>124</v>
      </c>
      <c r="P28" s="10" t="s">
        <v>16</v>
      </c>
      <c r="Q28" s="1">
        <v>14191.04</v>
      </c>
      <c r="R28" s="1">
        <v>14229.14</v>
      </c>
      <c r="S28" s="1">
        <v>-38.099999999998545</v>
      </c>
    </row>
    <row r="29" spans="1:26" x14ac:dyDescent="0.25">
      <c r="M29" s="3" t="s">
        <v>37</v>
      </c>
      <c r="P29" s="10" t="s">
        <v>95</v>
      </c>
      <c r="Q29" s="1">
        <v>0</v>
      </c>
      <c r="R29" s="1">
        <v>710.83</v>
      </c>
      <c r="S29" s="1">
        <v>-710.83</v>
      </c>
    </row>
    <row r="30" spans="1:26" x14ac:dyDescent="0.25">
      <c r="M30" s="4" t="s">
        <v>9</v>
      </c>
      <c r="P30" s="3" t="s">
        <v>37</v>
      </c>
      <c r="Q30" s="1"/>
      <c r="R30" s="1"/>
      <c r="S30" s="1"/>
    </row>
    <row r="31" spans="1:26" x14ac:dyDescent="0.25">
      <c r="M31" s="4" t="s">
        <v>11</v>
      </c>
      <c r="P31" s="4" t="s">
        <v>31</v>
      </c>
      <c r="Q31" s="1"/>
      <c r="R31" s="1"/>
      <c r="S31" s="1"/>
    </row>
    <row r="32" spans="1:26" x14ac:dyDescent="0.25">
      <c r="M32" s="4" t="s">
        <v>10</v>
      </c>
      <c r="P32" s="10" t="s">
        <v>9</v>
      </c>
      <c r="Q32" s="1">
        <v>3000</v>
      </c>
      <c r="R32" s="1">
        <v>2857.1</v>
      </c>
      <c r="S32" s="1">
        <v>142.90000000000009</v>
      </c>
    </row>
    <row r="33" spans="13:19" x14ac:dyDescent="0.25">
      <c r="M33" s="4" t="s">
        <v>13</v>
      </c>
      <c r="P33" s="10" t="s">
        <v>11</v>
      </c>
      <c r="Q33" s="1">
        <v>0</v>
      </c>
      <c r="R33" s="1">
        <v>566.16</v>
      </c>
      <c r="S33" s="1">
        <v>-566.16</v>
      </c>
    </row>
    <row r="34" spans="13:19" x14ac:dyDescent="0.25">
      <c r="M34" s="4" t="s">
        <v>134</v>
      </c>
      <c r="P34" s="3" t="s">
        <v>51</v>
      </c>
      <c r="Q34" s="1"/>
      <c r="R34" s="1"/>
      <c r="S34" s="1"/>
    </row>
    <row r="35" spans="13:19" x14ac:dyDescent="0.25">
      <c r="M35" s="3" t="s">
        <v>42</v>
      </c>
      <c r="P35" s="4" t="s">
        <v>31</v>
      </c>
      <c r="Q35" s="1"/>
      <c r="R35" s="1"/>
      <c r="S35" s="1"/>
    </row>
    <row r="36" spans="13:19" x14ac:dyDescent="0.25">
      <c r="M36" s="4" t="s">
        <v>28</v>
      </c>
      <c r="P36" s="10" t="s">
        <v>7</v>
      </c>
      <c r="Q36" s="1">
        <v>0</v>
      </c>
      <c r="R36" s="1">
        <v>2083.92</v>
      </c>
      <c r="S36" s="1">
        <v>-2083.92</v>
      </c>
    </row>
    <row r="37" spans="13:19" x14ac:dyDescent="0.25">
      <c r="M37" s="4" t="s">
        <v>123</v>
      </c>
      <c r="P37" s="3" t="s">
        <v>44</v>
      </c>
      <c r="Q37" s="1"/>
      <c r="R37" s="1"/>
      <c r="S37" s="1"/>
    </row>
    <row r="38" spans="13:19" x14ac:dyDescent="0.25">
      <c r="M38" s="3" t="s">
        <v>51</v>
      </c>
      <c r="P38" s="4" t="s">
        <v>43</v>
      </c>
      <c r="Q38" s="1"/>
      <c r="R38" s="1"/>
      <c r="S38" s="1"/>
    </row>
    <row r="39" spans="13:19" x14ac:dyDescent="0.25">
      <c r="M39" s="4" t="s">
        <v>8</v>
      </c>
      <c r="P39" s="10" t="s">
        <v>14</v>
      </c>
      <c r="Q39" s="1">
        <v>50002.8</v>
      </c>
      <c r="R39" s="1">
        <v>49608.98</v>
      </c>
      <c r="S39" s="1">
        <v>393.81999999999971</v>
      </c>
    </row>
    <row r="40" spans="13:19" x14ac:dyDescent="0.25">
      <c r="M40" s="4" t="s">
        <v>121</v>
      </c>
      <c r="P40" s="10" t="s">
        <v>6</v>
      </c>
      <c r="Q40" s="1">
        <v>0</v>
      </c>
      <c r="R40" s="1">
        <v>24362.260000000002</v>
      </c>
      <c r="S40" s="1">
        <v>-24362.260000000002</v>
      </c>
    </row>
    <row r="41" spans="13:19" x14ac:dyDescent="0.25">
      <c r="M41" s="3" t="s">
        <v>44</v>
      </c>
      <c r="P41" s="10" t="s">
        <v>21</v>
      </c>
      <c r="Q41" s="1">
        <v>0</v>
      </c>
      <c r="R41" s="1">
        <v>3968.18</v>
      </c>
      <c r="S41" s="1">
        <v>-3968.18</v>
      </c>
    </row>
    <row r="42" spans="13:19" x14ac:dyDescent="0.25">
      <c r="M42" s="4" t="s">
        <v>3</v>
      </c>
      <c r="P42" s="10" t="s">
        <v>3</v>
      </c>
      <c r="Q42" s="1">
        <v>0</v>
      </c>
      <c r="R42" s="1">
        <v>17791.91</v>
      </c>
      <c r="S42" s="1">
        <v>-17791.91</v>
      </c>
    </row>
    <row r="43" spans="13:19" x14ac:dyDescent="0.25">
      <c r="M43" s="4" t="s">
        <v>15</v>
      </c>
      <c r="P43" s="10" t="s">
        <v>15</v>
      </c>
      <c r="Q43" s="1">
        <v>0</v>
      </c>
      <c r="R43" s="1">
        <v>6500</v>
      </c>
      <c r="S43" s="1">
        <v>-6500</v>
      </c>
    </row>
    <row r="44" spans="13:19" x14ac:dyDescent="0.25">
      <c r="M44" s="4" t="s">
        <v>135</v>
      </c>
      <c r="P44" s="3" t="s">
        <v>53</v>
      </c>
      <c r="Q44" s="1"/>
      <c r="R44" s="1"/>
      <c r="S44" s="1"/>
    </row>
    <row r="45" spans="13:19" x14ac:dyDescent="0.25">
      <c r="M45" s="3" t="s">
        <v>56</v>
      </c>
      <c r="P45" s="4" t="s">
        <v>31</v>
      </c>
      <c r="Q45" s="1"/>
      <c r="R45" s="1"/>
      <c r="S45" s="1"/>
    </row>
    <row r="46" spans="13:19" x14ac:dyDescent="0.25">
      <c r="M46" s="4" t="s">
        <v>24</v>
      </c>
      <c r="P46" s="10" t="s">
        <v>5</v>
      </c>
      <c r="Q46" s="1">
        <v>0</v>
      </c>
      <c r="R46" s="1">
        <v>5929.54</v>
      </c>
      <c r="S46" s="1">
        <v>-5929.54</v>
      </c>
    </row>
    <row r="47" spans="13:19" x14ac:dyDescent="0.25">
      <c r="P47" s="3" t="s">
        <v>56</v>
      </c>
      <c r="Q47" s="1"/>
      <c r="R47" s="1"/>
      <c r="S47" s="1"/>
    </row>
    <row r="48" spans="13:19" x14ac:dyDescent="0.25">
      <c r="P48" s="4" t="s">
        <v>31</v>
      </c>
      <c r="Q48" s="1"/>
      <c r="R48" s="1"/>
      <c r="S48" s="1"/>
    </row>
    <row r="49" spans="16:19" x14ac:dyDescent="0.25">
      <c r="P49" s="10" t="s">
        <v>24</v>
      </c>
      <c r="Q49" s="1">
        <v>11098.74</v>
      </c>
      <c r="R49" s="1">
        <v>3300</v>
      </c>
      <c r="S49" s="1">
        <v>7798.74</v>
      </c>
    </row>
  </sheetData>
  <mergeCells count="7">
    <mergeCell ref="X1:Y2"/>
    <mergeCell ref="A1:B2"/>
    <mergeCell ref="E1:F2"/>
    <mergeCell ref="I1:J2"/>
    <mergeCell ref="M1:N2"/>
    <mergeCell ref="U1:V2"/>
    <mergeCell ref="P1: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B4"/>
  <sheetViews>
    <sheetView showGridLines="0" workbookViewId="0">
      <selection activeCell="B3" sqref="B3"/>
    </sheetView>
  </sheetViews>
  <sheetFormatPr defaultRowHeight="15" x14ac:dyDescent="0.25"/>
  <cols>
    <col min="1" max="1" width="18.140625" bestFit="1" customWidth="1"/>
    <col min="2" max="2" width="11.28515625" style="5" bestFit="1" customWidth="1"/>
  </cols>
  <sheetData>
    <row r="1" spans="1:2" x14ac:dyDescent="0.25">
      <c r="A1" s="2" t="s">
        <v>84</v>
      </c>
      <c r="B1" s="5" t="s">
        <v>86</v>
      </c>
    </row>
    <row r="2" spans="1:2" x14ac:dyDescent="0.25">
      <c r="A2" t="s">
        <v>82</v>
      </c>
      <c r="B2" s="5">
        <v>161556.2900000001</v>
      </c>
    </row>
    <row r="3" spans="1:2" x14ac:dyDescent="0.25">
      <c r="A3" t="s">
        <v>83</v>
      </c>
      <c r="B3" s="5">
        <v>262844.33000000019</v>
      </c>
    </row>
    <row r="4" spans="1:2" x14ac:dyDescent="0.25">
      <c r="A4" t="s">
        <v>61</v>
      </c>
      <c r="B4" s="5">
        <v>424400.62000000029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B314A0F5-5094-4F5C-AB31-5B75E819CEEE}">
  <ds:schemaRefs/>
</ds:datastoreItem>
</file>

<file path=customXml/itemProps2.xml><?xml version="1.0" encoding="utf-8"?>
<ds:datastoreItem xmlns:ds="http://schemas.openxmlformats.org/officeDocument/2006/customXml" ds:itemID="{0174DD6F-8ADC-496C-8E8A-D99BCEA1690F}">
  <ds:schemaRefs/>
</ds:datastoreItem>
</file>

<file path=customXml/itemProps3.xml><?xml version="1.0" encoding="utf-8"?>
<ds:datastoreItem xmlns:ds="http://schemas.openxmlformats.org/officeDocument/2006/customXml" ds:itemID="{73279E5D-ED54-4484-B14F-65F5FA25A582}">
  <ds:schemaRefs/>
</ds:datastoreItem>
</file>

<file path=customXml/itemProps4.xml><?xml version="1.0" encoding="utf-8"?>
<ds:datastoreItem xmlns:ds="http://schemas.openxmlformats.org/officeDocument/2006/customXml" ds:itemID="{DDABB575-3927-42DE-B7A7-29206D84956F}">
  <ds:schemaRefs/>
</ds:datastoreItem>
</file>

<file path=customXml/itemProps5.xml><?xml version="1.0" encoding="utf-8"?>
<ds:datastoreItem xmlns:ds="http://schemas.openxmlformats.org/officeDocument/2006/customXml" ds:itemID="{55B1924E-DE37-4460-9C11-626D1E99A3A9}">
  <ds:schemaRefs/>
</ds:datastoreItem>
</file>

<file path=customXml/itemProps6.xml><?xml version="1.0" encoding="utf-8"?>
<ds:datastoreItem xmlns:ds="http://schemas.openxmlformats.org/officeDocument/2006/customXml" ds:itemID="{31AA328E-6215-4AAD-9339-D0C29EC86FAE}">
  <ds:schemaRefs/>
</ds:datastoreItem>
</file>

<file path=customXml/itemProps7.xml><?xml version="1.0" encoding="utf-8"?>
<ds:datastoreItem xmlns:ds="http://schemas.openxmlformats.org/officeDocument/2006/customXml" ds:itemID="{AF581C9E-6DE3-460C-9F70-5EDD5CFDAC9B}">
  <ds:schemaRefs/>
</ds:datastoreItem>
</file>

<file path=customXml/itemProps8.xml><?xml version="1.0" encoding="utf-8"?>
<ds:datastoreItem xmlns:ds="http://schemas.openxmlformats.org/officeDocument/2006/customXml" ds:itemID="{31FA5929-F92A-4FF1-838F-9945A0A567FB}">
  <ds:schemaRefs/>
</ds:datastoreItem>
</file>

<file path=customXml/itemProps9.xml><?xml version="1.0" encoding="utf-8"?>
<ds:datastoreItem xmlns:ds="http://schemas.openxmlformats.org/officeDocument/2006/customXml" ds:itemID="{EC447B35-AD68-45A4-A384-CDBD2D9F43F7}">
  <ds:schemaRefs/>
</ds:datastoreItem>
</file>

<file path=customXml/itemProps10.xml><?xml version="1.0" encoding="utf-8"?>
<ds:datastoreItem xmlns:ds="http://schemas.openxmlformats.org/officeDocument/2006/customXml" ds:itemID="{B2FA1BA6-A909-4127-AD7A-3438105EC924}">
  <ds:schemaRefs/>
</ds:datastoreItem>
</file>

<file path=customXml/itemProps11.xml><?xml version="1.0" encoding="utf-8"?>
<ds:datastoreItem xmlns:ds="http://schemas.openxmlformats.org/officeDocument/2006/customXml" ds:itemID="{1CF74B85-1FB7-4573-B187-D8C837B28436}">
  <ds:schemaRefs/>
</ds:datastoreItem>
</file>

<file path=customXml/itemProps12.xml><?xml version="1.0" encoding="utf-8"?>
<ds:datastoreItem xmlns:ds="http://schemas.openxmlformats.org/officeDocument/2006/customXml" ds:itemID="{F01B107A-FA95-4689-933E-7D2AD44BF2B8}">
  <ds:schemaRefs/>
</ds:datastoreItem>
</file>

<file path=customXml/itemProps13.xml><?xml version="1.0" encoding="utf-8"?>
<ds:datastoreItem xmlns:ds="http://schemas.openxmlformats.org/officeDocument/2006/customXml" ds:itemID="{3AE802CE-35ED-4F19-AD6F-E78EB44D95CE}">
  <ds:schemaRefs/>
</ds:datastoreItem>
</file>

<file path=customXml/itemProps14.xml><?xml version="1.0" encoding="utf-8"?>
<ds:datastoreItem xmlns:ds="http://schemas.openxmlformats.org/officeDocument/2006/customXml" ds:itemID="{49012496-4FCF-4AE6-99D1-94BF9E0C7C68}">
  <ds:schemaRefs/>
</ds:datastoreItem>
</file>

<file path=customXml/itemProps15.xml><?xml version="1.0" encoding="utf-8"?>
<ds:datastoreItem xmlns:ds="http://schemas.openxmlformats.org/officeDocument/2006/customXml" ds:itemID="{5AD7E720-6D3E-408C-B3B4-6A9E36690DBC}">
  <ds:schemaRefs/>
</ds:datastoreItem>
</file>

<file path=customXml/itemProps16.xml><?xml version="1.0" encoding="utf-8"?>
<ds:datastoreItem xmlns:ds="http://schemas.openxmlformats.org/officeDocument/2006/customXml" ds:itemID="{C38F7A33-4084-46F8-8007-D79B2B08336B}">
  <ds:schemaRefs/>
</ds:datastoreItem>
</file>

<file path=customXml/itemProps17.xml><?xml version="1.0" encoding="utf-8"?>
<ds:datastoreItem xmlns:ds="http://schemas.openxmlformats.org/officeDocument/2006/customXml" ds:itemID="{ABD3D19E-117C-4AFF-8937-AF76DEF06355}">
  <ds:schemaRefs/>
</ds:datastoreItem>
</file>

<file path=customXml/itemProps18.xml><?xml version="1.0" encoding="utf-8"?>
<ds:datastoreItem xmlns:ds="http://schemas.openxmlformats.org/officeDocument/2006/customXml" ds:itemID="{698DEF0B-3684-449E-87D1-AEC34B032A26}">
  <ds:schemaRefs/>
</ds:datastoreItem>
</file>

<file path=customXml/itemProps19.xml><?xml version="1.0" encoding="utf-8"?>
<ds:datastoreItem xmlns:ds="http://schemas.openxmlformats.org/officeDocument/2006/customXml" ds:itemID="{DFEB6609-595A-4DD7-92A3-04AB9295719A}">
  <ds:schemaRefs/>
</ds:datastoreItem>
</file>

<file path=customXml/itemProps20.xml><?xml version="1.0" encoding="utf-8"?>
<ds:datastoreItem xmlns:ds="http://schemas.openxmlformats.org/officeDocument/2006/customXml" ds:itemID="{C3A6158A-FB8C-4534-9DED-0D95659CFCDF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 </vt:lpstr>
      <vt:lpstr>Main</vt:lpstr>
      <vt:lpstr>Dashboard</vt:lpstr>
      <vt:lpstr>Value of Stock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2022-02-14T13:50:30Z</dcterms:modified>
</cp:coreProperties>
</file>