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File_Backup\"/>
    </mc:Choice>
  </mc:AlternateContent>
  <xr:revisionPtr revIDLastSave="0" documentId="13_ncr:1_{CEA0007F-B914-42EF-B41C-270E94293CEC}" xr6:coauthVersionLast="47" xr6:coauthVersionMax="47" xr10:uidLastSave="{00000000-0000-0000-0000-000000000000}"/>
  <bookViews>
    <workbookView xWindow="-120" yWindow="-120" windowWidth="29040" windowHeight="15840" firstSheet="1" activeTab="1" xr2:uid="{FB177EF9-19CC-4E6E-95F5-F4FCC6921A71}"/>
  </bookViews>
  <sheets>
    <sheet name="Developer" sheetId="3" state="hidden" r:id="rId1"/>
    <sheet name="Payment Tracker" sheetId="1" r:id="rId2"/>
    <sheet name="Master" sheetId="2" r:id="rId3"/>
    <sheet name="Sample" sheetId="4" r:id="rId4"/>
  </sheets>
  <definedNames>
    <definedName name="ExternalData_2" localSheetId="2" hidden="1">Master!$K$3:$K$26</definedName>
    <definedName name="path">Developer!$A$4</definedName>
  </definedNames>
  <calcPr calcId="191029"/>
  <pivotCaches>
    <pivotCache cacheId="20" r:id="rId5"/>
    <pivotCache cacheId="23" r:id="rId6"/>
    <pivotCache cacheId="26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Summary_69e6865a-07be-4363-9fb6-dda4473d4fde" name="tbSummary" connection="Query - tbSummary"/>
          <x15:modelTable id="kanifa_06de2205-d159-4ee3-abc2-7dd355d51de8" name="kanifa" connection="Query - kanifa"/>
          <x15:modelTable id="Sample_19bdf23f-dff4-4f25-a799-178adc32386e" name="Sample" connection="Query - Samp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" l="1"/>
  <c r="B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A1BDC1-DFAB-4484-86DF-1F278197187D}" keepAlive="1" name="ModelConnection_ExternalData_2" description="Data Model" type="5" refreshedVersion="7" minRefreshableVersion="5" saveData="1">
    <dbPr connection="Data Model Connection" command="kanif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D3285C5-0D6E-4C73-9E31-42B191FE2460}" name="Query - kanifa" description="Connection to the 'kanifa' query in the workbook." type="100" refreshedVersion="7" minRefreshableVersion="5">
    <extLst>
      <ext xmlns:x15="http://schemas.microsoft.com/office/spreadsheetml/2010/11/main" uri="{DE250136-89BD-433C-8126-D09CA5730AF9}">
        <x15:connection id="91277bae-0a88-4f13-a0ba-1e2137a2c09e"/>
      </ext>
    </extLst>
  </connection>
  <connection id="3" xr16:uid="{132F1DE4-A5EB-422C-90C1-B895E575ED86}" name="Query - Sample" description="Connection to the 'Sample' query in the workbook." type="100" refreshedVersion="7" minRefreshableVersion="5">
    <extLst>
      <ext xmlns:x15="http://schemas.microsoft.com/office/spreadsheetml/2010/11/main" uri="{DE250136-89BD-433C-8126-D09CA5730AF9}">
        <x15:connection id="e65adda0-ad6d-46e3-82d3-4e99b741de1c"/>
      </ext>
    </extLst>
  </connection>
  <connection id="4" xr16:uid="{1D6DB08C-1CE8-411C-A3D7-79F8EEB5947D}" keepAlive="1" name="Query - Table2" description="Connection to the 'Table2' query in the workbook." type="5" refreshedVersion="7" background="1" saveData="1">
    <dbPr connection="Provider=Microsoft.Mashup.OleDb.1;Data Source=$Workbook$;Location=Table2;Extended Properties=&quot;&quot;" command="SELECT * FROM [Table2]"/>
  </connection>
  <connection id="5" xr16:uid="{F20F8B58-9DB7-45A0-B512-F36D669331CB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8c40f941-b104-4797-890f-735010e412c7"/>
      </ext>
    </extLst>
  </connection>
  <connection id="6" xr16:uid="{D69996A5-3FE0-41FC-A891-C26CD2C3D5B0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<sst xmlns="http://schemas.openxmlformats.org/spreadsheetml/2006/main" count="151" uniqueCount="66">
  <si>
    <t>PURCHASE ORDER</t>
  </si>
  <si>
    <t>PAYMENT</t>
  </si>
  <si>
    <t>INVOICE</t>
  </si>
  <si>
    <t>PO210921-21/001CHI</t>
  </si>
  <si>
    <t>PO210921-21/009CHR</t>
  </si>
  <si>
    <t>PO210927-21/001SAR</t>
  </si>
  <si>
    <t>PO211004-21/001TOP</t>
  </si>
  <si>
    <t>PO211007-21/015PAV</t>
  </si>
  <si>
    <t>PO211015-21/010CHR</t>
  </si>
  <si>
    <t>PO211015-21/014GS</t>
  </si>
  <si>
    <t>PO211027-21/004FAN</t>
  </si>
  <si>
    <t>PO211105-21/017PAV</t>
  </si>
  <si>
    <t>PO211111-21/011CHR</t>
  </si>
  <si>
    <t>PO211111-21/016GS</t>
  </si>
  <si>
    <t>PO211111-21/018PAV</t>
  </si>
  <si>
    <t>PO211210-21/002CSJC</t>
  </si>
  <si>
    <t>PO211210-21/002MS</t>
  </si>
  <si>
    <t>PO211210-21/003BP</t>
  </si>
  <si>
    <t>PO211210-21/005FAN</t>
  </si>
  <si>
    <t>PO211210-21/007MAR</t>
  </si>
  <si>
    <t>PO211210-21/012CHR</t>
  </si>
  <si>
    <t>PO211210-21/014BIA</t>
  </si>
  <si>
    <t>PO211210-21/017GS</t>
  </si>
  <si>
    <t>PO211210-21/019PAV</t>
  </si>
  <si>
    <t>CURRENT PURCHASE ORDERS IN OPEN</t>
  </si>
  <si>
    <t>PURCHASE ORDERS PAID</t>
  </si>
  <si>
    <t>PO210729-21/002CAV</t>
  </si>
  <si>
    <t>Purchase Order</t>
  </si>
  <si>
    <t>filename</t>
  </si>
  <si>
    <t>Path</t>
  </si>
  <si>
    <t>DEVELOPER AREA</t>
  </si>
  <si>
    <t>Payment Date</t>
  </si>
  <si>
    <t>Delivery Date</t>
  </si>
  <si>
    <t>Currency</t>
  </si>
  <si>
    <t>WAYBILL</t>
  </si>
  <si>
    <t>Courier</t>
  </si>
  <si>
    <t>Sum of PAYMENT</t>
  </si>
  <si>
    <t>Doc 5</t>
  </si>
  <si>
    <t>EUR</t>
  </si>
  <si>
    <t>(blank)</t>
  </si>
  <si>
    <t>NKT111221UK</t>
  </si>
  <si>
    <t>USD</t>
  </si>
  <si>
    <t>Doc1</t>
  </si>
  <si>
    <t>8452060024</t>
  </si>
  <si>
    <t>DHL</t>
  </si>
  <si>
    <t>4AS</t>
  </si>
  <si>
    <t>28/09/2021</t>
  </si>
  <si>
    <t>fedEx</t>
  </si>
  <si>
    <t>PO220106-22/001BIA</t>
  </si>
  <si>
    <t>FS 13/2022</t>
  </si>
  <si>
    <t>1872098071</t>
  </si>
  <si>
    <t>17/01/2022</t>
  </si>
  <si>
    <t>FS 12/2022</t>
  </si>
  <si>
    <t>2.88557E+11</t>
  </si>
  <si>
    <t>7072512436</t>
  </si>
  <si>
    <t>SAMPLE</t>
  </si>
  <si>
    <t>FedEx</t>
  </si>
  <si>
    <t>05/01/2022 00:00:00</t>
  </si>
  <si>
    <t>22000016</t>
  </si>
  <si>
    <t>9.74843E+11</t>
  </si>
  <si>
    <t>18/11/2022</t>
  </si>
  <si>
    <t>22200004</t>
  </si>
  <si>
    <t>21/01/2022</t>
  </si>
  <si>
    <t>66 CHR</t>
  </si>
  <si>
    <t>25/01/2022</t>
  </si>
  <si>
    <t>9236689965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</si>
</sst>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£&quot;#,##0.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49" fontId="0" fillId="0" borderId="0" xfId="0" applyNumberFormat="1"/>
    <xf numFmtId="49" fontId="2" fillId="3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2" fontId="0" fillId="0" borderId="0" xfId="0" applyNumberFormat="1"/>
    <xf numFmtId="14" fontId="0" fillId="0" borderId="0" xfId="0" applyNumberFormat="1"/>
    <xf numFmtId="1" fontId="0" fillId="0" borderId="0" xfId="0" applyNumberFormat="1"/>
    <xf numFmtId="0" fontId="0" fillId="4" borderId="0" xfId="0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0" borderId="0" xfId="0" applyFont="1"/>
    <xf numFmtId="2" fontId="4" fillId="5" borderId="0" xfId="0" applyNumberFormat="1" applyFont="1" applyFill="1"/>
    <xf numFmtId="2" fontId="4" fillId="0" borderId="0" xfId="0" applyNumberFormat="1" applyFont="1"/>
    <xf numFmtId="2" fontId="3" fillId="0" borderId="0" xfId="0" applyNumberFormat="1" applyFont="1"/>
    <xf numFmtId="0" fontId="4" fillId="5" borderId="0" xfId="0" applyFont="1" applyFill="1"/>
    <xf numFmtId="0" fontId="4" fillId="0" borderId="0" xfId="0" applyFont="1"/>
  </cellXfs>
  <cellStyles count="1">
    <cellStyle name="Normal" xfId="0" builtinId="0"/>
  </cellStyles>
  <dxfs count="62"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2" formatCode="0.00"/>
    </dxf>
    <dxf>
      <numFmt numFmtId="2" formatCode="0.00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5" formatCode="0.00_ ;\-0.00\ "/>
    </dxf>
    <dxf>
      <numFmt numFmtId="2" formatCode="0.00"/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bottom style="thin">
          <color theme="0"/>
        </bottom>
      </border>
    </dxf>
    <dxf>
      <border>
        <top style="thin">
          <color theme="0" tint="-0.34998626667073579"/>
        </top>
      </border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ont>
        <color auto="1"/>
      </font>
      <fill>
        <patternFill patternType="none">
          <bgColor auto="1"/>
        </patternFill>
      </fill>
      <border>
        <left style="thin">
          <color theme="0" tint="-0.44999542222357858"/>
        </left>
        <right style="thin">
          <color theme="0" tint="-0.44999542222357858"/>
        </right>
        <top style="thin">
          <color theme="0" tint="-0.44999542222357858"/>
        </top>
        <bottom style="thin">
          <color theme="0" tint="-0.44999542222357858"/>
        </bottom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right style="thin">
          <color theme="1" tint="0.499984740745262"/>
        </right>
      </border>
    </dxf>
    <dxf>
      <font>
        <b/>
        <color theme="1"/>
      </font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</border>
    </dxf>
    <dxf>
      <font>
        <b/>
        <color theme="1"/>
      </font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  <horizontal style="thin">
          <color theme="0"/>
        </horizontal>
      </border>
    </dxf>
    <dxf>
      <font>
        <color theme="1"/>
      </font>
      <fill>
        <patternFill>
          <bgColor theme="4" tint="0.79998168889431442"/>
        </patternFill>
      </fill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 style="thin">
          <color theme="1"/>
        </vertical>
        <horizontal style="thin">
          <color theme="1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>
          <bgColor theme="0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  <dxf>
      <numFmt numFmtId="2" formatCode="0.00"/>
    </dxf>
    <dxf>
      <numFmt numFmtId="2" formatCode="0.00"/>
    </dxf>
    <dxf>
      <numFmt numFmtId="2" formatCode="0.00"/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0" formatCode="General"/>
    </dxf>
    <dxf>
      <numFmt numFmtId="1" formatCode="0"/>
    </dxf>
    <dxf>
      <numFmt numFmtId="2" formatCode="0.0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  <alignment horizontal="right" vertical="bottom" textRotation="0" wrapText="0" indent="0" justifyLastLine="0" shrinkToFit="0" readingOrder="0"/>
    </dxf>
    <dxf>
      <numFmt numFmtId="30" formatCode="@"/>
    </dxf>
    <dxf>
      <numFmt numFmtId="164" formatCode="&quot;£&quot;#,##0.00"/>
    </dxf>
    <dxf>
      <numFmt numFmtId="30" formatCode="@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numFmt numFmtId="2" formatCode="0.00"/>
    </dxf>
    <dxf>
      <numFmt numFmtId="165" formatCode="0.00_ ;\-0.00\ "/>
    </dxf>
  </dxfs>
  <tableStyles count="2" defaultTableStyle="TableStyleMedium2" defaultPivotStyle="PivotStyleLight16">
    <tableStyle name="PivotStyleLight8 2" table="0" count="11" xr9:uid="{022FEB2B-2055-454B-A6B5-85CF595C04E3}">
      <tableStyleElement type="wholeTable" dxfId="25"/>
      <tableStyleElement type="headerRow" dxfId="24"/>
      <tableStyleElement type="totalRow" dxfId="23"/>
      <tableStyleElement type="firstColumn" dxfId="22"/>
      <tableStyleElement type="firstRowStripe" dxfId="21"/>
      <tableStyleElement type="firstColumnStripe" dxfId="20"/>
      <tableStyleElement type="firstSubtotalRow" dxfId="19"/>
      <tableStyleElement type="secondSubtotalRow" dxfId="18"/>
      <tableStyleElement type="secondColumnSubheading" dxfId="17"/>
      <tableStyleElement type="firstRowSubheading" dxfId="16"/>
      <tableStyleElement type="secondRowSubheading" dxfId="15"/>
    </tableStyle>
    <tableStyle name="PivotTable Style 1" table="0" count="1" xr9:uid="{6DCBB4D2-4D2D-4455-8878-808BE6D242A7}">
      <tableStyleElement type="wholeTable" dxfId="3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</xdr:row>
          <xdr:rowOff>47625</xdr:rowOff>
        </xdr:from>
        <xdr:to>
          <xdr:col>1</xdr:col>
          <xdr:colOff>695325</xdr:colOff>
          <xdr:row>4</xdr:row>
          <xdr:rowOff>180975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D63209BF-4775-4A86-9ACC-D2F4469CBD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3</xdr:row>
      <xdr:rowOff>38100</xdr:rowOff>
    </xdr:from>
    <xdr:to>
      <xdr:col>12</xdr:col>
      <xdr:colOff>1038225</xdr:colOff>
      <xdr:row>8</xdr:row>
      <xdr:rowOff>19049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2534900" y="609600"/>
          <a:ext cx="2228850" cy="933449"/>
          <a:chOff x="8067675" y="590551"/>
          <a:chExt cx="2971800" cy="523874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THIS TABLE</a:t>
            </a:r>
          </a:p>
          <a:p>
            <a:pPr algn="l"/>
            <a:r>
              <a:rPr lang="en-GB" sz="1100" baseline="0"/>
              <a:t>TO ADD A NEW PURCHASE ORDER.</a:t>
            </a:r>
          </a:p>
        </xdr:txBody>
      </xdr:sp>
      <xdr:sp macro="" textlink="">
        <xdr:nvSpPr>
          <xdr:cNvPr id="3" name="Arrow: Left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8</xdr:col>
      <xdr:colOff>38101</xdr:colOff>
      <xdr:row>0</xdr:row>
      <xdr:rowOff>0</xdr:rowOff>
    </xdr:from>
    <xdr:to>
      <xdr:col>9</xdr:col>
      <xdr:colOff>895350</xdr:colOff>
      <xdr:row>5</xdr:row>
      <xdr:rowOff>123824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8696326" y="0"/>
          <a:ext cx="2019299" cy="1076324"/>
          <a:chOff x="8067675" y="476251"/>
          <a:chExt cx="2971801" cy="676274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ANY </a:t>
            </a:r>
            <a:r>
              <a:rPr lang="en-GB" sz="1100" baseline="0">
                <a:solidFill>
                  <a:srgbClr val="FFFF00"/>
                </a:solidFill>
              </a:rPr>
              <a:t>PURCHASE ORDER NUMBER </a:t>
            </a:r>
            <a:r>
              <a:rPr lang="en-GB" sz="1100" baseline="0"/>
              <a:t>ON THIS TABLE</a:t>
            </a:r>
          </a:p>
          <a:p>
            <a:pPr algn="l"/>
            <a:r>
              <a:rPr lang="en-GB" sz="1100" baseline="0"/>
              <a:t>TO EDIT OR DELETE AN ENTRY.</a:t>
            </a:r>
          </a:p>
        </xdr:txBody>
      </xdr:sp>
      <xdr:sp macro="" textlink="">
        <xdr:nvSpPr>
          <xdr:cNvPr id="7" name="Arrow: Left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942975</xdr:colOff>
          <xdr:row>13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459582</xdr:colOff>
      <xdr:row>14</xdr:row>
      <xdr:rowOff>11843</xdr:rowOff>
    </xdr:from>
    <xdr:to>
      <xdr:col>12</xdr:col>
      <xdr:colOff>1009651</xdr:colOff>
      <xdr:row>19</xdr:row>
      <xdr:rowOff>142875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12813507" y="2678843"/>
          <a:ext cx="1921669" cy="1083532"/>
          <a:chOff x="8477250" y="444827"/>
          <a:chExt cx="2562225" cy="669598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Click Here if you uploaded a new report.</a:t>
            </a:r>
          </a:p>
        </xdr:txBody>
      </xdr:sp>
      <xdr:sp macro="" textlink="">
        <xdr:nvSpPr>
          <xdr:cNvPr id="11" name="Arrow: Left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 rot="5400000">
            <a:off x="9643156" y="205067"/>
            <a:ext cx="198660" cy="678180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6</xdr:row>
          <xdr:rowOff>180975</xdr:rowOff>
        </xdr:from>
        <xdr:to>
          <xdr:col>9</xdr:col>
          <xdr:colOff>876300</xdr:colOff>
          <xdr:row>12</xdr:row>
          <xdr:rowOff>9525</xdr:rowOff>
        </xdr:to>
        <xdr:sp macro="" textlink="">
          <xdr:nvSpPr>
            <xdr:cNvPr id="1026" name="cbBackU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202101</xdr:colOff>
      <xdr:row>11</xdr:row>
      <xdr:rowOff>182587</xdr:rowOff>
    </xdr:from>
    <xdr:to>
      <xdr:col>9</xdr:col>
      <xdr:colOff>781048</xdr:colOff>
      <xdr:row>19</xdr:row>
      <xdr:rowOff>28574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8860326" y="2278087"/>
          <a:ext cx="1740997" cy="1369987"/>
          <a:chOff x="8477251" y="291737"/>
          <a:chExt cx="2562225" cy="860788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ONE YOU ENTERED THE PO, BACKUP YOUR DATA IN THE TXT FILE BY CLICKING THIS BUTTON.</a:t>
            </a:r>
          </a:p>
          <a:p>
            <a:pPr algn="l"/>
            <a:endParaRPr lang="en-GB" sz="1100" baseline="0"/>
          </a:p>
        </xdr:txBody>
      </xdr:sp>
      <xdr:sp macro="" textlink="">
        <xdr:nvSpPr>
          <xdr:cNvPr id="15" name="Arrow: Left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 rot="5400000">
            <a:off x="9746482" y="15116"/>
            <a:ext cx="182995" cy="736238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587.526401620373" backgroundQuery="1" createdVersion="7" refreshedVersion="7" minRefreshableVersion="3" recordCount="0" supportSubquery="1" supportAdvancedDrill="1" xr:uid="{E75F5EE2-A0A4-43AE-8503-6C0D8866C59D}">
  <cacheSource type="external" connectionId="6"/>
  <cacheFields count="2">
    <cacheField name="[tbSummary].[PURCHASE ORDER].[PURCHASE ORDER]" caption="PURCHASE ORDER" numFmtId="0" hierarchy="9" level="1">
      <sharedItems count="9">
        <s v="PO210729-21/002CAV"/>
        <s v="PO210927-21/001SAR"/>
        <s v="PO211015-21/010CHR"/>
        <s v="PO211105-21/017PAV"/>
        <s v="PO211111-21/018PAV"/>
        <s v="PO211210-21/002CSJC"/>
        <s v="PO211210-21/012CHR"/>
        <s v="PO211210-21/014BIA"/>
        <s v="PO220106-22/001BIA"/>
      </sharedItems>
    </cacheField>
    <cacheField name="[Measures].[Sum of PAYMENT]" caption="Sum of PAYMENT" numFmtId="0" hierarchy="21" level="32767"/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587.526402662035" backgroundQuery="1" createdVersion="7" refreshedVersion="7" minRefreshableVersion="3" recordCount="0" supportSubquery="1" supportAdvancedDrill="1" xr:uid="{CA84CF11-209A-415E-95B3-4309F73EBADC}">
  <cacheSource type="external" connectionId="6"/>
  <cacheFields count="4">
    <cacheField name="[tbSummary].[PURCHASE ORDER].[PURCHASE ORDER]" caption="PURCHASE ORDER" numFmtId="0" hierarchy="9" level="1">
      <sharedItems count="9">
        <s v="PO210729-21/002CAV"/>
        <s v="PO210927-21/001SAR"/>
        <s v="PO211015-21/010CHR"/>
        <s v="PO211105-21/017PAV"/>
        <s v="PO211111-21/018PAV"/>
        <s v="PO211210-21/002CSJC"/>
        <s v="PO211210-21/012CHR"/>
        <s v="PO211210-21/014BIA"/>
        <s v="PO220106-22/001BIA"/>
      </sharedItems>
    </cacheField>
    <cacheField name="[tbSummary].[PAYMENT].[PAYMENT]" caption="PAYMENT" numFmtId="0" hierarchy="10" level="1">
      <sharedItems containsSemiMixedTypes="0" containsString="0" containsNumber="1" minValue="51" maxValue="15862.26" count="11">
        <n v="3256.31"/>
        <n v="1779.84"/>
        <n v="4149.7"/>
        <n v="4335.45"/>
        <n v="8500"/>
        <n v="15862.26"/>
        <n v="3968.18"/>
        <n v="1805.72"/>
        <n v="4875.57"/>
        <n v="5669.32"/>
        <n v="51"/>
      </sharedItems>
    </cacheField>
    <cacheField name="[tbSummary].[INVOICE].[INVOICE]" caption="INVOICE" numFmtId="0" hierarchy="11" level="1">
      <sharedItems containsBlank="1" count="9">
        <s v="Doc 5"/>
        <s v="4AS"/>
        <s v="Doc1"/>
        <s v="66 CHR"/>
        <m/>
        <s v="22200004"/>
        <s v="NKT111221UK"/>
        <s v="FS 12/2022"/>
        <s v="FS 13/2022"/>
      </sharedItems>
    </cacheField>
    <cacheField name="[tbSummary].[WAYBILL].[WAYBILL]" caption="WAYBILL" numFmtId="0" hierarchy="12" level="1">
      <sharedItems containsBlank="1" count="6">
        <s v="2.88557E+11"/>
        <m/>
        <s v="8452060024"/>
        <s v="9236689965"/>
        <s v="7072512436"/>
        <s v="1872098071"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2" memberValueDatatype="5" unbalanced="0">
      <fieldsUsage count="2">
        <fieldUsage x="-1"/>
        <fieldUsage x="1"/>
      </fieldsUsage>
    </cacheHierarchy>
    <cacheHierarchy uniqueName="[tbSummary].[INVOICE]" caption="INVOICE" attribute="1" defaultMemberUniqueName="[tbSummary].[INVOICE].[All]" allUniqueName="[tbSummary].[INVOICE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WAYBILL]" caption="WAYBILL" attribute="1" defaultMemberUniqueName="[tbSummary].[WAYBILL].[All]" allUniqueName="[tbSummary].[WAYBILL].[All]" dimensionUniqueName="[tbSummary]" displayFolder="" count="2" memberValueDatatype="130" unbalanced="0">
      <fieldsUsage count="2">
        <fieldUsage x="-1"/>
        <fieldUsage x="3"/>
      </fieldsUsage>
    </cacheHierarchy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587.526403703705" backgroundQuery="1" createdVersion="7" refreshedVersion="7" minRefreshableVersion="3" recordCount="0" supportSubquery="1" supportAdvancedDrill="1" xr:uid="{5FBE7C08-C260-4F89-BC85-AD3A33DB1972}">
  <cacheSource type="external" connectionId="6"/>
  <cacheFields count="4">
    <cacheField name="[Sample].[SAMPLE].[SAMPLE]" caption="SAMPLE" numFmtId="0" hierarchy="1" level="1">
      <sharedItems count="1">
        <s v="05/01/2022 00:00:00"/>
      </sharedItems>
    </cacheField>
    <cacheField name="[Sample].[INVOICE].[INVOICE]" caption="INVOICE" numFmtId="0" hierarchy="3" level="1">
      <sharedItems count="1">
        <s v="22000016"/>
      </sharedItems>
    </cacheField>
    <cacheField name="[Measures].[Sum of PAYMENT 2]" caption="Sum of PAYMENT 2" numFmtId="0" hierarchy="23" level="32767"/>
    <cacheField name="[Sample].[WAYBILL].[WAYBILL]" caption="WAYBILL" numFmtId="0" hierarchy="4" level="1">
      <sharedItems count="1">
        <s v="9.74843E+11"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2" memberValueDatatype="130" unbalanced="0">
      <fieldsUsage count="2">
        <fieldUsage x="-1"/>
        <fieldUsage x="0"/>
      </fieldsUsage>
    </cacheHierarchy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2" memberValueDatatype="130" unbalanced="0">
      <fieldsUsage count="2">
        <fieldUsage x="-1"/>
        <fieldUsage x="1"/>
      </fieldsUsage>
    </cacheHierarchy>
    <cacheHierarchy uniqueName="[Sample].[WAYBILL]" caption="WAYBILL" attribute="1" defaultMemberUniqueName="[Sample].[WAYBILL].[All]" allUniqueName="[Sample].[WAYBILL].[All]" dimensionUniqueName="[Sample]" displayFolder="" count="2" memberValueDatatype="130" unbalanced="0">
      <fieldsUsage count="2">
        <fieldUsage x="-1"/>
        <fieldUsage x="3"/>
      </fieldsUsage>
    </cacheHierarchy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0" memberValueDatatype="130" unbalanced="0"/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BFBD44-C357-4EE7-B1A7-291EA7C3F681}" name="PivotTable1" cacheId="2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I1:J10" firstHeaderRow="1" firstDataRow="1" firstDataCol="1"/>
  <pivotFields count="2"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dataField="1" compact="0" outline="0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dataFields count="1">
    <dataField name="Sum of PAYMENT" fld="1" baseField="0" baseItem="0" numFmtId="2"/>
  </dataFields>
  <formats count="13">
    <format dxfId="59">
      <pivotArea field="0" type="button" dataOnly="0" labelOnly="1" outline="0" axis="axisRow" fieldPosition="0"/>
    </format>
    <format dxfId="58">
      <pivotArea dataOnly="0" labelOnly="1" outline="0" axis="axisValues" fieldPosition="0"/>
    </format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0" type="button" dataOnly="0" labelOnly="1" outline="0" axis="axisRow" fieldPosition="0"/>
    </format>
    <format dxfId="54">
      <pivotArea dataOnly="0" labelOnly="1" outline="0" fieldPosition="0">
        <references count="1">
          <reference field="0" count="0"/>
        </references>
      </pivotArea>
    </format>
    <format dxfId="53">
      <pivotArea dataOnly="0" labelOnly="1" outline="0" axis="axisValues" fieldPosition="0"/>
    </format>
    <format dxfId="34">
      <pivotArea outline="0" collapsedLevelsAreSubtotals="1" fieldPosition="0"/>
    </format>
    <format dxfId="33">
      <pivotArea dataOnly="0" labelOnly="1" outline="0" axis="axisValues" fieldPosition="0"/>
    </format>
    <format dxfId="30">
      <pivotArea outline="0" collapsedLevelsAreSubtotals="1" fieldPosition="0"/>
    </format>
    <format dxfId="29">
      <pivotArea dataOnly="0" labelOnly="1" outline="0" axis="axisValues" fieldPosition="0"/>
    </format>
    <format dxfId="27">
      <pivotArea field="0" type="button" dataOnly="0" labelOnly="1" outline="0" axis="axisRow" fieldPosition="0"/>
    </format>
    <format dxfId="26">
      <pivotArea dataOnly="0" labelOnly="1" outline="0" fieldPosition="0">
        <references count="1">
          <reference field="0" count="0"/>
        </references>
      </pivotArea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8 2" showRowHeaders="1" showColHeaders="1" showRowStripes="0" showColStripes="0" showLastColumn="1"/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79EE2-7963-4576-B8F0-0CFE0564E512}" name="PivotTable2" cacheId="23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D1:G12" firstHeaderRow="1" firstDataRow="1" firstDataCol="4"/>
  <pivotFields count="4"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compact="0" allDrilled="1" outline="0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</pivotFields>
  <rowFields count="4">
    <field x="0"/>
    <field x="1"/>
    <field x="2"/>
    <field x="3"/>
  </rowFields>
  <rowItems count="11">
    <i>
      <x/>
      <x/>
      <x/>
      <x/>
    </i>
    <i>
      <x v="1"/>
      <x v="1"/>
      <x v="1"/>
      <x v="1"/>
    </i>
    <i r="1">
      <x v="2"/>
      <x v="2"/>
      <x v="2"/>
    </i>
    <i>
      <x v="2"/>
      <x v="3"/>
      <x v="3"/>
      <x v="3"/>
    </i>
    <i>
      <x v="3"/>
      <x v="4"/>
      <x v="4"/>
      <x v="1"/>
    </i>
    <i r="1">
      <x v="5"/>
      <x v="5"/>
      <x v="1"/>
    </i>
    <i>
      <x v="4"/>
      <x v="6"/>
      <x v="5"/>
      <x v="1"/>
    </i>
    <i>
      <x v="5"/>
      <x v="7"/>
      <x v="6"/>
      <x v="4"/>
    </i>
    <i>
      <x v="6"/>
      <x v="8"/>
      <x v="3"/>
      <x v="3"/>
    </i>
    <i>
      <x v="7"/>
      <x v="9"/>
      <x v="7"/>
      <x v="5"/>
    </i>
    <i>
      <x v="8"/>
      <x v="10"/>
      <x v="8"/>
      <x v="5"/>
    </i>
  </rowItem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8 2" showRowHeaders="1" showColHeaders="1" showRowStripes="1" showColStripes="1" showLastColumn="1"/>
  <rowHierarchiesUsage count="4">
    <rowHierarchyUsage hierarchyUsage="9"/>
    <rowHierarchyUsage hierarchyUsage="10"/>
    <rowHierarchyUsage hierarchyUsage="11"/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4879C0-86B7-4B25-AB70-3BA827B2DE10}" name="PivotTable3" cacheId="26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L1:O2" firstHeaderRow="1" firstDataRow="1" firstDataCol="3"/>
  <pivotFields count="4"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1">
        <item x="0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">
        <item x="0"/>
      </items>
    </pivotField>
  </pivotFields>
  <rowFields count="3">
    <field x="0"/>
    <field x="1"/>
    <field x="3"/>
  </rowFields>
  <rowItems count="1">
    <i>
      <x/>
      <x/>
      <x/>
    </i>
  </rowItems>
  <colItems count="1">
    <i/>
  </colItems>
  <dataFields count="1">
    <dataField name="Sum of PAYMENT" fld="2" baseField="0" baseItem="386337024"/>
  </dataFields>
  <formats count="2">
    <format dxfId="61">
      <pivotArea dataOnly="0" labelOnly="1" outline="0" fieldPosition="0">
        <references count="1">
          <reference field="3" count="0"/>
        </references>
      </pivotArea>
    </format>
    <format dxfId="60">
      <pivotArea dataOnly="0" labelOnly="1" outline="0" fieldPosition="0">
        <references count="3">
          <reference field="0" count="0" selected="0"/>
          <reference field="1" count="0" selected="0"/>
          <reference field="3" count="0"/>
        </references>
      </pivotArea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Sum of PAYMENT"/>
  </pivotHierarchies>
  <pivotTableStyleInfo name="PivotStyleLight8 2" showRowHeaders="1" showColHeaders="1" showRowStripes="0" showColStripes="0" showLastColumn="1"/>
  <rowHierarchiesUsage count="3">
    <rowHierarchyUsage hierarchyUsage="1"/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mp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0115C87C-FF56-491D-BC18-52A71AC0C062}" autoFormatId="16" applyNumberFormats="0" applyBorderFormats="0" applyFontFormats="0" applyPatternFormats="0" applyAlignmentFormats="0" applyWidthHeightFormats="0">
  <queryTableRefresh nextId="2">
    <queryTableFields count="1">
      <queryTableField id="1" name="Purchase Order" tableColumnId="1"/>
    </queryTableFields>
  </queryTableRefresh>
  <extLst>
    <ext xmlns:x15="http://schemas.microsoft.com/office/spreadsheetml/2010/11/main" uri="{883FBD77-0823-4a55-B5E3-86C4891E6966}">
      <x15:queryTable sourceDataName="Query - kanifa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668387-1604-4AC0-9108-57DCC9F6893A}" name="Table3" displayName="Table3" ref="A3:B4" totalsRowShown="0">
  <tableColumns count="2">
    <tableColumn id="1" xr3:uid="{655BC7B2-EE10-4FB7-B769-5882DEABE445}" name="filename">
      <calculatedColumnFormula>CELL("fileName", Master!A1)</calculatedColumnFormula>
    </tableColumn>
    <tableColumn id="2" xr3:uid="{D2EDA877-E783-410B-A28B-8FAD1B010A51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A37CF3-0D3F-45F1-8D65-7390C596FCC5}" name="tbSummary" displayName="tbSummary" ref="A3:H14" totalsRowShown="0">
  <autoFilter ref="A3:H14" xr:uid="{57A37CF3-0D3F-45F1-8D65-7390C596FCC5}"/>
  <tableColumns count="8">
    <tableColumn id="1" xr3:uid="{C1589840-7E1D-4CA5-95C1-E290D3080EC3}" name="PURCHASE ORDER" dataDxfId="52"/>
    <tableColumn id="2" xr3:uid="{DEED32B2-1B43-44B7-9D25-DBF9E08D756C}" name="PAYMENT" dataDxfId="51"/>
    <tableColumn id="3" xr3:uid="{F85A705F-E87C-4473-91AC-1E02FCC4B165}" name="INVOICE" dataDxfId="50"/>
    <tableColumn id="4" xr3:uid="{CCA412F3-7AA0-4828-BA6D-C7148B7F7978}" name="WAYBILL" dataDxfId="49"/>
    <tableColumn id="5" xr3:uid="{2637C973-E146-45DD-AC85-200378AE0ADB}" name="Courier" dataDxfId="48"/>
    <tableColumn id="6" xr3:uid="{FF255A4F-F960-4D0D-9BF1-A938C8A9A02D}" name="Payment Date" dataDxfId="47"/>
    <tableColumn id="7" xr3:uid="{8C0096E9-5175-4A31-9167-7E89732D762F}" name="Delivery Date" dataDxfId="46"/>
    <tableColumn id="8" xr3:uid="{72017AAF-974B-4CA7-A281-FD6BB62D3F99}" name="Currency" dataDxfId="4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45CF2BA-A796-4FAB-A7DA-D91CE99F143D}" name="kanifa" displayName="kanifa" ref="K3:K26" tableType="queryTable" totalsRowShown="0">
  <autoFilter ref="K3:K26" xr:uid="{045CF2BA-A796-4FAB-A7DA-D91CE99F143D}"/>
  <tableColumns count="1">
    <tableColumn id="1" xr3:uid="{255440E8-4FA9-4E0E-9577-70FD81042BC8}" uniqueName="1" name="Purchase Order" queryTableFieldId="1" dataDxfId="4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184E59-C3A7-4C3E-A2ED-AFA6ACDE7125}" name="Table2" displayName="Table2" ref="A1:H2" totalsRowShown="0">
  <autoFilter ref="A1:H2" xr:uid="{51184E59-C3A7-4C3E-A2ED-AFA6ACDE7125}"/>
  <tableColumns count="8">
    <tableColumn id="1" xr3:uid="{752C36BF-022A-45CD-B040-A790F7A89735}" name="SAMPLE"/>
    <tableColumn id="2" xr3:uid="{C67E480D-6C7C-4120-B625-96E82BFC7D5F}" name="PAYMENT" dataDxfId="44"/>
    <tableColumn id="3" xr3:uid="{72786124-347F-4F2E-8BB4-90C1BE680F15}" name="INVOICE"/>
    <tableColumn id="4" xr3:uid="{0C0C19D5-C884-4513-BE98-D876DBA24A1B}" name="WAYBILL" dataDxfId="43"/>
    <tableColumn id="5" xr3:uid="{91974097-4E16-44AF-A777-68FCC346A4DA}" name="Courier"/>
    <tableColumn id="6" xr3:uid="{3CD895F3-00A2-4686-8415-39E2A7169995}" name="Payment Date"/>
    <tableColumn id="7" xr3:uid="{6FF0C35A-AFB9-4CFF-95F8-5630B43A5979}" name="Delivery Date"/>
    <tableColumn id="8" xr3:uid="{D3BDCEFF-6974-414F-A035-549D8024ECFA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pivotTable" Target="../pivotTables/pivotTable3.xml"/><Relationship Id="rId7" Type="http://schemas.openxmlformats.org/officeDocument/2006/relationships/control" Target="../activeX/activeX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ontrol" Target="../activeX/activeX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2BEC3-6763-46C8-8787-87CBFAE71987}">
  <sheetPr codeName="Sheet1"/>
  <dimension ref="A1:O4"/>
  <sheetViews>
    <sheetView workbookViewId="0">
      <selection activeCell="B4" sqref="B4"/>
    </sheetView>
  </sheetViews>
  <sheetFormatPr defaultRowHeight="15" x14ac:dyDescent="0.25"/>
  <cols>
    <col min="1" max="1" width="14.140625" customWidth="1"/>
  </cols>
  <sheetData>
    <row r="1" spans="1:15" x14ac:dyDescent="0.25">
      <c r="A1" s="15" t="s">
        <v>30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x14ac:dyDescent="0.25">
      <c r="A3" t="s">
        <v>28</v>
      </c>
      <c r="B3" t="s">
        <v>29</v>
      </c>
    </row>
    <row r="4" spans="1:15" x14ac:dyDescent="0.25">
      <c r="A4" t="str">
        <f ca="1">CELL("fileName", Master!A1)</f>
        <v>\\NIKOTSY-PC\Amberta LTD - Accounting\Purchase_Orders_Payment\File_Backup\[25.01.22 - after update .xlsm]Master</v>
      </c>
      <c r="B4" t="str">
        <f ca="1">LEFT(path,FIND("?",SUBSTITUTE(path,"\","?",LEN(path)-LEN(SUBSTITUTE(path,"\",""))))) &amp; "reports\"</f>
        <v>\\NIKOTSY-PC\Amberta LTD - Accounting\Purchase_Orders_Payment\File_Backup\reports\</v>
      </c>
    </row>
  </sheetData>
  <mergeCells count="1">
    <mergeCell ref="A1:O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DE8C6-B9C3-428D-956D-5E8D6D8C6541}">
  <sheetPr codeName="shPay"/>
  <dimension ref="D1:O12"/>
  <sheetViews>
    <sheetView showGridLines="0" tabSelected="1" workbookViewId="0">
      <selection activeCell="B13" sqref="B13"/>
    </sheetView>
  </sheetViews>
  <sheetFormatPr defaultRowHeight="15" x14ac:dyDescent="0.25"/>
  <cols>
    <col min="1" max="1" width="22" bestFit="1" customWidth="1"/>
    <col min="2" max="2" width="12.140625" bestFit="1" customWidth="1"/>
    <col min="3" max="3" width="4.28515625" customWidth="1"/>
    <col min="4" max="4" width="20.42578125" bestFit="1" customWidth="1"/>
    <col min="6" max="6" width="22.5703125" style="18" bestFit="1" customWidth="1"/>
    <col min="7" max="7" width="18.42578125" style="21" bestFit="1" customWidth="1"/>
    <col min="8" max="8" width="4.140625" customWidth="1"/>
    <col min="9" max="9" width="22.7109375" bestFit="1" customWidth="1"/>
    <col min="10" max="10" width="18.42578125" bestFit="1" customWidth="1"/>
    <col min="11" max="11" width="10.42578125" bestFit="1" customWidth="1"/>
    <col min="12" max="12" width="18.5703125" bestFit="1" customWidth="1"/>
    <col min="13" max="13" width="10.7109375" bestFit="1" customWidth="1"/>
    <col min="14" max="14" width="11.5703125" bestFit="1" customWidth="1"/>
    <col min="15" max="15" width="16.5703125" bestFit="1" customWidth="1"/>
  </cols>
  <sheetData>
    <row r="1" spans="4:15" ht="15.75" x14ac:dyDescent="0.25">
      <c r="D1" s="3" t="s">
        <v>0</v>
      </c>
      <c r="E1" s="3" t="s">
        <v>1</v>
      </c>
      <c r="F1" s="3" t="s">
        <v>2</v>
      </c>
      <c r="G1" s="3" t="s">
        <v>34</v>
      </c>
      <c r="I1" s="22" t="s">
        <v>0</v>
      </c>
      <c r="J1" s="19" t="s">
        <v>36</v>
      </c>
      <c r="L1" s="3" t="s">
        <v>55</v>
      </c>
      <c r="M1" s="3" t="s">
        <v>2</v>
      </c>
      <c r="N1" s="3" t="s">
        <v>34</v>
      </c>
      <c r="O1" t="s">
        <v>36</v>
      </c>
    </row>
    <row r="2" spans="4:15" ht="15.75" x14ac:dyDescent="0.25">
      <c r="D2" t="s">
        <v>26</v>
      </c>
      <c r="E2">
        <v>3256.31</v>
      </c>
      <c r="F2" t="s">
        <v>37</v>
      </c>
      <c r="G2" t="s">
        <v>53</v>
      </c>
      <c r="I2" s="23" t="s">
        <v>26</v>
      </c>
      <c r="J2" s="20">
        <v>3256.31</v>
      </c>
      <c r="L2" t="s">
        <v>57</v>
      </c>
      <c r="M2" t="s">
        <v>58</v>
      </c>
      <c r="N2" s="12" t="s">
        <v>59</v>
      </c>
      <c r="O2" s="1">
        <v>462.55</v>
      </c>
    </row>
    <row r="3" spans="4:15" ht="15.75" x14ac:dyDescent="0.25">
      <c r="D3" t="s">
        <v>5</v>
      </c>
      <c r="E3">
        <v>1779.84</v>
      </c>
      <c r="F3" t="s">
        <v>45</v>
      </c>
      <c r="G3" t="s">
        <v>39</v>
      </c>
      <c r="I3" s="23" t="s">
        <v>5</v>
      </c>
      <c r="J3" s="20">
        <v>5929.54</v>
      </c>
    </row>
    <row r="4" spans="4:15" ht="15.75" x14ac:dyDescent="0.25">
      <c r="E4">
        <v>4149.7</v>
      </c>
      <c r="F4" t="s">
        <v>42</v>
      </c>
      <c r="G4" t="s">
        <v>43</v>
      </c>
      <c r="I4" s="23" t="s">
        <v>8</v>
      </c>
      <c r="J4" s="20">
        <v>4335.45</v>
      </c>
    </row>
    <row r="5" spans="4:15" ht="15.75" x14ac:dyDescent="0.25">
      <c r="D5" t="s">
        <v>8</v>
      </c>
      <c r="E5">
        <v>4335.45</v>
      </c>
      <c r="F5" t="s">
        <v>63</v>
      </c>
      <c r="G5" t="s">
        <v>65</v>
      </c>
      <c r="I5" s="23" t="s">
        <v>11</v>
      </c>
      <c r="J5" s="20">
        <v>24362.26</v>
      </c>
    </row>
    <row r="6" spans="4:15" ht="15.75" x14ac:dyDescent="0.25">
      <c r="D6" t="s">
        <v>11</v>
      </c>
      <c r="E6">
        <v>8500</v>
      </c>
      <c r="F6" t="s">
        <v>39</v>
      </c>
      <c r="G6" t="s">
        <v>39</v>
      </c>
      <c r="I6" s="23" t="s">
        <v>14</v>
      </c>
      <c r="J6" s="20">
        <v>3968.18</v>
      </c>
    </row>
    <row r="7" spans="4:15" ht="15.75" x14ac:dyDescent="0.25">
      <c r="E7">
        <v>15862.26</v>
      </c>
      <c r="F7" t="s">
        <v>61</v>
      </c>
      <c r="G7" t="s">
        <v>39</v>
      </c>
      <c r="I7" s="23" t="s">
        <v>15</v>
      </c>
      <c r="J7" s="20">
        <v>1805.72</v>
      </c>
    </row>
    <row r="8" spans="4:15" ht="15.75" x14ac:dyDescent="0.25">
      <c r="D8" t="s">
        <v>14</v>
      </c>
      <c r="E8">
        <v>3968.18</v>
      </c>
      <c r="F8" t="s">
        <v>61</v>
      </c>
      <c r="G8" t="s">
        <v>39</v>
      </c>
      <c r="I8" s="23" t="s">
        <v>20</v>
      </c>
      <c r="J8" s="20">
        <v>4875.57</v>
      </c>
    </row>
    <row r="9" spans="4:15" ht="15.75" x14ac:dyDescent="0.25">
      <c r="D9" t="s">
        <v>15</v>
      </c>
      <c r="E9">
        <v>1805.72</v>
      </c>
      <c r="F9" t="s">
        <v>40</v>
      </c>
      <c r="G9" t="s">
        <v>54</v>
      </c>
      <c r="I9" s="23" t="s">
        <v>21</v>
      </c>
      <c r="J9" s="20">
        <v>5669.32</v>
      </c>
    </row>
    <row r="10" spans="4:15" ht="15.75" x14ac:dyDescent="0.25">
      <c r="D10" t="s">
        <v>20</v>
      </c>
      <c r="E10">
        <v>4875.57</v>
      </c>
      <c r="F10" t="s">
        <v>63</v>
      </c>
      <c r="G10" t="s">
        <v>65</v>
      </c>
      <c r="I10" s="23" t="s">
        <v>48</v>
      </c>
      <c r="J10" s="20">
        <v>51</v>
      </c>
    </row>
    <row r="11" spans="4:15" x14ac:dyDescent="0.25">
      <c r="D11" t="s">
        <v>21</v>
      </c>
      <c r="E11">
        <v>5669.32</v>
      </c>
      <c r="F11" t="s">
        <v>52</v>
      </c>
      <c r="G11" t="s">
        <v>50</v>
      </c>
    </row>
    <row r="12" spans="4:15" x14ac:dyDescent="0.25">
      <c r="D12" t="s">
        <v>48</v>
      </c>
      <c r="E12">
        <v>51</v>
      </c>
      <c r="F12" t="s">
        <v>49</v>
      </c>
      <c r="G12" t="s">
        <v>50</v>
      </c>
    </row>
  </sheetData>
  <pageMargins left="0.7" right="0.7" top="0.75" bottom="0.75" header="0.3" footer="0.3"/>
  <pageSetup paperSize="125" orientation="portrait" horizontalDpi="203" verticalDpi="203" r:id="rId4"/>
  <drawing r:id="rId5"/>
  <legacyDrawing r:id="rId6"/>
  <controls>
    <mc:AlternateContent xmlns:mc="http://schemas.openxmlformats.org/markup-compatibility/2006">
      <mc:Choice Requires="x14">
        <control shapeId="3074" r:id="rId7" name="CommandButton1">
          <controlPr defaultSize="0" autoLine="0" r:id="rId8">
            <anchor moveWithCells="1">
              <from>
                <xdr:col>0</xdr:col>
                <xdr:colOff>419100</xdr:colOff>
                <xdr:row>1</xdr:row>
                <xdr:rowOff>47625</xdr:rowOff>
              </from>
              <to>
                <xdr:col>1</xdr:col>
                <xdr:colOff>695325</xdr:colOff>
                <xdr:row>4</xdr:row>
                <xdr:rowOff>180975</xdr:rowOff>
              </to>
            </anchor>
          </controlPr>
        </control>
      </mc:Choice>
      <mc:Fallback>
        <control shapeId="3074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9BB4-C1A7-4598-97A5-2CD6CCAA28F1}">
  <sheetPr codeName="shMaster"/>
  <dimension ref="A1:O26"/>
  <sheetViews>
    <sheetView workbookViewId="0">
      <selection activeCell="G19" sqref="G19"/>
    </sheetView>
  </sheetViews>
  <sheetFormatPr defaultRowHeight="15" x14ac:dyDescent="0.25"/>
  <cols>
    <col min="1" max="1" width="20.140625" style="5" bestFit="1" customWidth="1"/>
    <col min="2" max="2" width="12.7109375" style="2" bestFit="1" customWidth="1"/>
    <col min="3" max="3" width="17.42578125" style="5" customWidth="1"/>
    <col min="4" max="4" width="17.42578125" style="1" customWidth="1"/>
    <col min="5" max="5" width="9.85546875" style="5" bestFit="1" customWidth="1"/>
    <col min="6" max="7" width="17.42578125" style="8" customWidth="1"/>
    <col min="8" max="8" width="17.42578125" style="7" customWidth="1"/>
    <col min="9" max="10" width="17.42578125" customWidth="1"/>
    <col min="11" max="12" width="20.5703125" bestFit="1" customWidth="1"/>
    <col min="13" max="13" width="22.42578125" bestFit="1" customWidth="1"/>
    <col min="14" max="14" width="15.5703125" bestFit="1" customWidth="1"/>
    <col min="16" max="16" width="24.7109375" bestFit="1" customWidth="1"/>
    <col min="17" max="17" width="17.42578125" bestFit="1" customWidth="1"/>
    <col min="18" max="18" width="8.5703125" bestFit="1" customWidth="1"/>
  </cols>
  <sheetData>
    <row r="1" spans="1:15" ht="15" customHeight="1" x14ac:dyDescent="0.25">
      <c r="A1" s="17" t="s">
        <v>25</v>
      </c>
      <c r="B1" s="17"/>
      <c r="C1" s="17"/>
      <c r="D1" s="17"/>
      <c r="E1" s="6"/>
      <c r="H1" s="4"/>
      <c r="K1" s="16" t="s">
        <v>24</v>
      </c>
      <c r="L1" s="16"/>
    </row>
    <row r="2" spans="1:15" ht="15" customHeight="1" x14ac:dyDescent="0.25">
      <c r="A2" s="17"/>
      <c r="B2" s="17"/>
      <c r="C2" s="17"/>
      <c r="D2" s="17"/>
      <c r="E2" s="6"/>
      <c r="H2" s="4"/>
      <c r="K2" s="16"/>
      <c r="L2" s="16"/>
    </row>
    <row r="3" spans="1:15" x14ac:dyDescent="0.25">
      <c r="A3" s="5" t="s">
        <v>0</v>
      </c>
      <c r="B3" s="2" t="s">
        <v>1</v>
      </c>
      <c r="C3" s="5" t="s">
        <v>2</v>
      </c>
      <c r="D3" s="1" t="s">
        <v>34</v>
      </c>
      <c r="E3" s="5" t="s">
        <v>35</v>
      </c>
      <c r="F3" s="8" t="s">
        <v>31</v>
      </c>
      <c r="G3" s="8" t="s">
        <v>32</v>
      </c>
      <c r="H3" s="7" t="s">
        <v>33</v>
      </c>
      <c r="K3" t="s">
        <v>27</v>
      </c>
    </row>
    <row r="4" spans="1:15" x14ac:dyDescent="0.25">
      <c r="A4" s="5" t="s">
        <v>20</v>
      </c>
      <c r="B4" s="2">
        <v>4875.57</v>
      </c>
      <c r="C4" s="5" t="s">
        <v>63</v>
      </c>
      <c r="D4" s="9">
        <v>9236689965</v>
      </c>
      <c r="E4" s="5" t="s">
        <v>44</v>
      </c>
      <c r="F4" s="8" t="s">
        <v>64</v>
      </c>
      <c r="H4" s="7" t="s">
        <v>38</v>
      </c>
      <c r="K4" s="1" t="s">
        <v>26</v>
      </c>
      <c r="M4" s="1"/>
      <c r="N4" s="1"/>
      <c r="O4" s="1"/>
    </row>
    <row r="5" spans="1:15" x14ac:dyDescent="0.25">
      <c r="A5" s="5" t="s">
        <v>8</v>
      </c>
      <c r="B5" s="2">
        <v>4335.45</v>
      </c>
      <c r="C5" s="5" t="s">
        <v>63</v>
      </c>
      <c r="D5" s="9">
        <v>9236689965</v>
      </c>
      <c r="E5" s="5" t="s">
        <v>44</v>
      </c>
      <c r="F5" s="8" t="s">
        <v>64</v>
      </c>
      <c r="H5" s="7" t="s">
        <v>38</v>
      </c>
      <c r="K5" s="1" t="s">
        <v>3</v>
      </c>
      <c r="M5" s="1"/>
      <c r="N5" s="1"/>
      <c r="O5" s="1"/>
    </row>
    <row r="6" spans="1:15" x14ac:dyDescent="0.25">
      <c r="A6" s="5" t="s">
        <v>14</v>
      </c>
      <c r="B6" s="2">
        <v>3968.18</v>
      </c>
      <c r="C6" s="5" t="s">
        <v>61</v>
      </c>
      <c r="D6" s="9"/>
      <c r="E6" s="5" t="s">
        <v>44</v>
      </c>
      <c r="F6" s="8" t="s">
        <v>62</v>
      </c>
      <c r="H6" s="7" t="s">
        <v>41</v>
      </c>
      <c r="K6" s="1" t="s">
        <v>4</v>
      </c>
      <c r="M6" s="1"/>
      <c r="N6" s="1"/>
      <c r="O6" s="1"/>
    </row>
    <row r="7" spans="1:15" x14ac:dyDescent="0.25">
      <c r="A7" s="5" t="s">
        <v>11</v>
      </c>
      <c r="B7" s="2">
        <v>15862.26</v>
      </c>
      <c r="C7" s="5" t="s">
        <v>61</v>
      </c>
      <c r="D7" s="9"/>
      <c r="E7" s="5" t="s">
        <v>44</v>
      </c>
      <c r="F7" s="8" t="s">
        <v>62</v>
      </c>
      <c r="H7" s="7" t="s">
        <v>41</v>
      </c>
      <c r="K7" s="1" t="s">
        <v>5</v>
      </c>
      <c r="M7" s="1"/>
      <c r="N7" s="1"/>
      <c r="O7" s="1"/>
    </row>
    <row r="8" spans="1:15" x14ac:dyDescent="0.25">
      <c r="A8" s="5" t="s">
        <v>11</v>
      </c>
      <c r="B8" s="2">
        <v>8500</v>
      </c>
      <c r="D8" s="9"/>
      <c r="F8" s="8" t="s">
        <v>60</v>
      </c>
      <c r="H8" s="7" t="s">
        <v>41</v>
      </c>
      <c r="K8" s="1" t="s">
        <v>6</v>
      </c>
      <c r="M8" s="1"/>
      <c r="N8" s="1"/>
      <c r="O8" s="1"/>
    </row>
    <row r="9" spans="1:15" x14ac:dyDescent="0.25">
      <c r="A9" s="5" t="s">
        <v>21</v>
      </c>
      <c r="B9" s="2">
        <v>5669.32</v>
      </c>
      <c r="C9" s="5" t="s">
        <v>52</v>
      </c>
      <c r="D9" s="9">
        <v>1872098071</v>
      </c>
      <c r="E9" s="5" t="s">
        <v>44</v>
      </c>
      <c r="F9" s="8" t="s">
        <v>51</v>
      </c>
      <c r="H9" s="7" t="s">
        <v>38</v>
      </c>
      <c r="K9" s="1" t="s">
        <v>7</v>
      </c>
      <c r="M9" s="1"/>
      <c r="N9" s="1"/>
      <c r="O9" s="1"/>
    </row>
    <row r="10" spans="1:15" x14ac:dyDescent="0.25">
      <c r="A10" s="5" t="s">
        <v>48</v>
      </c>
      <c r="B10" s="2">
        <v>51</v>
      </c>
      <c r="C10" s="5" t="s">
        <v>49</v>
      </c>
      <c r="D10" s="10" t="s">
        <v>50</v>
      </c>
      <c r="E10" s="5" t="s">
        <v>44</v>
      </c>
      <c r="F10" s="8" t="s">
        <v>51</v>
      </c>
      <c r="G10" s="8" t="s">
        <v>51</v>
      </c>
      <c r="H10" s="7" t="s">
        <v>38</v>
      </c>
      <c r="K10" s="1" t="s">
        <v>8</v>
      </c>
      <c r="M10" s="1"/>
      <c r="N10" s="1"/>
      <c r="O10" s="1"/>
    </row>
    <row r="11" spans="1:15" x14ac:dyDescent="0.25">
      <c r="A11" s="5" t="s">
        <v>26</v>
      </c>
      <c r="B11" s="2">
        <v>3256.31</v>
      </c>
      <c r="C11" s="5" t="s">
        <v>37</v>
      </c>
      <c r="D11" s="11">
        <v>288556536200</v>
      </c>
      <c r="E11" s="5" t="s">
        <v>47</v>
      </c>
      <c r="F11" s="8">
        <v>44835</v>
      </c>
      <c r="G11" s="8">
        <v>44896</v>
      </c>
      <c r="H11" s="7" t="s">
        <v>38</v>
      </c>
      <c r="K11" s="1" t="s">
        <v>9</v>
      </c>
      <c r="M11" s="1"/>
      <c r="N11" s="1"/>
      <c r="O11" s="1"/>
    </row>
    <row r="12" spans="1:15" x14ac:dyDescent="0.25">
      <c r="A12" s="5" t="s">
        <v>5</v>
      </c>
      <c r="B12" s="2">
        <v>1779.84</v>
      </c>
      <c r="C12" s="5" t="s">
        <v>45</v>
      </c>
      <c r="D12" s="9"/>
      <c r="F12" s="8" t="s">
        <v>46</v>
      </c>
      <c r="H12" s="7" t="s">
        <v>38</v>
      </c>
      <c r="K12" s="1" t="s">
        <v>10</v>
      </c>
      <c r="M12" s="1"/>
      <c r="N12" s="1"/>
      <c r="O12" s="1"/>
    </row>
    <row r="13" spans="1:15" x14ac:dyDescent="0.25">
      <c r="A13" s="5" t="s">
        <v>5</v>
      </c>
      <c r="B13" s="2">
        <v>4149.7</v>
      </c>
      <c r="C13" s="5" t="s">
        <v>42</v>
      </c>
      <c r="D13" s="9">
        <v>8452060024</v>
      </c>
      <c r="E13" s="5" t="s">
        <v>44</v>
      </c>
      <c r="F13" s="8">
        <v>44896</v>
      </c>
      <c r="G13" s="8">
        <v>44896</v>
      </c>
      <c r="H13" s="7" t="s">
        <v>38</v>
      </c>
      <c r="K13" s="1" t="s">
        <v>11</v>
      </c>
      <c r="M13" s="1"/>
      <c r="N13" s="1"/>
      <c r="O13" s="1"/>
    </row>
    <row r="14" spans="1:15" x14ac:dyDescent="0.25">
      <c r="A14" s="5" t="s">
        <v>15</v>
      </c>
      <c r="B14" s="2">
        <v>1805.72</v>
      </c>
      <c r="C14" s="5" t="s">
        <v>40</v>
      </c>
      <c r="D14" s="9">
        <v>7072512436</v>
      </c>
      <c r="E14" s="5" t="s">
        <v>44</v>
      </c>
      <c r="F14" s="8">
        <v>44896</v>
      </c>
      <c r="H14" s="7" t="s">
        <v>41</v>
      </c>
      <c r="K14" s="1" t="s">
        <v>12</v>
      </c>
      <c r="M14" s="1"/>
      <c r="N14" s="1"/>
      <c r="O14" s="1"/>
    </row>
    <row r="15" spans="1:15" x14ac:dyDescent="0.25">
      <c r="K15" s="1" t="s">
        <v>13</v>
      </c>
      <c r="M15" s="1"/>
      <c r="N15" s="1"/>
      <c r="O15" s="1"/>
    </row>
    <row r="16" spans="1:15" x14ac:dyDescent="0.25">
      <c r="K16" s="1" t="s">
        <v>14</v>
      </c>
      <c r="M16" s="1"/>
      <c r="N16" s="1"/>
      <c r="O16" s="1"/>
    </row>
    <row r="17" spans="11:15" x14ac:dyDescent="0.25">
      <c r="K17" s="1" t="s">
        <v>15</v>
      </c>
      <c r="M17" s="1"/>
      <c r="N17" s="1"/>
      <c r="O17" s="1"/>
    </row>
    <row r="18" spans="11:15" x14ac:dyDescent="0.25">
      <c r="K18" s="1" t="s">
        <v>16</v>
      </c>
      <c r="M18" s="1"/>
      <c r="N18" s="1"/>
      <c r="O18" s="1"/>
    </row>
    <row r="19" spans="11:15" x14ac:dyDescent="0.25">
      <c r="K19" s="1" t="s">
        <v>17</v>
      </c>
    </row>
    <row r="20" spans="11:15" x14ac:dyDescent="0.25">
      <c r="K20" s="1" t="s">
        <v>18</v>
      </c>
    </row>
    <row r="21" spans="11:15" x14ac:dyDescent="0.25">
      <c r="K21" s="1" t="s">
        <v>19</v>
      </c>
    </row>
    <row r="22" spans="11:15" x14ac:dyDescent="0.25">
      <c r="K22" s="1" t="s">
        <v>20</v>
      </c>
    </row>
    <row r="23" spans="11:15" x14ac:dyDescent="0.25">
      <c r="K23" s="1" t="s">
        <v>21</v>
      </c>
    </row>
    <row r="24" spans="11:15" x14ac:dyDescent="0.25">
      <c r="K24" s="1" t="s">
        <v>22</v>
      </c>
    </row>
    <row r="25" spans="11:15" x14ac:dyDescent="0.25">
      <c r="K25" s="1" t="s">
        <v>23</v>
      </c>
    </row>
    <row r="26" spans="11:15" x14ac:dyDescent="0.25">
      <c r="K26" s="1" t="s">
        <v>48</v>
      </c>
    </row>
  </sheetData>
  <mergeCells count="2">
    <mergeCell ref="K1:L2"/>
    <mergeCell ref="A1:D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bBackUp">
          <controlPr defaultSize="0" autoLine="0" r:id="rId4">
            <anchor moveWithCells="1">
              <from>
                <xdr:col>8</xdr:col>
                <xdr:colOff>361950</xdr:colOff>
                <xdr:row>6</xdr:row>
                <xdr:rowOff>180975</xdr:rowOff>
              </from>
              <to>
                <xdr:col>9</xdr:col>
                <xdr:colOff>876300</xdr:colOff>
                <xdr:row>12</xdr:row>
                <xdr:rowOff>9525</xdr:rowOff>
              </to>
            </anchor>
          </controlPr>
        </control>
      </mc:Choice>
      <mc:Fallback>
        <control shapeId="1026" r:id="rId3" name="cbBackUp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11</xdr:col>
                <xdr:colOff>581025</xdr:colOff>
                <xdr:row>9</xdr:row>
                <xdr:rowOff>19050</xdr:rowOff>
              </from>
              <to>
                <xdr:col>12</xdr:col>
                <xdr:colOff>942975</xdr:colOff>
                <xdr:row>13</xdr:row>
                <xdr:rowOff>95250</xdr:rowOff>
              </to>
            </anchor>
          </controlPr>
        </control>
      </mc:Choice>
      <mc:Fallback>
        <control shapeId="1025" r:id="rId5" name="CommandButton1"/>
      </mc:Fallback>
    </mc:AlternateContent>
  </controls>
  <tableParts count="2"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2DAD4-AA80-4A0A-AEA0-28229526C820}">
  <sheetPr codeName="Sheet2"/>
  <dimension ref="A1:H2"/>
  <sheetViews>
    <sheetView workbookViewId="0">
      <selection activeCell="G4" sqref="G4"/>
    </sheetView>
  </sheetViews>
  <sheetFormatPr defaultRowHeight="15" x14ac:dyDescent="0.25"/>
  <cols>
    <col min="1" max="1" width="10.7109375" bestFit="1" customWidth="1"/>
    <col min="2" max="2" width="12" style="12" customWidth="1"/>
    <col min="3" max="3" width="10.5703125" customWidth="1"/>
    <col min="4" max="4" width="17.85546875" bestFit="1" customWidth="1"/>
    <col min="5" max="5" width="9.7109375" customWidth="1"/>
    <col min="6" max="6" width="15.5703125" customWidth="1"/>
    <col min="7" max="7" width="15.140625" customWidth="1"/>
    <col min="8" max="8" width="11" customWidth="1"/>
  </cols>
  <sheetData>
    <row r="1" spans="1:8" x14ac:dyDescent="0.25">
      <c r="A1" t="s">
        <v>55</v>
      </c>
      <c r="B1" s="12" t="s">
        <v>1</v>
      </c>
      <c r="C1" t="s">
        <v>2</v>
      </c>
      <c r="D1" t="s">
        <v>34</v>
      </c>
      <c r="E1" t="s">
        <v>35</v>
      </c>
      <c r="F1" t="s">
        <v>31</v>
      </c>
      <c r="G1" t="s">
        <v>32</v>
      </c>
      <c r="H1" t="s">
        <v>33</v>
      </c>
    </row>
    <row r="2" spans="1:8" x14ac:dyDescent="0.25">
      <c r="A2" s="13">
        <v>44566</v>
      </c>
      <c r="B2" s="12">
        <v>462.55</v>
      </c>
      <c r="C2">
        <v>22000016</v>
      </c>
      <c r="D2" s="14">
        <v>974843112020</v>
      </c>
      <c r="E2" t="s">
        <v>56</v>
      </c>
      <c r="F2" s="13">
        <v>44582</v>
      </c>
      <c r="H2" t="s">
        <v>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9B044A-B196-4F9F-8CCA-AD3DA27DE8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Developer</vt:lpstr>
      <vt:lpstr>Payment Tracker</vt:lpstr>
      <vt:lpstr>Master</vt:lpstr>
      <vt:lpstr>Sample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Support8</cp:lastModifiedBy>
  <dcterms:created xsi:type="dcterms:W3CDTF">2021-12-24T11:33:29Z</dcterms:created>
  <dcterms:modified xsi:type="dcterms:W3CDTF">2022-01-26T12:44:21Z</dcterms:modified>
</cp:coreProperties>
</file>