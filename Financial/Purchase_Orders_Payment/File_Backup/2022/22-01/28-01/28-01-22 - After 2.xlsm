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D0B9F82F-FAFE-4CE8-94A9-896E873CD67A}" xr6:coauthVersionLast="47" xr6:coauthVersionMax="47" xr10:uidLastSave="{00000000-0000-0000-0000-000000000000}"/>
  <bookViews>
    <workbookView xWindow="-120" yWindow="-120" windowWidth="29040" windowHeight="15840" firstSheet="1" activeTab="2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23" r:id="rId5"/>
    <pivotCache cacheId="26" r:id="rId6"/>
    <pivotCache cacheId="2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<sst xmlns="http://schemas.openxmlformats.org/spreadsheetml/2006/main" count="181" uniqueCount="74">
  <si>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</si>
  <si>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</si>
  <si>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</si>
  <si>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</si>
  <si>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</si>
  <si>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</si>
  <si>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</si>
  <si>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</si>
  <si>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</si>
  <si>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</si>
  <si>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</si>
  <si>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</si>
  <si>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</si>
  <si>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</si>
  <si>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</si>
  <si>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</si>
  <si>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</si>
  <si>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</si>
  <si>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</si>
  <si>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</si>
  <si>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</si>
  <si>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</si>
  <si>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</si>
  <si>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</si>
  <si>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</si>
  <si>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</si>
  <si>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</si>
  <si>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</si>
  <si>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</si>
  <si>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</si>
  <si>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</si>
  <si>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</si>
  <si>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</si>
  <si>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</si>
  <si>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</si>
  <si>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</si>
  <si>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</si>
  <si>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</si>
  <si>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</si>
  <si>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</si>
  <si>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</si>
  <si>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</si>
  <si>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</si>
  <si>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</si>
  <si>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</si>
  <si>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</si>
  <si>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</si>
  <si>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</si>
  <si>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</si>
  <si>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</si>
  <si>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</si>
  <si>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</si>
  <si>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</si>
  <si>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</si>
  <si>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</si>
  <si>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</si>
  <si>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FedEx</t>
  </si>
  <si>
    <t>05/01/2022 00:00:00</t>
  </si>
  <si>
    <t>22000016</t>
  </si>
  <si>
    <t>9.74843E+11</t>
  </si>
  <si>
    <t>18/11/2022</t>
  </si>
  <si>
    <t>22200004</t>
  </si>
  <si>
    <t>21/01/2022</t>
  </si>
  <si>
    <t>66 CHR</t>
  </si>
  <si>
    <t>25/01/2022</t>
  </si>
  <si>
    <t>9236689965</t>
  </si>
  <si>
    <t>1412253334</t>
  </si>
  <si>
    <t>PO220119-22/001PAV</t>
  </si>
  <si>
    <t>26/01/2022</t>
  </si>
  <si>
    <t>FS 22/2022</t>
  </si>
  <si>
    <t>28/01/2022</t>
  </si>
  <si>
    <t>4328279476</t>
  </si>
  <si>
    <t>FS 23/2022</t>
  </si>
  <si>
    <t>/22_PI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</si>
</sst>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2" fontId="4" fillId="5" borderId="0" xfId="0" applyNumberFormat="1" applyFont="1" applyFill="1"/>
    <xf numFmtId="2" fontId="4" fillId="0" borderId="0" xfId="0" applyNumberFormat="1" applyFont="1"/>
    <xf numFmtId="2" fontId="3" fillId="0" borderId="0" xfId="0" applyNumberFormat="1" applyFont="1"/>
    <xf numFmtId="0" fontId="4" fillId="5" borderId="0" xfId="0" applyFont="1" applyFill="1"/>
    <xf numFmtId="0" fontId="4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38">
    <dxf>
      <numFmt numFmtId="0" formatCode="General"/>
    </dxf>
    <dxf>
      <numFmt numFmtId="1" formatCode="0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numFmt numFmtId="2" formatCode="0.00"/>
    </dxf>
    <dxf>
      <numFmt numFmtId="165" formatCode="0.00_ ;\-0.00\ 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fill>
        <patternFill>
          <bgColor theme="4" tint="0.79998168889431442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PivotStyleLight8 2" table="0" count="11" xr9:uid="{022FEB2B-2055-454B-A6B5-85CF595C04E3}">
      <tableStyleElement type="wholeTable" dxfId="37"/>
      <tableStyleElement type="headerRow" dxfId="36"/>
      <tableStyleElement type="totalRow" dxfId="35"/>
      <tableStyleElement type="firstColumn" dxfId="34"/>
      <tableStyleElement type="firstRowStripe" dxfId="33"/>
      <tableStyleElement type="firstColumnStripe" dxfId="32"/>
      <tableStyleElement type="firstSubtotalRow" dxfId="31"/>
      <tableStyleElement type="secondSubtotalRow" dxfId="30"/>
      <tableStyleElement type="secondColumnSubheading" dxfId="29"/>
      <tableStyleElement type="firstRowSubheading" dxfId="28"/>
      <tableStyleElement type="secondRowSubheading" dxfId="27"/>
    </tableStyle>
    <tableStyle name="PivotTable Style 1" table="0" count="1" xr9:uid="{6DCBB4D2-4D2D-4455-8878-808BE6D242A7}">
      <tableStyleElement type="wholeTabl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1</xdr:col>
          <xdr:colOff>695325</xdr:colOff>
          <xdr:row>4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9.499607060185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10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  <s v="PO220119-22/001PAV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9.499607986108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11">
        <s v="PO210729-21/002CAV"/>
        <s v="PO210927-21/001SAR"/>
        <s v="PO211015-21/010CHR"/>
        <s v="PO211105-21/017PAV"/>
        <s v="PO211111-21/018PAV"/>
        <s v="PO211210-21/002CSJC"/>
        <s v="PO211210-21/005FAN"/>
        <s v="PO211210-21/012CHR"/>
        <s v="PO211210-21/014BIA"/>
        <s v="PO220106-22/001BIA"/>
        <s v="PO220119-22/001PAV"/>
      </sharedItems>
    </cacheField>
    <cacheField name="[tbSummary].[PAYMENT].[PAYMENT]" caption="PAYMENT" numFmtId="0" hierarchy="10" level="1">
      <sharedItems containsString="0" containsBlank="1" containsNumber="1" minValue="51" maxValue="15862.26" count="15">
        <n v="3256.31"/>
        <n v="1779.84"/>
        <n v="4149.7"/>
        <n v="4335.45"/>
        <n v="8500"/>
        <n v="15862.26"/>
        <n v="3968.18"/>
        <n v="1805.72"/>
        <m/>
        <n v="4875.57"/>
        <n v="5669.32"/>
        <n v="14344.03"/>
        <n v="51"/>
        <n v="1340.43"/>
        <n v="6500"/>
      </sharedItems>
    </cacheField>
    <cacheField name="[tbSummary].[INVOICE].[INVOICE]" caption="INVOICE" numFmtId="0" hierarchy="11" level="1">
      <sharedItems containsBlank="1" count="11">
        <s v="Doc 5"/>
        <s v="4AS"/>
        <s v="Doc1"/>
        <s v="66 CHR"/>
        <m/>
        <s v="22200004"/>
        <s v="NKT111221UK"/>
        <s v="FS 12/2022"/>
        <s v="FS 22/2022"/>
        <s v="FS 13/2022"/>
        <s v="FS 23/2022"/>
      </sharedItems>
    </cacheField>
    <cacheField name="[tbSummary].[WAYBILL].[WAYBILL]" caption="WAYBILL" numFmtId="0" hierarchy="12" level="1">
      <sharedItems containsBlank="1" count="8">
        <s v="2.88557E+11"/>
        <m/>
        <s v="8452060024"/>
        <s v="9236689965"/>
        <s v="1412253334"/>
        <s v="7072512436"/>
        <s v="1872098071"/>
        <s v="4328279476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9.499609375001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05/01/2022 00:00:00"/>
      </sharedItems>
    </cacheField>
    <cacheField name="[Sample].[INVOICE].[INVOICE]" caption="INVOICE" numFmtId="0" hierarchy="3" level="1">
      <sharedItems count="1">
        <s v="22000016"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unt="1">
        <s v="9.74843E+1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29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formats count="2">
    <format dxfId="12">
      <pivotArea dataOnly="0" labelOnly="1" outline="0" fieldPosition="0">
        <references count="1">
          <reference field="3" count="0"/>
        </references>
      </pivotArea>
    </format>
    <format dxfId="11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8 2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2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1:J11" firstHeaderRow="1" firstDataRow="1" firstDataCol="1"/>
  <pivotFields count="2"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outline="0" subtotalTop="0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PAYMENT" fld="1" baseField="0" baseItem="0" numFmtId="2"/>
  </dataFields>
  <formats count="13">
    <format dxfId="25">
      <pivotArea field="0" type="button" dataOnly="0" labelOnly="1" outline="0" axis="axisRow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outline="0" axis="axisValues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26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D1:G16" firstHeaderRow="1" firstDataRow="1" firstDataCol="4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allDrilled="1" outline="0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</pivotFields>
  <rowFields count="4">
    <field x="0"/>
    <field x="1"/>
    <field x="2"/>
    <field x="3"/>
  </rowFields>
  <rowItems count="15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1"/>
    </i>
    <i r="1">
      <x v="5"/>
      <x v="5"/>
      <x v="4"/>
    </i>
    <i>
      <x v="4"/>
      <x v="6"/>
      <x v="5"/>
      <x v="4"/>
    </i>
    <i>
      <x v="5"/>
      <x v="7"/>
      <x v="6"/>
      <x v="5"/>
    </i>
    <i>
      <x v="6"/>
      <x v="8"/>
      <x v="4"/>
      <x v="1"/>
    </i>
    <i>
      <x v="7"/>
      <x v="9"/>
      <x v="3"/>
      <x v="3"/>
    </i>
    <i>
      <x v="8"/>
      <x v="10"/>
      <x v="7"/>
      <x v="6"/>
    </i>
    <i r="1">
      <x v="11"/>
      <x v="8"/>
      <x v="7"/>
    </i>
    <i>
      <x v="9"/>
      <x v="12"/>
      <x v="9"/>
      <x v="6"/>
    </i>
    <i r="1">
      <x v="13"/>
      <x v="10"/>
      <x v="7"/>
    </i>
    <i>
      <x v="10"/>
      <x v="14"/>
      <x v="4"/>
      <x v="1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1" showColStripes="1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18" totalsRowShown="0">
  <autoFilter ref="A3:H18" xr:uid="{57A37CF3-0D3F-45F1-8D65-7390C596FCC5}"/>
  <tableColumns count="8">
    <tableColumn id="1" xr3:uid="{C1589840-7E1D-4CA5-95C1-E290D3080EC3}" name="PURCHASE ORDER" dataDxfId="10"/>
    <tableColumn id="2" xr3:uid="{DEED32B2-1B43-44B7-9D25-DBF9E08D756C}" name="PAYMENT" dataDxfId="9"/>
    <tableColumn id="3" xr3:uid="{F85A705F-E87C-4473-91AC-1E02FCC4B165}" name="INVOICE" dataDxfId="8"/>
    <tableColumn id="4" xr3:uid="{CCA412F3-7AA0-4828-BA6D-C7148B7F7978}" name="WAYBILL" dataDxfId="7"/>
    <tableColumn id="5" xr3:uid="{2637C973-E146-45DD-AC85-200378AE0ADB}" name="Courier" dataDxfId="6"/>
    <tableColumn id="6" xr3:uid="{FF255A4F-F960-4D0D-9BF1-A938C8A9A02D}" name="Payment Date" dataDxfId="5"/>
    <tableColumn id="7" xr3:uid="{8C0096E9-5175-4A31-9167-7E89732D762F}" name="Delivery Date" dataDxfId="4"/>
    <tableColumn id="8" xr3:uid="{72017AAF-974B-4CA7-A281-FD6BB62D3F99}" name="Currency" dataDxfId="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2"/>
    <tableColumn id="3" xr3:uid="{72786124-347F-4F2E-8BB4-90C1BE680F15}" name="INVOICE"/>
    <tableColumn id="4" xr3:uid="{0C0C19D5-C884-4513-BE98-D876DBA24A1B}" name="WAYBILL" dataDxfId="1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21" t="s">
        <v>30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D1:O16"/>
  <sheetViews>
    <sheetView showGridLines="0" workbookViewId="0">
      <selection activeCell="J19" sqref="J19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4.28515625" customWidth="1"/>
    <col min="4" max="4" width="20.42578125" bestFit="1" customWidth="1"/>
    <col min="6" max="6" width="22.5703125" style="15" bestFit="1" customWidth="1"/>
    <col min="7" max="7" width="11.5703125" style="18" bestFit="1" customWidth="1"/>
    <col min="8" max="8" width="4.140625" customWidth="1"/>
    <col min="9" max="9" width="22.7109375" bestFit="1" customWidth="1"/>
    <col min="10" max="10" width="18.42578125" bestFit="1" customWidth="1"/>
    <col min="11" max="11" width="10.42578125" bestFit="1" customWidth="1"/>
    <col min="12" max="12" width="18.5703125" bestFit="1" customWidth="1"/>
    <col min="13" max="13" width="10.7109375" bestFit="1" customWidth="1"/>
    <col min="14" max="14" width="11.5703125" bestFit="1" customWidth="1"/>
    <col min="15" max="15" width="16.5703125" bestFit="1" customWidth="1"/>
  </cols>
  <sheetData>
    <row r="1" spans="4:15" ht="15.75" x14ac:dyDescent="0.25">
      <c r="D1" s="3" t="s">
        <v>0</v>
      </c>
      <c r="E1" s="3" t="s">
        <v>1</v>
      </c>
      <c r="F1" s="3" t="s">
        <v>2</v>
      </c>
      <c r="G1" s="3" t="s">
        <v>34</v>
      </c>
      <c r="I1" s="19" t="s">
        <v>0</v>
      </c>
      <c r="J1" s="16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4:15" ht="15.75" x14ac:dyDescent="0.25">
      <c r="D2" t="s">
        <v>26</v>
      </c>
      <c r="E2">
        <v>3256.31</v>
      </c>
      <c r="F2" t="s">
        <v>37</v>
      </c>
      <c r="G2" t="s">
        <v>53</v>
      </c>
      <c r="I2" s="20" t="s">
        <v>26</v>
      </c>
      <c r="J2" s="17">
        <v>3256.31</v>
      </c>
      <c r="L2" t="s">
        <v>57</v>
      </c>
      <c r="M2" t="s">
        <v>58</v>
      </c>
      <c r="N2" s="12" t="s">
        <v>59</v>
      </c>
      <c r="O2" s="1">
        <v>462.55</v>
      </c>
    </row>
    <row r="3" spans="4:15" ht="15.75" x14ac:dyDescent="0.25">
      <c r="D3" t="s">
        <v>5</v>
      </c>
      <c r="E3">
        <v>1779.84</v>
      </c>
      <c r="F3" t="s">
        <v>45</v>
      </c>
      <c r="G3" t="s">
        <v>39</v>
      </c>
      <c r="I3" s="20" t="s">
        <v>5</v>
      </c>
      <c r="J3" s="17">
        <v>5929.54</v>
      </c>
    </row>
    <row r="4" spans="4:15" ht="15.75" x14ac:dyDescent="0.25">
      <c r="E4">
        <v>4149.7</v>
      </c>
      <c r="F4" t="s">
        <v>42</v>
      </c>
      <c r="G4" t="s">
        <v>43</v>
      </c>
      <c r="I4" s="20" t="s">
        <v>8</v>
      </c>
      <c r="J4" s="17">
        <v>4335.45</v>
      </c>
    </row>
    <row r="5" spans="4:15" ht="15.75" x14ac:dyDescent="0.25">
      <c r="D5" t="s">
        <v>8</v>
      </c>
      <c r="E5">
        <v>4335.45</v>
      </c>
      <c r="F5" t="s">
        <v>63</v>
      </c>
      <c r="G5" t="s">
        <v>65</v>
      </c>
      <c r="I5" s="20" t="s">
        <v>11</v>
      </c>
      <c r="J5" s="17">
        <v>24362.260000000002</v>
      </c>
    </row>
    <row r="6" spans="4:15" ht="15.75" x14ac:dyDescent="0.25">
      <c r="D6" t="s">
        <v>11</v>
      </c>
      <c r="E6">
        <v>8500</v>
      </c>
      <c r="F6" t="s">
        <v>39</v>
      </c>
      <c r="G6" t="s">
        <v>39</v>
      </c>
      <c r="I6" s="20" t="s">
        <v>14</v>
      </c>
      <c r="J6" s="17">
        <v>3968.18</v>
      </c>
    </row>
    <row r="7" spans="4:15" ht="15.75" x14ac:dyDescent="0.25">
      <c r="E7">
        <v>15862.26</v>
      </c>
      <c r="F7" t="s">
        <v>61</v>
      </c>
      <c r="G7" t="s">
        <v>66</v>
      </c>
      <c r="I7" s="20" t="s">
        <v>15</v>
      </c>
      <c r="J7" s="17">
        <v>1805.72</v>
      </c>
    </row>
    <row r="8" spans="4:15" ht="15.75" x14ac:dyDescent="0.25">
      <c r="D8" t="s">
        <v>14</v>
      </c>
      <c r="E8">
        <v>3968.18</v>
      </c>
      <c r="F8" t="s">
        <v>61</v>
      </c>
      <c r="G8" t="s">
        <v>66</v>
      </c>
      <c r="I8" s="20" t="s">
        <v>20</v>
      </c>
      <c r="J8" s="17">
        <v>4875.57</v>
      </c>
    </row>
    <row r="9" spans="4:15" ht="15.75" x14ac:dyDescent="0.25">
      <c r="D9" t="s">
        <v>15</v>
      </c>
      <c r="E9">
        <v>1805.72</v>
      </c>
      <c r="F9" t="s">
        <v>40</v>
      </c>
      <c r="G9" t="s">
        <v>54</v>
      </c>
      <c r="I9" s="20" t="s">
        <v>21</v>
      </c>
      <c r="J9" s="17">
        <v>20013.349999999999</v>
      </c>
    </row>
    <row r="10" spans="4:15" ht="15.75" x14ac:dyDescent="0.25">
      <c r="D10" t="s">
        <v>18</v>
      </c>
      <c r="E10" t="s">
        <v>39</v>
      </c>
      <c r="F10" t="s">
        <v>39</v>
      </c>
      <c r="G10" t="s">
        <v>39</v>
      </c>
      <c r="I10" s="20" t="s">
        <v>48</v>
      </c>
      <c r="J10" s="17">
        <v>1391.43</v>
      </c>
    </row>
    <row r="11" spans="4:15" ht="15.75" x14ac:dyDescent="0.25">
      <c r="D11" t="s">
        <v>20</v>
      </c>
      <c r="E11">
        <v>4875.57</v>
      </c>
      <c r="F11" t="s">
        <v>63</v>
      </c>
      <c r="G11" t="s">
        <v>65</v>
      </c>
      <c r="I11" s="20" t="s">
        <v>67</v>
      </c>
      <c r="J11" s="17">
        <v>6500</v>
      </c>
    </row>
    <row r="12" spans="4:15" x14ac:dyDescent="0.25">
      <c r="D12" t="s">
        <v>21</v>
      </c>
      <c r="E12">
        <v>5669.32</v>
      </c>
      <c r="F12" t="s">
        <v>52</v>
      </c>
      <c r="G12" t="s">
        <v>50</v>
      </c>
    </row>
    <row r="13" spans="4:15" x14ac:dyDescent="0.25">
      <c r="E13">
        <v>14344.03</v>
      </c>
      <c r="F13" t="s">
        <v>69</v>
      </c>
      <c r="G13" t="s">
        <v>71</v>
      </c>
    </row>
    <row r="14" spans="4:15" x14ac:dyDescent="0.25">
      <c r="D14" t="s">
        <v>48</v>
      </c>
      <c r="E14">
        <v>51</v>
      </c>
      <c r="F14" t="s">
        <v>49</v>
      </c>
      <c r="G14" t="s">
        <v>50</v>
      </c>
    </row>
    <row r="15" spans="4:15" x14ac:dyDescent="0.25">
      <c r="E15">
        <v>1340.43</v>
      </c>
      <c r="F15" t="s">
        <v>72</v>
      </c>
      <c r="G15" t="s">
        <v>71</v>
      </c>
    </row>
    <row r="16" spans="4:15" x14ac:dyDescent="0.25">
      <c r="D16" t="s">
        <v>67</v>
      </c>
      <c r="E16">
        <v>6500</v>
      </c>
      <c r="F16" t="s">
        <v>39</v>
      </c>
      <c r="G16" t="s">
        <v>39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0</xdr:col>
                <xdr:colOff>419100</xdr:colOff>
                <xdr:row>1</xdr:row>
                <xdr:rowOff>47625</xdr:rowOff>
              </from>
              <to>
                <xdr:col>1</xdr:col>
                <xdr:colOff>695325</xdr:colOff>
                <xdr:row>4</xdr:row>
                <xdr:rowOff>180975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E22" sqref="E22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8" customWidth="1"/>
    <col min="8" max="8" width="17.42578125" style="7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23" t="s">
        <v>25</v>
      </c>
      <c r="B1" s="23"/>
      <c r="C1" s="23"/>
      <c r="D1" s="23"/>
      <c r="E1" s="6"/>
      <c r="H1" s="4"/>
      <c r="K1" s="22" t="s">
        <v>24</v>
      </c>
      <c r="L1" s="22"/>
    </row>
    <row r="2" spans="1:15" ht="15" customHeight="1" x14ac:dyDescent="0.25">
      <c r="A2" s="23"/>
      <c r="B2" s="23"/>
      <c r="C2" s="23"/>
      <c r="D2" s="23"/>
      <c r="E2" s="6"/>
      <c r="H2" s="4"/>
      <c r="K2" s="22"/>
      <c r="L2" s="22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8" t="s">
        <v>31</v>
      </c>
      <c r="G3" s="8" t="s">
        <v>32</v>
      </c>
      <c r="H3" s="7" t="s">
        <v>33</v>
      </c>
      <c r="K3" t="s">
        <v>27</v>
      </c>
    </row>
    <row r="4" spans="1:15" x14ac:dyDescent="0.25">
      <c r="A4" s="5" t="s">
        <v>18</v>
      </c>
      <c r="B4" s="2">
        <v>710.83</v>
      </c>
      <c r="C4" s="5" t="s">
        <v>73</v>
      </c>
      <c r="D4" s="9">
        <v>4599804366</v>
      </c>
      <c r="E4" s="5" t="s">
        <v>44</v>
      </c>
      <c r="F4" s="8" t="s">
        <v>70</v>
      </c>
      <c r="H4" s="7" t="s">
        <v>38</v>
      </c>
      <c r="K4" s="1" t="s">
        <v>26</v>
      </c>
      <c r="M4" s="1"/>
      <c r="N4" s="1"/>
      <c r="O4" s="1"/>
    </row>
    <row r="5" spans="1:15" x14ac:dyDescent="0.25">
      <c r="A5" s="5" t="s">
        <v>48</v>
      </c>
      <c r="B5" s="2">
        <v>1340.43</v>
      </c>
      <c r="C5" s="5" t="s">
        <v>72</v>
      </c>
      <c r="D5" s="9">
        <v>4328279476</v>
      </c>
      <c r="E5" s="5" t="s">
        <v>44</v>
      </c>
      <c r="F5" s="8" t="s">
        <v>70</v>
      </c>
      <c r="H5" s="7" t="s">
        <v>38</v>
      </c>
      <c r="K5" s="1" t="s">
        <v>3</v>
      </c>
      <c r="M5" s="1"/>
      <c r="N5" s="1"/>
      <c r="O5" s="1"/>
    </row>
    <row r="6" spans="1:15" x14ac:dyDescent="0.25">
      <c r="A6" s="5" t="s">
        <v>21</v>
      </c>
      <c r="B6" s="2">
        <v>14344.03</v>
      </c>
      <c r="C6" s="5" t="s">
        <v>69</v>
      </c>
      <c r="D6" s="9">
        <v>4328279476</v>
      </c>
      <c r="E6" s="5" t="s">
        <v>44</v>
      </c>
      <c r="F6" s="8" t="s">
        <v>70</v>
      </c>
      <c r="H6" s="7" t="s">
        <v>38</v>
      </c>
      <c r="K6" s="1" t="s">
        <v>4</v>
      </c>
      <c r="M6" s="1"/>
      <c r="N6" s="1"/>
      <c r="O6" s="1"/>
    </row>
    <row r="7" spans="1:15" x14ac:dyDescent="0.25">
      <c r="A7" s="5" t="s">
        <v>67</v>
      </c>
      <c r="B7" s="2">
        <v>6500</v>
      </c>
      <c r="D7" s="9"/>
      <c r="F7" s="8" t="s">
        <v>68</v>
      </c>
      <c r="H7" s="7" t="s">
        <v>41</v>
      </c>
      <c r="K7" s="1" t="s">
        <v>5</v>
      </c>
      <c r="M7" s="1"/>
      <c r="N7" s="1"/>
      <c r="O7" s="1"/>
    </row>
    <row r="8" spans="1:15" x14ac:dyDescent="0.25">
      <c r="A8" s="5" t="s">
        <v>20</v>
      </c>
      <c r="B8" s="2">
        <v>4875.57</v>
      </c>
      <c r="C8" s="5" t="s">
        <v>63</v>
      </c>
      <c r="D8" s="9">
        <v>9236689965</v>
      </c>
      <c r="E8" s="5" t="s">
        <v>44</v>
      </c>
      <c r="F8" s="8" t="s">
        <v>64</v>
      </c>
      <c r="H8" s="7" t="s">
        <v>38</v>
      </c>
      <c r="K8" s="1" t="s">
        <v>6</v>
      </c>
      <c r="M8" s="1"/>
      <c r="N8" s="1"/>
      <c r="O8" s="1"/>
    </row>
    <row r="9" spans="1:15" x14ac:dyDescent="0.25">
      <c r="A9" s="5" t="s">
        <v>8</v>
      </c>
      <c r="B9" s="2">
        <v>4335.45</v>
      </c>
      <c r="C9" s="5" t="s">
        <v>63</v>
      </c>
      <c r="D9" s="9">
        <v>9236689965</v>
      </c>
      <c r="E9" s="5" t="s">
        <v>44</v>
      </c>
      <c r="F9" s="8" t="s">
        <v>64</v>
      </c>
      <c r="H9" s="7" t="s">
        <v>38</v>
      </c>
      <c r="K9" s="1" t="s">
        <v>7</v>
      </c>
      <c r="M9" s="1"/>
      <c r="N9" s="1"/>
      <c r="O9" s="1"/>
    </row>
    <row r="10" spans="1:15" x14ac:dyDescent="0.25">
      <c r="A10" s="5" t="s">
        <v>14</v>
      </c>
      <c r="B10" s="2">
        <v>3968.18</v>
      </c>
      <c r="C10" s="5" t="s">
        <v>61</v>
      </c>
      <c r="D10" s="9">
        <v>1412253334</v>
      </c>
      <c r="E10" s="5" t="s">
        <v>44</v>
      </c>
      <c r="F10" s="8" t="s">
        <v>62</v>
      </c>
      <c r="H10" s="7" t="s">
        <v>41</v>
      </c>
      <c r="K10" s="1" t="s">
        <v>8</v>
      </c>
      <c r="M10" s="1"/>
      <c r="N10" s="1"/>
      <c r="O10" s="1"/>
    </row>
    <row r="11" spans="1:15" x14ac:dyDescent="0.25">
      <c r="A11" s="5" t="s">
        <v>11</v>
      </c>
      <c r="B11" s="2">
        <v>15862.26</v>
      </c>
      <c r="C11" s="5" t="s">
        <v>61</v>
      </c>
      <c r="D11" s="9">
        <v>1412253334</v>
      </c>
      <c r="E11" s="5" t="s">
        <v>44</v>
      </c>
      <c r="F11" s="8" t="s">
        <v>62</v>
      </c>
      <c r="H11" s="7" t="s">
        <v>41</v>
      </c>
      <c r="K11" s="1" t="s">
        <v>9</v>
      </c>
      <c r="M11" s="1"/>
      <c r="N11" s="1"/>
      <c r="O11" s="1"/>
    </row>
    <row r="12" spans="1:15" x14ac:dyDescent="0.25">
      <c r="A12" s="5" t="s">
        <v>11</v>
      </c>
      <c r="B12" s="2">
        <v>8500</v>
      </c>
      <c r="D12" s="9"/>
      <c r="F12" s="8" t="s">
        <v>60</v>
      </c>
      <c r="H12" s="7" t="s">
        <v>41</v>
      </c>
      <c r="K12" s="1" t="s">
        <v>10</v>
      </c>
      <c r="M12" s="1"/>
      <c r="N12" s="1"/>
      <c r="O12" s="1"/>
    </row>
    <row r="13" spans="1:15" x14ac:dyDescent="0.25">
      <c r="A13" s="5" t="s">
        <v>21</v>
      </c>
      <c r="B13" s="2">
        <v>5669.32</v>
      </c>
      <c r="C13" s="5" t="s">
        <v>52</v>
      </c>
      <c r="D13" s="9">
        <v>1872098071</v>
      </c>
      <c r="E13" s="5" t="s">
        <v>44</v>
      </c>
      <c r="F13" s="8" t="s">
        <v>51</v>
      </c>
      <c r="H13" s="7" t="s">
        <v>38</v>
      </c>
      <c r="K13" s="1" t="s">
        <v>11</v>
      </c>
      <c r="M13" s="1"/>
      <c r="N13" s="1"/>
      <c r="O13" s="1"/>
    </row>
    <row r="14" spans="1:15" x14ac:dyDescent="0.25">
      <c r="A14" s="5" t="s">
        <v>48</v>
      </c>
      <c r="B14" s="2">
        <v>51</v>
      </c>
      <c r="C14" s="5" t="s">
        <v>49</v>
      </c>
      <c r="D14" s="10" t="s">
        <v>50</v>
      </c>
      <c r="E14" s="5" t="s">
        <v>44</v>
      </c>
      <c r="F14" s="8" t="s">
        <v>51</v>
      </c>
      <c r="G14" s="8" t="s">
        <v>51</v>
      </c>
      <c r="H14" s="7" t="s">
        <v>38</v>
      </c>
      <c r="K14" s="1" t="s">
        <v>12</v>
      </c>
      <c r="M14" s="1"/>
      <c r="N14" s="1"/>
      <c r="O14" s="1"/>
    </row>
    <row r="15" spans="1:15" x14ac:dyDescent="0.25">
      <c r="A15" s="5" t="s">
        <v>26</v>
      </c>
      <c r="B15" s="2">
        <v>3256.31</v>
      </c>
      <c r="C15" s="5" t="s">
        <v>37</v>
      </c>
      <c r="D15" s="11">
        <v>288556536200</v>
      </c>
      <c r="E15" s="5" t="s">
        <v>47</v>
      </c>
      <c r="F15" s="8">
        <v>44835</v>
      </c>
      <c r="G15" s="8">
        <v>44896</v>
      </c>
      <c r="H15" s="7" t="s">
        <v>38</v>
      </c>
      <c r="K15" s="1" t="s">
        <v>13</v>
      </c>
      <c r="M15" s="1"/>
      <c r="N15" s="1"/>
      <c r="O15" s="1"/>
    </row>
    <row r="16" spans="1:15" x14ac:dyDescent="0.25">
      <c r="A16" s="5" t="s">
        <v>5</v>
      </c>
      <c r="B16" s="2">
        <v>1779.84</v>
      </c>
      <c r="C16" s="5" t="s">
        <v>45</v>
      </c>
      <c r="D16" s="9"/>
      <c r="F16" s="8" t="s">
        <v>46</v>
      </c>
      <c r="H16" s="7" t="s">
        <v>38</v>
      </c>
      <c r="K16" s="1" t="s">
        <v>14</v>
      </c>
      <c r="M16" s="1"/>
      <c r="N16" s="1"/>
      <c r="O16" s="1"/>
    </row>
    <row r="17" spans="1:15" x14ac:dyDescent="0.25">
      <c r="A17" s="5" t="s">
        <v>5</v>
      </c>
      <c r="B17" s="2">
        <v>4149.7</v>
      </c>
      <c r="C17" s="5" t="s">
        <v>42</v>
      </c>
      <c r="D17" s="9">
        <v>8452060024</v>
      </c>
      <c r="E17" s="5" t="s">
        <v>44</v>
      </c>
      <c r="F17" s="8">
        <v>44896</v>
      </c>
      <c r="G17" s="8">
        <v>44896</v>
      </c>
      <c r="H17" s="7" t="s">
        <v>38</v>
      </c>
      <c r="K17" s="1" t="s">
        <v>15</v>
      </c>
      <c r="M17" s="1"/>
      <c r="N17" s="1"/>
      <c r="O17" s="1"/>
    </row>
    <row r="18" spans="1:15" x14ac:dyDescent="0.25">
      <c r="A18" s="5" t="s">
        <v>15</v>
      </c>
      <c r="B18" s="2">
        <v>1805.72</v>
      </c>
      <c r="C18" s="5" t="s">
        <v>40</v>
      </c>
      <c r="D18" s="9">
        <v>7072512436</v>
      </c>
      <c r="E18" s="5" t="s">
        <v>44</v>
      </c>
      <c r="F18" s="8">
        <v>44896</v>
      </c>
      <c r="H18" s="7" t="s">
        <v>41</v>
      </c>
      <c r="K18" s="1" t="s">
        <v>16</v>
      </c>
      <c r="M18" s="1"/>
      <c r="N18" s="1"/>
      <c r="O18" s="1"/>
    </row>
    <row r="19" spans="1:15" x14ac:dyDescent="0.25">
      <c r="K19" s="1" t="s">
        <v>17</v>
      </c>
    </row>
    <row r="20" spans="1:15" x14ac:dyDescent="0.25">
      <c r="K20" s="1" t="s">
        <v>18</v>
      </c>
    </row>
    <row r="21" spans="1:15" x14ac:dyDescent="0.25">
      <c r="K21" s="1" t="s">
        <v>19</v>
      </c>
    </row>
    <row r="22" spans="1:15" x14ac:dyDescent="0.25">
      <c r="K22" s="1" t="s">
        <v>20</v>
      </c>
    </row>
    <row r="23" spans="1:15" x14ac:dyDescent="0.25">
      <c r="K23" s="1" t="s">
        <v>21</v>
      </c>
    </row>
    <row r="24" spans="1:15" x14ac:dyDescent="0.25">
      <c r="K24" s="1" t="s">
        <v>22</v>
      </c>
    </row>
    <row r="25" spans="1:15" x14ac:dyDescent="0.25">
      <c r="K25" s="1" t="s">
        <v>23</v>
      </c>
    </row>
    <row r="26" spans="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bBackUp">
          <controlPr defaultSize="0" autoLine="0" r:id="rId6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5" name="cbBackUp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4" sqref="G4"/>
    </sheetView>
  </sheetViews>
  <sheetFormatPr defaultRowHeight="15" x14ac:dyDescent="0.25"/>
  <cols>
    <col min="1" max="1" width="10.7109375" bestFit="1" customWidth="1"/>
    <col min="2" max="2" width="12" style="12" customWidth="1"/>
    <col min="3" max="3" width="10.5703125" customWidth="1"/>
    <col min="4" max="4" width="17.85546875" bestFit="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2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s="13">
        <v>44566</v>
      </c>
      <c r="B2" s="12">
        <v>462.55</v>
      </c>
      <c r="C2">
        <v>22000016</v>
      </c>
      <c r="D2" s="14">
        <v>974843112020</v>
      </c>
      <c r="E2" t="s">
        <v>56</v>
      </c>
      <c r="F2" s="13">
        <v>44582</v>
      </c>
      <c r="H2" t="s">
        <v>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2021-12-24T11:33:29Z</dcterms:created>
  <dcterms:modified xsi:type="dcterms:W3CDTF">2022-01-28T11:59:29Z</dcterms:modified>
</cp:coreProperties>
</file>