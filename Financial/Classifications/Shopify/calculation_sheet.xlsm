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Classifications\Shopify\"/>
    </mc:Choice>
  </mc:AlternateContent>
  <xr:revisionPtr revIDLastSave="0" documentId="13_ncr:1_{F4603F60-3EBC-4EA9-884F-3EF54A01E249}" xr6:coauthVersionLast="47" xr6:coauthVersionMax="47" xr10:uidLastSave="{00000000-0000-0000-0000-000000000000}"/>
  <bookViews>
    <workbookView xWindow="-28920" yWindow="-120" windowWidth="29040" windowHeight="15840" activeTab="2" xr2:uid="{017E28D2-596D-4959-9793-6C736F606D33}"/>
  </bookViews>
  <sheets>
    <sheet name="Developer" sheetId="6" r:id="rId1"/>
    <sheet name="Dashboard" sheetId="5" r:id="rId2"/>
    <sheet name="Classification" sheetId="3" r:id="rId3"/>
  </sheets>
  <definedNames>
    <definedName name="ExternalData_1" localSheetId="2" hidden="1">Classification!$K$5:$K$6</definedName>
    <definedName name="path">Developer!$A$2</definedName>
    <definedName name="uk">#REF!</definedName>
  </definedNames>
  <calcPr calcId="191029"/>
  <pivotCaches>
    <pivotCache cacheId="250" r:id="rId4"/>
    <pivotCache cacheId="262" r:id="rId5"/>
    <pivotCache cacheId="265" r:id="rId6"/>
    <pivotCache cacheId="271" r:id="rId7"/>
    <pivotCache cacheId="277" r:id="rId8"/>
    <pivotCache cacheId="283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base 1_878ee086-515c-4a0b-8305-d16bf8eb74b4" name="base 1" connection="Query - base"/>
          <x15:modelTable id="details 1_a151ac25-65d1-43ec-8825-6b6d57b14e23" name="details 1" connection="Query - details"/>
          <x15:modelTable id="Fees_994a535c-265b-4678-a34f-7b5aaaa436ea" name="Fees" connection="Query - Fee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6" l="1" a="1"/>
  <c r="A2" i="6" s="1"/>
  <c r="B2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72D7218-9917-4376-9DA1-C2751E4B4A26}" keepAlive="1" name="ModelConnection_ExternalData_1" description="Data Model" type="5" refreshedVersion="7" minRefreshableVersion="5" saveData="1">
    <dbPr connection="Data Model Connection" command="Fee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256F770D-3875-4E47-905A-8D5CF046A538}" name="Query - base" description="Connection to the 'base' query in the workbook." type="100" refreshedVersion="7" minRefreshableVersion="5" saveData="1">
    <extLst>
      <ext xmlns:x15="http://schemas.microsoft.com/office/spreadsheetml/2010/11/main" uri="{DE250136-89BD-433C-8126-D09CA5730AF9}">
        <x15:connection id="303aeccf-2de9-403a-85dd-a5e3c8bed569"/>
      </ext>
    </extLst>
  </connection>
  <connection id="3" xr16:uid="{0A6F1779-3DCB-4149-A875-A6A28F288B21}" name="Query - details" description="Connection to the 'details' query in the workbook." type="100" refreshedVersion="7" minRefreshableVersion="5">
    <extLst>
      <ext xmlns:x15="http://schemas.microsoft.com/office/spreadsheetml/2010/11/main" uri="{DE250136-89BD-433C-8126-D09CA5730AF9}">
        <x15:connection id="32c33287-20d1-4400-87de-9bf1ea970479"/>
      </ext>
    </extLst>
  </connection>
  <connection id="4" xr16:uid="{870872FA-698E-4E40-8CC2-424143249EB9}" name="Query - Fees" description="Connection to the 'Fees' query in the workbook." type="100" refreshedVersion="7" minRefreshableVersion="5">
    <extLst>
      <ext xmlns:x15="http://schemas.microsoft.com/office/spreadsheetml/2010/11/main" uri="{DE250136-89BD-433C-8126-D09CA5730AF9}">
        <x15:connection id="d7d10807-cbae-4735-9955-21f247b458a2"/>
      </ext>
    </extLst>
  </connection>
  <connection id="5" xr16:uid="{11D76E96-AC90-4D71-97EB-89356DB55DAE}" keepAlive="1" name="Query - tblEU (2)" description="Connection to the 'tblEU (2)' query in the workbook." type="5" refreshedVersion="7" background="1" saveData="1">
    <dbPr connection="Provider=Microsoft.Mashup.OleDb.1;Data Source=$Workbook$;Location=&quot;tblEU (2)&quot;;Extended Properties=&quot;&quot;" command="SELECT * FROM [tblEU (2)]"/>
  </connection>
  <connection id="6" xr16:uid="{06F884D9-A38A-4A28-81EF-CF99BE477A4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metadataStrings count="5">
    <s v="ThisWorkbookDataModel"/>
    <s v="{[base 1].[Type].&amp;[charge]}"/>
    <s v="{[base 1].[Region].&amp;[EU]}"/>
    <s v="{[base 1].[Region].&amp;[GB]}"/>
    <s v="{[base 1].[Type].&amp;[refund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<sst xmlns="http://schemas.openxmlformats.org/spreadsheetml/2006/main" count="108" uniqueCount="81">
  <si>
    <t>EUROPEAN COUNTRIES</t>
  </si>
  <si>
    <t>Austria</t>
  </si>
  <si>
    <t>AT</t>
  </si>
  <si>
    <t>Belgium</t>
  </si>
  <si>
    <t>BE</t>
  </si>
  <si>
    <t>Bulgaria</t>
  </si>
  <si>
    <t>BU</t>
  </si>
  <si>
    <t>Croatia</t>
  </si>
  <si>
    <t>Cyprus</t>
  </si>
  <si>
    <t>CY</t>
  </si>
  <si>
    <t>Czech Republic</t>
  </si>
  <si>
    <t>Denmark</t>
  </si>
  <si>
    <t>Estonia</t>
  </si>
  <si>
    <t>Finland</t>
  </si>
  <si>
    <t>France</t>
  </si>
  <si>
    <t>Germany</t>
  </si>
  <si>
    <t>Greece</t>
  </si>
  <si>
    <t>Hungary</t>
  </si>
  <si>
    <t>Ireland</t>
  </si>
  <si>
    <t>Italy</t>
  </si>
  <si>
    <t>Latvia</t>
  </si>
  <si>
    <t>Lithuania</t>
  </si>
  <si>
    <t>Luxembourg</t>
  </si>
  <si>
    <t>Malta</t>
  </si>
  <si>
    <t>Netherlands</t>
  </si>
  <si>
    <t>Poland</t>
  </si>
  <si>
    <t>Portugal</t>
  </si>
  <si>
    <t>Romania</t>
  </si>
  <si>
    <t>Slovakia</t>
  </si>
  <si>
    <t>Slovenia</t>
  </si>
  <si>
    <t>Spain</t>
  </si>
  <si>
    <t xml:space="preserve">Sweden </t>
  </si>
  <si>
    <t>FR</t>
  </si>
  <si>
    <t>HU</t>
  </si>
  <si>
    <t>IT</t>
  </si>
  <si>
    <t>LU</t>
  </si>
  <si>
    <t>RO</t>
  </si>
  <si>
    <t>DE</t>
  </si>
  <si>
    <t>ES</t>
  </si>
  <si>
    <t>PL</t>
  </si>
  <si>
    <t>SE</t>
  </si>
  <si>
    <t>HR</t>
  </si>
  <si>
    <t>CZ</t>
  </si>
  <si>
    <t>FI</t>
  </si>
  <si>
    <t>DK</t>
  </si>
  <si>
    <t>EE</t>
  </si>
  <si>
    <t>EL</t>
  </si>
  <si>
    <t>IE</t>
  </si>
  <si>
    <t>LV</t>
  </si>
  <si>
    <t>MT</t>
  </si>
  <si>
    <t>LT</t>
  </si>
  <si>
    <t>NL</t>
  </si>
  <si>
    <t>PT</t>
  </si>
  <si>
    <t>SK</t>
  </si>
  <si>
    <t>SI</t>
  </si>
  <si>
    <t>Code</t>
  </si>
  <si>
    <t>United Kingdom</t>
  </si>
  <si>
    <t>ROW</t>
  </si>
  <si>
    <t>Fees</t>
  </si>
  <si>
    <t>Shipping country</t>
  </si>
  <si>
    <t>Row Labels</t>
  </si>
  <si>
    <t>EU</t>
  </si>
  <si>
    <t>GB</t>
  </si>
  <si>
    <t>Grand Total</t>
  </si>
  <si>
    <t>Sum of Amount</t>
  </si>
  <si>
    <t>Total</t>
  </si>
  <si>
    <t>Type</t>
  </si>
  <si>
    <t>charge</t>
  </si>
  <si>
    <t>EUROPE Charge</t>
  </si>
  <si>
    <t>Region</t>
  </si>
  <si>
    <t>UK Charge</t>
  </si>
  <si>
    <t>REST OF WORLD
Charge</t>
  </si>
  <si>
    <t>EUROPE Refund</t>
  </si>
  <si>
    <t>REST OF WORLD
Refund</t>
  </si>
  <si>
    <t>FEES</t>
  </si>
  <si>
    <t xml:space="preserve">HOW TO USE </t>
  </si>
  <si>
    <t>THE FOLDER SHOULD LOOK THIS WAY</t>
  </si>
  <si>
    <t>filename</t>
  </si>
  <si>
    <t>path</t>
  </si>
  <si>
    <t>UK Refund</t>
  </si>
  <si>
    <t>refund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</si>
</sst>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3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/>
    </xf>
    <xf numFmtId="2" fontId="0" fillId="0" borderId="0" xfId="0" applyNumberFormat="1"/>
    <xf numFmtId="0" fontId="0" fillId="0" borderId="0" xfId="0" applyNumberFormat="1"/>
    <xf numFmtId="0" fontId="0" fillId="0" borderId="0" xfId="0" pivotButton="1"/>
    <xf numFmtId="0" fontId="1" fillId="0" borderId="0" xfId="0" applyFont="1"/>
    <xf numFmtId="0" fontId="0" fillId="0" borderId="1" xfId="0" applyBorder="1"/>
    <xf numFmtId="0" fontId="2" fillId="4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5" fillId="3" borderId="0" xfId="0" applyFont="1" applyFill="1" applyAlignment="1">
      <alignment horizontal="center" vertical="center" wrapText="1"/>
    </xf>
    <xf numFmtId="0" fontId="5" fillId="3" borderId="0" xfId="0" applyFont="1" applyFill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</cellXfs>
  <cellStyles count="1">
    <cellStyle name="Normal" xfId="0" builtinId="0"/>
  </cellStyles>
  <dxfs count="4"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pivotCacheDefinition" Target="pivotCache/pivotCacheDefinition4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37" Type="http://schemas.openxmlformats.org/officeDocument/2006/relationships/customXml" Target="../customXml/item21.xml"/><Relationship Id="rId5" Type="http://schemas.openxmlformats.org/officeDocument/2006/relationships/pivotCacheDefinition" Target="pivotCache/pivotCacheDefinition2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36" Type="http://schemas.openxmlformats.org/officeDocument/2006/relationships/customXml" Target="../customXml/item20.xml"/><Relationship Id="rId10" Type="http://schemas.openxmlformats.org/officeDocument/2006/relationships/theme" Target="theme/theme1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pivotCacheDefinition" Target="pivotCache/pivotCacheDefinition1.xml"/><Relationship Id="rId9" Type="http://schemas.openxmlformats.org/officeDocument/2006/relationships/pivotCacheDefinition" Target="pivotCache/pivotCacheDefinition6.xml"/><Relationship Id="rId14" Type="http://schemas.openxmlformats.org/officeDocument/2006/relationships/sheetMetadata" Target="metadata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openxmlformats.org/officeDocument/2006/relationships/customXml" Target="../customXml/item19.xml"/><Relationship Id="rId8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590550</xdr:colOff>
      <xdr:row>4</xdr:row>
      <xdr:rowOff>76200</xdr:rowOff>
    </xdr:from>
    <xdr:to>
      <xdr:col>6</xdr:col>
      <xdr:colOff>257175</xdr:colOff>
      <xdr:row>12</xdr:row>
      <xdr:rowOff>171450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248150" y="838200"/>
          <a:ext cx="1495425" cy="1619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DOWNLOAD</a:t>
          </a:r>
          <a:r>
            <a:rPr lang="en-GB" sz="1100" baseline="0"/>
            <a:t> THE MAIN REPORTS FROM SHOPIFY.</a:t>
          </a:r>
        </a:p>
        <a:p>
          <a:pPr algn="l"/>
          <a:r>
            <a:rPr lang="en-GB" sz="1100" baseline="0"/>
            <a:t>MAKE SURE TO DOWNLOAD THE "TOTAL SALES"</a:t>
          </a:r>
        </a:p>
        <a:p>
          <a:pPr algn="l"/>
          <a:r>
            <a:rPr lang="en-GB" sz="1100"/>
            <a:t>UP TO 3</a:t>
          </a:r>
          <a:r>
            <a:rPr lang="en-GB" sz="1100" baseline="0"/>
            <a:t> MONTHS AGO.</a:t>
          </a:r>
          <a:endParaRPr lang="en-GB" sz="1100"/>
        </a:p>
      </xdr:txBody>
    </xdr:sp>
    <xdr:clientData/>
  </xdr:twoCellAnchor>
  <xdr:twoCellAnchor editAs="oneCell">
    <xdr:from>
      <xdr:col>6</xdr:col>
      <xdr:colOff>314325</xdr:colOff>
      <xdr:row>5</xdr:row>
      <xdr:rowOff>38100</xdr:rowOff>
    </xdr:from>
    <xdr:to>
      <xdr:col>7</xdr:col>
      <xdr:colOff>152400</xdr:colOff>
      <xdr:row>7</xdr:row>
      <xdr:rowOff>104775</xdr:rowOff>
    </xdr:to>
    <xdr:pic>
      <xdr:nvPicPr>
        <xdr:cNvPr id="4" name="Graphic 3" descr="Play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800725" y="990600"/>
          <a:ext cx="447675" cy="447675"/>
        </a:xfrm>
        <a:prstGeom prst="rect">
          <a:avLst/>
        </a:prstGeom>
      </xdr:spPr>
    </xdr:pic>
    <xdr:clientData/>
  </xdr:twoCellAnchor>
  <xdr:twoCellAnchor>
    <xdr:from>
      <xdr:col>7</xdr:col>
      <xdr:colOff>190500</xdr:colOff>
      <xdr:row>4</xdr:row>
      <xdr:rowOff>123826</xdr:rowOff>
    </xdr:from>
    <xdr:to>
      <xdr:col>9</xdr:col>
      <xdr:colOff>228600</xdr:colOff>
      <xdr:row>8</xdr:row>
      <xdr:rowOff>104776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286500" y="885826"/>
          <a:ext cx="1257300" cy="742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SAVE</a:t>
          </a:r>
          <a:r>
            <a:rPr lang="en-GB" sz="1100" baseline="0"/>
            <a:t> THEM IN THE *REPORTS*</a:t>
          </a:r>
        </a:p>
        <a:p>
          <a:pPr algn="l"/>
          <a:r>
            <a:rPr lang="en-GB" sz="1100" baseline="0"/>
            <a:t>FOLDER. </a:t>
          </a:r>
          <a:endParaRPr lang="en-GB" sz="1100"/>
        </a:p>
      </xdr:txBody>
    </xdr:sp>
    <xdr:clientData/>
  </xdr:twoCellAnchor>
  <xdr:twoCellAnchor editAs="oneCell">
    <xdr:from>
      <xdr:col>9</xdr:col>
      <xdr:colOff>266700</xdr:colOff>
      <xdr:row>5</xdr:row>
      <xdr:rowOff>47625</xdr:rowOff>
    </xdr:from>
    <xdr:to>
      <xdr:col>10</xdr:col>
      <xdr:colOff>104775</xdr:colOff>
      <xdr:row>7</xdr:row>
      <xdr:rowOff>114300</xdr:rowOff>
    </xdr:to>
    <xdr:pic>
      <xdr:nvPicPr>
        <xdr:cNvPr id="6" name="Graphic 5" descr="Play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581900" y="1000125"/>
          <a:ext cx="447675" cy="447675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4</xdr:row>
      <xdr:rowOff>114300</xdr:rowOff>
    </xdr:from>
    <xdr:to>
      <xdr:col>12</xdr:col>
      <xdr:colOff>171450</xdr:colOff>
      <xdr:row>9</xdr:row>
      <xdr:rowOff>85725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8058150" y="876300"/>
          <a:ext cx="1257300" cy="923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SAVE THE CASHED ORDERS REPORT AS "base"</a:t>
          </a:r>
        </a:p>
      </xdr:txBody>
    </xdr:sp>
    <xdr:clientData/>
  </xdr:twoCellAnchor>
  <xdr:twoCellAnchor>
    <xdr:from>
      <xdr:col>13</xdr:col>
      <xdr:colOff>152400</xdr:colOff>
      <xdr:row>4</xdr:row>
      <xdr:rowOff>123825</xdr:rowOff>
    </xdr:from>
    <xdr:to>
      <xdr:col>15</xdr:col>
      <xdr:colOff>190500</xdr:colOff>
      <xdr:row>9</xdr:row>
      <xdr:rowOff>95250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906000" y="885825"/>
          <a:ext cx="1257300" cy="923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SAVE THE TOTAL SALES</a:t>
          </a:r>
          <a:r>
            <a:rPr lang="en-GB" sz="1100" baseline="0"/>
            <a:t> REPORT AS</a:t>
          </a:r>
        </a:p>
        <a:p>
          <a:pPr algn="l"/>
          <a:r>
            <a:rPr lang="en-GB" sz="1100" baseline="0"/>
            <a:t>"details"</a:t>
          </a:r>
        </a:p>
      </xdr:txBody>
    </xdr:sp>
    <xdr:clientData/>
  </xdr:twoCellAnchor>
  <xdr:twoCellAnchor editAs="oneCell">
    <xdr:from>
      <xdr:col>12</xdr:col>
      <xdr:colOff>295275</xdr:colOff>
      <xdr:row>5</xdr:row>
      <xdr:rowOff>76200</xdr:rowOff>
    </xdr:from>
    <xdr:to>
      <xdr:col>13</xdr:col>
      <xdr:colOff>133350</xdr:colOff>
      <xdr:row>7</xdr:row>
      <xdr:rowOff>142875</xdr:rowOff>
    </xdr:to>
    <xdr:pic>
      <xdr:nvPicPr>
        <xdr:cNvPr id="9" name="Graphic 8" descr="Play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439275" y="1028700"/>
          <a:ext cx="447675" cy="447675"/>
        </a:xfrm>
        <a:prstGeom prst="rect">
          <a:avLst/>
        </a:prstGeom>
      </xdr:spPr>
    </xdr:pic>
    <xdr:clientData/>
  </xdr:twoCellAnchor>
  <xdr:twoCellAnchor editAs="oneCell">
    <xdr:from>
      <xdr:col>13</xdr:col>
      <xdr:colOff>581025</xdr:colOff>
      <xdr:row>9</xdr:row>
      <xdr:rowOff>66675</xdr:rowOff>
    </xdr:from>
    <xdr:to>
      <xdr:col>14</xdr:col>
      <xdr:colOff>419100</xdr:colOff>
      <xdr:row>11</xdr:row>
      <xdr:rowOff>133350</xdr:rowOff>
    </xdr:to>
    <xdr:pic>
      <xdr:nvPicPr>
        <xdr:cNvPr id="10" name="Graphic 9" descr="Play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5400000">
          <a:off x="10334625" y="1781175"/>
          <a:ext cx="447675" cy="4476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16</xdr:row>
          <xdr:rowOff>123825</xdr:rowOff>
        </xdr:from>
        <xdr:to>
          <xdr:col>15</xdr:col>
          <xdr:colOff>247650</xdr:colOff>
          <xdr:row>19</xdr:row>
          <xdr:rowOff>171450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180975</xdr:colOff>
      <xdr:row>11</xdr:row>
      <xdr:rowOff>171451</xdr:rowOff>
    </xdr:from>
    <xdr:to>
      <xdr:col>15</xdr:col>
      <xdr:colOff>200025</xdr:colOff>
      <xdr:row>14</xdr:row>
      <xdr:rowOff>19051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9934575" y="2266951"/>
          <a:ext cx="123825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aseline="0"/>
            <a:t>CLICK ON </a:t>
          </a:r>
        </a:p>
      </xdr:txBody>
    </xdr:sp>
    <xdr:clientData/>
  </xdr:twoCellAnchor>
  <xdr:twoCellAnchor editAs="oneCell">
    <xdr:from>
      <xdr:col>13</xdr:col>
      <xdr:colOff>590550</xdr:colOff>
      <xdr:row>13</xdr:row>
      <xdr:rowOff>180975</xdr:rowOff>
    </xdr:from>
    <xdr:to>
      <xdr:col>14</xdr:col>
      <xdr:colOff>428625</xdr:colOff>
      <xdr:row>16</xdr:row>
      <xdr:rowOff>57150</xdr:rowOff>
    </xdr:to>
    <xdr:pic>
      <xdr:nvPicPr>
        <xdr:cNvPr id="13" name="Graphic 12" descr="Play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5400000">
          <a:off x="10344150" y="2657475"/>
          <a:ext cx="447675" cy="447675"/>
        </a:xfrm>
        <a:prstGeom prst="rect">
          <a:avLst/>
        </a:prstGeom>
      </xdr:spPr>
    </xdr:pic>
    <xdr:clientData/>
  </xdr:twoCellAnchor>
  <xdr:twoCellAnchor editAs="oneCell">
    <xdr:from>
      <xdr:col>15</xdr:col>
      <xdr:colOff>600075</xdr:colOff>
      <xdr:row>5</xdr:row>
      <xdr:rowOff>152400</xdr:rowOff>
    </xdr:from>
    <xdr:to>
      <xdr:col>18</xdr:col>
      <xdr:colOff>124014</xdr:colOff>
      <xdr:row>9</xdr:row>
      <xdr:rowOff>47717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72875" y="1104900"/>
          <a:ext cx="1352739" cy="657317"/>
        </a:xfrm>
        <a:prstGeom prst="rect">
          <a:avLst/>
        </a:prstGeom>
      </xdr:spPr>
    </xdr:pic>
    <xdr:clientData/>
  </xdr:twoCellAnchor>
  <xdr:twoCellAnchor editAs="oneCell">
    <xdr:from>
      <xdr:col>6</xdr:col>
      <xdr:colOff>352424</xdr:colOff>
      <xdr:row>10</xdr:row>
      <xdr:rowOff>85724</xdr:rowOff>
    </xdr:from>
    <xdr:to>
      <xdr:col>13</xdr:col>
      <xdr:colOff>75591</xdr:colOff>
      <xdr:row>11</xdr:row>
      <xdr:rowOff>152399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38824" y="1990724"/>
          <a:ext cx="3990367" cy="257175"/>
        </a:xfrm>
        <a:prstGeom prst="rect">
          <a:avLst/>
        </a:prstGeom>
      </xdr:spPr>
    </xdr:pic>
    <xdr:clientData/>
  </xdr:twoCellAnchor>
  <xdr:twoCellAnchor editAs="oneCell">
    <xdr:from>
      <xdr:col>7</xdr:col>
      <xdr:colOff>504825</xdr:colOff>
      <xdr:row>8</xdr:row>
      <xdr:rowOff>38100</xdr:rowOff>
    </xdr:from>
    <xdr:to>
      <xdr:col>8</xdr:col>
      <xdr:colOff>342900</xdr:colOff>
      <xdr:row>10</xdr:row>
      <xdr:rowOff>104775</xdr:rowOff>
    </xdr:to>
    <xdr:pic>
      <xdr:nvPicPr>
        <xdr:cNvPr id="15" name="Graphic 14" descr="Play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5400000">
          <a:off x="6600825" y="1562100"/>
          <a:ext cx="447675" cy="447675"/>
        </a:xfrm>
        <a:prstGeom prst="rect">
          <a:avLst/>
        </a:prstGeom>
      </xdr:spPr>
    </xdr:pic>
    <xdr:clientData/>
  </xdr:twoCellAnchor>
  <xdr:twoCellAnchor editAs="oneCell">
    <xdr:from>
      <xdr:col>15</xdr:col>
      <xdr:colOff>247651</xdr:colOff>
      <xdr:row>5</xdr:row>
      <xdr:rowOff>123825</xdr:rowOff>
    </xdr:from>
    <xdr:to>
      <xdr:col>16</xdr:col>
      <xdr:colOff>85726</xdr:colOff>
      <xdr:row>8</xdr:row>
      <xdr:rowOff>0</xdr:rowOff>
    </xdr:to>
    <xdr:pic>
      <xdr:nvPicPr>
        <xdr:cNvPr id="16" name="Graphic 15" descr="Play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220451" y="1076325"/>
          <a:ext cx="447675" cy="447675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7.403373263885" backgroundQuery="1" createdVersion="7" refreshedVersion="7" minRefreshableVersion="3" recordCount="0" supportSubquery="1" supportAdvancedDrill="1" xr:uid="{69024F97-B5C7-460C-B953-5783DFDC0C3E}">
  <cacheSource type="external" connectionId="6"/>
  <cacheFields count="4">
    <cacheField name="[Measures].[Sum of Amount]" caption="Sum of Amount" numFmtId="0" hierarchy="12" level="32767"/>
    <cacheField name="[base 1].[Type].[Type]" caption="Type" numFmtId="0" hierarchy="1" level="1">
      <sharedItems containsSemiMixedTypes="0" containsNonDate="0" containsString="0"/>
    </cacheField>
    <cacheField name="[base 1].[Region].[Region]" caption="Region" numFmtId="0" hierarchy="4" level="1">
      <sharedItems containsSemiMixedTypes="0" containsNonDate="0" containsString="0"/>
    </cacheField>
    <cacheField name="[base 1].[Shipping country].[Shipping country]" caption="Shipping country" numFmtId="0" level="1">
      <sharedItems count="1">
        <s v="Italy"/>
      </sharedItems>
    </cacheField>
  </cacheFields>
  <cacheHierarchies count="13">
    <cacheHierarchy uniqueName="[base 1].[Shipping country]" caption="Shipping country" attribute="1" defaultMemberUniqueName="[base 1].[Shipping country].[All]" allUniqueName="[base 1].[Shipping country].[All]" dimensionUniqueName="[base 1]" displayFolder="" count="2" memberValueDatatype="130" unbalanced="0">
      <fieldsUsage count="2">
        <fieldUsage x="-1"/>
        <fieldUsage x="3"/>
      </fieldsUsage>
    </cacheHierarchy>
    <cacheHierarchy uniqueName="[base 1].[Type]" caption="Type" attribute="1" defaultMemberUniqueName="[base 1].[Type].[All]" allUniqueName="[base 1].[Type].[All]" dimensionUniqueName="[base 1]" displayFolder="" count="2" memberValueDatatype="130" unbalanced="0">
      <fieldsUsage count="2">
        <fieldUsage x="-1"/>
        <fieldUsage x="1"/>
      </fieldsUsage>
    </cacheHierarchy>
    <cacheHierarchy uniqueName="[base 1].[Fee]" caption="Fee" attribute="1" defaultMemberUniqueName="[base 1].[Fee].[All]" allUniqueName="[base 1].[Fee].[All]" dimensionUniqueName="[base 1]" displayFolder="" count="0" memberValueDatatype="130" unbalanced="0"/>
    <cacheHierarchy uniqueName="[base 1].[Amount]" caption="Amount" attribute="1" defaultMemberUniqueName="[base 1].[Amount].[All]" allUniqueName="[base 1].[Amount].[All]" dimensionUniqueName="[base 1]" displayFolder="" count="0" memberValueDatatype="5" unbalanced="0"/>
    <cacheHierarchy uniqueName="[base 1].[Region]" caption="Region" attribute="1" defaultMemberUniqueName="[base 1].[Region].[All]" allUniqueName="[base 1].[Region].[All]" dimensionUniqueName="[base 1]" displayFolder="" count="2" memberValueDatatype="130" unbalanced="0">
      <fieldsUsage count="2">
        <fieldUsage x="-1"/>
        <fieldUsage x="2"/>
      </fieldsUsage>
    </cacheHierarchy>
    <cacheHierarchy uniqueName="[details 1].[Order]" caption="Order" attribute="1" defaultMemberUniqueName="[details 1].[Order].[All]" allUniqueName="[details 1].[Order].[All]" dimensionUniqueName="[details 1]" displayFolder="" count="0" memberValueDatatype="130" unbalanced="0"/>
    <cacheHierarchy uniqueName="[details 1].[Shipping country]" caption="Shipping country" attribute="1" defaultMemberUniqueName="[details 1].[Shipping country].[All]" allUniqueName="[details 1].[Shipping country].[All]" dimensionUniqueName="[details 1]" displayFolder="" count="0" memberValueDatatype="130" unbalanced="0"/>
    <cacheHierarchy uniqueName="[Fees].[Fees]" caption="Fees" attribute="1" defaultMemberUniqueName="[Fees].[Fees].[All]" allUniqueName="[Fees].[Fees].[All]" dimensionUniqueName="[Fees]" displayFolder="" count="0" memberValueDatatype="5" unbalanced="0"/>
    <cacheHierarchy uniqueName="[Measures].[__XL_Count base 1]" caption="__XL_Count base 1" measure="1" displayFolder="" measureGroup="base 1" count="0" hidden="1"/>
    <cacheHierarchy uniqueName="[Measures].[__XL_Count details 1]" caption="__XL_Count details 1" measure="1" displayFolder="" measureGroup="details 1" count="0" hidden="1"/>
    <cacheHierarchy uniqueName="[Measures].[__XL_Count Fees]" caption="__XL_Count Fees" measure="1" displayFolder="" measureGroup="Fees" count="0" hidden="1"/>
    <cacheHierarchy uniqueName="[Measures].[__No measures defined]" caption="__No measures defined" measure="1" displayFolder="" count="0" hidden="1"/>
    <cacheHierarchy uniqueName="[Measures].[Sum of Amount]" caption="Sum of Amount" measure="1" displayFolder="" measureGroup="base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4">
    <dimension name="base 1" uniqueName="[base 1]" caption="base 1"/>
    <dimension name="details 1" uniqueName="[details 1]" caption="details 1"/>
    <dimension name="Fees" uniqueName="[Fees]" caption="Fees"/>
    <dimension measure="1" name="Measures" uniqueName="[Measures]" caption="Measures"/>
  </dimensions>
  <measureGroups count="3">
    <measureGroup name="base 1" caption="base 1"/>
    <measureGroup name="details 1" caption="details 1"/>
    <measureGroup name="Fees" caption="Fees"/>
  </measureGroups>
  <maps count="3">
    <map measureGroup="0" dimension="0"/>
    <map measureGroup="1" dimension="1"/>
    <map measureGroup="2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7.404289351849" backgroundQuery="1" createdVersion="7" refreshedVersion="7" minRefreshableVersion="3" recordCount="0" supportSubquery="1" supportAdvancedDrill="1" xr:uid="{16121BED-F34F-4221-B0A6-169E0A68E056}">
  <cacheSource type="external" connectionId="6"/>
  <cacheFields count="4">
    <cacheField name="[base 1].[Region].[Region]" caption="Region" numFmtId="0" hierarchy="4" level="1">
      <sharedItems containsSemiMixedTypes="0" containsNonDate="0" containsString="0"/>
    </cacheField>
    <cacheField name="[base 1].[Type].[Type]" caption="Type" numFmtId="0" hierarchy="1" level="1">
      <sharedItems containsSemiMixedTypes="0" containsNonDate="0" containsString="0"/>
    </cacheField>
    <cacheField name="[base 1].[Shipping country].[Shipping country]" caption="Shipping country" numFmtId="0" level="1">
      <sharedItems count="1">
        <s v="United Kingdom"/>
      </sharedItems>
    </cacheField>
    <cacheField name="[Measures].[Sum of Amount]" caption="Sum of Amount" numFmtId="0" hierarchy="12" level="32767"/>
  </cacheFields>
  <cacheHierarchies count="13">
    <cacheHierarchy uniqueName="[base 1].[Shipping country]" caption="Shipping country" attribute="1" defaultMemberUniqueName="[base 1].[Shipping country].[All]" allUniqueName="[base 1].[Shipping country].[All]" dimensionUniqueName="[base 1]" displayFolder="" count="2" memberValueDatatype="130" unbalanced="0">
      <fieldsUsage count="2">
        <fieldUsage x="-1"/>
        <fieldUsage x="2"/>
      </fieldsUsage>
    </cacheHierarchy>
    <cacheHierarchy uniqueName="[base 1].[Type]" caption="Type" attribute="1" defaultMemberUniqueName="[base 1].[Type].[All]" allUniqueName="[base 1].[Type].[All]" dimensionUniqueName="[base 1]" displayFolder="" count="2" memberValueDatatype="130" unbalanced="0">
      <fieldsUsage count="2">
        <fieldUsage x="-1"/>
        <fieldUsage x="1"/>
      </fieldsUsage>
    </cacheHierarchy>
    <cacheHierarchy uniqueName="[base 1].[Fee]" caption="Fee" attribute="1" defaultMemberUniqueName="[base 1].[Fee].[All]" allUniqueName="[base 1].[Fee].[All]" dimensionUniqueName="[base 1]" displayFolder="" count="0" memberValueDatatype="130" unbalanced="0"/>
    <cacheHierarchy uniqueName="[base 1].[Amount]" caption="Amount" attribute="1" defaultMemberUniqueName="[base 1].[Amount].[All]" allUniqueName="[base 1].[Amount].[All]" dimensionUniqueName="[base 1]" displayFolder="" count="0" memberValueDatatype="5" unbalanced="0"/>
    <cacheHierarchy uniqueName="[base 1].[Region]" caption="Region" attribute="1" defaultMemberUniqueName="[base 1].[Region].[All]" allUniqueName="[base 1].[Region].[All]" dimensionUniqueName="[base 1]" displayFolder="" count="2" memberValueDatatype="130" unbalanced="0">
      <fieldsUsage count="2">
        <fieldUsage x="-1"/>
        <fieldUsage x="0"/>
      </fieldsUsage>
    </cacheHierarchy>
    <cacheHierarchy uniqueName="[details 1].[Order]" caption="Order" attribute="1" defaultMemberUniqueName="[details 1].[Order].[All]" allUniqueName="[details 1].[Order].[All]" dimensionUniqueName="[details 1]" displayFolder="" count="0" memberValueDatatype="130" unbalanced="0"/>
    <cacheHierarchy uniqueName="[details 1].[Shipping country]" caption="Shipping country" attribute="1" defaultMemberUniqueName="[details 1].[Shipping country].[All]" allUniqueName="[details 1].[Shipping country].[All]" dimensionUniqueName="[details 1]" displayFolder="" count="0" memberValueDatatype="130" unbalanced="0"/>
    <cacheHierarchy uniqueName="[Fees].[Fees]" caption="Fees" attribute="1" defaultMemberUniqueName="[Fees].[Fees].[All]" allUniqueName="[Fees].[Fees].[All]" dimensionUniqueName="[Fees]" displayFolder="" count="0" memberValueDatatype="5" unbalanced="0"/>
    <cacheHierarchy uniqueName="[Measures].[__XL_Count base 1]" caption="__XL_Count base 1" measure="1" displayFolder="" measureGroup="base 1" count="0" hidden="1"/>
    <cacheHierarchy uniqueName="[Measures].[__XL_Count details 1]" caption="__XL_Count details 1" measure="1" displayFolder="" measureGroup="details 1" count="0" hidden="1"/>
    <cacheHierarchy uniqueName="[Measures].[__XL_Count Fees]" caption="__XL_Count Fees" measure="1" displayFolder="" measureGroup="Fees" count="0" hidden="1"/>
    <cacheHierarchy uniqueName="[Measures].[__No measures defined]" caption="__No measures defined" measure="1" displayFolder="" count="0" hidden="1"/>
    <cacheHierarchy uniqueName="[Measures].[Sum of Amount]" caption="Sum of Amount" measure="1" displayFolder="" measureGroup="base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4">
    <dimension name="base 1" uniqueName="[base 1]" caption="base 1"/>
    <dimension name="details 1" uniqueName="[details 1]" caption="details 1"/>
    <dimension name="Fees" uniqueName="[Fees]" caption="Fees"/>
    <dimension measure="1" name="Measures" uniqueName="[Measures]" caption="Measures"/>
  </dimensions>
  <measureGroups count="3">
    <measureGroup name="base 1" caption="base 1"/>
    <measureGroup name="details 1" caption="details 1"/>
    <measureGroup name="Fees" caption="Fees"/>
  </measureGroups>
  <maps count="3">
    <map measureGroup="0" dimension="0"/>
    <map measureGroup="1" dimension="1"/>
    <map measureGroup="2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7.404578935188" backgroundQuery="1" createdVersion="7" refreshedVersion="7" minRefreshableVersion="3" recordCount="0" supportSubquery="1" supportAdvancedDrill="1" xr:uid="{A2F10E5E-9F75-4A73-99ED-B06C9BB303DA}">
  <cacheSource type="external" connectionId="6"/>
  <cacheFields count="3">
    <cacheField name="[base 1].[Region].[Region]" caption="Region" numFmtId="0" hierarchy="4" level="1">
      <sharedItems count="1">
        <s v="ROW"/>
      </sharedItems>
    </cacheField>
    <cacheField name="[base 1].[Type].[Type]" caption="Type" numFmtId="0" hierarchy="1" level="1">
      <sharedItems containsSemiMixedTypes="0" containsNonDate="0" containsString="0"/>
    </cacheField>
    <cacheField name="[Measures].[Sum of Amount]" caption="Sum of Amount" numFmtId="0" hierarchy="12" level="32767"/>
  </cacheFields>
  <cacheHierarchies count="13">
    <cacheHierarchy uniqueName="[base 1].[Shipping country]" caption="Shipping country" attribute="1" defaultMemberUniqueName="[base 1].[Shipping country].[All]" allUniqueName="[base 1].[Shipping country].[All]" dimensionUniqueName="[base 1]" displayFolder="" count="0" memberValueDatatype="130" unbalanced="0"/>
    <cacheHierarchy uniqueName="[base 1].[Type]" caption="Type" attribute="1" defaultMemberUniqueName="[base 1].[Type].[All]" allUniqueName="[base 1].[Type].[All]" dimensionUniqueName="[base 1]" displayFolder="" count="2" memberValueDatatype="130" unbalanced="0">
      <fieldsUsage count="2">
        <fieldUsage x="-1"/>
        <fieldUsage x="1"/>
      </fieldsUsage>
    </cacheHierarchy>
    <cacheHierarchy uniqueName="[base 1].[Fee]" caption="Fee" attribute="1" defaultMemberUniqueName="[base 1].[Fee].[All]" allUniqueName="[base 1].[Fee].[All]" dimensionUniqueName="[base 1]" displayFolder="" count="0" memberValueDatatype="130" unbalanced="0"/>
    <cacheHierarchy uniqueName="[base 1].[Amount]" caption="Amount" attribute="1" defaultMemberUniqueName="[base 1].[Amount].[All]" allUniqueName="[base 1].[Amount].[All]" dimensionUniqueName="[base 1]" displayFolder="" count="0" memberValueDatatype="5" unbalanced="0"/>
    <cacheHierarchy uniqueName="[base 1].[Region]" caption="Region" attribute="1" defaultMemberUniqueName="[base 1].[Region].[All]" allUniqueName="[base 1].[Region].[All]" dimensionUniqueName="[base 1]" displayFolder="" count="2" memberValueDatatype="130" unbalanced="0">
      <fieldsUsage count="2">
        <fieldUsage x="-1"/>
        <fieldUsage x="0"/>
      </fieldsUsage>
    </cacheHierarchy>
    <cacheHierarchy uniqueName="[details 1].[Order]" caption="Order" attribute="1" defaultMemberUniqueName="[details 1].[Order].[All]" allUniqueName="[details 1].[Order].[All]" dimensionUniqueName="[details 1]" displayFolder="" count="0" memberValueDatatype="130" unbalanced="0"/>
    <cacheHierarchy uniqueName="[details 1].[Shipping country]" caption="Shipping country" attribute="1" defaultMemberUniqueName="[details 1].[Shipping country].[All]" allUniqueName="[details 1].[Shipping country].[All]" dimensionUniqueName="[details 1]" displayFolder="" count="0" memberValueDatatype="130" unbalanced="0"/>
    <cacheHierarchy uniqueName="[Fees].[Fees]" caption="Fees" attribute="1" defaultMemberUniqueName="[Fees].[Fees].[All]" allUniqueName="[Fees].[Fees].[All]" dimensionUniqueName="[Fees]" displayFolder="" count="0" memberValueDatatype="5" unbalanced="0"/>
    <cacheHierarchy uniqueName="[Measures].[__XL_Count base 1]" caption="__XL_Count base 1" measure="1" displayFolder="" measureGroup="base 1" count="0" hidden="1"/>
    <cacheHierarchy uniqueName="[Measures].[__XL_Count details 1]" caption="__XL_Count details 1" measure="1" displayFolder="" measureGroup="details 1" count="0" hidden="1"/>
    <cacheHierarchy uniqueName="[Measures].[__XL_Count Fees]" caption="__XL_Count Fees" measure="1" displayFolder="" measureGroup="Fees" count="0" hidden="1"/>
    <cacheHierarchy uniqueName="[Measures].[__No measures defined]" caption="__No measures defined" measure="1" displayFolder="" count="0" hidden="1"/>
    <cacheHierarchy uniqueName="[Measures].[Sum of Amount]" caption="Sum of Amount" measure="1" displayFolder="" measureGroup="base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4">
    <dimension name="base 1" uniqueName="[base 1]" caption="base 1"/>
    <dimension name="details 1" uniqueName="[details 1]" caption="details 1"/>
    <dimension name="Fees" uniqueName="[Fees]" caption="Fees"/>
    <dimension measure="1" name="Measures" uniqueName="[Measures]" caption="Measures"/>
  </dimensions>
  <measureGroups count="3">
    <measureGroup name="base 1" caption="base 1"/>
    <measureGroup name="details 1" caption="details 1"/>
    <measureGroup name="Fees" caption="Fees"/>
  </measureGroups>
  <maps count="3">
    <map measureGroup="0" dimension="0"/>
    <map measureGroup="1" dimension="1"/>
    <map measureGroup="2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7.405076273149" backgroundQuery="1" createdVersion="7" refreshedVersion="7" minRefreshableVersion="3" recordCount="0" supportSubquery="1" supportAdvancedDrill="1" xr:uid="{5AA5B60E-710C-4315-93C9-8F5CA2EAE99D}">
  <cacheSource type="external" connectionId="6"/>
  <cacheFields count="4">
    <cacheField name="[base 1].[Region].[Region]" caption="Region" numFmtId="0" hierarchy="4" level="1">
      <sharedItems containsSemiMixedTypes="0" containsNonDate="0" containsString="0"/>
    </cacheField>
    <cacheField name="[base 1].[Type].[Type]" caption="Type" numFmtId="0" hierarchy="1" level="1">
      <sharedItems containsSemiMixedTypes="0" containsNonDate="0" containsString="0"/>
    </cacheField>
    <cacheField name="[base 1].[Shipping country].[Shipping country]" caption="Shipping country" numFmtId="0" level="1">
      <sharedItems count="1">
        <s v="United Kingdom"/>
      </sharedItems>
    </cacheField>
    <cacheField name="[Measures].[Sum of Amount]" caption="Sum of Amount" numFmtId="0" hierarchy="12" level="32767"/>
  </cacheFields>
  <cacheHierarchies count="13">
    <cacheHierarchy uniqueName="[base 1].[Shipping country]" caption="Shipping country" attribute="1" defaultMemberUniqueName="[base 1].[Shipping country].[All]" allUniqueName="[base 1].[Shipping country].[All]" dimensionUniqueName="[base 1]" displayFolder="" count="2" memberValueDatatype="130" unbalanced="0">
      <fieldsUsage count="2">
        <fieldUsage x="-1"/>
        <fieldUsage x="2"/>
      </fieldsUsage>
    </cacheHierarchy>
    <cacheHierarchy uniqueName="[base 1].[Type]" caption="Type" attribute="1" defaultMemberUniqueName="[base 1].[Type].[All]" allUniqueName="[base 1].[Type].[All]" dimensionUniqueName="[base 1]" displayFolder="" count="2" memberValueDatatype="130" unbalanced="0">
      <fieldsUsage count="2">
        <fieldUsage x="-1"/>
        <fieldUsage x="1"/>
      </fieldsUsage>
    </cacheHierarchy>
    <cacheHierarchy uniqueName="[base 1].[Fee]" caption="Fee" attribute="1" defaultMemberUniqueName="[base 1].[Fee].[All]" allUniqueName="[base 1].[Fee].[All]" dimensionUniqueName="[base 1]" displayFolder="" count="0" memberValueDatatype="130" unbalanced="0"/>
    <cacheHierarchy uniqueName="[base 1].[Amount]" caption="Amount" attribute="1" defaultMemberUniqueName="[base 1].[Amount].[All]" allUniqueName="[base 1].[Amount].[All]" dimensionUniqueName="[base 1]" displayFolder="" count="0" memberValueDatatype="5" unbalanced="0"/>
    <cacheHierarchy uniqueName="[base 1].[Region]" caption="Region" attribute="1" defaultMemberUniqueName="[base 1].[Region].[All]" allUniqueName="[base 1].[Region].[All]" dimensionUniqueName="[base 1]" displayFolder="" count="2" memberValueDatatype="130" unbalanced="0">
      <fieldsUsage count="2">
        <fieldUsage x="-1"/>
        <fieldUsage x="0"/>
      </fieldsUsage>
    </cacheHierarchy>
    <cacheHierarchy uniqueName="[details 1].[Order]" caption="Order" attribute="1" defaultMemberUniqueName="[details 1].[Order].[All]" allUniqueName="[details 1].[Order].[All]" dimensionUniqueName="[details 1]" displayFolder="" count="0" memberValueDatatype="130" unbalanced="0"/>
    <cacheHierarchy uniqueName="[details 1].[Shipping country]" caption="Shipping country" attribute="1" defaultMemberUniqueName="[details 1].[Shipping country].[All]" allUniqueName="[details 1].[Shipping country].[All]" dimensionUniqueName="[details 1]" displayFolder="" count="0" memberValueDatatype="130" unbalanced="0"/>
    <cacheHierarchy uniqueName="[Fees].[Fees]" caption="Fees" attribute="1" defaultMemberUniqueName="[Fees].[Fees].[All]" allUniqueName="[Fees].[Fees].[All]" dimensionUniqueName="[Fees]" displayFolder="" count="0" memberValueDatatype="5" unbalanced="0"/>
    <cacheHierarchy uniqueName="[Measures].[__XL_Count base 1]" caption="__XL_Count base 1" measure="1" displayFolder="" measureGroup="base 1" count="0" hidden="1"/>
    <cacheHierarchy uniqueName="[Measures].[__XL_Count details 1]" caption="__XL_Count details 1" measure="1" displayFolder="" measureGroup="details 1" count="0" hidden="1"/>
    <cacheHierarchy uniqueName="[Measures].[__XL_Count Fees]" caption="__XL_Count Fees" measure="1" displayFolder="" measureGroup="Fees" count="0" hidden="1"/>
    <cacheHierarchy uniqueName="[Measures].[__No measures defined]" caption="__No measures defined" measure="1" displayFolder="" count="0" hidden="1"/>
    <cacheHierarchy uniqueName="[Measures].[Sum of Amount]" caption="Sum of Amount" measure="1" displayFolder="" measureGroup="base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4">
    <dimension name="base 1" uniqueName="[base 1]" caption="base 1"/>
    <dimension name="details 1" uniqueName="[details 1]" caption="details 1"/>
    <dimension name="Fees" uniqueName="[Fees]" caption="Fees"/>
    <dimension measure="1" name="Measures" uniqueName="[Measures]" caption="Measures"/>
  </dimensions>
  <measureGroups count="3">
    <measureGroup name="base 1" caption="base 1"/>
    <measureGroup name="details 1" caption="details 1"/>
    <measureGroup name="Fees" caption="Fees"/>
  </measureGroups>
  <maps count="3">
    <map measureGroup="0" dimension="0"/>
    <map measureGroup="1" dimension="1"/>
    <map measureGroup="2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7.405467708333" backgroundQuery="1" createdVersion="7" refreshedVersion="7" minRefreshableVersion="3" recordCount="0" supportSubquery="1" supportAdvancedDrill="1" xr:uid="{0FE590CF-E93E-453C-B2BD-F4531696E76D}">
  <cacheSource type="external" connectionId="6"/>
  <cacheFields count="4">
    <cacheField name="[base 1].[Shipping country].[Shipping country]" caption="Shipping country" numFmtId="0" level="1">
      <sharedItems count="1">
        <s v="Italy"/>
      </sharedItems>
    </cacheField>
    <cacheField name="[base 1].[Region].[Region]" caption="Region" numFmtId="0" hierarchy="4" level="1">
      <sharedItems containsSemiMixedTypes="0" containsNonDate="0" containsString="0"/>
    </cacheField>
    <cacheField name="[base 1].[Type].[Type]" caption="Type" numFmtId="0" hierarchy="1" level="1">
      <sharedItems containsSemiMixedTypes="0" containsNonDate="0" containsString="0"/>
    </cacheField>
    <cacheField name="[Measures].[Sum of Amount]" caption="Sum of Amount" numFmtId="0" hierarchy="12" level="32767"/>
  </cacheFields>
  <cacheHierarchies count="13">
    <cacheHierarchy uniqueName="[base 1].[Shipping country]" caption="Shipping country" attribute="1" defaultMemberUniqueName="[base 1].[Shipping country].[All]" allUniqueName="[base 1].[Shipping country].[All]" dimensionUniqueName="[base 1]" displayFolder="" count="2" memberValueDatatype="130" unbalanced="0">
      <fieldsUsage count="2">
        <fieldUsage x="-1"/>
        <fieldUsage x="0"/>
      </fieldsUsage>
    </cacheHierarchy>
    <cacheHierarchy uniqueName="[base 1].[Type]" caption="Type" attribute="1" defaultMemberUniqueName="[base 1].[Type].[All]" allUniqueName="[base 1].[Type].[All]" dimensionUniqueName="[base 1]" displayFolder="" count="2" memberValueDatatype="130" unbalanced="0">
      <fieldsUsage count="2">
        <fieldUsage x="-1"/>
        <fieldUsage x="2"/>
      </fieldsUsage>
    </cacheHierarchy>
    <cacheHierarchy uniqueName="[base 1].[Fee]" caption="Fee" attribute="1" defaultMemberUniqueName="[base 1].[Fee].[All]" allUniqueName="[base 1].[Fee].[All]" dimensionUniqueName="[base 1]" displayFolder="" count="0" memberValueDatatype="130" unbalanced="0"/>
    <cacheHierarchy uniqueName="[base 1].[Amount]" caption="Amount" attribute="1" defaultMemberUniqueName="[base 1].[Amount].[All]" allUniqueName="[base 1].[Amount].[All]" dimensionUniqueName="[base 1]" displayFolder="" count="0" memberValueDatatype="5" unbalanced="0"/>
    <cacheHierarchy uniqueName="[base 1].[Region]" caption="Region" attribute="1" defaultMemberUniqueName="[base 1].[Region].[All]" allUniqueName="[base 1].[Region].[All]" dimensionUniqueName="[base 1]" displayFolder="" count="2" memberValueDatatype="130" unbalanced="0">
      <fieldsUsage count="2">
        <fieldUsage x="-1"/>
        <fieldUsage x="1"/>
      </fieldsUsage>
    </cacheHierarchy>
    <cacheHierarchy uniqueName="[details 1].[Order]" caption="Order" attribute="1" defaultMemberUniqueName="[details 1].[Order].[All]" allUniqueName="[details 1].[Order].[All]" dimensionUniqueName="[details 1]" displayFolder="" count="0" memberValueDatatype="130" unbalanced="0"/>
    <cacheHierarchy uniqueName="[details 1].[Shipping country]" caption="Shipping country" attribute="1" defaultMemberUniqueName="[details 1].[Shipping country].[All]" allUniqueName="[details 1].[Shipping country].[All]" dimensionUniqueName="[details 1]" displayFolder="" count="0" memberValueDatatype="130" unbalanced="0"/>
    <cacheHierarchy uniqueName="[Fees].[Fees]" caption="Fees" attribute="1" defaultMemberUniqueName="[Fees].[Fees].[All]" allUniqueName="[Fees].[Fees].[All]" dimensionUniqueName="[Fees]" displayFolder="" count="0" memberValueDatatype="5" unbalanced="0"/>
    <cacheHierarchy uniqueName="[Measures].[__XL_Count base 1]" caption="__XL_Count base 1" measure="1" displayFolder="" measureGroup="base 1" count="0" hidden="1"/>
    <cacheHierarchy uniqueName="[Measures].[__XL_Count details 1]" caption="__XL_Count details 1" measure="1" displayFolder="" measureGroup="details 1" count="0" hidden="1"/>
    <cacheHierarchy uniqueName="[Measures].[__XL_Count Fees]" caption="__XL_Count Fees" measure="1" displayFolder="" measureGroup="Fees" count="0" hidden="1"/>
    <cacheHierarchy uniqueName="[Measures].[__No measures defined]" caption="__No measures defined" measure="1" displayFolder="" count="0" hidden="1"/>
    <cacheHierarchy uniqueName="[Measures].[Sum of Amount]" caption="Sum of Amount" measure="1" displayFolder="" measureGroup="base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4">
    <dimension name="base 1" uniqueName="[base 1]" caption="base 1"/>
    <dimension name="details 1" uniqueName="[details 1]" caption="details 1"/>
    <dimension name="Fees" uniqueName="[Fees]" caption="Fees"/>
    <dimension measure="1" name="Measures" uniqueName="[Measures]" caption="Measures"/>
  </dimensions>
  <measureGroups count="3">
    <measureGroup name="base 1" caption="base 1"/>
    <measureGroup name="details 1" caption="details 1"/>
    <measureGroup name="Fees" caption="Fees"/>
  </measureGroups>
  <maps count="3">
    <map measureGroup="0" dimension="0"/>
    <map measureGroup="1" dimension="1"/>
    <map measureGroup="2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7.405651967594" backgroundQuery="1" createdVersion="7" refreshedVersion="7" minRefreshableVersion="3" recordCount="0" supportSubquery="1" supportAdvancedDrill="1" xr:uid="{F29CA1E3-7A75-4D63-8BB9-5D12464EE41B}">
  <cacheSource type="external" connectionId="6"/>
  <cacheFields count="3">
    <cacheField name="[base 1].[Region].[Region]" caption="Region" numFmtId="0" hierarchy="4" level="1">
      <sharedItems count="1">
        <s v="GB"/>
      </sharedItems>
    </cacheField>
    <cacheField name="[base 1].[Type].[Type]" caption="Type" numFmtId="0" hierarchy="1" level="1">
      <sharedItems containsSemiMixedTypes="0" containsNonDate="0" containsString="0"/>
    </cacheField>
    <cacheField name="[Measures].[Sum of Amount]" caption="Sum of Amount" numFmtId="0" hierarchy="12" level="32767"/>
  </cacheFields>
  <cacheHierarchies count="13">
    <cacheHierarchy uniqueName="[base 1].[Shipping country]" caption="Shipping country" attribute="1" defaultMemberUniqueName="[base 1].[Shipping country].[All]" allUniqueName="[base 1].[Shipping country].[All]" dimensionUniqueName="[base 1]" displayFolder="" count="0" memberValueDatatype="130" unbalanced="0"/>
    <cacheHierarchy uniqueName="[base 1].[Type]" caption="Type" attribute="1" defaultMemberUniqueName="[base 1].[Type].[All]" allUniqueName="[base 1].[Type].[All]" dimensionUniqueName="[base 1]" displayFolder="" count="2" memberValueDatatype="130" unbalanced="0">
      <fieldsUsage count="2">
        <fieldUsage x="-1"/>
        <fieldUsage x="1"/>
      </fieldsUsage>
    </cacheHierarchy>
    <cacheHierarchy uniqueName="[base 1].[Fee]" caption="Fee" attribute="1" defaultMemberUniqueName="[base 1].[Fee].[All]" allUniqueName="[base 1].[Fee].[All]" dimensionUniqueName="[base 1]" displayFolder="" count="0" memberValueDatatype="130" unbalanced="0"/>
    <cacheHierarchy uniqueName="[base 1].[Amount]" caption="Amount" attribute="1" defaultMemberUniqueName="[base 1].[Amount].[All]" allUniqueName="[base 1].[Amount].[All]" dimensionUniqueName="[base 1]" displayFolder="" count="0" memberValueDatatype="5" unbalanced="0"/>
    <cacheHierarchy uniqueName="[base 1].[Region]" caption="Region" attribute="1" defaultMemberUniqueName="[base 1].[Region].[All]" allUniqueName="[base 1].[Region].[All]" dimensionUniqueName="[base 1]" displayFolder="" count="2" memberValueDatatype="130" unbalanced="0">
      <fieldsUsage count="2">
        <fieldUsage x="-1"/>
        <fieldUsage x="0"/>
      </fieldsUsage>
    </cacheHierarchy>
    <cacheHierarchy uniqueName="[details 1].[Order]" caption="Order" attribute="1" defaultMemberUniqueName="[details 1].[Order].[All]" allUniqueName="[details 1].[Order].[All]" dimensionUniqueName="[details 1]" displayFolder="" count="0" memberValueDatatype="130" unbalanced="0"/>
    <cacheHierarchy uniqueName="[details 1].[Shipping country]" caption="Shipping country" attribute="1" defaultMemberUniqueName="[details 1].[Shipping country].[All]" allUniqueName="[details 1].[Shipping country].[All]" dimensionUniqueName="[details 1]" displayFolder="" count="0" memberValueDatatype="130" unbalanced="0"/>
    <cacheHierarchy uniqueName="[Fees].[Fees]" caption="Fees" attribute="1" defaultMemberUniqueName="[Fees].[Fees].[All]" allUniqueName="[Fees].[Fees].[All]" dimensionUniqueName="[Fees]" displayFolder="" count="0" memberValueDatatype="5" unbalanced="0"/>
    <cacheHierarchy uniqueName="[Measures].[__XL_Count base 1]" caption="__XL_Count base 1" measure="1" displayFolder="" measureGroup="base 1" count="0" hidden="1"/>
    <cacheHierarchy uniqueName="[Measures].[__XL_Count details 1]" caption="__XL_Count details 1" measure="1" displayFolder="" measureGroup="details 1" count="0" hidden="1"/>
    <cacheHierarchy uniqueName="[Measures].[__XL_Count Fees]" caption="__XL_Count Fees" measure="1" displayFolder="" measureGroup="Fees" count="0" hidden="1"/>
    <cacheHierarchy uniqueName="[Measures].[__No measures defined]" caption="__No measures defined" measure="1" displayFolder="" count="0" hidden="1"/>
    <cacheHierarchy uniqueName="[Measures].[Sum of Amount]" caption="Sum of Amount" measure="1" displayFolder="" measureGroup="base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4">
    <dimension name="base 1" uniqueName="[base 1]" caption="base 1"/>
    <dimension name="details 1" uniqueName="[details 1]" caption="details 1"/>
    <dimension name="Fees" uniqueName="[Fees]" caption="Fees"/>
    <dimension measure="1" name="Measures" uniqueName="[Measures]" caption="Measures"/>
  </dimensions>
  <measureGroups count="3">
    <measureGroup name="base 1" caption="base 1"/>
    <measureGroup name="details 1" caption="details 1"/>
    <measureGroup name="Fees" caption="Fees"/>
  </measureGroups>
  <maps count="3">
    <map measureGroup="0" dimension="0"/>
    <map measureGroup="1" dimension="1"/>
    <map measureGroup="2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E930E4-7014-4BA4-B3F1-F73E0A18E6D9}" name="PivotTable3" cacheId="265" applyNumberFormats="0" applyBorderFormats="0" applyFontFormats="0" applyPatternFormats="0" applyAlignmentFormats="0" applyWidthHeightFormats="1" dataCaption="Values" tag="97dbdfb3-e2ed-43c0-965f-ad6e75675c1f" updatedVersion="7" minRefreshableVersion="3" useAutoFormatting="1" colGrandTotals="0" itemPrintTitles="1" createdVersion="7" indent="0" compact="0" compactData="0" multipleFieldFilters="0">
  <location ref="G7:H9" firstHeaderRow="1" firstDataRow="1" firstDataCol="1" rowPageCount="1" colPageCount="1"/>
  <pivotFields count="3">
    <pivotField axis="axisRow" compact="0" allDrilled="1" outline="0" subtotalTop="0" showAll="0" dataSourceSort="1" defaultSubtotal="0" defaultAttributeDrillState="1">
      <items count="1">
        <item s="1" x="0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</pivotFields>
  <rowFields count="1">
    <field x="0"/>
  </rowFields>
  <rowItems count="2">
    <i>
      <x/>
    </i>
    <i t="grand">
      <x/>
    </i>
  </rowItems>
  <colItems count="1">
    <i/>
  </colItems>
  <pageFields count="1">
    <pageField fld="1" hier="1" name="[base 1].[Type].&amp;[charge]" cap="charge"/>
  </pageFields>
  <dataFields count="1">
    <dataField name="Total" fld="2" baseField="0" baseItem="0"/>
  </dataFields>
  <pivotHierarchies count="13">
    <pivotHierarchy dragToData="1"/>
    <pivotHierarchy multipleItemSelectionAllowed="1" dragToData="1">
      <members count="1" level="1">
        <member name="[base 1].[Type].&amp;[charge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Total"/>
  </pivotHierarchies>
  <pivotTableStyleInfo name="PivotStyleLight16" showRowHeaders="1" showColHeaders="1" showRowStripes="0" showColStripes="0" showLastColumn="1"/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6CC245-66A3-429C-BCED-337BE9582434}" name="PivotTable2" cacheId="262" applyNumberFormats="0" applyBorderFormats="0" applyFontFormats="0" applyPatternFormats="0" applyAlignmentFormats="0" applyWidthHeightFormats="1" dataCaption="Values" tag="458545e6-02c6-4465-93ca-4b6244ebdd72" updatedVersion="7" minRefreshableVersion="3" useAutoFormatting="1" colGrandTotals="0" itemPrintTitles="1" createdVersion="7" indent="0" compact="0" compactData="0" multipleFieldFilters="0">
  <location ref="D7:E9" firstHeaderRow="1" firstDataRow="1" firstDataCol="1" rowPageCount="2" colPageCount="1"/>
  <pivotFields count="4"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name="Region" axis="axisRow" compact="0" allDrilled="1" outline="0" subtotalTop="0" showAll="0" dataSourceSort="1" defaultSubtotal="0" defaultAttributeDrillState="1">
      <items count="1">
        <item x="0"/>
      </items>
    </pivotField>
    <pivotField dataField="1" compact="0" outline="0" subtotalTop="0" showAll="0" defaultSubtotal="0"/>
  </pivotFields>
  <rowFields count="1">
    <field x="2"/>
  </rowFields>
  <rowItems count="2">
    <i>
      <x/>
    </i>
    <i t="grand">
      <x/>
    </i>
  </rowItems>
  <colItems count="1">
    <i/>
  </colItems>
  <pageFields count="2">
    <pageField fld="0" hier="4" name="[base 1].[Region].&amp;[GB]" cap="GB"/>
    <pageField fld="1" hier="1" name="[base 1].[Type].&amp;[charge]" cap="charge"/>
  </pageFields>
  <dataFields count="1">
    <dataField name="Total" fld="3" baseField="0" baseItem="0"/>
  </dataFields>
  <pivotHierarchies count="13">
    <pivotHierarchy dragToData="1" caption="Region"/>
    <pivotHierarchy multipleItemSelectionAllowed="1" dragToData="1">
      <members count="1" level="1">
        <member name="[base 1].[Type].&amp;[charge]"/>
      </members>
    </pivotHierarchy>
    <pivotHierarchy dragToData="1"/>
    <pivotHierarchy dragToData="1"/>
    <pivotHierarchy multipleItemSelectionAllowed="1" dragToData="1">
      <members count="1" level="1">
        <member name="[base 1].[Region].&amp;[GB]"/>
      </members>
    </pivotHierarchy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Total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4C1FA-A86C-4A7D-9726-C07B7F4715EF}" name="PivotTable1" cacheId="250" applyNumberFormats="0" applyBorderFormats="0" applyFontFormats="0" applyPatternFormats="0" applyAlignmentFormats="0" applyWidthHeightFormats="1" dataCaption="Values" tag="971ce9f3-3483-4811-a652-7039916a412b" updatedVersion="7" minRefreshableVersion="3" showDrill="0" useAutoFormatting="1" colGrandTotals="0" itemPrintTitles="1" createdVersion="7" indent="0" compact="0" compactData="0" multipleFieldFilters="0">
  <location ref="A7:B9" firstHeaderRow="1" firstDataRow="1" firstDataCol="1" rowPageCount="2" colPageCount="1"/>
  <pivotFields count="4">
    <pivotField dataField="1" compact="0" outline="0" subtotalTop="0" showAll="0" defaultSubtotal="0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Row" compact="0" allDrilled="1" outline="0" subtotalTop="0" showAll="0" dataSourceSort="1" defaultSubtotal="0" defaultAttributeDrillState="1">
      <items count="1">
        <item x="0"/>
      </items>
    </pivotField>
  </pivotFields>
  <rowFields count="1">
    <field x="3"/>
  </rowFields>
  <rowItems count="2">
    <i>
      <x/>
    </i>
    <i t="grand">
      <x/>
    </i>
  </rowItems>
  <colItems count="1">
    <i/>
  </colItems>
  <pageFields count="2">
    <pageField fld="1" hier="1" name="[base 1].[Type].&amp;[charge]" cap="charge"/>
    <pageField fld="2" hier="4" name="[base 1].[Region].&amp;[EU]" cap="EU"/>
  </pageFields>
  <dataFields count="1">
    <dataField name="Total" fld="0" baseField="0" baseItem="0"/>
  </dataFields>
  <formats count="1">
    <format dxfId="3">
      <pivotArea grandRow="1" outline="0" collapsedLevelsAreSubtotals="1" fieldPosition="0"/>
    </format>
  </formats>
  <pivotHierarchies count="13">
    <pivotHierarchy dragToData="1"/>
    <pivotHierarchy multipleItemSelectionAllowed="1" dragToData="1">
      <members count="1" level="1">
        <member name="[base 1].[Type].&amp;[charge]"/>
      </members>
    </pivotHierarchy>
    <pivotHierarchy dragToData="1"/>
    <pivotHierarchy dragToData="1"/>
    <pivotHierarchy multipleItemSelectionAllowed="1" dragToData="1">
      <members count="1" level="1">
        <member name="[base 1].[Region].&amp;[EU]"/>
      </members>
    </pivotHierarchy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Total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164C57-CD88-4A97-BD9B-4B577DAE8819}" name="PivotTable6" cacheId="283" applyNumberFormats="0" applyBorderFormats="0" applyFontFormats="0" applyPatternFormats="0" applyAlignmentFormats="0" applyWidthHeightFormats="1" dataCaption="Values" tag="c76f3a1b-ea19-44a0-96c6-a5b44dc8978e" updatedVersion="7" minRefreshableVersion="3" useAutoFormatting="1" itemPrintTitles="1" createdVersion="7" indent="0" outline="1" outlineData="1" multipleFieldFilters="0">
  <location ref="T7:U7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1">
        <item x="0"/>
      </items>
    </pivotField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pageFields count="1">
    <pageField fld="1" hier="1" name="[base 1].[Type].&amp;[refund]" cap="refund"/>
  </pageFields>
  <dataFields count="1">
    <dataField name="Sum of Amount" fld="2" baseField="0" baseItem="0"/>
  </dataFields>
  <pivotHierarchies count="13">
    <pivotHierarchy dragToData="1"/>
    <pivotHierarchy multipleItemSelectionAllowed="1" dragToData="1">
      <members count="1" level="1">
        <member name="[base 1].[Type].&amp;[refund]"/>
      </members>
    </pivotHierarchy>
    <pivotHierarchy dragToData="1"/>
    <pivotHierarchy dragToData="1"/>
    <pivotHierarchy dragToData="1">
      <members count="1" level="1">
        <member name="[base 1].[Region].&amp;[ROW]"/>
      </members>
    </pivotHierarchy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3B75CE-A6CA-4B10-9632-042DA992A91D}" name="PivotTable5" cacheId="271" applyNumberFormats="0" applyBorderFormats="0" applyFontFormats="0" applyPatternFormats="0" applyAlignmentFormats="0" applyWidthHeightFormats="1" dataCaption="Values" tag="af3ae6e2-c006-4aaa-94bc-29daa63224bf" updatedVersion="7" minRefreshableVersion="3" useAutoFormatting="1" itemPrintTitles="1" createdVersion="7" indent="0" outline="1" outlineData="1" multipleFieldFilters="0">
  <location ref="Q7:R9" firstHeaderRow="1" firstDataRow="1" firstDataCol="1" rowPageCount="2" colPageCount="1"/>
  <pivotFields count="4"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</pivotFields>
  <rowFields count="1">
    <field x="2"/>
  </rowFields>
  <rowItems count="2">
    <i>
      <x/>
    </i>
    <i t="grand">
      <x/>
    </i>
  </rowItems>
  <colItems count="1">
    <i/>
  </colItems>
  <pageFields count="2">
    <pageField fld="0" hier="4" name="[base 1].[Region].&amp;[GB]" cap="GB"/>
    <pageField fld="1" hier="1" name="[base 1].[Type].&amp;[refund]" cap="refund"/>
  </pageFields>
  <dataFields count="1">
    <dataField name="Sum of Amount" fld="3" baseField="0" baseItem="0"/>
  </dataFields>
  <pivotHierarchies count="13">
    <pivotHierarchy dragToData="1"/>
    <pivotHierarchy multipleItemSelectionAllowed="1" dragToData="1">
      <members count="1" level="1">
        <member name="[base 1].[Type].&amp;[refund]"/>
      </members>
    </pivotHierarchy>
    <pivotHierarchy dragToData="1"/>
    <pivotHierarchy dragToData="1"/>
    <pivotHierarchy multipleItemSelectionAllowed="1" dragToData="1">
      <members count="1" level="1">
        <member name="[base 1].[Region].&amp;[GB]"/>
      </members>
    </pivotHierarchy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887A34-CFF5-4482-A59B-C89AE4F6B4D9}" name="PivotTable4" cacheId="277" applyNumberFormats="0" applyBorderFormats="0" applyFontFormats="0" applyPatternFormats="0" applyAlignmentFormats="0" applyWidthHeightFormats="1" dataCaption="Values" tag="33d006fc-25a0-48ec-b85d-454a1ecdbbff" updatedVersion="7" minRefreshableVersion="3" useAutoFormatting="1" subtotalHiddenItems="1" itemPrintTitles="1" createdVersion="7" indent="0" outline="1" outlineData="1" multipleFieldFilters="0">
  <location ref="N7:O7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1">
        <item x="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pageFields count="2">
    <pageField fld="1" hier="4" name="[base 1].[Region].&amp;[EU]" cap="EU"/>
    <pageField fld="2" hier="1" name="[base 1].[Type].&amp;[refund]" cap="refund"/>
  </pageFields>
  <dataFields count="1">
    <dataField name="Sum of Amount" fld="3" baseField="0" baseItem="0"/>
  </dataFields>
  <pivotHierarchies count="13">
    <pivotHierarchy dragToData="1"/>
    <pivotHierarchy multipleItemSelectionAllowed="1" dragToData="1">
      <members count="1" level="1">
        <member name="[base 1].[Type].&amp;[refund]"/>
      </members>
    </pivotHierarchy>
    <pivotHierarchy dragToData="1"/>
    <pivotHierarchy dragToData="1"/>
    <pivotHierarchy multipleItemSelectionAllowed="1" dragToData="1">
      <members count="1" level="1">
        <member name="[base 1].[Region].&amp;[EU]"/>
      </members>
    </pivotHierarchy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876D474D-C397-401C-8E18-C8B57016EA30}" autoFormatId="16" applyNumberFormats="0" applyBorderFormats="0" applyFontFormats="0" applyPatternFormats="0" applyAlignmentFormats="0" applyWidthHeightFormats="0">
  <queryTableRefresh nextId="2">
    <queryTableFields count="1">
      <queryTableField id="1" name="Fees" tableColumnId="1"/>
    </queryTableFields>
  </queryTableRefresh>
  <extLst>
    <ext xmlns:x15="http://schemas.microsoft.com/office/spreadsheetml/2010/11/main" uri="{883FBD77-0823-4a55-B5E3-86C4891E6966}">
      <x15:queryTable sourceDataName="Query - Fees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ABC018-B57B-4CFD-929C-028EBCF0B797}" name="Table2" displayName="Table2" ref="A1:B2" totalsRowShown="0">
  <autoFilter ref="A1:B2" xr:uid="{04ABC018-B57B-4CFD-929C-028EBCF0B797}"/>
  <tableColumns count="2">
    <tableColumn id="1" xr3:uid="{3F40A7E4-EEB1-4D6E-A31F-27C735876381}" name="filename">
      <calculatedColumnFormula array="1">CELL("fileName", A1)</calculatedColumnFormula>
    </tableColumn>
    <tableColumn id="2" xr3:uid="{4721FBD1-F005-4213-9793-0AED59A3259C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A900BF-5971-4D4F-BB97-8F16B5890C71}" name="tblEU" displayName="tblEU" ref="A4:B31" totalsRowShown="0">
  <autoFilter ref="A4:B31" xr:uid="{FCA900BF-5971-4D4F-BB97-8F16B5890C71}"/>
  <tableColumns count="2">
    <tableColumn id="1" xr3:uid="{9FFF984F-6715-48E6-90FA-C886BDD10797}" name="EUROPEAN COUNTRIES"/>
    <tableColumn id="2" xr3:uid="{452AB167-6B8E-4AE9-B18E-A021362A722F}" name="Cod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118AB7-CCF4-4C49-BCAC-97C90B915565}" name="Fees" displayName="Fees_1" ref="K5:K6" tableType="queryTable" totalsRowShown="0" headerRowDxfId="2" dataDxfId="1">
  <tableColumns count="1">
    <tableColumn id="1" xr3:uid="{CDC103CE-901F-4493-810D-83B9AC23642F}" uniqueName="1" name="Fees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56B9-1769-498A-B91D-19567392748B}">
  <dimension ref="A1:B31"/>
  <sheetViews>
    <sheetView workbookViewId="0">
      <selection activeCell="B2" sqref="B2"/>
    </sheetView>
  </sheetViews>
  <sheetFormatPr defaultRowHeight="15" x14ac:dyDescent="0.25"/>
  <cols>
    <col min="1" max="1" width="11.140625" customWidth="1"/>
  </cols>
  <sheetData>
    <row r="1" spans="1:2" x14ac:dyDescent="0.25">
      <c r="A1" t="s">
        <v>77</v>
      </c>
      <c r="B1" t="s">
        <v>78</v>
      </c>
    </row>
    <row r="2" spans="1:2" x14ac:dyDescent="0.25">
      <c r="A2" t="str" cm="1">
        <f t="array" aca="1" ref="A2" ca="1">CELL("fileName", A1)</f>
        <v>\\NIKOTSY-PC\Amberta LTD - Accounting\Classifications\Shopify\[calculation_sheet.xlsm]Developer</v>
      </c>
      <c r="B2" t="str">
        <f ca="1">LEFT(path,FIND("?",SUBSTITUTE(path,"\","?",LEN(path)-LEN(SUBSTITUTE(path,"\",""))))) &amp; "reports\"</f>
        <v>\\NIKOTSY-PC\Amberta LTD - Accounting\Classifications\Shopify\reports\</v>
      </c>
    </row>
    <row r="4" spans="1:2" x14ac:dyDescent="0.25">
      <c r="A4" s="1" t="s">
        <v>0</v>
      </c>
      <c r="B4" s="2" t="s">
        <v>55</v>
      </c>
    </row>
    <row r="5" spans="1:2" x14ac:dyDescent="0.25">
      <c r="A5" t="s">
        <v>1</v>
      </c>
      <c r="B5" t="s">
        <v>2</v>
      </c>
    </row>
    <row r="6" spans="1:2" x14ac:dyDescent="0.25">
      <c r="A6" t="s">
        <v>3</v>
      </c>
      <c r="B6" t="s">
        <v>4</v>
      </c>
    </row>
    <row r="7" spans="1:2" x14ac:dyDescent="0.25">
      <c r="A7" t="s">
        <v>5</v>
      </c>
      <c r="B7" t="s">
        <v>6</v>
      </c>
    </row>
    <row r="8" spans="1:2" x14ac:dyDescent="0.25">
      <c r="A8" t="s">
        <v>7</v>
      </c>
      <c r="B8" t="s">
        <v>41</v>
      </c>
    </row>
    <row r="9" spans="1:2" x14ac:dyDescent="0.25">
      <c r="A9" t="s">
        <v>8</v>
      </c>
      <c r="B9" t="s">
        <v>9</v>
      </c>
    </row>
    <row r="10" spans="1:2" x14ac:dyDescent="0.25">
      <c r="A10" t="s">
        <v>10</v>
      </c>
      <c r="B10" t="s">
        <v>42</v>
      </c>
    </row>
    <row r="11" spans="1:2" x14ac:dyDescent="0.25">
      <c r="A11" t="s">
        <v>11</v>
      </c>
      <c r="B11" t="s">
        <v>44</v>
      </c>
    </row>
    <row r="12" spans="1:2" x14ac:dyDescent="0.25">
      <c r="A12" t="s">
        <v>12</v>
      </c>
      <c r="B12" t="s">
        <v>45</v>
      </c>
    </row>
    <row r="13" spans="1:2" x14ac:dyDescent="0.25">
      <c r="A13" t="s">
        <v>13</v>
      </c>
      <c r="B13" t="s">
        <v>43</v>
      </c>
    </row>
    <row r="14" spans="1:2" x14ac:dyDescent="0.25">
      <c r="A14" t="s">
        <v>14</v>
      </c>
      <c r="B14" t="s">
        <v>32</v>
      </c>
    </row>
    <row r="15" spans="1:2" x14ac:dyDescent="0.25">
      <c r="A15" t="s">
        <v>15</v>
      </c>
      <c r="B15" t="s">
        <v>37</v>
      </c>
    </row>
    <row r="16" spans="1:2" x14ac:dyDescent="0.25">
      <c r="A16" t="s">
        <v>16</v>
      </c>
      <c r="B16" t="s">
        <v>46</v>
      </c>
    </row>
    <row r="17" spans="1:2" x14ac:dyDescent="0.25">
      <c r="A17" t="s">
        <v>17</v>
      </c>
      <c r="B17" t="s">
        <v>33</v>
      </c>
    </row>
    <row r="18" spans="1:2" x14ac:dyDescent="0.25">
      <c r="A18" t="s">
        <v>18</v>
      </c>
      <c r="B18" t="s">
        <v>47</v>
      </c>
    </row>
    <row r="19" spans="1:2" x14ac:dyDescent="0.25">
      <c r="A19" t="s">
        <v>19</v>
      </c>
      <c r="B19" t="s">
        <v>34</v>
      </c>
    </row>
    <row r="20" spans="1:2" x14ac:dyDescent="0.25">
      <c r="A20" t="s">
        <v>20</v>
      </c>
      <c r="B20" t="s">
        <v>48</v>
      </c>
    </row>
    <row r="21" spans="1:2" x14ac:dyDescent="0.25">
      <c r="A21" t="s">
        <v>21</v>
      </c>
      <c r="B21" t="s">
        <v>50</v>
      </c>
    </row>
    <row r="22" spans="1:2" x14ac:dyDescent="0.25">
      <c r="A22" t="s">
        <v>22</v>
      </c>
      <c r="B22" t="s">
        <v>35</v>
      </c>
    </row>
    <row r="23" spans="1:2" x14ac:dyDescent="0.25">
      <c r="A23" t="s">
        <v>23</v>
      </c>
      <c r="B23" t="s">
        <v>49</v>
      </c>
    </row>
    <row r="24" spans="1:2" x14ac:dyDescent="0.25">
      <c r="A24" t="s">
        <v>24</v>
      </c>
      <c r="B24" t="s">
        <v>51</v>
      </c>
    </row>
    <row r="25" spans="1:2" x14ac:dyDescent="0.25">
      <c r="A25" t="s">
        <v>25</v>
      </c>
      <c r="B25" t="s">
        <v>39</v>
      </c>
    </row>
    <row r="26" spans="1:2" x14ac:dyDescent="0.25">
      <c r="A26" t="s">
        <v>26</v>
      </c>
      <c r="B26" t="s">
        <v>52</v>
      </c>
    </row>
    <row r="27" spans="1:2" x14ac:dyDescent="0.25">
      <c r="A27" t="s">
        <v>27</v>
      </c>
      <c r="B27" t="s">
        <v>36</v>
      </c>
    </row>
    <row r="28" spans="1:2" x14ac:dyDescent="0.25">
      <c r="A28" t="s">
        <v>28</v>
      </c>
      <c r="B28" t="s">
        <v>53</v>
      </c>
    </row>
    <row r="29" spans="1:2" x14ac:dyDescent="0.25">
      <c r="A29" t="s">
        <v>29</v>
      </c>
      <c r="B29" t="s">
        <v>54</v>
      </c>
    </row>
    <row r="30" spans="1:2" x14ac:dyDescent="0.25">
      <c r="A30" t="s">
        <v>30</v>
      </c>
      <c r="B30" t="s">
        <v>38</v>
      </c>
    </row>
    <row r="31" spans="1:2" x14ac:dyDescent="0.25">
      <c r="A31" t="s">
        <v>31</v>
      </c>
      <c r="B31" t="s">
        <v>40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F6421-F156-4B3A-A163-C5D846E06800}">
  <sheetPr codeName="shDashboard"/>
  <dimension ref="G1:T5"/>
  <sheetViews>
    <sheetView showGridLines="0" workbookViewId="0">
      <selection activeCell="R16" sqref="R16"/>
    </sheetView>
  </sheetViews>
  <sheetFormatPr defaultRowHeight="15" x14ac:dyDescent="0.25"/>
  <sheetData>
    <row r="1" spans="7:20" x14ac:dyDescent="0.25">
      <c r="G1" s="8" t="s">
        <v>75</v>
      </c>
      <c r="H1" s="8"/>
      <c r="I1" s="8"/>
      <c r="J1" s="8"/>
      <c r="K1" s="8"/>
      <c r="L1" s="8"/>
      <c r="M1" s="8"/>
      <c r="N1" s="8"/>
      <c r="O1" s="8"/>
    </row>
    <row r="2" spans="7:20" x14ac:dyDescent="0.25">
      <c r="G2" s="8"/>
      <c r="H2" s="8"/>
      <c r="I2" s="8"/>
      <c r="J2" s="8"/>
      <c r="K2" s="8"/>
      <c r="L2" s="8"/>
      <c r="M2" s="8"/>
      <c r="N2" s="8"/>
      <c r="O2" s="8"/>
    </row>
    <row r="3" spans="7:20" x14ac:dyDescent="0.25">
      <c r="G3" s="8"/>
      <c r="H3" s="8"/>
      <c r="I3" s="8"/>
      <c r="J3" s="8"/>
      <c r="K3" s="8"/>
      <c r="L3" s="8"/>
      <c r="M3" s="8"/>
      <c r="N3" s="8"/>
      <c r="O3" s="8"/>
    </row>
    <row r="5" spans="7:20" x14ac:dyDescent="0.25">
      <c r="Q5" s="9" t="s">
        <v>76</v>
      </c>
      <c r="R5" s="9"/>
      <c r="S5" s="9"/>
      <c r="T5" s="9"/>
    </row>
  </sheetData>
  <mergeCells count="2">
    <mergeCell ref="G1:O3"/>
    <mergeCell ref="Q5:T5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13</xdr:col>
                <xdr:colOff>114300</xdr:colOff>
                <xdr:row>16</xdr:row>
                <xdr:rowOff>123825</xdr:rowOff>
              </from>
              <to>
                <xdr:col>15</xdr:col>
                <xdr:colOff>247650</xdr:colOff>
                <xdr:row>19</xdr:row>
                <xdr:rowOff>171450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E6B80-1811-43B3-8110-6C38DED7D4C1}">
  <sheetPr codeName="Sheet3"/>
  <dimension ref="A1:U9"/>
  <sheetViews>
    <sheetView showGridLines="0" tabSelected="1" workbookViewId="0">
      <selection activeCell="Q21" sqref="Q21"/>
    </sheetView>
  </sheetViews>
  <sheetFormatPr defaultRowHeight="15" x14ac:dyDescent="0.25"/>
  <cols>
    <col min="1" max="1" width="18.28515625" bestFit="1" customWidth="1"/>
    <col min="2" max="2" width="9.140625" bestFit="1" customWidth="1"/>
    <col min="4" max="4" width="15.42578125" bestFit="1" customWidth="1"/>
    <col min="5" max="5" width="9.140625" bestFit="1" customWidth="1"/>
    <col min="7" max="7" width="11.28515625" bestFit="1" customWidth="1"/>
    <col min="8" max="8" width="9.140625" bestFit="1" customWidth="1"/>
    <col min="9" max="9" width="9.28515625" customWidth="1"/>
    <col min="10" max="10" width="5.42578125" style="7" customWidth="1"/>
    <col min="11" max="11" width="5.5703125" bestFit="1" customWidth="1"/>
    <col min="12" max="12" width="9.140625" customWidth="1"/>
    <col min="13" max="13" width="9.140625" style="7"/>
    <col min="14" max="14" width="13.140625" bestFit="1" customWidth="1"/>
    <col min="15" max="15" width="14.85546875" bestFit="1" customWidth="1"/>
    <col min="17" max="17" width="15.42578125" bestFit="1" customWidth="1"/>
    <col min="18" max="18" width="14.85546875" bestFit="1" customWidth="1"/>
    <col min="20" max="20" width="13.140625" bestFit="1" customWidth="1"/>
    <col min="21" max="21" width="14.85546875" bestFit="1" customWidth="1"/>
  </cols>
  <sheetData>
    <row r="1" spans="1:21" ht="15" customHeight="1" x14ac:dyDescent="0.25">
      <c r="A1" s="15" t="s">
        <v>68</v>
      </c>
      <c r="B1" s="15"/>
      <c r="D1" s="15" t="s">
        <v>70</v>
      </c>
      <c r="E1" s="15"/>
      <c r="G1" s="16" t="s">
        <v>71</v>
      </c>
      <c r="H1" s="17"/>
      <c r="J1" s="12" t="s">
        <v>74</v>
      </c>
      <c r="K1" s="13"/>
      <c r="L1" s="14"/>
      <c r="N1" s="18" t="s">
        <v>72</v>
      </c>
      <c r="O1" s="18"/>
      <c r="Q1" s="18" t="s">
        <v>79</v>
      </c>
      <c r="R1" s="18"/>
      <c r="T1" s="10" t="s">
        <v>73</v>
      </c>
      <c r="U1" s="11"/>
    </row>
    <row r="2" spans="1:21" ht="15" customHeight="1" x14ac:dyDescent="0.25">
      <c r="A2" s="15"/>
      <c r="B2" s="15"/>
      <c r="D2" s="15"/>
      <c r="E2" s="15"/>
      <c r="G2" s="17"/>
      <c r="H2" s="17"/>
      <c r="J2" s="12"/>
      <c r="K2" s="13"/>
      <c r="L2" s="14"/>
      <c r="N2" s="18"/>
      <c r="O2" s="18"/>
      <c r="Q2" s="18"/>
      <c r="R2" s="18"/>
      <c r="T2" s="11"/>
      <c r="U2" s="11"/>
    </row>
    <row r="3" spans="1:21" ht="15" customHeight="1" x14ac:dyDescent="0.25">
      <c r="A3" s="15"/>
      <c r="B3" s="15"/>
      <c r="D3" s="15"/>
      <c r="E3" s="15"/>
      <c r="G3" s="17"/>
      <c r="H3" s="17"/>
      <c r="J3" s="12"/>
      <c r="K3" s="13"/>
      <c r="L3" s="14"/>
      <c r="N3" s="18"/>
      <c r="O3" s="18"/>
      <c r="Q3" s="18"/>
      <c r="R3" s="18"/>
      <c r="T3" s="11"/>
      <c r="U3" s="11"/>
    </row>
    <row r="4" spans="1:21" x14ac:dyDescent="0.25">
      <c r="A4" s="5" t="s">
        <v>66</v>
      </c>
      <c r="B4" t="s" vm="1">
        <v>67</v>
      </c>
      <c r="D4" s="5" t="s">
        <v>69</v>
      </c>
      <c r="E4" t="s" vm="3">
        <v>62</v>
      </c>
      <c r="N4" s="5" t="s">
        <v>69</v>
      </c>
      <c r="O4" t="s" vm="2">
        <v>61</v>
      </c>
      <c r="Q4" s="5" t="s">
        <v>69</v>
      </c>
      <c r="R4" t="s" vm="3">
        <v>62</v>
      </c>
    </row>
    <row r="5" spans="1:21" ht="15.75" x14ac:dyDescent="0.25">
      <c r="A5" s="5" t="s">
        <v>69</v>
      </c>
      <c r="B5" t="s" vm="2">
        <v>61</v>
      </c>
      <c r="D5" s="5" t="s">
        <v>66</v>
      </c>
      <c r="E5" t="s" vm="1">
        <v>67</v>
      </c>
      <c r="G5" s="5" t="s">
        <v>66</v>
      </c>
      <c r="H5" t="s" vm="1">
        <v>67</v>
      </c>
      <c r="K5" s="6" t="s">
        <v>58</v>
      </c>
      <c r="N5" s="5" t="s">
        <v>66</v>
      </c>
      <c r="O5" t="s" vm="4">
        <v>80</v>
      </c>
      <c r="Q5" s="5" t="s">
        <v>66</v>
      </c>
      <c r="R5" t="s" vm="4">
        <v>80</v>
      </c>
      <c r="T5" s="5" t="s">
        <v>66</v>
      </c>
      <c r="U5" t="s" vm="4">
        <v>80</v>
      </c>
    </row>
    <row r="6" spans="1:21" ht="15.75" x14ac:dyDescent="0.25">
      <c r="K6" s="6">
        <v>8.48</v>
      </c>
    </row>
    <row r="7" spans="1:21" x14ac:dyDescent="0.25">
      <c r="A7" s="5" t="s">
        <v>59</v>
      </c>
      <c r="B7" t="s">
        <v>65</v>
      </c>
      <c r="D7" s="5" t="s">
        <v>69</v>
      </c>
      <c r="E7" t="s">
        <v>65</v>
      </c>
      <c r="G7" s="5" t="s">
        <v>69</v>
      </c>
      <c r="H7" t="s">
        <v>65</v>
      </c>
      <c r="N7" s="5" t="s">
        <v>60</v>
      </c>
      <c r="O7" t="s">
        <v>64</v>
      </c>
      <c r="Q7" s="5" t="s">
        <v>60</v>
      </c>
      <c r="R7" t="s">
        <v>64</v>
      </c>
      <c r="T7" s="5" t="s">
        <v>60</v>
      </c>
      <c r="U7" t="s">
        <v>64</v>
      </c>
    </row>
    <row r="8" spans="1:21" x14ac:dyDescent="0.25">
      <c r="A8" t="s">
        <v>19</v>
      </c>
      <c r="B8" s="4">
        <v>16.260000000000002</v>
      </c>
      <c r="D8" t="s">
        <v>56</v>
      </c>
      <c r="E8" s="4">
        <v>178.65</v>
      </c>
      <c r="G8" t="s">
        <v>57</v>
      </c>
      <c r="H8" s="4">
        <v>73.3</v>
      </c>
      <c r="Q8" s="1" t="s">
        <v>56</v>
      </c>
      <c r="R8" s="4">
        <v>-60.35</v>
      </c>
    </row>
    <row r="9" spans="1:21" x14ac:dyDescent="0.25">
      <c r="A9" t="s">
        <v>63</v>
      </c>
      <c r="B9" s="3">
        <v>16.260000000000002</v>
      </c>
      <c r="D9" t="s">
        <v>63</v>
      </c>
      <c r="E9" s="4">
        <v>178.65</v>
      </c>
      <c r="G9" t="s">
        <v>63</v>
      </c>
      <c r="H9" s="4">
        <v>73.3</v>
      </c>
      <c r="Q9" s="1" t="s">
        <v>63</v>
      </c>
      <c r="R9" s="4">
        <v>-60.35</v>
      </c>
    </row>
  </sheetData>
  <mergeCells count="7">
    <mergeCell ref="T1:U3"/>
    <mergeCell ref="J1:L3"/>
    <mergeCell ref="A1:B3"/>
    <mergeCell ref="D1:E3"/>
    <mergeCell ref="G1:H3"/>
    <mergeCell ref="N1:O3"/>
    <mergeCell ref="Q1:R3"/>
  </mergeCells>
  <pageMargins left="0.7" right="0.7" top="0.75" bottom="0.75" header="0.3" footer="0.3"/>
  <pageSetup paperSize="9" orientation="portrait" r:id="rId7"/>
  <tableParts count="1"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41AD283F-79F7-48BC-9DD5-F90204C200F8}">
  <ds:schemaRefs/>
</ds:datastoreItem>
</file>

<file path=customXml/itemProps2.xml><?xml version="1.0" encoding="utf-8"?>
<ds:datastoreItem xmlns:ds="http://schemas.openxmlformats.org/officeDocument/2006/customXml" ds:itemID="{BD4B22FC-E34F-49AA-97A9-49DEE3D4C648}">
  <ds:schemaRefs/>
</ds:datastoreItem>
</file>

<file path=customXml/itemProps3.xml><?xml version="1.0" encoding="utf-8"?>
<ds:datastoreItem xmlns:ds="http://schemas.openxmlformats.org/officeDocument/2006/customXml" ds:itemID="{8126EE51-FD7E-4AED-807F-09B966DBD5E5}">
  <ds:schemaRefs/>
</ds:datastoreItem>
</file>

<file path=customXml/itemProps4.xml><?xml version="1.0" encoding="utf-8"?>
<ds:datastoreItem xmlns:ds="http://schemas.openxmlformats.org/officeDocument/2006/customXml" ds:itemID="{880BD7F8-051F-4BF7-AC71-0A6C5AC4C989}">
  <ds:schemaRefs/>
</ds:datastoreItem>
</file>

<file path=customXml/itemProps5.xml><?xml version="1.0" encoding="utf-8"?>
<ds:datastoreItem xmlns:ds="http://schemas.openxmlformats.org/officeDocument/2006/customXml" ds:itemID="{910003ED-A7FF-4778-A697-C8C80CCC3907}">
  <ds:schemaRefs/>
</ds:datastoreItem>
</file>

<file path=customXml/itemProps6.xml><?xml version="1.0" encoding="utf-8"?>
<ds:datastoreItem xmlns:ds="http://schemas.openxmlformats.org/officeDocument/2006/customXml" ds:itemID="{D5D0297A-A69D-432F-976A-64962B98DF4F}">
  <ds:schemaRefs/>
</ds:datastoreItem>
</file>

<file path=customXml/itemProps7.xml><?xml version="1.0" encoding="utf-8"?>
<ds:datastoreItem xmlns:ds="http://schemas.openxmlformats.org/officeDocument/2006/customXml" ds:itemID="{56375DD7-5E70-4289-993C-2834FB608CDA}">
  <ds:schemaRefs/>
</ds:datastoreItem>
</file>

<file path=customXml/itemProps8.xml><?xml version="1.0" encoding="utf-8"?>
<ds:datastoreItem xmlns:ds="http://schemas.openxmlformats.org/officeDocument/2006/customXml" ds:itemID="{EA939674-A4DD-4681-AA3F-2A1E477603BB}">
  <ds:schemaRefs/>
</ds:datastoreItem>
</file>

<file path=customXml/itemProps9.xml><?xml version="1.0" encoding="utf-8"?>
<ds:datastoreItem xmlns:ds="http://schemas.openxmlformats.org/officeDocument/2006/customXml" ds:itemID="{4DDA363C-682D-425D-B569-2B42C3B8034C}">
  <ds:schemaRefs/>
</ds:datastoreItem>
</file>

<file path=customXml/itemProps10.xml><?xml version="1.0" encoding="utf-8"?>
<ds:datastoreItem xmlns:ds="http://schemas.openxmlformats.org/officeDocument/2006/customXml" ds:itemID="{B4DA9081-70A5-409C-8CB7-DD03CD6A2A64}">
  <ds:schemaRefs/>
</ds:datastoreItem>
</file>

<file path=customXml/itemProps11.xml><?xml version="1.0" encoding="utf-8"?>
<ds:datastoreItem xmlns:ds="http://schemas.openxmlformats.org/officeDocument/2006/customXml" ds:itemID="{B9EDFE75-0E4C-4694-8B3B-88E06CA6A1F7}">
  <ds:schemaRefs/>
</ds:datastoreItem>
</file>

<file path=customXml/itemProps12.xml><?xml version="1.0" encoding="utf-8"?>
<ds:datastoreItem xmlns:ds="http://schemas.openxmlformats.org/officeDocument/2006/customXml" ds:itemID="{48D0538E-678B-495D-A6D6-B12B7C46FEE8}">
  <ds:schemaRefs/>
</ds:datastoreItem>
</file>

<file path=customXml/itemProps13.xml><?xml version="1.0" encoding="utf-8"?>
<ds:datastoreItem xmlns:ds="http://schemas.openxmlformats.org/officeDocument/2006/customXml" ds:itemID="{21966079-FA44-42C9-8DB6-B213884EB121}">
  <ds:schemaRefs/>
</ds:datastoreItem>
</file>

<file path=customXml/itemProps14.xml><?xml version="1.0" encoding="utf-8"?>
<ds:datastoreItem xmlns:ds="http://schemas.openxmlformats.org/officeDocument/2006/customXml" ds:itemID="{F9236616-BF18-4CCA-90D4-DD683218ACBF}">
  <ds:schemaRefs/>
</ds:datastoreItem>
</file>

<file path=customXml/itemProps15.xml><?xml version="1.0" encoding="utf-8"?>
<ds:datastoreItem xmlns:ds="http://schemas.openxmlformats.org/officeDocument/2006/customXml" ds:itemID="{250F801D-5436-49D1-B105-8B55294E0ECF}">
  <ds:schemaRefs/>
</ds:datastoreItem>
</file>

<file path=customXml/itemProps16.xml><?xml version="1.0" encoding="utf-8"?>
<ds:datastoreItem xmlns:ds="http://schemas.openxmlformats.org/officeDocument/2006/customXml" ds:itemID="{D4BA1FBD-46DB-4A5B-85C7-38A1590AFFF5}">
  <ds:schemaRefs>
    <ds:schemaRef ds:uri="http://schemas.microsoft.com/DataMashup"/>
  </ds:schemaRefs>
</ds:datastoreItem>
</file>

<file path=customXml/itemProps17.xml><?xml version="1.0" encoding="utf-8"?>
<ds:datastoreItem xmlns:ds="http://schemas.openxmlformats.org/officeDocument/2006/customXml" ds:itemID="{F0C770E4-B62B-47EE-ACB8-72981DFFEF1C}">
  <ds:schemaRefs/>
</ds:datastoreItem>
</file>

<file path=customXml/itemProps18.xml><?xml version="1.0" encoding="utf-8"?>
<ds:datastoreItem xmlns:ds="http://schemas.openxmlformats.org/officeDocument/2006/customXml" ds:itemID="{F951AC15-2E04-4CC9-884A-38942C0928F4}">
  <ds:schemaRefs/>
</ds:datastoreItem>
</file>

<file path=customXml/itemProps19.xml><?xml version="1.0" encoding="utf-8"?>
<ds:datastoreItem xmlns:ds="http://schemas.openxmlformats.org/officeDocument/2006/customXml" ds:itemID="{79F9ED89-70AA-43E9-AB74-3B914FF43F96}">
  <ds:schemaRefs/>
</ds:datastoreItem>
</file>

<file path=customXml/itemProps20.xml><?xml version="1.0" encoding="utf-8"?>
<ds:datastoreItem xmlns:ds="http://schemas.openxmlformats.org/officeDocument/2006/customXml" ds:itemID="{32F8D66F-C196-49CC-83BF-053E61DEBDFC}">
  <ds:schemaRefs/>
</ds:datastoreItem>
</file>

<file path=customXml/itemProps21.xml><?xml version="1.0" encoding="utf-8"?>
<ds:datastoreItem xmlns:ds="http://schemas.openxmlformats.org/officeDocument/2006/customXml" ds:itemID="{16BBFEEA-9E7A-4437-9C03-4C6DFE87B17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Developer</vt:lpstr>
      <vt:lpstr>Dashboard</vt:lpstr>
      <vt:lpstr>Classification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2021-12-06T14:55:42Z</dcterms:created>
  <dcterms:modified xsi:type="dcterms:W3CDTF">2022-04-06T08:46:44Z</dcterms:modified>
</cp:coreProperties>
</file>