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queryTables/queryTable1.xml" ContentType="application/vnd.openxmlformats-officedocument.spreadsheetml.queryTable+xml"/>
  <Override PartName="/xl/pivotTables/pivotTable1.xml" ContentType="application/vnd.openxmlformats-officedocument.spreadsheetml.pivotTable+xml"/>
  <Override PartName="/xl/tables/table13.xml" ContentType="application/vnd.openxmlformats-officedocument.spreadsheetml.tab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omments1.xml" ContentType="application/vnd.openxmlformats-officedocument.spreadsheetml.comments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omments2.xml" ContentType="application/vnd.openxmlformats-officedocument.spreadsheetml.comments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omments3.xml" ContentType="application/vnd.openxmlformats-officedocument.spreadsheetml.comments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NIKOTSY-PC\Amberta LTD - Accounting\invoice_generator\"/>
    </mc:Choice>
  </mc:AlternateContent>
  <xr:revisionPtr revIDLastSave="0" documentId="13_ncr:1_{637B3769-95C7-4024-B757-626180EB095A}" xr6:coauthVersionLast="47" xr6:coauthVersionMax="47" xr10:uidLastSave="{00000000-0000-0000-0000-000000000000}"/>
  <bookViews>
    <workbookView xWindow="-120" yWindow="-120" windowWidth="29040" windowHeight="15840" tabRatio="679" activeTab="10" xr2:uid="{00000000-000D-0000-FFFF-FFFF00000000}"/>
  </bookViews>
  <sheets>
    <sheet name="Values" sheetId="3" r:id="rId1"/>
    <sheet name="Map" sheetId="260" r:id="rId2"/>
    <sheet name="Sku List" sheetId="259" r:id="rId3"/>
    <sheet name="PackagingPivot" sheetId="360" r:id="rId4"/>
    <sheet name="TotInvPivot" sheetId="261" r:id="rId5"/>
    <sheet name="Inventory" sheetId="196" r:id="rId6"/>
    <sheet name="USTotal Invoice" sheetId="252" state="hidden" r:id="rId7"/>
    <sheet name="USInvoice" sheetId="257" state="hidden" r:id="rId8"/>
    <sheet name="USManual Packaging List" sheetId="254" r:id="rId9"/>
    <sheet name="CAInvoice" sheetId="262" state="hidden" r:id="rId10"/>
    <sheet name="CATotal Invoice" sheetId="263" r:id="rId11"/>
    <sheet name="CAManual Packaging List" sheetId="265" state="hidden" r:id="rId12"/>
    <sheet name="FRInvoice" sheetId="266" state="hidden" r:id="rId13"/>
    <sheet name="FRTotal Invoice" sheetId="267" state="hidden" r:id="rId14"/>
    <sheet name="FRManual Packaging List" sheetId="268" state="hidden" r:id="rId15"/>
    <sheet name="AUInvoice" sheetId="269" state="hidden" r:id="rId16"/>
    <sheet name="AUTotal Invoice" sheetId="304" state="hidden" r:id="rId17"/>
    <sheet name="AUManual Packaging List" sheetId="305" state="hidden" r:id="rId18"/>
  </sheets>
  <externalReferences>
    <externalReference r:id="rId19"/>
  </externalReferences>
  <definedNames>
    <definedName name="_xlnm._FilterDatabase" localSheetId="15" hidden="1">AUInvoice!$A$1:$H$20</definedName>
    <definedName name="_xlnm._FilterDatabase" localSheetId="9" hidden="1">CAInvoice!$A$1:$H$20</definedName>
    <definedName name="_xlnm._FilterDatabase" localSheetId="12" hidden="1">FRInvoice!$A$1:$H$20</definedName>
    <definedName name="_xlnm._FilterDatabase" localSheetId="7" hidden="1">USInvoice!$A$1:$H$20</definedName>
    <definedName name="AUBox">'AUManual Packaging List'!$A$95</definedName>
    <definedName name="AUDtoGBP">Values!$A$26</definedName>
    <definedName name="AUGoods" localSheetId="15">AUInvoice!$A$20</definedName>
    <definedName name="AUGoods">AUInvoice!$A$20</definedName>
    <definedName name="AUGoodsManBox" localSheetId="17">'AUManual Packaging List'!$A$14</definedName>
    <definedName name="AUGoodsTotInv" localSheetId="16">'AUTotal Invoice'!$A$20</definedName>
    <definedName name="AUSub" localSheetId="15">AUInvoice!$A$98</definedName>
    <definedName name="AUSub">AUInvoice!$A$98</definedName>
    <definedName name="AUSubManBox" localSheetId="17">'AUManual Packaging List'!$A$93</definedName>
    <definedName name="AUSubTotInv" localSheetId="16">'AUTotal Invoice'!$A$37</definedName>
    <definedName name="AUTotInv" localSheetId="16">'AUTotal Invoice'!$A$20</definedName>
    <definedName name="CABox">'CAManual Packaging List'!$A$48</definedName>
    <definedName name="CADtoGBP">Values!$A$12</definedName>
    <definedName name="CAGoods">CAInvoice!$A$20</definedName>
    <definedName name="CAGoodsManBox">'CAManual Packaging List'!$A$14</definedName>
    <definedName name="CAGoodsTotInv">'CATotal Invoice'!$A$20</definedName>
    <definedName name="CASub">CAInvoice!$A$51</definedName>
    <definedName name="CASubManBox">'CAManual Packaging List'!$A$46</definedName>
    <definedName name="CASubTotInv">'CATotal Invoice'!$A$26</definedName>
    <definedName name="countryLst">countryList[country]</definedName>
    <definedName name="currentAddress">'Sku List'!$H$16</definedName>
    <definedName name="CurrentMonth">Values!$I$15</definedName>
    <definedName name="currMonth">'Sku List'!$N$35</definedName>
    <definedName name="drawerbox_price_EUR">[1]Values!$S$16</definedName>
    <definedName name="EURtoCAD">Values!$A$42</definedName>
    <definedName name="EURtoGBP">Values!$A$4</definedName>
    <definedName name="EURtoGBPchange">Values!$F$4</definedName>
    <definedName name="EURtoGBPold">Values!$D$4</definedName>
    <definedName name="EURtoUSD">Values!$H$12</definedName>
    <definedName name="EURtoUSDNEW">Values!$A$42</definedName>
    <definedName name="ExternalData_1" localSheetId="3" hidden="1">PackagingPivot!$A$1:$J$205</definedName>
    <definedName name="fbaID" localSheetId="15">fbaRef[FBA ID]</definedName>
    <definedName name="fbaID" localSheetId="17">fbaRef[FBA ID]</definedName>
    <definedName name="fbaID" localSheetId="16">fbaRef[FBA ID]</definedName>
    <definedName name="fbaID" localSheetId="9">fbaRef[FBA ID]</definedName>
    <definedName name="fbaID" localSheetId="11">fbaRef[FBA ID]</definedName>
    <definedName name="fbaID" localSheetId="10">fbaRef[FBA ID]</definedName>
    <definedName name="fbaID" localSheetId="12">fbaRef[FBA ID]</definedName>
    <definedName name="fbaID" localSheetId="14">fbaRef[FBA ID]</definedName>
    <definedName name="fbaID" localSheetId="13">fbaRef[FBA ID]</definedName>
    <definedName name="fbaID">fbaRef[FBA ID]</definedName>
    <definedName name="FBAstockM">Values!$I$17</definedName>
    <definedName name="FRBox">'FRManual Packaging List'!$A$86</definedName>
    <definedName name="FRGoods">FRInvoice!$A$20</definedName>
    <definedName name="FRGoodsManBox" localSheetId="14">'FRManual Packaging List'!$A$12</definedName>
    <definedName name="FRGoodsTotInv">'FRTotal Invoice'!$A$20</definedName>
    <definedName name="FRSub">FRInvoice!$A$225</definedName>
    <definedName name="FRSubManBox" localSheetId="14">'FRManual Packaging List'!$A$84</definedName>
    <definedName name="FRSubTotInv" localSheetId="13">'FRTotal Invoice'!$A$40</definedName>
    <definedName name="FRTotInv" localSheetId="13">'FRTotal Invoice'!$A$20</definedName>
    <definedName name="FVF_EU_CE">Values!$Q$12</definedName>
    <definedName name="FVF_EU_JEW">Values!$Q$10</definedName>
    <definedName name="FVF_EU_OTH">Values!$Q$11</definedName>
    <definedName name="FVF_UK_CE">Values!$P$12</definedName>
    <definedName name="FVF_UK_JEW">Values!$P$10</definedName>
    <definedName name="FVF_UK_OTH">Values!$P$11</definedName>
    <definedName name="GoldPrice">Values!$H$6</definedName>
    <definedName name="INRtoGBP">Values!$A$30</definedName>
    <definedName name="Int_Letter_AED">Values!$X$5</definedName>
    <definedName name="Int_Letter_AUD">Values!$U$5</definedName>
    <definedName name="Int_Letter_CAD">Values!$R$5</definedName>
    <definedName name="Int_Letter_EUR">Values!$Q$4</definedName>
    <definedName name="Int_Letter_INR">Values!$V$5</definedName>
    <definedName name="Int_Letter_JPY">Values!$T$5</definedName>
    <definedName name="Int_Letter_MXN">Values!$Y$5</definedName>
    <definedName name="Int_Letter_NZD">Values!$W$5</definedName>
    <definedName name="Int_Letter_USD">Values!$S$5</definedName>
    <definedName name="INT_LL_AED">Values!$X$7</definedName>
    <definedName name="INT_LL_AUD">Values!$U$7</definedName>
    <definedName name="INT_LL_CAD">Values!$R$7</definedName>
    <definedName name="INT_LL_EUR">Values!$Q$6</definedName>
    <definedName name="INT_LL_INR">Values!$V$7</definedName>
    <definedName name="INT_LL_JPY">Values!$T$7</definedName>
    <definedName name="INT_LL_MXN">Values!$Y$7</definedName>
    <definedName name="INT_LL_NZD">Values!$W$7</definedName>
    <definedName name="INT_LL_USD">Values!$S$7</definedName>
    <definedName name="International_Delivery_Serivce">Values!$O$4:$O$6</definedName>
    <definedName name="invoicePack" localSheetId="9">CAInvoice!#REF!</definedName>
    <definedName name="invoicePack">USInvoice!#REF!</definedName>
    <definedName name="JPYtoGBP">Values!$A$16</definedName>
    <definedName name="LAB_COST_GandS">Values!$P$24</definedName>
    <definedName name="LAB_NOTAGS_COST_BIA">Values!$P$22</definedName>
    <definedName name="LABandTAGS_COST_BIA">Values!$P$23</definedName>
    <definedName name="largewallet_price_EUR">Values!$P$18</definedName>
    <definedName name="lastExport">'Sku List'!$N$36</definedName>
    <definedName name="luxurybox_price_EUR">[1]Values!$S$17</definedName>
    <definedName name="MBR">#REF!</definedName>
    <definedName name="MIQAE">#REF!</definedName>
    <definedName name="MIQAU">#REF!</definedName>
    <definedName name="MIQCD">#REF!</definedName>
    <definedName name="MXNtoGBP">Values!$A$22</definedName>
    <definedName name="NZDtoGBP">Values!$A$34</definedName>
    <definedName name="OrderMonths">#REF!</definedName>
    <definedName name="PACK_COST_1">Values!$P$16</definedName>
    <definedName name="Packages" localSheetId="16">'AUTotal Invoice'!$A$38</definedName>
    <definedName name="Packages" localSheetId="10">'CATotal Invoice'!$A$27</definedName>
    <definedName name="Packages" localSheetId="13">'FRTotal Invoice'!$A$41</definedName>
    <definedName name="Packages">'USTotal Invoice'!$A$40</definedName>
    <definedName name="Packaging_Labour_Cost_EUR">Values!$P$22</definedName>
    <definedName name="Payoneer_Rate">Values!$S$28</definedName>
    <definedName name="PayPal_Rate">Values!$P$30</definedName>
    <definedName name="SFP_UK_24">Values!$P$47</definedName>
    <definedName name="SHIPDUTY_CA">Values!$Y$16</definedName>
    <definedName name="SHIPDUTY_EU">Values!$Y$20</definedName>
    <definedName name="SHIPDUTY_IN">Values!$Y$18</definedName>
    <definedName name="shipment">Table3[Shipment ID]</definedName>
    <definedName name="smallwallet_price_EUR">Values!$P$17</definedName>
    <definedName name="SUPPLIES_COST">Values!$AB$12</definedName>
    <definedName name="TAG_COST_Eur">Values!$P$39</definedName>
    <definedName name="USBox">'USManual Packaging List'!$A$69</definedName>
    <definedName name="usDescrInvoice" localSheetId="9">CAInvoice!#REF!</definedName>
    <definedName name="usDescrInvoice">USInvoice!#REF!</definedName>
    <definedName name="USDfromEUR">Values!$A$42</definedName>
    <definedName name="USDtoGBP">Values!$A$8</definedName>
    <definedName name="USEndInv" localSheetId="9">CAInvoice!$H$64</definedName>
    <definedName name="USEndInv">USInvoice!$H$134</definedName>
    <definedName name="USEndPack" localSheetId="11">'CAManual Packaging List'!$F$54</definedName>
    <definedName name="USEndPack">'USManual Packaging List'!$F$75</definedName>
    <definedName name="USEndTot" localSheetId="10">'CATotal Invoice'!$F$40</definedName>
    <definedName name="USEndTot">'USTotal Invoice'!$F$52</definedName>
    <definedName name="USGoods" localSheetId="9">CAInvoice!$A$20</definedName>
    <definedName name="USGoods">USInvoice!$A$20</definedName>
    <definedName name="USGoodsManBox" localSheetId="11">'CAManual Packaging List'!$A$14</definedName>
    <definedName name="USGoodsManBox">'USManual Packaging List'!$A$12</definedName>
    <definedName name="USGoodsManBox1" localSheetId="11">'CAManual Packaging List'!$A$14</definedName>
    <definedName name="USGoodsManBox1">'USManual Packaging List'!$A$12</definedName>
    <definedName name="USGoodsTotInv">'USTotal Invoice'!$A$20</definedName>
    <definedName name="USHs">Map!$G$13:$H$32</definedName>
    <definedName name="USHsCode">Map!$D$12:$E$32</definedName>
    <definedName name="USSub" localSheetId="9">CAInvoice!$A$51</definedName>
    <definedName name="USSub">USInvoice!$A$121</definedName>
    <definedName name="USSubManBox" localSheetId="11">'CAManual Packaging List'!$A$46</definedName>
    <definedName name="USSubManBox">'USManual Packaging List'!$A$67</definedName>
    <definedName name="USSubTotInv" localSheetId="10">'CATotal Invoice'!$A$26</definedName>
    <definedName name="USSubTotInv">'USTotal Invoice'!$A$39</definedName>
    <definedName name="USTotInv">'CATotal Invoice'!$A$20</definedName>
    <definedName name="WorldFirst_Rate">Values!$P$29</definedName>
    <definedName name="Z_58A22DCA_CC1F_4C9B_81E5_89EAAD6D6911_.wvu.FilterData" localSheetId="5" hidden="1">Inventory!$B$1:$U$746</definedName>
    <definedName name="Z_8D4492CF_EA6F_4FA0_8CD3_ABDE8D40077D_.wvu.FilterData" localSheetId="5" hidden="1">Inventory!$B$1:$U$746</definedName>
    <definedName name="Z_B17143F1_4237_4489_B6F8_44004DDB5192_.wvu.FilterData" localSheetId="5" hidden="1">Inventory!$B$1:$U$746</definedName>
  </definedNames>
  <calcPr calcId="191029"/>
  <customWorkbookViews>
    <customWorkbookView name="Amberta Support5 - Personal View" guid="{58A22DCA-CC1F-4C9B-81E5-89EAAD6D6911}" mergeInterval="0" personalView="1" maximized="1" xWindow="1912" yWindow="-8" windowWidth="1936" windowHeight="1056" tabRatio="679" activeSheetId="4"/>
    <customWorkbookView name="Amberta Support - Personal View" guid="{B17143F1-4237-4489-B6F8-44004DDB5192}" mergeInterval="0" personalView="1" maximized="1" xWindow="1911" yWindow="-9" windowWidth="1938" windowHeight="1098" tabRatio="679" activeSheetId="13"/>
    <customWorkbookView name="Nikotsy - Personal View" guid="{8D4492CF-EA6F-4FA0-8CD3-ABDE8D40077D}" mergeInterval="0" personalView="1" maximized="1" xWindow="-9" yWindow="-9" windowWidth="1938" windowHeight="1050" tabRatio="679" activeSheetId="4" showComments="commIndAndComment"/>
  </customWorkbookViews>
  <pivotCaches>
    <pivotCache cacheId="754" r:id="rId20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224" i="266" l="1"/>
  <c r="H223" i="266"/>
  <c r="H222" i="266"/>
  <c r="H221" i="266"/>
  <c r="H220" i="266"/>
  <c r="H219" i="266"/>
  <c r="H218" i="266"/>
  <c r="H217" i="266"/>
  <c r="H216" i="266"/>
  <c r="H215" i="266"/>
  <c r="H214" i="266"/>
  <c r="H213" i="266"/>
  <c r="H212" i="266"/>
  <c r="H211" i="266"/>
  <c r="H210" i="266"/>
  <c r="H209" i="266"/>
  <c r="H208" i="266"/>
  <c r="H207" i="266"/>
  <c r="H206" i="266"/>
  <c r="H205" i="266"/>
  <c r="H204" i="266"/>
  <c r="H203" i="266"/>
  <c r="H202" i="266"/>
  <c r="H201" i="266"/>
  <c r="H200" i="266"/>
  <c r="H199" i="266"/>
  <c r="H198" i="266"/>
  <c r="H197" i="266"/>
  <c r="H196" i="266"/>
  <c r="H195" i="266"/>
  <c r="H194" i="266"/>
  <c r="H193" i="266"/>
  <c r="H192" i="266"/>
  <c r="H191" i="266"/>
  <c r="H190" i="266"/>
  <c r="H189" i="266"/>
  <c r="H188" i="266"/>
  <c r="H187" i="266"/>
  <c r="H186" i="266"/>
  <c r="H185" i="266"/>
  <c r="H184" i="266"/>
  <c r="H183" i="266"/>
  <c r="H182" i="266"/>
  <c r="H181" i="266"/>
  <c r="H180" i="266"/>
  <c r="H179" i="266"/>
  <c r="H178" i="266"/>
  <c r="H177" i="266"/>
  <c r="H176" i="266"/>
  <c r="H175" i="266"/>
  <c r="H174" i="266"/>
  <c r="H173" i="266"/>
  <c r="H172" i="266"/>
  <c r="H171" i="266"/>
  <c r="H170" i="266"/>
  <c r="H169" i="266"/>
  <c r="H168" i="266"/>
  <c r="H167" i="266"/>
  <c r="H166" i="266"/>
  <c r="H165" i="266"/>
  <c r="H164" i="266"/>
  <c r="H163" i="266"/>
  <c r="H162" i="266"/>
  <c r="H161" i="266"/>
  <c r="H160" i="266"/>
  <c r="H159" i="266"/>
  <c r="H158" i="266"/>
  <c r="H157" i="266"/>
  <c r="H156" i="266"/>
  <c r="H155" i="266"/>
  <c r="H154" i="266"/>
  <c r="H153" i="266"/>
  <c r="H152" i="266"/>
  <c r="H151" i="266"/>
  <c r="H150" i="266"/>
  <c r="H149" i="266"/>
  <c r="H148" i="266"/>
  <c r="H147" i="266"/>
  <c r="H146" i="266"/>
  <c r="H145" i="266"/>
  <c r="H144" i="266"/>
  <c r="H143" i="266"/>
  <c r="H142" i="266"/>
  <c r="H141" i="266"/>
  <c r="H140" i="266"/>
  <c r="H139" i="266"/>
  <c r="H138" i="266"/>
  <c r="H137" i="266"/>
  <c r="H136" i="266"/>
  <c r="H135" i="266"/>
  <c r="H134" i="266"/>
  <c r="H133" i="266"/>
  <c r="H132" i="266"/>
  <c r="H131" i="266"/>
  <c r="H130" i="266"/>
  <c r="H129" i="266"/>
  <c r="H128" i="266"/>
  <c r="H127" i="266"/>
  <c r="H126" i="266"/>
  <c r="H125" i="266"/>
  <c r="H124" i="266"/>
  <c r="H123" i="266"/>
  <c r="H122" i="266"/>
  <c r="H121" i="266"/>
  <c r="H120" i="266"/>
  <c r="H119" i="266"/>
  <c r="H118" i="266"/>
  <c r="H117" i="266"/>
  <c r="H116" i="266"/>
  <c r="H115" i="266"/>
  <c r="H114" i="266"/>
  <c r="H113" i="266"/>
  <c r="H112" i="266"/>
  <c r="H111" i="266"/>
  <c r="H110" i="266"/>
  <c r="H109" i="266"/>
  <c r="H108" i="266"/>
  <c r="H107" i="266"/>
  <c r="H106" i="266"/>
  <c r="H105" i="266"/>
  <c r="H104" i="266"/>
  <c r="H103" i="266"/>
  <c r="H102" i="266"/>
  <c r="H101" i="266"/>
  <c r="H100" i="266"/>
  <c r="H99" i="266"/>
  <c r="H98" i="266"/>
  <c r="H97" i="266"/>
  <c r="H96" i="266"/>
  <c r="H95" i="266"/>
  <c r="H94" i="266"/>
  <c r="H93" i="266"/>
  <c r="H92" i="266"/>
  <c r="H91" i="266"/>
  <c r="H90" i="266"/>
  <c r="H89" i="266"/>
  <c r="H88" i="266"/>
  <c r="H87" i="266"/>
  <c r="H86" i="266"/>
  <c r="H85" i="266"/>
  <c r="H84" i="266"/>
  <c r="H83" i="266"/>
  <c r="H82" i="266"/>
  <c r="H81" i="266"/>
  <c r="H80" i="266"/>
  <c r="H79" i="266"/>
  <c r="H78" i="266"/>
  <c r="H77" i="266"/>
  <c r="H76" i="266"/>
  <c r="H75" i="266"/>
  <c r="H74" i="266"/>
  <c r="H73" i="266"/>
  <c r="H72" i="266"/>
  <c r="H71" i="266"/>
  <c r="H70" i="266"/>
  <c r="H69" i="266"/>
  <c r="H68" i="266"/>
  <c r="H67" i="266"/>
  <c r="H66" i="266"/>
  <c r="H65" i="266"/>
  <c r="H64" i="266"/>
  <c r="H63" i="266"/>
  <c r="H62" i="266"/>
  <c r="H61" i="266"/>
  <c r="H60" i="266"/>
  <c r="H59" i="266"/>
  <c r="H58" i="266"/>
  <c r="H57" i="266"/>
  <c r="H56" i="266"/>
  <c r="H55" i="266"/>
  <c r="H54" i="266"/>
  <c r="H53" i="266"/>
  <c r="H52" i="266"/>
  <c r="H51" i="266"/>
  <c r="H50" i="266"/>
  <c r="H49" i="266"/>
  <c r="H48" i="266"/>
  <c r="H47" i="266"/>
  <c r="H46" i="266"/>
  <c r="H45" i="266"/>
  <c r="H44" i="266"/>
  <c r="H43" i="266"/>
  <c r="H42" i="266"/>
  <c r="H41" i="266"/>
  <c r="H40" i="266"/>
  <c r="H39" i="266"/>
  <c r="H38" i="266"/>
  <c r="H37" i="266"/>
  <c r="H36" i="266"/>
  <c r="H35" i="266"/>
  <c r="H34" i="266"/>
  <c r="H33" i="266"/>
  <c r="H32" i="266"/>
  <c r="H31" i="266"/>
  <c r="H30" i="266"/>
  <c r="H29" i="266"/>
  <c r="H28" i="266"/>
  <c r="H27" i="266"/>
  <c r="H26" i="266"/>
  <c r="H25" i="266"/>
  <c r="H24" i="266"/>
  <c r="H23" i="266"/>
  <c r="H22" i="266"/>
  <c r="S65" i="196"/>
  <c r="S66" i="196"/>
  <c r="S67" i="196"/>
  <c r="S68" i="196"/>
  <c r="S69" i="196"/>
  <c r="S70" i="196"/>
  <c r="S71" i="196"/>
  <c r="S72" i="196"/>
  <c r="S73" i="196"/>
  <c r="S74" i="196"/>
  <c r="S75" i="196"/>
  <c r="S76" i="196"/>
  <c r="S77" i="196"/>
  <c r="S78" i="196"/>
  <c r="S79" i="196"/>
  <c r="S80" i="196"/>
  <c r="S81" i="196"/>
  <c r="S82" i="196"/>
  <c r="S83" i="196"/>
  <c r="S84" i="196"/>
  <c r="S85" i="196"/>
  <c r="S86" i="196"/>
  <c r="S87" i="196"/>
  <c r="S88" i="196"/>
  <c r="S89" i="196"/>
  <c r="S90" i="196"/>
  <c r="S91" i="196"/>
  <c r="S92" i="196"/>
  <c r="S93" i="196"/>
  <c r="S94" i="196"/>
  <c r="S95" i="196"/>
  <c r="S96" i="196"/>
  <c r="S97" i="196"/>
  <c r="S98" i="196"/>
  <c r="S99" i="196"/>
  <c r="S100" i="196"/>
  <c r="S101" i="196"/>
  <c r="S102" i="196"/>
  <c r="S103" i="196"/>
  <c r="S104" i="196"/>
  <c r="S105" i="196"/>
  <c r="S106" i="196"/>
  <c r="S107" i="196"/>
  <c r="S108" i="196"/>
  <c r="S109" i="196"/>
  <c r="S110" i="196"/>
  <c r="S111" i="196"/>
  <c r="S112" i="196"/>
  <c r="S113" i="196"/>
  <c r="S114" i="196"/>
  <c r="S115" i="196"/>
  <c r="S116" i="196"/>
  <c r="S117" i="196"/>
  <c r="S118" i="196"/>
  <c r="S119" i="196"/>
  <c r="S120" i="196"/>
  <c r="S121" i="196"/>
  <c r="S122" i="196"/>
  <c r="S123" i="196"/>
  <c r="S124" i="196"/>
  <c r="S125" i="196"/>
  <c r="S126" i="196"/>
  <c r="S127" i="196"/>
  <c r="S128" i="196"/>
  <c r="S129" i="196"/>
  <c r="S130" i="196"/>
  <c r="S131" i="196"/>
  <c r="S132" i="196"/>
  <c r="S133" i="196"/>
  <c r="S134" i="196"/>
  <c r="S135" i="196"/>
  <c r="S136" i="196"/>
  <c r="S137" i="196"/>
  <c r="S138" i="196"/>
  <c r="S139" i="196"/>
  <c r="S140" i="196"/>
  <c r="S141" i="196"/>
  <c r="S142" i="196"/>
  <c r="S143" i="196"/>
  <c r="S144" i="196"/>
  <c r="S145" i="196"/>
  <c r="S146" i="196"/>
  <c r="S147" i="196"/>
  <c r="S148" i="196"/>
  <c r="S149" i="196"/>
  <c r="S150" i="196"/>
  <c r="S151" i="196"/>
  <c r="S152" i="196"/>
  <c r="S153" i="196"/>
  <c r="S154" i="196"/>
  <c r="S155" i="196"/>
  <c r="S156" i="196"/>
  <c r="S157" i="196"/>
  <c r="S158" i="196"/>
  <c r="S159" i="196"/>
  <c r="S160" i="196"/>
  <c r="S161" i="196"/>
  <c r="S162" i="196"/>
  <c r="S163" i="196"/>
  <c r="S164" i="196"/>
  <c r="S165" i="196"/>
  <c r="S166" i="196"/>
  <c r="S167" i="196"/>
  <c r="S168" i="196"/>
  <c r="S169" i="196"/>
  <c r="S170" i="196"/>
  <c r="S171" i="196"/>
  <c r="S172" i="196"/>
  <c r="S173" i="196"/>
  <c r="S174" i="196"/>
  <c r="S175" i="196"/>
  <c r="S176" i="196"/>
  <c r="S177" i="196"/>
  <c r="S178" i="196"/>
  <c r="S179" i="196"/>
  <c r="S180" i="196"/>
  <c r="S181" i="196"/>
  <c r="S182" i="196"/>
  <c r="S183" i="196"/>
  <c r="S184" i="196"/>
  <c r="S185" i="196"/>
  <c r="S186" i="196"/>
  <c r="S187" i="196"/>
  <c r="S188" i="196"/>
  <c r="S189" i="196"/>
  <c r="S190" i="196"/>
  <c r="S191" i="196"/>
  <c r="S192" i="196"/>
  <c r="S193" i="196"/>
  <c r="S194" i="196"/>
  <c r="S195" i="196"/>
  <c r="S196" i="196"/>
  <c r="S197" i="196"/>
  <c r="S198" i="196"/>
  <c r="S199" i="196"/>
  <c r="S200" i="196"/>
  <c r="S201" i="196"/>
  <c r="S202" i="196"/>
  <c r="S203" i="196"/>
  <c r="S204" i="196"/>
  <c r="S205" i="196"/>
  <c r="S206" i="196"/>
  <c r="S207" i="196"/>
  <c r="S208" i="196"/>
  <c r="S209" i="196"/>
  <c r="S210" i="196"/>
  <c r="S211" i="196"/>
  <c r="S212" i="196"/>
  <c r="S213" i="196"/>
  <c r="S214" i="196"/>
  <c r="S215" i="196"/>
  <c r="S216" i="196"/>
  <c r="S217" i="196"/>
  <c r="S218" i="196"/>
  <c r="S219" i="196"/>
  <c r="S220" i="196"/>
  <c r="S221" i="196"/>
  <c r="S222" i="196"/>
  <c r="S223" i="196"/>
  <c r="S224" i="196"/>
  <c r="S225" i="196"/>
  <c r="S226" i="196"/>
  <c r="S227" i="196"/>
  <c r="S228" i="196"/>
  <c r="S229" i="196"/>
  <c r="S230" i="196"/>
  <c r="S231" i="196"/>
  <c r="S232" i="196"/>
  <c r="S233" i="196"/>
  <c r="S234" i="196"/>
  <c r="S235" i="196"/>
  <c r="S236" i="196"/>
  <c r="S237" i="196"/>
  <c r="S238" i="196"/>
  <c r="S239" i="196"/>
  <c r="S240" i="196"/>
  <c r="S241" i="196"/>
  <c r="S242" i="196"/>
  <c r="S243" i="196"/>
  <c r="S244" i="196"/>
  <c r="S245" i="196"/>
  <c r="S246" i="196"/>
  <c r="S247" i="196"/>
  <c r="S248" i="196"/>
  <c r="S249" i="196"/>
  <c r="S250" i="196"/>
  <c r="S251" i="196"/>
  <c r="S252" i="196"/>
  <c r="S253" i="196"/>
  <c r="S254" i="196"/>
  <c r="S255" i="196"/>
  <c r="S256" i="196"/>
  <c r="S257" i="196"/>
  <c r="S258" i="196"/>
  <c r="S259" i="196"/>
  <c r="S260" i="196"/>
  <c r="S261" i="196"/>
  <c r="S262" i="196"/>
  <c r="S263" i="196"/>
  <c r="S264" i="196"/>
  <c r="S265" i="196"/>
  <c r="S266" i="196"/>
  <c r="S267" i="196"/>
  <c r="S268" i="196"/>
  <c r="S269" i="196"/>
  <c r="S270" i="196"/>
  <c r="S271" i="196"/>
  <c r="S272" i="196"/>
  <c r="S273" i="196"/>
  <c r="S274" i="196"/>
  <c r="S275" i="196"/>
  <c r="S276" i="196"/>
  <c r="S277" i="196"/>
  <c r="S278" i="196"/>
  <c r="S279" i="196"/>
  <c r="S280" i="196"/>
  <c r="S281" i="196"/>
  <c r="S282" i="196"/>
  <c r="S283" i="196"/>
  <c r="S284" i="196"/>
  <c r="S285" i="196"/>
  <c r="S286" i="196"/>
  <c r="S287" i="196"/>
  <c r="S288" i="196"/>
  <c r="S289" i="196"/>
  <c r="S290" i="196"/>
  <c r="S291" i="196"/>
  <c r="S292" i="196"/>
  <c r="S293" i="196"/>
  <c r="S294" i="196"/>
  <c r="S295" i="196"/>
  <c r="S296" i="196"/>
  <c r="S297" i="196"/>
  <c r="S298" i="196"/>
  <c r="S299" i="196"/>
  <c r="S300" i="196"/>
  <c r="S301" i="196"/>
  <c r="S302" i="196"/>
  <c r="S303" i="196"/>
  <c r="S304" i="196"/>
  <c r="S305" i="196"/>
  <c r="S306" i="196"/>
  <c r="S307" i="196"/>
  <c r="S308" i="196"/>
  <c r="S309" i="196"/>
  <c r="S310" i="196"/>
  <c r="S311" i="196"/>
  <c r="S312" i="196"/>
  <c r="S313" i="196"/>
  <c r="S314" i="196"/>
  <c r="S315" i="196"/>
  <c r="S316" i="196"/>
  <c r="S317" i="196"/>
  <c r="S318" i="196"/>
  <c r="S319" i="196"/>
  <c r="S320" i="196"/>
  <c r="S321" i="196"/>
  <c r="S322" i="196"/>
  <c r="S323" i="196"/>
  <c r="S324" i="196"/>
  <c r="S325" i="196"/>
  <c r="S326" i="196"/>
  <c r="S327" i="196"/>
  <c r="S328" i="196"/>
  <c r="S329" i="196"/>
  <c r="S330" i="196"/>
  <c r="S331" i="196"/>
  <c r="S332" i="196"/>
  <c r="S333" i="196"/>
  <c r="S334" i="196"/>
  <c r="S335" i="196"/>
  <c r="S336" i="196"/>
  <c r="S337" i="196"/>
  <c r="S338" i="196"/>
  <c r="S339" i="196"/>
  <c r="S340" i="196"/>
  <c r="S341" i="196"/>
  <c r="S342" i="196"/>
  <c r="S343" i="196"/>
  <c r="S344" i="196"/>
  <c r="S345" i="196"/>
  <c r="S346" i="196"/>
  <c r="S347" i="196"/>
  <c r="S348" i="196"/>
  <c r="S349" i="196"/>
  <c r="S350" i="196"/>
  <c r="S351" i="196"/>
  <c r="S352" i="196"/>
  <c r="S353" i="196"/>
  <c r="S354" i="196"/>
  <c r="S355" i="196"/>
  <c r="S356" i="196"/>
  <c r="S357" i="196"/>
  <c r="S358" i="196"/>
  <c r="S359" i="196"/>
  <c r="S360" i="196"/>
  <c r="S361" i="196"/>
  <c r="S362" i="196"/>
  <c r="S363" i="196"/>
  <c r="S364" i="196"/>
  <c r="S365" i="196"/>
  <c r="S366" i="196"/>
  <c r="S367" i="196"/>
  <c r="S368" i="196"/>
  <c r="S369" i="196"/>
  <c r="S370" i="196"/>
  <c r="S371" i="196"/>
  <c r="S372" i="196"/>
  <c r="S373" i="196"/>
  <c r="S374" i="196"/>
  <c r="S375" i="196"/>
  <c r="S376" i="196"/>
  <c r="S377" i="196"/>
  <c r="S378" i="196"/>
  <c r="S379" i="196"/>
  <c r="S380" i="196"/>
  <c r="S381" i="196"/>
  <c r="S382" i="196"/>
  <c r="S383" i="196"/>
  <c r="S384" i="196"/>
  <c r="S385" i="196"/>
  <c r="S386" i="196"/>
  <c r="S387" i="196"/>
  <c r="S388" i="196"/>
  <c r="S389" i="196"/>
  <c r="S390" i="196"/>
  <c r="S391" i="196"/>
  <c r="S392" i="196"/>
  <c r="S393" i="196"/>
  <c r="S394" i="196"/>
  <c r="S395" i="196"/>
  <c r="S396" i="196"/>
  <c r="S397" i="196"/>
  <c r="S398" i="196"/>
  <c r="S399" i="196"/>
  <c r="S400" i="196"/>
  <c r="S401" i="196"/>
  <c r="S402" i="196"/>
  <c r="S403" i="196"/>
  <c r="S404" i="196"/>
  <c r="S405" i="196"/>
  <c r="S406" i="196"/>
  <c r="S407" i="196"/>
  <c r="S408" i="196"/>
  <c r="S409" i="196"/>
  <c r="S410" i="196"/>
  <c r="S411" i="196"/>
  <c r="S412" i="196"/>
  <c r="S413" i="196"/>
  <c r="S414" i="196"/>
  <c r="S415" i="196"/>
  <c r="S416" i="196"/>
  <c r="S417" i="196"/>
  <c r="S418" i="196"/>
  <c r="S419" i="196"/>
  <c r="S420" i="196"/>
  <c r="S421" i="196"/>
  <c r="S422" i="196"/>
  <c r="S423" i="196"/>
  <c r="S424" i="196"/>
  <c r="S425" i="196"/>
  <c r="S426" i="196"/>
  <c r="S427" i="196"/>
  <c r="S428" i="196"/>
  <c r="S429" i="196"/>
  <c r="S430" i="196"/>
  <c r="S431" i="196"/>
  <c r="S432" i="196"/>
  <c r="S433" i="196"/>
  <c r="S434" i="196"/>
  <c r="S435" i="196"/>
  <c r="S436" i="196"/>
  <c r="S437" i="196"/>
  <c r="S438" i="196"/>
  <c r="S439" i="196"/>
  <c r="S440" i="196"/>
  <c r="S441" i="196"/>
  <c r="S442" i="196"/>
  <c r="S443" i="196"/>
  <c r="S444" i="196"/>
  <c r="S445" i="196"/>
  <c r="S446" i="196"/>
  <c r="S447" i="196"/>
  <c r="S448" i="196"/>
  <c r="S449" i="196"/>
  <c r="S450" i="196"/>
  <c r="S451" i="196"/>
  <c r="S452" i="196"/>
  <c r="S453" i="196"/>
  <c r="S454" i="196"/>
  <c r="S455" i="196"/>
  <c r="S456" i="196"/>
  <c r="S457" i="196"/>
  <c r="S458" i="196"/>
  <c r="S459" i="196"/>
  <c r="S460" i="196"/>
  <c r="S461" i="196"/>
  <c r="S462" i="196"/>
  <c r="S463" i="196"/>
  <c r="S464" i="196"/>
  <c r="S465" i="196"/>
  <c r="S466" i="196"/>
  <c r="S467" i="196"/>
  <c r="S468" i="196"/>
  <c r="S469" i="196"/>
  <c r="S470" i="196"/>
  <c r="S471" i="196"/>
  <c r="S472" i="196"/>
  <c r="S473" i="196"/>
  <c r="S474" i="196"/>
  <c r="S475" i="196"/>
  <c r="S476" i="196"/>
  <c r="S477" i="196"/>
  <c r="S478" i="196"/>
  <c r="S479" i="196"/>
  <c r="S480" i="196"/>
  <c r="S481" i="196"/>
  <c r="S482" i="196"/>
  <c r="S483" i="196"/>
  <c r="S484" i="196"/>
  <c r="S485" i="196"/>
  <c r="S486" i="196"/>
  <c r="S487" i="196"/>
  <c r="S488" i="196"/>
  <c r="S489" i="196"/>
  <c r="S490" i="196"/>
  <c r="S491" i="196"/>
  <c r="S492" i="196"/>
  <c r="S493" i="196"/>
  <c r="S494" i="196"/>
  <c r="S495" i="196"/>
  <c r="S496" i="196"/>
  <c r="S497" i="196"/>
  <c r="S498" i="196"/>
  <c r="S499" i="196"/>
  <c r="S500" i="196"/>
  <c r="S501" i="196"/>
  <c r="S502" i="196"/>
  <c r="S503" i="196"/>
  <c r="S504" i="196"/>
  <c r="S505" i="196"/>
  <c r="S506" i="196"/>
  <c r="S507" i="196"/>
  <c r="S508" i="196"/>
  <c r="S509" i="196"/>
  <c r="S510" i="196"/>
  <c r="S511" i="196"/>
  <c r="S512" i="196"/>
  <c r="S513" i="196"/>
  <c r="S514" i="196"/>
  <c r="S515" i="196"/>
  <c r="S516" i="196"/>
  <c r="S517" i="196"/>
  <c r="S518" i="196"/>
  <c r="S519" i="196"/>
  <c r="S520" i="196"/>
  <c r="S521" i="196"/>
  <c r="S522" i="196"/>
  <c r="S523" i="196"/>
  <c r="S524" i="196"/>
  <c r="S525" i="196"/>
  <c r="S526" i="196"/>
  <c r="S527" i="196"/>
  <c r="S528" i="196"/>
  <c r="S529" i="196"/>
  <c r="S530" i="196"/>
  <c r="S531" i="196"/>
  <c r="S532" i="196"/>
  <c r="S533" i="196"/>
  <c r="S534" i="196"/>
  <c r="S535" i="196"/>
  <c r="S536" i="196"/>
  <c r="S537" i="196"/>
  <c r="S538" i="196"/>
  <c r="S539" i="196"/>
  <c r="S540" i="196"/>
  <c r="S541" i="196"/>
  <c r="S542" i="196"/>
  <c r="S543" i="196"/>
  <c r="S544" i="196"/>
  <c r="S545" i="196"/>
  <c r="S546" i="196"/>
  <c r="S547" i="196"/>
  <c r="S548" i="196"/>
  <c r="S549" i="196"/>
  <c r="S550" i="196"/>
  <c r="S551" i="196"/>
  <c r="S552" i="196"/>
  <c r="S553" i="196"/>
  <c r="S554" i="196"/>
  <c r="S555" i="196"/>
  <c r="S556" i="196"/>
  <c r="S557" i="196"/>
  <c r="S558" i="196"/>
  <c r="S559" i="196"/>
  <c r="S560" i="196"/>
  <c r="S561" i="196"/>
  <c r="S562" i="196"/>
  <c r="S563" i="196"/>
  <c r="S564" i="196"/>
  <c r="S565" i="196"/>
  <c r="S566" i="196"/>
  <c r="S567" i="196"/>
  <c r="S568" i="196"/>
  <c r="S569" i="196"/>
  <c r="S570" i="196"/>
  <c r="S571" i="196"/>
  <c r="S572" i="196"/>
  <c r="S573" i="196"/>
  <c r="S574" i="196"/>
  <c r="S575" i="196"/>
  <c r="S576" i="196"/>
  <c r="S577" i="196"/>
  <c r="S578" i="196"/>
  <c r="S579" i="196"/>
  <c r="S580" i="196"/>
  <c r="S581" i="196"/>
  <c r="S582" i="196"/>
  <c r="S583" i="196"/>
  <c r="S584" i="196"/>
  <c r="S585" i="196"/>
  <c r="S586" i="196"/>
  <c r="S587" i="196"/>
  <c r="S588" i="196"/>
  <c r="S589" i="196"/>
  <c r="S590" i="196"/>
  <c r="S591" i="196"/>
  <c r="S592" i="196"/>
  <c r="S593" i="196"/>
  <c r="S594" i="196"/>
  <c r="S595" i="196"/>
  <c r="S596" i="196"/>
  <c r="S597" i="196"/>
  <c r="S598" i="196"/>
  <c r="S599" i="196"/>
  <c r="S600" i="196"/>
  <c r="S601" i="196"/>
  <c r="S602" i="196"/>
  <c r="S603" i="196"/>
  <c r="S604" i="196"/>
  <c r="S605" i="196"/>
  <c r="S606" i="196"/>
  <c r="S607" i="196"/>
  <c r="S608" i="196"/>
  <c r="S609" i="196"/>
  <c r="S610" i="196"/>
  <c r="S611" i="196"/>
  <c r="S612" i="196"/>
  <c r="S613" i="196"/>
  <c r="S614" i="196"/>
  <c r="S615" i="196"/>
  <c r="S616" i="196"/>
  <c r="S617" i="196"/>
  <c r="S618" i="196"/>
  <c r="S619" i="196"/>
  <c r="S620" i="196"/>
  <c r="S621" i="196"/>
  <c r="S622" i="196"/>
  <c r="S623" i="196"/>
  <c r="S624" i="196"/>
  <c r="S625" i="196"/>
  <c r="S626" i="196"/>
  <c r="S627" i="196"/>
  <c r="S628" i="196"/>
  <c r="S629" i="196"/>
  <c r="S630" i="196"/>
  <c r="S631" i="196"/>
  <c r="S632" i="196"/>
  <c r="S633" i="196"/>
  <c r="S634" i="196"/>
  <c r="S635" i="196"/>
  <c r="S636" i="196"/>
  <c r="S637" i="196"/>
  <c r="S638" i="196"/>
  <c r="S639" i="196"/>
  <c r="S640" i="196"/>
  <c r="S641" i="196"/>
  <c r="S642" i="196"/>
  <c r="S643" i="196"/>
  <c r="S644" i="196"/>
  <c r="S645" i="196"/>
  <c r="S646" i="196"/>
  <c r="S647" i="196"/>
  <c r="S648" i="196"/>
  <c r="S649" i="196"/>
  <c r="S650" i="196"/>
  <c r="S651" i="196"/>
  <c r="S652" i="196"/>
  <c r="S653" i="196"/>
  <c r="S654" i="196"/>
  <c r="S655" i="196"/>
  <c r="S656" i="196"/>
  <c r="S657" i="196"/>
  <c r="S658" i="196"/>
  <c r="S659" i="196"/>
  <c r="S660" i="196"/>
  <c r="S661" i="196"/>
  <c r="S662" i="196"/>
  <c r="S663" i="196"/>
  <c r="S664" i="196"/>
  <c r="S665" i="196"/>
  <c r="S666" i="196"/>
  <c r="S667" i="196"/>
  <c r="S668" i="196"/>
  <c r="S669" i="196"/>
  <c r="S670" i="196"/>
  <c r="S671" i="196"/>
  <c r="S672" i="196"/>
  <c r="S673" i="196"/>
  <c r="S674" i="196"/>
  <c r="S675" i="196"/>
  <c r="S676" i="196"/>
  <c r="S677" i="196"/>
  <c r="S678" i="196"/>
  <c r="S679" i="196"/>
  <c r="S680" i="196"/>
  <c r="S681" i="196"/>
  <c r="S682" i="196"/>
  <c r="S683" i="196"/>
  <c r="S684" i="196"/>
  <c r="S685" i="196"/>
  <c r="S686" i="196"/>
  <c r="S687" i="196"/>
  <c r="S688" i="196"/>
  <c r="S689" i="196"/>
  <c r="S690" i="196"/>
  <c r="S691" i="196"/>
  <c r="S692" i="196"/>
  <c r="S693" i="196"/>
  <c r="S694" i="196"/>
  <c r="S695" i="196"/>
  <c r="S696" i="196"/>
  <c r="S697" i="196"/>
  <c r="S698" i="196"/>
  <c r="S699" i="196"/>
  <c r="S700" i="196"/>
  <c r="S701" i="196"/>
  <c r="S702" i="196"/>
  <c r="S703" i="196"/>
  <c r="S704" i="196"/>
  <c r="S705" i="196"/>
  <c r="S706" i="196"/>
  <c r="S707" i="196"/>
  <c r="S708" i="196"/>
  <c r="S709" i="196"/>
  <c r="S710" i="196"/>
  <c r="S711" i="196"/>
  <c r="S712" i="196"/>
  <c r="S713" i="196"/>
  <c r="S714" i="196"/>
  <c r="S715" i="196"/>
  <c r="S716" i="196"/>
  <c r="S717" i="196"/>
  <c r="S718" i="196"/>
  <c r="S719" i="196"/>
  <c r="S720" i="196"/>
  <c r="S721" i="196"/>
  <c r="S722" i="196"/>
  <c r="S723" i="196"/>
  <c r="S724" i="196"/>
  <c r="S725" i="196"/>
  <c r="S726" i="196"/>
  <c r="S727" i="196"/>
  <c r="S728" i="196"/>
  <c r="S729" i="196"/>
  <c r="S730" i="196"/>
  <c r="S731" i="196"/>
  <c r="S732" i="196"/>
  <c r="S733" i="196"/>
  <c r="S734" i="196"/>
  <c r="S735" i="196"/>
  <c r="S736" i="196"/>
  <c r="S737" i="196"/>
  <c r="S738" i="196"/>
  <c r="S739" i="196"/>
  <c r="S740" i="196"/>
  <c r="S741" i="196"/>
  <c r="S742" i="196"/>
  <c r="S743" i="196"/>
  <c r="S744" i="196"/>
  <c r="S745" i="196"/>
  <c r="S746" i="196"/>
  <c r="S747" i="196"/>
  <c r="S748" i="196"/>
  <c r="S749" i="196"/>
  <c r="S750" i="196"/>
  <c r="S751" i="196"/>
  <c r="S752" i="196"/>
  <c r="S753" i="196"/>
  <c r="S754" i="196"/>
  <c r="S755" i="196"/>
  <c r="S756" i="196"/>
  <c r="S757" i="196"/>
  <c r="S758" i="196"/>
  <c r="S759" i="196"/>
  <c r="S760" i="196"/>
  <c r="S761" i="196"/>
  <c r="S762" i="196"/>
  <c r="S763" i="196"/>
  <c r="S764" i="196"/>
  <c r="S765" i="196"/>
  <c r="S766" i="196"/>
  <c r="S767" i="196"/>
  <c r="S768" i="196"/>
  <c r="S769" i="196"/>
  <c r="S770" i="196"/>
  <c r="S771" i="196"/>
  <c r="S772" i="196"/>
  <c r="S773" i="196"/>
  <c r="S774" i="196"/>
  <c r="S775" i="196"/>
  <c r="S776" i="196"/>
  <c r="S777" i="196"/>
  <c r="S778" i="196"/>
  <c r="S779" i="196"/>
  <c r="S780" i="196"/>
  <c r="S781" i="196"/>
  <c r="S782" i="196"/>
  <c r="S783" i="196"/>
  <c r="S784" i="196"/>
  <c r="S785" i="196"/>
  <c r="S786" i="196"/>
  <c r="S787" i="196"/>
  <c r="S788" i="196"/>
  <c r="S789" i="196"/>
  <c r="S790" i="196"/>
  <c r="S791" i="196"/>
  <c r="S792" i="196"/>
  <c r="S793" i="196"/>
  <c r="S794" i="196"/>
  <c r="S795" i="196"/>
  <c r="S796" i="196"/>
  <c r="S797" i="196"/>
  <c r="S798" i="196"/>
  <c r="S799" i="196"/>
  <c r="S800" i="196"/>
  <c r="S801" i="196"/>
  <c r="S802" i="196"/>
  <c r="S803" i="196"/>
  <c r="S804" i="196"/>
  <c r="S805" i="196"/>
  <c r="S806" i="196"/>
  <c r="S807" i="196"/>
  <c r="S808" i="196"/>
  <c r="S809" i="196"/>
  <c r="S810" i="196"/>
  <c r="S811" i="196"/>
  <c r="S812" i="196"/>
  <c r="S813" i="196"/>
  <c r="S814" i="196"/>
  <c r="S815" i="196"/>
  <c r="S816" i="196"/>
  <c r="S817" i="196"/>
  <c r="S818" i="196"/>
  <c r="S819" i="196"/>
  <c r="S820" i="196"/>
  <c r="S821" i="196"/>
  <c r="S822" i="196"/>
  <c r="S823" i="196"/>
  <c r="S824" i="196"/>
  <c r="S825" i="196"/>
  <c r="S826" i="196"/>
  <c r="S827" i="196"/>
  <c r="S828" i="196"/>
  <c r="S829" i="196"/>
  <c r="S830" i="196"/>
  <c r="S831" i="196"/>
  <c r="S832" i="196"/>
  <c r="S833" i="196"/>
  <c r="S834" i="196"/>
  <c r="S835" i="196"/>
  <c r="S836" i="196"/>
  <c r="S837" i="196"/>
  <c r="S838" i="196"/>
  <c r="S839" i="196"/>
  <c r="S840" i="196"/>
  <c r="S841" i="196"/>
  <c r="S842" i="196"/>
  <c r="S843" i="196"/>
  <c r="S844" i="196"/>
  <c r="S845" i="196"/>
  <c r="S846" i="196"/>
  <c r="S847" i="196"/>
  <c r="S848" i="196"/>
  <c r="S849" i="196"/>
  <c r="S850" i="196"/>
  <c r="S851" i="196"/>
  <c r="S852" i="196"/>
  <c r="S853" i="196"/>
  <c r="S854" i="196"/>
  <c r="S855" i="196"/>
  <c r="S856" i="196"/>
  <c r="S857" i="196"/>
  <c r="S858" i="196"/>
  <c r="S859" i="196"/>
  <c r="S860" i="196"/>
  <c r="S861" i="196"/>
  <c r="S862" i="196"/>
  <c r="S863" i="196"/>
  <c r="S864" i="196"/>
  <c r="S865" i="196"/>
  <c r="S866" i="196"/>
  <c r="S867" i="196"/>
  <c r="S868" i="196"/>
  <c r="S869" i="196"/>
  <c r="S870" i="196"/>
  <c r="S871" i="196"/>
  <c r="S872" i="196"/>
  <c r="S873" i="196"/>
  <c r="S874" i="196"/>
  <c r="S875" i="196"/>
  <c r="S876" i="196"/>
  <c r="S877" i="196"/>
  <c r="S878" i="196"/>
  <c r="S879" i="196"/>
  <c r="S880" i="196"/>
  <c r="S881" i="196"/>
  <c r="S882" i="196"/>
  <c r="S883" i="196"/>
  <c r="S884" i="196"/>
  <c r="S885" i="196"/>
  <c r="S886" i="196"/>
  <c r="S887" i="196"/>
  <c r="S888" i="196"/>
  <c r="S889" i="196"/>
  <c r="S890" i="196"/>
  <c r="S891" i="196"/>
  <c r="S892" i="196"/>
  <c r="S893" i="196"/>
  <c r="S894" i="196"/>
  <c r="S895" i="196"/>
  <c r="S896" i="196"/>
  <c r="S897" i="196"/>
  <c r="S898" i="196"/>
  <c r="S899" i="196"/>
  <c r="S900" i="196"/>
  <c r="S901" i="196"/>
  <c r="S902" i="196"/>
  <c r="S903" i="196"/>
  <c r="S904" i="196"/>
  <c r="S905" i="196"/>
  <c r="S906" i="196"/>
  <c r="S907" i="196"/>
  <c r="S908" i="196"/>
  <c r="S909" i="196"/>
  <c r="S910" i="196"/>
  <c r="S911" i="196"/>
  <c r="S912" i="196"/>
  <c r="S913" i="196"/>
  <c r="S914" i="196"/>
  <c r="S915" i="196"/>
  <c r="S916" i="196"/>
  <c r="S917" i="196"/>
  <c r="S918" i="196"/>
  <c r="S919" i="196"/>
  <c r="S920" i="196"/>
  <c r="S921" i="196"/>
  <c r="S922" i="196"/>
  <c r="S923" i="196"/>
  <c r="S924" i="196"/>
  <c r="S925" i="196"/>
  <c r="S926" i="196"/>
  <c r="S927" i="196"/>
  <c r="S928" i="196"/>
  <c r="S929" i="196"/>
  <c r="S930" i="196"/>
  <c r="S931" i="196"/>
  <c r="S932" i="196"/>
  <c r="S933" i="196"/>
  <c r="S934" i="196"/>
  <c r="S935" i="196"/>
  <c r="S936" i="196"/>
  <c r="S937" i="196"/>
  <c r="S938" i="196"/>
  <c r="S939" i="196"/>
  <c r="S940" i="196"/>
  <c r="S941" i="196"/>
  <c r="S942" i="196"/>
  <c r="S943" i="196"/>
  <c r="S944" i="196"/>
  <c r="S945" i="196"/>
  <c r="S946" i="196"/>
  <c r="S947" i="196"/>
  <c r="S948" i="196"/>
  <c r="S949" i="196"/>
  <c r="S950" i="196"/>
  <c r="S951" i="196"/>
  <c r="S952" i="196"/>
  <c r="S953" i="196"/>
  <c r="S954" i="196"/>
  <c r="S955" i="196"/>
  <c r="S956" i="196"/>
  <c r="S957" i="196"/>
  <c r="S958" i="196"/>
  <c r="S959" i="196"/>
  <c r="S960" i="196"/>
  <c r="S961" i="196"/>
  <c r="S962" i="196"/>
  <c r="S963" i="196"/>
  <c r="S964" i="196"/>
  <c r="S965" i="196"/>
  <c r="S966" i="196"/>
  <c r="S967" i="196"/>
  <c r="S968" i="196"/>
  <c r="S969" i="196"/>
  <c r="S970" i="196"/>
  <c r="S971" i="196"/>
  <c r="S972" i="196"/>
  <c r="S973" i="196"/>
  <c r="S974" i="196"/>
  <c r="S975" i="196"/>
  <c r="S976" i="196"/>
  <c r="S977" i="196"/>
  <c r="S978" i="196"/>
  <c r="S979" i="196"/>
  <c r="S980" i="196"/>
  <c r="S981" i="196"/>
  <c r="S982" i="196"/>
  <c r="S983" i="196"/>
  <c r="S984" i="196"/>
  <c r="S985" i="196"/>
  <c r="S986" i="196"/>
  <c r="S987" i="196"/>
  <c r="S988" i="196"/>
  <c r="S989" i="196"/>
  <c r="S990" i="196"/>
  <c r="S991" i="196"/>
  <c r="S992" i="196"/>
  <c r="S993" i="196"/>
  <c r="S994" i="196"/>
  <c r="S995" i="196"/>
  <c r="S996" i="196"/>
  <c r="S997" i="196"/>
  <c r="S998" i="196"/>
  <c r="S999" i="196"/>
  <c r="S1000" i="196"/>
  <c r="S1001" i="196"/>
  <c r="S1002" i="196"/>
  <c r="S1003" i="196"/>
  <c r="S1004" i="196"/>
  <c r="S1005" i="196"/>
  <c r="S1006" i="196"/>
  <c r="S1007" i="196"/>
  <c r="S1008" i="196"/>
  <c r="S1009" i="196"/>
  <c r="S1010" i="196"/>
  <c r="S1011" i="196"/>
  <c r="S1012" i="196"/>
  <c r="S1013" i="196"/>
  <c r="S1014" i="196"/>
  <c r="S1015" i="196"/>
  <c r="S1016" i="196"/>
  <c r="S1017" i="196"/>
  <c r="S1018" i="196"/>
  <c r="S1019" i="196"/>
  <c r="S1020" i="196"/>
  <c r="S1021" i="196"/>
  <c r="S1022" i="196"/>
  <c r="S1023" i="196"/>
  <c r="S1024" i="196"/>
  <c r="S1025" i="196"/>
  <c r="S1026" i="196"/>
  <c r="S1027" i="196"/>
  <c r="S1028" i="196"/>
  <c r="S1029" i="196"/>
  <c r="S1030" i="196"/>
  <c r="S1031" i="196"/>
  <c r="S1032" i="196"/>
  <c r="S1033" i="196"/>
  <c r="S1034" i="196"/>
  <c r="S1035" i="196"/>
  <c r="S1036" i="196"/>
  <c r="S1037" i="196"/>
  <c r="S1038" i="196"/>
  <c r="S1039" i="196"/>
  <c r="S1040" i="196"/>
  <c r="S1041" i="196"/>
  <c r="S1042" i="196"/>
  <c r="S1043" i="196"/>
  <c r="S1044" i="196"/>
  <c r="S1045" i="196"/>
  <c r="S1046" i="196"/>
  <c r="S1047" i="196"/>
  <c r="S1048" i="196"/>
  <c r="S1049" i="196"/>
  <c r="S1050" i="196"/>
  <c r="S1051" i="196"/>
  <c r="S1052" i="196"/>
  <c r="S1053" i="196"/>
  <c r="S1054" i="196"/>
  <c r="S1055" i="196"/>
  <c r="S1056" i="196"/>
  <c r="S1057" i="196"/>
  <c r="S1058" i="196"/>
  <c r="S1059" i="196"/>
  <c r="S1060" i="196"/>
  <c r="S1061" i="196"/>
  <c r="S1062" i="196"/>
  <c r="S1063" i="196"/>
  <c r="S1064" i="196"/>
  <c r="S1065" i="196"/>
  <c r="S1066" i="196"/>
  <c r="S1067" i="196"/>
  <c r="S1068" i="196"/>
  <c r="S1069" i="196"/>
  <c r="S1070" i="196"/>
  <c r="S1071" i="196"/>
  <c r="S1072" i="196"/>
  <c r="S1073" i="196"/>
  <c r="S1074" i="196"/>
  <c r="S1075" i="196"/>
  <c r="S1076" i="196"/>
  <c r="S1077" i="196"/>
  <c r="S1078" i="196"/>
  <c r="S1079" i="196"/>
  <c r="S1080" i="196"/>
  <c r="S1081" i="196"/>
  <c r="S1082" i="196"/>
  <c r="S1083" i="196"/>
  <c r="S1084" i="196"/>
  <c r="S1085" i="196"/>
  <c r="S1086" i="196"/>
  <c r="S1087" i="196"/>
  <c r="S1088" i="196"/>
  <c r="S1089" i="196"/>
  <c r="S1090" i="196"/>
  <c r="S1091" i="196"/>
  <c r="S1092" i="196"/>
  <c r="S1093" i="196"/>
  <c r="S1094" i="196"/>
  <c r="S1095" i="196"/>
  <c r="S1096" i="196"/>
  <c r="S1097" i="196"/>
  <c r="S1098" i="196"/>
  <c r="S1099" i="196"/>
  <c r="S1100" i="196"/>
  <c r="S1101" i="196"/>
  <c r="S1102" i="196"/>
  <c r="S1103" i="196"/>
  <c r="S1104" i="196"/>
  <c r="S1105" i="196"/>
  <c r="S1106" i="196"/>
  <c r="S1107" i="196"/>
  <c r="S1108" i="196"/>
  <c r="S1109" i="196"/>
  <c r="S1110" i="196"/>
  <c r="S1111" i="196"/>
  <c r="S1112" i="196"/>
  <c r="S1113" i="196"/>
  <c r="S1114" i="196"/>
  <c r="S1115" i="196"/>
  <c r="S1116" i="196"/>
  <c r="S1117" i="196"/>
  <c r="S1118" i="196"/>
  <c r="S1119" i="196"/>
  <c r="S1120" i="196"/>
  <c r="S1121" i="196"/>
  <c r="S1122" i="196"/>
  <c r="S1123" i="196"/>
  <c r="S1124" i="196"/>
  <c r="S1125" i="196"/>
  <c r="S1126" i="196"/>
  <c r="S1127" i="196"/>
  <c r="S1128" i="196"/>
  <c r="S1129" i="196"/>
  <c r="S1130" i="196"/>
  <c r="S1131" i="196"/>
  <c r="S1132" i="196"/>
  <c r="S1133" i="196"/>
  <c r="S1134" i="196"/>
  <c r="S1135" i="196"/>
  <c r="S1136" i="196"/>
  <c r="S1137" i="196"/>
  <c r="S1138" i="196"/>
  <c r="S1139" i="196"/>
  <c r="S1140" i="196"/>
  <c r="S1141" i="196"/>
  <c r="S1142" i="196"/>
  <c r="S1143" i="196"/>
  <c r="S1144" i="196"/>
  <c r="S1145" i="196"/>
  <c r="S1146" i="196"/>
  <c r="S1147" i="196"/>
  <c r="S1148" i="196"/>
  <c r="S1149" i="196"/>
  <c r="S1150" i="196"/>
  <c r="S1151" i="196"/>
  <c r="S1152" i="196"/>
  <c r="S1153" i="196"/>
  <c r="S1154" i="196"/>
  <c r="S1155" i="196"/>
  <c r="S1156" i="196"/>
  <c r="S1157" i="196"/>
  <c r="S1158" i="196"/>
  <c r="S1159" i="196"/>
  <c r="S1160" i="196"/>
  <c r="S1161" i="196"/>
  <c r="S1162" i="196"/>
  <c r="S1163" i="196"/>
  <c r="S1164" i="196"/>
  <c r="S1165" i="196"/>
  <c r="S1166" i="196"/>
  <c r="S1167" i="196"/>
  <c r="S1168" i="196"/>
  <c r="S1169" i="196"/>
  <c r="S1170" i="196"/>
  <c r="S1171" i="196"/>
  <c r="S1172" i="196"/>
  <c r="S1173" i="196"/>
  <c r="S1174" i="196"/>
  <c r="S1175" i="196"/>
  <c r="S1176" i="196"/>
  <c r="S1177" i="196"/>
  <c r="S1178" i="196"/>
  <c r="S1179" i="196"/>
  <c r="S1180" i="196"/>
  <c r="S1181" i="196"/>
  <c r="S1182" i="196"/>
  <c r="S1183" i="196"/>
  <c r="S1184" i="196"/>
  <c r="S1185" i="196"/>
  <c r="S1186" i="196"/>
  <c r="S1187" i="196"/>
  <c r="S1188" i="196"/>
  <c r="S1189" i="196"/>
  <c r="S1190" i="196"/>
  <c r="S1191" i="196"/>
  <c r="S1192" i="196"/>
  <c r="S1193" i="196"/>
  <c r="S1194" i="196"/>
  <c r="S1195" i="196"/>
  <c r="S1196" i="196"/>
  <c r="S1197" i="196"/>
  <c r="S1198" i="196"/>
  <c r="S1199" i="196"/>
  <c r="S1200" i="196"/>
  <c r="S1201" i="196"/>
  <c r="S1202" i="196"/>
  <c r="S1203" i="196"/>
  <c r="S1204" i="196"/>
  <c r="S1205" i="196"/>
  <c r="S1206" i="196"/>
  <c r="S1207" i="196"/>
  <c r="S1208" i="196"/>
  <c r="S1209" i="196"/>
  <c r="S1210" i="196"/>
  <c r="S1211" i="196"/>
  <c r="S1212" i="196"/>
  <c r="S1213" i="196"/>
  <c r="S1214" i="196"/>
  <c r="S1215" i="196"/>
  <c r="S1216" i="196"/>
  <c r="S1217" i="196"/>
  <c r="S1218" i="196"/>
  <c r="S1219" i="196"/>
  <c r="S1220" i="196"/>
  <c r="S1221" i="196"/>
  <c r="S1222" i="196"/>
  <c r="S1223" i="196"/>
  <c r="S1224" i="196"/>
  <c r="S1225" i="196"/>
  <c r="S1226" i="196"/>
  <c r="S1227" i="196"/>
  <c r="S1228" i="196"/>
  <c r="S1229" i="196"/>
  <c r="S1230" i="196"/>
  <c r="S1231" i="196"/>
  <c r="S1232" i="196"/>
  <c r="S1233" i="196"/>
  <c r="S1234" i="196"/>
  <c r="S1235" i="196"/>
  <c r="S1236" i="196"/>
  <c r="S1237" i="196"/>
  <c r="S1238" i="196"/>
  <c r="S1239" i="196"/>
  <c r="S1240" i="196"/>
  <c r="S1241" i="196"/>
  <c r="S1242" i="196"/>
  <c r="S1243" i="196"/>
  <c r="S1244" i="196"/>
  <c r="S1245" i="196"/>
  <c r="S1246" i="196"/>
  <c r="S1247" i="196"/>
  <c r="S1248" i="196"/>
  <c r="S1249" i="196"/>
  <c r="S1250" i="196"/>
  <c r="S1251" i="196"/>
  <c r="S1252" i="196"/>
  <c r="S1253" i="196"/>
  <c r="S1254" i="196"/>
  <c r="S1255" i="196"/>
  <c r="S1256" i="196"/>
  <c r="S1257" i="196"/>
  <c r="S1258" i="196"/>
  <c r="S1259" i="196"/>
  <c r="S1260" i="196"/>
  <c r="S1261" i="196"/>
  <c r="S1262" i="196"/>
  <c r="S1263" i="196"/>
  <c r="S1264" i="196"/>
  <c r="S1265" i="196"/>
  <c r="S1266" i="196"/>
  <c r="S1267" i="196"/>
  <c r="S1268" i="196"/>
  <c r="S1269" i="196"/>
  <c r="S1270" i="196"/>
  <c r="S1271" i="196"/>
  <c r="S1272" i="196"/>
  <c r="S1273" i="196"/>
  <c r="S1274" i="196"/>
  <c r="S1275" i="196"/>
  <c r="S1276" i="196"/>
  <c r="S2" i="196"/>
  <c r="S3" i="196"/>
  <c r="S4" i="196"/>
  <c r="S5" i="196"/>
  <c r="S6" i="196"/>
  <c r="S7" i="196"/>
  <c r="S8" i="196"/>
  <c r="S9" i="196"/>
  <c r="S10" i="196"/>
  <c r="S11" i="196"/>
  <c r="S12" i="196"/>
  <c r="S13" i="196"/>
  <c r="S14" i="196"/>
  <c r="S15" i="196"/>
  <c r="S16" i="196"/>
  <c r="S17" i="196"/>
  <c r="S18" i="196"/>
  <c r="S19" i="196"/>
  <c r="S20" i="196"/>
  <c r="S21" i="196"/>
  <c r="S22" i="196"/>
  <c r="S23" i="196"/>
  <c r="S24" i="196"/>
  <c r="S25" i="196"/>
  <c r="S26" i="196"/>
  <c r="S27" i="196"/>
  <c r="S28" i="196"/>
  <c r="S29" i="196"/>
  <c r="S30" i="196"/>
  <c r="S31" i="196"/>
  <c r="S32" i="196"/>
  <c r="S33" i="196"/>
  <c r="S34" i="196"/>
  <c r="S35" i="196"/>
  <c r="S36" i="196"/>
  <c r="S37" i="196"/>
  <c r="S38" i="196"/>
  <c r="S39" i="196"/>
  <c r="S40" i="196"/>
  <c r="S41" i="196"/>
  <c r="S42" i="196"/>
  <c r="S43" i="196"/>
  <c r="S44" i="196"/>
  <c r="S45" i="196"/>
  <c r="S46" i="196"/>
  <c r="S47" i="196"/>
  <c r="S48" i="196"/>
  <c r="S49" i="196"/>
  <c r="S50" i="196"/>
  <c r="S51" i="196"/>
  <c r="S52" i="196"/>
  <c r="S53" i="196"/>
  <c r="S54" i="196"/>
  <c r="S55" i="196"/>
  <c r="S56" i="196"/>
  <c r="S57" i="196"/>
  <c r="S58" i="196"/>
  <c r="S59" i="196"/>
  <c r="S60" i="196"/>
  <c r="S61" i="196"/>
  <c r="S62" i="196"/>
  <c r="S63" i="196"/>
  <c r="S64" i="196"/>
  <c r="H120" i="257" l="1"/>
  <c r="H119" i="257"/>
  <c r="H118" i="257"/>
  <c r="H117" i="257"/>
  <c r="H116" i="257"/>
  <c r="H115" i="257"/>
  <c r="H114" i="257"/>
  <c r="H113" i="257"/>
  <c r="H112" i="257"/>
  <c r="H111" i="257"/>
  <c r="H110" i="257"/>
  <c r="H109" i="257"/>
  <c r="H108" i="257"/>
  <c r="H107" i="257"/>
  <c r="H106" i="257"/>
  <c r="H105" i="257"/>
  <c r="H104" i="257"/>
  <c r="H103" i="257"/>
  <c r="H102" i="257"/>
  <c r="H101" i="257"/>
  <c r="H100" i="257"/>
  <c r="H99" i="257"/>
  <c r="H98" i="257"/>
  <c r="H97" i="257"/>
  <c r="H96" i="257"/>
  <c r="H95" i="257"/>
  <c r="H94" i="257"/>
  <c r="H93" i="257"/>
  <c r="H92" i="257"/>
  <c r="H91" i="257"/>
  <c r="H90" i="257"/>
  <c r="H89" i="257"/>
  <c r="H88" i="257"/>
  <c r="H87" i="257"/>
  <c r="H86" i="257"/>
  <c r="H85" i="257"/>
  <c r="H84" i="257"/>
  <c r="H83" i="257"/>
  <c r="H82" i="257"/>
  <c r="H81" i="257"/>
  <c r="H80" i="257"/>
  <c r="H79" i="257"/>
  <c r="H78" i="257"/>
  <c r="H77" i="257"/>
  <c r="H76" i="257"/>
  <c r="H75" i="257"/>
  <c r="H74" i="257"/>
  <c r="H73" i="257"/>
  <c r="H72" i="257"/>
  <c r="H71" i="257"/>
  <c r="H70" i="257"/>
  <c r="H69" i="257"/>
  <c r="H68" i="257"/>
  <c r="H67" i="257"/>
  <c r="H66" i="257"/>
  <c r="H65" i="257"/>
  <c r="H64" i="257"/>
  <c r="H63" i="257"/>
  <c r="H62" i="257"/>
  <c r="H61" i="257"/>
  <c r="H60" i="257"/>
  <c r="H59" i="257"/>
  <c r="H58" i="257"/>
  <c r="H57" i="257"/>
  <c r="H56" i="257"/>
  <c r="H55" i="257"/>
  <c r="H54" i="257"/>
  <c r="H53" i="257"/>
  <c r="H52" i="257"/>
  <c r="H51" i="257"/>
  <c r="H50" i="257"/>
  <c r="H49" i="257"/>
  <c r="H48" i="257"/>
  <c r="H47" i="257"/>
  <c r="H46" i="257"/>
  <c r="H45" i="257"/>
  <c r="H44" i="257"/>
  <c r="H43" i="257"/>
  <c r="H42" i="257"/>
  <c r="H41" i="257"/>
  <c r="H40" i="257"/>
  <c r="H39" i="257"/>
  <c r="H38" i="257"/>
  <c r="H37" i="257"/>
  <c r="H36" i="257"/>
  <c r="H35" i="257"/>
  <c r="H34" i="257"/>
  <c r="H33" i="257"/>
  <c r="H32" i="257"/>
  <c r="H31" i="257"/>
  <c r="H30" i="257"/>
  <c r="H29" i="257"/>
  <c r="H28" i="257"/>
  <c r="H27" i="257"/>
  <c r="H26" i="257"/>
  <c r="H25" i="257"/>
  <c r="H24" i="257"/>
  <c r="H23" i="257"/>
  <c r="H22" i="257"/>
  <c r="K2" i="196"/>
  <c r="K3" i="196"/>
  <c r="K4" i="196"/>
  <c r="K5" i="196"/>
  <c r="K6" i="196"/>
  <c r="K7" i="196"/>
  <c r="K8" i="196"/>
  <c r="K9" i="196"/>
  <c r="K10" i="196"/>
  <c r="K11" i="196"/>
  <c r="K12" i="196"/>
  <c r="K13" i="196"/>
  <c r="K14" i="196"/>
  <c r="K15" i="196"/>
  <c r="K16" i="196"/>
  <c r="K17" i="196"/>
  <c r="K18" i="196"/>
  <c r="K19" i="196"/>
  <c r="K20" i="196"/>
  <c r="K21" i="196"/>
  <c r="K22" i="196"/>
  <c r="K23" i="196"/>
  <c r="K24" i="196"/>
  <c r="K25" i="196"/>
  <c r="K26" i="196"/>
  <c r="K27" i="196"/>
  <c r="K28" i="196"/>
  <c r="K29" i="196"/>
  <c r="K30" i="196"/>
  <c r="K31" i="196"/>
  <c r="K32" i="196"/>
  <c r="K33" i="196"/>
  <c r="K34" i="196"/>
  <c r="K35" i="196"/>
  <c r="K36" i="196"/>
  <c r="K37" i="196"/>
  <c r="K38" i="196"/>
  <c r="K39" i="196"/>
  <c r="K40" i="196"/>
  <c r="K41" i="196"/>
  <c r="K42" i="196"/>
  <c r="K43" i="196"/>
  <c r="K44" i="196"/>
  <c r="K45" i="196"/>
  <c r="K46" i="196"/>
  <c r="K47" i="196"/>
  <c r="K48" i="196"/>
  <c r="K49" i="196"/>
  <c r="K50" i="196"/>
  <c r="K51" i="196"/>
  <c r="K52" i="196"/>
  <c r="K53" i="196"/>
  <c r="K54" i="196"/>
  <c r="K55" i="196"/>
  <c r="K56" i="196"/>
  <c r="K57" i="196"/>
  <c r="K58" i="196"/>
  <c r="K59" i="196"/>
  <c r="K60" i="196"/>
  <c r="K61" i="196"/>
  <c r="K62" i="196"/>
  <c r="K63" i="196"/>
  <c r="K64" i="196"/>
  <c r="K65" i="196"/>
  <c r="K66" i="196"/>
  <c r="K67" i="196"/>
  <c r="K68" i="196"/>
  <c r="K69" i="196"/>
  <c r="K70" i="196"/>
  <c r="K71" i="196"/>
  <c r="K72" i="196"/>
  <c r="K73" i="196"/>
  <c r="K74" i="196"/>
  <c r="K75" i="196"/>
  <c r="K76" i="196"/>
  <c r="K77" i="196"/>
  <c r="K78" i="196"/>
  <c r="K79" i="196"/>
  <c r="K80" i="196"/>
  <c r="K81" i="196"/>
  <c r="K82" i="196"/>
  <c r="K83" i="196"/>
  <c r="K84" i="196"/>
  <c r="K85" i="196"/>
  <c r="K86" i="196"/>
  <c r="K87" i="196"/>
  <c r="K88" i="196"/>
  <c r="K89" i="196"/>
  <c r="K90" i="196"/>
  <c r="K91" i="196"/>
  <c r="K92" i="196"/>
  <c r="K93" i="196"/>
  <c r="K94" i="196"/>
  <c r="K95" i="196"/>
  <c r="K96" i="196"/>
  <c r="K97" i="196"/>
  <c r="K98" i="196"/>
  <c r="K99" i="196"/>
  <c r="K100" i="196"/>
  <c r="K101" i="196"/>
  <c r="K102" i="196"/>
  <c r="K103" i="196"/>
  <c r="K104" i="196"/>
  <c r="K105" i="196"/>
  <c r="K106" i="196"/>
  <c r="K107" i="196"/>
  <c r="K108" i="196"/>
  <c r="K109" i="196"/>
  <c r="K110" i="196"/>
  <c r="K111" i="196"/>
  <c r="K112" i="196"/>
  <c r="K113" i="196"/>
  <c r="K114" i="196"/>
  <c r="K115" i="196"/>
  <c r="K116" i="196"/>
  <c r="K117" i="196"/>
  <c r="K118" i="196"/>
  <c r="K119" i="196"/>
  <c r="K120" i="196"/>
  <c r="K121" i="196"/>
  <c r="K122" i="196"/>
  <c r="K123" i="196"/>
  <c r="K124" i="196"/>
  <c r="K125" i="196"/>
  <c r="K126" i="196"/>
  <c r="K127" i="196"/>
  <c r="K128" i="196"/>
  <c r="K129" i="196"/>
  <c r="K130" i="196"/>
  <c r="K131" i="196"/>
  <c r="K132" i="196"/>
  <c r="K133" i="196"/>
  <c r="K134" i="196"/>
  <c r="K135" i="196"/>
  <c r="K136" i="196"/>
  <c r="K137" i="196"/>
  <c r="K138" i="196"/>
  <c r="K139" i="196"/>
  <c r="K140" i="196"/>
  <c r="K141" i="196"/>
  <c r="K142" i="196"/>
  <c r="K143" i="196"/>
  <c r="K144" i="196"/>
  <c r="K145" i="196"/>
  <c r="K146" i="196"/>
  <c r="K147" i="196"/>
  <c r="K148" i="196"/>
  <c r="K149" i="196"/>
  <c r="K150" i="196"/>
  <c r="K151" i="196"/>
  <c r="K152" i="196"/>
  <c r="K153" i="196"/>
  <c r="K154" i="196"/>
  <c r="K155" i="196"/>
  <c r="K156" i="196"/>
  <c r="K157" i="196"/>
  <c r="K158" i="196"/>
  <c r="K159" i="196"/>
  <c r="K160" i="196"/>
  <c r="K161" i="196"/>
  <c r="K162" i="196"/>
  <c r="K163" i="196"/>
  <c r="K164" i="196"/>
  <c r="K165" i="196"/>
  <c r="K166" i="196"/>
  <c r="K167" i="196"/>
  <c r="K168" i="196"/>
  <c r="K169" i="196"/>
  <c r="K170" i="196"/>
  <c r="K171" i="196"/>
  <c r="K172" i="196"/>
  <c r="K173" i="196"/>
  <c r="K174" i="196"/>
  <c r="K175" i="196"/>
  <c r="K176" i="196"/>
  <c r="K177" i="196"/>
  <c r="K178" i="196"/>
  <c r="K179" i="196"/>
  <c r="K180" i="196"/>
  <c r="K181" i="196"/>
  <c r="K182" i="196"/>
  <c r="K183" i="196"/>
  <c r="K184" i="196"/>
  <c r="K185" i="196"/>
  <c r="K186" i="196"/>
  <c r="K187" i="196"/>
  <c r="K188" i="196"/>
  <c r="K189" i="196"/>
  <c r="K190" i="196"/>
  <c r="K191" i="196"/>
  <c r="K192" i="196"/>
  <c r="K193" i="196"/>
  <c r="K194" i="196"/>
  <c r="K195" i="196"/>
  <c r="K196" i="196"/>
  <c r="K197" i="196"/>
  <c r="K198" i="196"/>
  <c r="K199" i="196"/>
  <c r="K200" i="196"/>
  <c r="K201" i="196"/>
  <c r="K202" i="196"/>
  <c r="K203" i="196"/>
  <c r="K204" i="196"/>
  <c r="K205" i="196"/>
  <c r="K206" i="196"/>
  <c r="K207" i="196"/>
  <c r="K208" i="196"/>
  <c r="K209" i="196"/>
  <c r="K210" i="196"/>
  <c r="K211" i="196"/>
  <c r="K212" i="196"/>
  <c r="K213" i="196"/>
  <c r="K214" i="196"/>
  <c r="K215" i="196"/>
  <c r="K216" i="196"/>
  <c r="K217" i="196"/>
  <c r="K218" i="196"/>
  <c r="K219" i="196"/>
  <c r="K220" i="196"/>
  <c r="K221" i="196"/>
  <c r="K222" i="196"/>
  <c r="K223" i="196"/>
  <c r="K224" i="196"/>
  <c r="K225" i="196"/>
  <c r="K226" i="196"/>
  <c r="K227" i="196"/>
  <c r="K228" i="196"/>
  <c r="K229" i="196"/>
  <c r="K230" i="196"/>
  <c r="K231" i="196"/>
  <c r="K232" i="196"/>
  <c r="K233" i="196"/>
  <c r="K234" i="196"/>
  <c r="K235" i="196"/>
  <c r="K236" i="196"/>
  <c r="K237" i="196"/>
  <c r="K238" i="196"/>
  <c r="K239" i="196"/>
  <c r="K240" i="196"/>
  <c r="K241" i="196"/>
  <c r="K242" i="196"/>
  <c r="K243" i="196"/>
  <c r="K244" i="196"/>
  <c r="K245" i="196"/>
  <c r="K246" i="196"/>
  <c r="K247" i="196"/>
  <c r="K248" i="196"/>
  <c r="K249" i="196"/>
  <c r="K250" i="196"/>
  <c r="K251" i="196"/>
  <c r="K252" i="196"/>
  <c r="K253" i="196"/>
  <c r="K254" i="196"/>
  <c r="K255" i="196"/>
  <c r="K256" i="196"/>
  <c r="K257" i="196"/>
  <c r="K258" i="196"/>
  <c r="K259" i="196"/>
  <c r="K260" i="196"/>
  <c r="K261" i="196"/>
  <c r="K262" i="196"/>
  <c r="K263" i="196"/>
  <c r="K264" i="196"/>
  <c r="K265" i="196"/>
  <c r="K266" i="196"/>
  <c r="K267" i="196"/>
  <c r="K268" i="196"/>
  <c r="K269" i="196"/>
  <c r="K270" i="196"/>
  <c r="K271" i="196"/>
  <c r="K272" i="196"/>
  <c r="K273" i="196"/>
  <c r="K274" i="196"/>
  <c r="K275" i="196"/>
  <c r="K276" i="196"/>
  <c r="K277" i="196"/>
  <c r="K278" i="196"/>
  <c r="K279" i="196"/>
  <c r="K280" i="196"/>
  <c r="K281" i="196"/>
  <c r="K282" i="196"/>
  <c r="K283" i="196"/>
  <c r="K284" i="196"/>
  <c r="K285" i="196"/>
  <c r="K286" i="196"/>
  <c r="K287" i="196"/>
  <c r="K288" i="196"/>
  <c r="K289" i="196"/>
  <c r="K290" i="196"/>
  <c r="K291" i="196"/>
  <c r="K292" i="196"/>
  <c r="K293" i="196"/>
  <c r="K294" i="196"/>
  <c r="K295" i="196"/>
  <c r="K296" i="196"/>
  <c r="K297" i="196"/>
  <c r="K298" i="196"/>
  <c r="K299" i="196"/>
  <c r="K300" i="196"/>
  <c r="K301" i="196"/>
  <c r="K302" i="196"/>
  <c r="K303" i="196"/>
  <c r="K304" i="196"/>
  <c r="K305" i="196"/>
  <c r="K306" i="196"/>
  <c r="K307" i="196"/>
  <c r="K308" i="196"/>
  <c r="K309" i="196"/>
  <c r="K310" i="196"/>
  <c r="K311" i="196"/>
  <c r="K312" i="196"/>
  <c r="K313" i="196"/>
  <c r="K314" i="196"/>
  <c r="K315" i="196"/>
  <c r="K316" i="196"/>
  <c r="K317" i="196"/>
  <c r="K318" i="196"/>
  <c r="K319" i="196"/>
  <c r="K320" i="196"/>
  <c r="K321" i="196"/>
  <c r="K322" i="196"/>
  <c r="K323" i="196"/>
  <c r="K324" i="196"/>
  <c r="K325" i="196"/>
  <c r="K326" i="196"/>
  <c r="K327" i="196"/>
  <c r="K328" i="196"/>
  <c r="K329" i="196"/>
  <c r="K330" i="196"/>
  <c r="K331" i="196"/>
  <c r="K332" i="196"/>
  <c r="K333" i="196"/>
  <c r="K334" i="196"/>
  <c r="K335" i="196"/>
  <c r="K336" i="196"/>
  <c r="K337" i="196"/>
  <c r="K338" i="196"/>
  <c r="K339" i="196"/>
  <c r="K340" i="196"/>
  <c r="K341" i="196"/>
  <c r="K342" i="196"/>
  <c r="K343" i="196"/>
  <c r="K344" i="196"/>
  <c r="K345" i="196"/>
  <c r="K346" i="196"/>
  <c r="K347" i="196"/>
  <c r="K348" i="196"/>
  <c r="K349" i="196"/>
  <c r="K350" i="196"/>
  <c r="K351" i="196"/>
  <c r="K352" i="196"/>
  <c r="K353" i="196"/>
  <c r="K354" i="196"/>
  <c r="K355" i="196"/>
  <c r="K356" i="196"/>
  <c r="K357" i="196"/>
  <c r="K358" i="196"/>
  <c r="K359" i="196"/>
  <c r="K360" i="196"/>
  <c r="K361" i="196"/>
  <c r="K362" i="196"/>
  <c r="K363" i="196"/>
  <c r="K364" i="196"/>
  <c r="K365" i="196"/>
  <c r="K366" i="196"/>
  <c r="K367" i="196"/>
  <c r="K368" i="196"/>
  <c r="K369" i="196"/>
  <c r="K370" i="196"/>
  <c r="K371" i="196"/>
  <c r="K372" i="196"/>
  <c r="K373" i="196"/>
  <c r="K374" i="196"/>
  <c r="K375" i="196"/>
  <c r="K376" i="196"/>
  <c r="K377" i="196"/>
  <c r="K378" i="196"/>
  <c r="K379" i="196"/>
  <c r="K380" i="196"/>
  <c r="K381" i="196"/>
  <c r="K382" i="196"/>
  <c r="K383" i="196"/>
  <c r="K384" i="196"/>
  <c r="K385" i="196"/>
  <c r="K386" i="196"/>
  <c r="K387" i="196"/>
  <c r="K388" i="196"/>
  <c r="K389" i="196"/>
  <c r="K390" i="196"/>
  <c r="K391" i="196"/>
  <c r="K392" i="196"/>
  <c r="K393" i="196"/>
  <c r="K394" i="196"/>
  <c r="K395" i="196"/>
  <c r="K396" i="196"/>
  <c r="K397" i="196"/>
  <c r="K398" i="196"/>
  <c r="K399" i="196"/>
  <c r="K400" i="196"/>
  <c r="K401" i="196"/>
  <c r="K402" i="196"/>
  <c r="K403" i="196"/>
  <c r="K404" i="196"/>
  <c r="K405" i="196"/>
  <c r="K406" i="196"/>
  <c r="K407" i="196"/>
  <c r="K408" i="196"/>
  <c r="K409" i="196"/>
  <c r="K410" i="196"/>
  <c r="K411" i="196"/>
  <c r="K412" i="196"/>
  <c r="K413" i="196"/>
  <c r="K414" i="196"/>
  <c r="K415" i="196"/>
  <c r="K416" i="196"/>
  <c r="K417" i="196"/>
  <c r="K418" i="196"/>
  <c r="K419" i="196"/>
  <c r="K420" i="196"/>
  <c r="K421" i="196"/>
  <c r="K422" i="196"/>
  <c r="K423" i="196"/>
  <c r="K424" i="196"/>
  <c r="K425" i="196"/>
  <c r="K426" i="196"/>
  <c r="K427" i="196"/>
  <c r="K428" i="196"/>
  <c r="K429" i="196"/>
  <c r="K430" i="196"/>
  <c r="K431" i="196"/>
  <c r="K432" i="196"/>
  <c r="K433" i="196"/>
  <c r="K434" i="196"/>
  <c r="K435" i="196"/>
  <c r="K436" i="196"/>
  <c r="K437" i="196"/>
  <c r="K438" i="196"/>
  <c r="K439" i="196"/>
  <c r="K440" i="196"/>
  <c r="K441" i="196"/>
  <c r="K442" i="196"/>
  <c r="K443" i="196"/>
  <c r="K444" i="196"/>
  <c r="K445" i="196"/>
  <c r="K446" i="196"/>
  <c r="K447" i="196"/>
  <c r="K448" i="196"/>
  <c r="K449" i="196"/>
  <c r="K450" i="196"/>
  <c r="K451" i="196"/>
  <c r="K452" i="196"/>
  <c r="K453" i="196"/>
  <c r="K454" i="196"/>
  <c r="K455" i="196"/>
  <c r="K456" i="196"/>
  <c r="K457" i="196"/>
  <c r="K458" i="196"/>
  <c r="K459" i="196"/>
  <c r="K460" i="196"/>
  <c r="K461" i="196"/>
  <c r="K462" i="196"/>
  <c r="K463" i="196"/>
  <c r="K464" i="196"/>
  <c r="K465" i="196"/>
  <c r="K466" i="196"/>
  <c r="K467" i="196"/>
  <c r="K468" i="196"/>
  <c r="K469" i="196"/>
  <c r="K470" i="196"/>
  <c r="K471" i="196"/>
  <c r="K472" i="196"/>
  <c r="K473" i="196"/>
  <c r="K474" i="196"/>
  <c r="K475" i="196"/>
  <c r="K476" i="196"/>
  <c r="K477" i="196"/>
  <c r="K478" i="196"/>
  <c r="K479" i="196"/>
  <c r="K480" i="196"/>
  <c r="K481" i="196"/>
  <c r="K482" i="196"/>
  <c r="K483" i="196"/>
  <c r="K484" i="196"/>
  <c r="K485" i="196"/>
  <c r="K486" i="196"/>
  <c r="K487" i="196"/>
  <c r="K488" i="196"/>
  <c r="K489" i="196"/>
  <c r="K490" i="196"/>
  <c r="K491" i="196"/>
  <c r="K492" i="196"/>
  <c r="K493" i="196"/>
  <c r="K494" i="196"/>
  <c r="K495" i="196"/>
  <c r="K496" i="196"/>
  <c r="K497" i="196"/>
  <c r="K498" i="196"/>
  <c r="K499" i="196"/>
  <c r="K500" i="196"/>
  <c r="K501" i="196"/>
  <c r="K502" i="196"/>
  <c r="K503" i="196"/>
  <c r="K504" i="196"/>
  <c r="K505" i="196"/>
  <c r="K506" i="196"/>
  <c r="K507" i="196"/>
  <c r="K508" i="196"/>
  <c r="K509" i="196"/>
  <c r="K510" i="196"/>
  <c r="K511" i="196"/>
  <c r="K512" i="196"/>
  <c r="K513" i="196"/>
  <c r="K514" i="196"/>
  <c r="K515" i="196"/>
  <c r="K516" i="196"/>
  <c r="K517" i="196"/>
  <c r="K518" i="196"/>
  <c r="K519" i="196"/>
  <c r="K520" i="196"/>
  <c r="K521" i="196"/>
  <c r="K522" i="196"/>
  <c r="K523" i="196"/>
  <c r="K524" i="196"/>
  <c r="K525" i="196"/>
  <c r="K526" i="196"/>
  <c r="K527" i="196"/>
  <c r="K528" i="196"/>
  <c r="K529" i="196"/>
  <c r="K530" i="196"/>
  <c r="K531" i="196"/>
  <c r="K532" i="196"/>
  <c r="K533" i="196"/>
  <c r="K534" i="196"/>
  <c r="K535" i="196"/>
  <c r="K536" i="196"/>
  <c r="K537" i="196"/>
  <c r="K538" i="196"/>
  <c r="K539" i="196"/>
  <c r="K540" i="196"/>
  <c r="K541" i="196"/>
  <c r="K542" i="196"/>
  <c r="K543" i="196"/>
  <c r="K544" i="196"/>
  <c r="K545" i="196"/>
  <c r="K546" i="196"/>
  <c r="K547" i="196"/>
  <c r="K548" i="196"/>
  <c r="K549" i="196"/>
  <c r="K550" i="196"/>
  <c r="K551" i="196"/>
  <c r="K552" i="196"/>
  <c r="K553" i="196"/>
  <c r="K554" i="196"/>
  <c r="K555" i="196"/>
  <c r="K556" i="196"/>
  <c r="K557" i="196"/>
  <c r="K558" i="196"/>
  <c r="K559" i="196"/>
  <c r="K560" i="196"/>
  <c r="K561" i="196"/>
  <c r="K562" i="196"/>
  <c r="K563" i="196"/>
  <c r="K564" i="196"/>
  <c r="K565" i="196"/>
  <c r="K566" i="196"/>
  <c r="K567" i="196"/>
  <c r="K568" i="196"/>
  <c r="K569" i="196"/>
  <c r="K570" i="196"/>
  <c r="K571" i="196"/>
  <c r="K572" i="196"/>
  <c r="K573" i="196"/>
  <c r="K574" i="196"/>
  <c r="K575" i="196"/>
  <c r="K576" i="196"/>
  <c r="K577" i="196"/>
  <c r="K578" i="196"/>
  <c r="K579" i="196"/>
  <c r="K580" i="196"/>
  <c r="K581" i="196"/>
  <c r="K582" i="196"/>
  <c r="K583" i="196"/>
  <c r="K584" i="196"/>
  <c r="K585" i="196"/>
  <c r="K586" i="196"/>
  <c r="K587" i="196"/>
  <c r="K588" i="196"/>
  <c r="K589" i="196"/>
  <c r="K590" i="196"/>
  <c r="K591" i="196"/>
  <c r="K592" i="196"/>
  <c r="K593" i="196"/>
  <c r="K594" i="196"/>
  <c r="K595" i="196"/>
  <c r="K596" i="196"/>
  <c r="K597" i="196"/>
  <c r="K598" i="196"/>
  <c r="K599" i="196"/>
  <c r="K600" i="196"/>
  <c r="K601" i="196"/>
  <c r="K602" i="196"/>
  <c r="K603" i="196"/>
  <c r="K604" i="196"/>
  <c r="K605" i="196"/>
  <c r="K606" i="196"/>
  <c r="K607" i="196"/>
  <c r="K608" i="196"/>
  <c r="K609" i="196"/>
  <c r="K610" i="196"/>
  <c r="K611" i="196"/>
  <c r="K612" i="196"/>
  <c r="K613" i="196"/>
  <c r="K614" i="196"/>
  <c r="K615" i="196"/>
  <c r="K616" i="196"/>
  <c r="K617" i="196"/>
  <c r="K618" i="196"/>
  <c r="K619" i="196"/>
  <c r="K620" i="196"/>
  <c r="K621" i="196"/>
  <c r="K622" i="196"/>
  <c r="K623" i="196"/>
  <c r="K624" i="196"/>
  <c r="K625" i="196"/>
  <c r="K626" i="196"/>
  <c r="K627" i="196"/>
  <c r="K628" i="196"/>
  <c r="K629" i="196"/>
  <c r="K630" i="196"/>
  <c r="K631" i="196"/>
  <c r="K632" i="196"/>
  <c r="K633" i="196"/>
  <c r="K634" i="196"/>
  <c r="K635" i="196"/>
  <c r="K636" i="196"/>
  <c r="K637" i="196"/>
  <c r="K638" i="196"/>
  <c r="K639" i="196"/>
  <c r="K640" i="196"/>
  <c r="K641" i="196"/>
  <c r="K642" i="196"/>
  <c r="K643" i="196"/>
  <c r="K644" i="196"/>
  <c r="K645" i="196"/>
  <c r="K646" i="196"/>
  <c r="K647" i="196"/>
  <c r="K648" i="196"/>
  <c r="K649" i="196"/>
  <c r="K650" i="196"/>
  <c r="K651" i="196"/>
  <c r="K652" i="196"/>
  <c r="K653" i="196"/>
  <c r="K654" i="196"/>
  <c r="K655" i="196"/>
  <c r="K656" i="196"/>
  <c r="K657" i="196"/>
  <c r="K658" i="196"/>
  <c r="K659" i="196"/>
  <c r="K660" i="196"/>
  <c r="K661" i="196"/>
  <c r="K662" i="196"/>
  <c r="K663" i="196"/>
  <c r="K664" i="196"/>
  <c r="K665" i="196"/>
  <c r="K666" i="196"/>
  <c r="K667" i="196"/>
  <c r="K668" i="196"/>
  <c r="K669" i="196"/>
  <c r="K670" i="196"/>
  <c r="K671" i="196"/>
  <c r="K672" i="196"/>
  <c r="K673" i="196"/>
  <c r="K674" i="196"/>
  <c r="K675" i="196"/>
  <c r="K676" i="196"/>
  <c r="K677" i="196"/>
  <c r="K678" i="196"/>
  <c r="K679" i="196"/>
  <c r="K680" i="196"/>
  <c r="K681" i="196"/>
  <c r="K682" i="196"/>
  <c r="K683" i="196"/>
  <c r="K684" i="196"/>
  <c r="K685" i="196"/>
  <c r="K686" i="196"/>
  <c r="K687" i="196"/>
  <c r="K688" i="196"/>
  <c r="K689" i="196"/>
  <c r="K690" i="196"/>
  <c r="K691" i="196"/>
  <c r="K692" i="196"/>
  <c r="K693" i="196"/>
  <c r="K694" i="196"/>
  <c r="K695" i="196"/>
  <c r="K696" i="196"/>
  <c r="K697" i="196"/>
  <c r="K698" i="196"/>
  <c r="K699" i="196"/>
  <c r="K700" i="196"/>
  <c r="K701" i="196"/>
  <c r="K702" i="196"/>
  <c r="K703" i="196"/>
  <c r="K704" i="196"/>
  <c r="K705" i="196"/>
  <c r="K706" i="196"/>
  <c r="K707" i="196"/>
  <c r="K708" i="196"/>
  <c r="K709" i="196"/>
  <c r="K710" i="196"/>
  <c r="K711" i="196"/>
  <c r="K712" i="196"/>
  <c r="K713" i="196"/>
  <c r="K714" i="196"/>
  <c r="K715" i="196"/>
  <c r="K716" i="196"/>
  <c r="K717" i="196"/>
  <c r="K718" i="196"/>
  <c r="K719" i="196"/>
  <c r="K720" i="196"/>
  <c r="K721" i="196"/>
  <c r="K722" i="196"/>
  <c r="K723" i="196"/>
  <c r="K724" i="196"/>
  <c r="K725" i="196"/>
  <c r="K726" i="196"/>
  <c r="K727" i="196"/>
  <c r="K728" i="196"/>
  <c r="K729" i="196"/>
  <c r="K730" i="196"/>
  <c r="K731" i="196"/>
  <c r="K732" i="196"/>
  <c r="K733" i="196"/>
  <c r="K734" i="196"/>
  <c r="K735" i="196"/>
  <c r="K736" i="196"/>
  <c r="K737" i="196"/>
  <c r="K738" i="196"/>
  <c r="K739" i="196"/>
  <c r="K740" i="196"/>
  <c r="K741" i="196"/>
  <c r="K742" i="196"/>
  <c r="K743" i="196"/>
  <c r="K744" i="196"/>
  <c r="K745" i="196"/>
  <c r="K746" i="196"/>
  <c r="K747" i="196"/>
  <c r="K748" i="196"/>
  <c r="K749" i="196"/>
  <c r="K750" i="196"/>
  <c r="K751" i="196"/>
  <c r="K752" i="196"/>
  <c r="K753" i="196"/>
  <c r="K754" i="196"/>
  <c r="K755" i="196"/>
  <c r="K756" i="196"/>
  <c r="K757" i="196"/>
  <c r="K758" i="196"/>
  <c r="K759" i="196"/>
  <c r="K760" i="196"/>
  <c r="K761" i="196"/>
  <c r="K762" i="196"/>
  <c r="K763" i="196"/>
  <c r="K764" i="196"/>
  <c r="K765" i="196"/>
  <c r="K766" i="196"/>
  <c r="K767" i="196"/>
  <c r="K768" i="196"/>
  <c r="K769" i="196"/>
  <c r="K770" i="196"/>
  <c r="K771" i="196"/>
  <c r="K772" i="196"/>
  <c r="K773" i="196"/>
  <c r="K774" i="196"/>
  <c r="K775" i="196"/>
  <c r="K776" i="196"/>
  <c r="K777" i="196"/>
  <c r="K778" i="196"/>
  <c r="K779" i="196"/>
  <c r="K780" i="196"/>
  <c r="K781" i="196"/>
  <c r="K782" i="196"/>
  <c r="K783" i="196"/>
  <c r="K784" i="196"/>
  <c r="K785" i="196"/>
  <c r="K786" i="196"/>
  <c r="K787" i="196"/>
  <c r="K788" i="196"/>
  <c r="K789" i="196"/>
  <c r="K790" i="196"/>
  <c r="K791" i="196"/>
  <c r="K792" i="196"/>
  <c r="K793" i="196"/>
  <c r="K794" i="196"/>
  <c r="K795" i="196"/>
  <c r="K796" i="196"/>
  <c r="K797" i="196"/>
  <c r="K798" i="196"/>
  <c r="K799" i="196"/>
  <c r="K800" i="196"/>
  <c r="K801" i="196"/>
  <c r="K802" i="196"/>
  <c r="K803" i="196"/>
  <c r="K804" i="196"/>
  <c r="K805" i="196"/>
  <c r="K806" i="196"/>
  <c r="K807" i="196"/>
  <c r="K808" i="196"/>
  <c r="K809" i="196"/>
  <c r="K810" i="196"/>
  <c r="K811" i="196"/>
  <c r="K812" i="196"/>
  <c r="K813" i="196"/>
  <c r="K814" i="196"/>
  <c r="K815" i="196"/>
  <c r="K816" i="196"/>
  <c r="K817" i="196"/>
  <c r="K818" i="196"/>
  <c r="K819" i="196"/>
  <c r="K820" i="196"/>
  <c r="K821" i="196"/>
  <c r="K822" i="196"/>
  <c r="K823" i="196"/>
  <c r="K824" i="196"/>
  <c r="K825" i="196"/>
  <c r="K826" i="196"/>
  <c r="K827" i="196"/>
  <c r="K828" i="196"/>
  <c r="K829" i="196"/>
  <c r="K830" i="196"/>
  <c r="K831" i="196"/>
  <c r="K832" i="196"/>
  <c r="K833" i="196"/>
  <c r="K834" i="196"/>
  <c r="K835" i="196"/>
  <c r="K836" i="196"/>
  <c r="K837" i="196"/>
  <c r="K838" i="196"/>
  <c r="K839" i="196"/>
  <c r="K840" i="196"/>
  <c r="K841" i="196"/>
  <c r="K842" i="196"/>
  <c r="K843" i="196"/>
  <c r="K844" i="196"/>
  <c r="K845" i="196"/>
  <c r="K846" i="196"/>
  <c r="K847" i="196"/>
  <c r="K848" i="196"/>
  <c r="K849" i="196"/>
  <c r="K850" i="196"/>
  <c r="K851" i="196"/>
  <c r="K852" i="196"/>
  <c r="K853" i="196"/>
  <c r="K854" i="196"/>
  <c r="K855" i="196"/>
  <c r="K856" i="196"/>
  <c r="K857" i="196"/>
  <c r="K858" i="196"/>
  <c r="K859" i="196"/>
  <c r="K860" i="196"/>
  <c r="K861" i="196"/>
  <c r="K862" i="196"/>
  <c r="K863" i="196"/>
  <c r="K864" i="196"/>
  <c r="K865" i="196"/>
  <c r="K866" i="196"/>
  <c r="K867" i="196"/>
  <c r="K868" i="196"/>
  <c r="K869" i="196"/>
  <c r="K870" i="196"/>
  <c r="K871" i="196"/>
  <c r="K872" i="196"/>
  <c r="K873" i="196"/>
  <c r="K874" i="196"/>
  <c r="K875" i="196"/>
  <c r="K876" i="196"/>
  <c r="K877" i="196"/>
  <c r="K878" i="196"/>
  <c r="K879" i="196"/>
  <c r="K880" i="196"/>
  <c r="K881" i="196"/>
  <c r="K882" i="196"/>
  <c r="K883" i="196"/>
  <c r="K884" i="196"/>
  <c r="K885" i="196"/>
  <c r="K886" i="196"/>
  <c r="K887" i="196"/>
  <c r="K888" i="196"/>
  <c r="K889" i="196"/>
  <c r="K890" i="196"/>
  <c r="K891" i="196"/>
  <c r="K892" i="196"/>
  <c r="K893" i="196"/>
  <c r="K894" i="196"/>
  <c r="K895" i="196"/>
  <c r="K896" i="196"/>
  <c r="K897" i="196"/>
  <c r="K898" i="196"/>
  <c r="K899" i="196"/>
  <c r="K900" i="196"/>
  <c r="K901" i="196"/>
  <c r="K902" i="196"/>
  <c r="K903" i="196"/>
  <c r="K904" i="196"/>
  <c r="K905" i="196"/>
  <c r="K906" i="196"/>
  <c r="K907" i="196"/>
  <c r="K908" i="196"/>
  <c r="K909" i="196"/>
  <c r="K910" i="196"/>
  <c r="K911" i="196"/>
  <c r="K912" i="196"/>
  <c r="K913" i="196"/>
  <c r="K914" i="196"/>
  <c r="K915" i="196"/>
  <c r="K916" i="196"/>
  <c r="K917" i="196"/>
  <c r="K918" i="196"/>
  <c r="K919" i="196"/>
  <c r="K920" i="196"/>
  <c r="K921" i="196"/>
  <c r="K922" i="196"/>
  <c r="K923" i="196"/>
  <c r="K924" i="196"/>
  <c r="K925" i="196"/>
  <c r="K926" i="196"/>
  <c r="K927" i="196"/>
  <c r="K928" i="196"/>
  <c r="K929" i="196"/>
  <c r="K930" i="196"/>
  <c r="K931" i="196"/>
  <c r="K932" i="196"/>
  <c r="K933" i="196"/>
  <c r="K934" i="196"/>
  <c r="K935" i="196"/>
  <c r="K936" i="196"/>
  <c r="K937" i="196"/>
  <c r="K938" i="196"/>
  <c r="K939" i="196"/>
  <c r="K940" i="196"/>
  <c r="K941" i="196"/>
  <c r="K942" i="196"/>
  <c r="K943" i="196"/>
  <c r="K944" i="196"/>
  <c r="K945" i="196"/>
  <c r="K946" i="196"/>
  <c r="K947" i="196"/>
  <c r="K948" i="196"/>
  <c r="K949" i="196"/>
  <c r="K950" i="196"/>
  <c r="K951" i="196"/>
  <c r="K952" i="196"/>
  <c r="K953" i="196"/>
  <c r="K954" i="196"/>
  <c r="K955" i="196"/>
  <c r="K956" i="196"/>
  <c r="K957" i="196"/>
  <c r="K958" i="196"/>
  <c r="K959" i="196"/>
  <c r="K960" i="196"/>
  <c r="K961" i="196"/>
  <c r="K962" i="196"/>
  <c r="K963" i="196"/>
  <c r="K964" i="196"/>
  <c r="K965" i="196"/>
  <c r="K966" i="196"/>
  <c r="K967" i="196"/>
  <c r="K968" i="196"/>
  <c r="K969" i="196"/>
  <c r="K970" i="196"/>
  <c r="K971" i="196"/>
  <c r="K972" i="196"/>
  <c r="K973" i="196"/>
  <c r="K974" i="196"/>
  <c r="K975" i="196"/>
  <c r="K976" i="196"/>
  <c r="K977" i="196"/>
  <c r="K978" i="196"/>
  <c r="K979" i="196"/>
  <c r="K980" i="196"/>
  <c r="K981" i="196"/>
  <c r="K982" i="196"/>
  <c r="K983" i="196"/>
  <c r="K984" i="196"/>
  <c r="K985" i="196"/>
  <c r="K986" i="196"/>
  <c r="K987" i="196"/>
  <c r="K988" i="196"/>
  <c r="K989" i="196"/>
  <c r="K990" i="196"/>
  <c r="K991" i="196"/>
  <c r="K992" i="196"/>
  <c r="K993" i="196"/>
  <c r="K994" i="196"/>
  <c r="K995" i="196"/>
  <c r="K996" i="196"/>
  <c r="K997" i="196"/>
  <c r="K998" i="196"/>
  <c r="K999" i="196"/>
  <c r="K1000" i="196"/>
  <c r="K1001" i="196"/>
  <c r="K1002" i="196"/>
  <c r="K1003" i="196"/>
  <c r="K1004" i="196"/>
  <c r="K1005" i="196"/>
  <c r="K1006" i="196"/>
  <c r="K1007" i="196"/>
  <c r="K1008" i="196"/>
  <c r="K1009" i="196"/>
  <c r="K1010" i="196"/>
  <c r="K1011" i="196"/>
  <c r="K1012" i="196"/>
  <c r="K1013" i="196"/>
  <c r="K1014" i="196"/>
  <c r="K1015" i="196"/>
  <c r="K1016" i="196"/>
  <c r="K1017" i="196"/>
  <c r="K1018" i="196"/>
  <c r="K1019" i="196"/>
  <c r="K1020" i="196"/>
  <c r="K1021" i="196"/>
  <c r="K1022" i="196"/>
  <c r="K1023" i="196"/>
  <c r="K1024" i="196"/>
  <c r="K1025" i="196"/>
  <c r="K1026" i="196"/>
  <c r="K1027" i="196"/>
  <c r="K1028" i="196"/>
  <c r="K1029" i="196"/>
  <c r="K1030" i="196"/>
  <c r="K1031" i="196"/>
  <c r="K1032" i="196"/>
  <c r="K1033" i="196"/>
  <c r="K1034" i="196"/>
  <c r="K1035" i="196"/>
  <c r="K1036" i="196"/>
  <c r="K1037" i="196"/>
  <c r="K1038" i="196"/>
  <c r="K1039" i="196"/>
  <c r="K1040" i="196"/>
  <c r="K1041" i="196"/>
  <c r="K1042" i="196"/>
  <c r="K1043" i="196"/>
  <c r="K1044" i="196"/>
  <c r="K1045" i="196"/>
  <c r="K1046" i="196"/>
  <c r="K1047" i="196"/>
  <c r="K1048" i="196"/>
  <c r="K1049" i="196"/>
  <c r="K1050" i="196"/>
  <c r="K1051" i="196"/>
  <c r="K1052" i="196"/>
  <c r="K1053" i="196"/>
  <c r="K1054" i="196"/>
  <c r="K1055" i="196"/>
  <c r="K1056" i="196"/>
  <c r="K1057" i="196"/>
  <c r="K1058" i="196"/>
  <c r="K1059" i="196"/>
  <c r="K1060" i="196"/>
  <c r="K1061" i="196"/>
  <c r="K1062" i="196"/>
  <c r="K1063" i="196"/>
  <c r="K1064" i="196"/>
  <c r="K1065" i="196"/>
  <c r="K1066" i="196"/>
  <c r="K1067" i="196"/>
  <c r="K1068" i="196"/>
  <c r="K1069" i="196"/>
  <c r="K1070" i="196"/>
  <c r="K1071" i="196"/>
  <c r="K1072" i="196"/>
  <c r="K1073" i="196"/>
  <c r="K1074" i="196"/>
  <c r="K1075" i="196"/>
  <c r="K1076" i="196"/>
  <c r="K1077" i="196"/>
  <c r="K1078" i="196"/>
  <c r="K1079" i="196"/>
  <c r="K1080" i="196"/>
  <c r="K1081" i="196"/>
  <c r="K1082" i="196"/>
  <c r="K1083" i="196"/>
  <c r="K1084" i="196"/>
  <c r="K1085" i="196"/>
  <c r="K1086" i="196"/>
  <c r="K1087" i="196"/>
  <c r="K1088" i="196"/>
  <c r="K1089" i="196"/>
  <c r="K1090" i="196"/>
  <c r="K1091" i="196"/>
  <c r="K1092" i="196"/>
  <c r="K1093" i="196"/>
  <c r="K1094" i="196"/>
  <c r="K1095" i="196"/>
  <c r="K1096" i="196"/>
  <c r="K1097" i="196"/>
  <c r="K1098" i="196"/>
  <c r="K1099" i="196"/>
  <c r="K1100" i="196"/>
  <c r="K1101" i="196"/>
  <c r="K1102" i="196"/>
  <c r="K1103" i="196"/>
  <c r="K1104" i="196"/>
  <c r="K1105" i="196"/>
  <c r="K1106" i="196"/>
  <c r="K1107" i="196"/>
  <c r="K1108" i="196"/>
  <c r="K1109" i="196"/>
  <c r="K1110" i="196"/>
  <c r="K1111" i="196"/>
  <c r="K1112" i="196"/>
  <c r="K1113" i="196"/>
  <c r="K1114" i="196"/>
  <c r="K1115" i="196"/>
  <c r="K1116" i="196"/>
  <c r="K1117" i="196"/>
  <c r="K1118" i="196"/>
  <c r="K1119" i="196"/>
  <c r="K1120" i="196"/>
  <c r="K1121" i="196"/>
  <c r="K1122" i="196"/>
  <c r="K1123" i="196"/>
  <c r="K1124" i="196"/>
  <c r="K1125" i="196"/>
  <c r="K1126" i="196"/>
  <c r="K1127" i="196"/>
  <c r="K1128" i="196"/>
  <c r="K1129" i="196"/>
  <c r="K1130" i="196"/>
  <c r="K1131" i="196"/>
  <c r="K1132" i="196"/>
  <c r="K1133" i="196"/>
  <c r="K1134" i="196"/>
  <c r="K1135" i="196"/>
  <c r="K1136" i="196"/>
  <c r="K1137" i="196"/>
  <c r="K1138" i="196"/>
  <c r="K1139" i="196"/>
  <c r="K1140" i="196"/>
  <c r="K1141" i="196"/>
  <c r="K1142" i="196"/>
  <c r="K1143" i="196"/>
  <c r="K1144" i="196"/>
  <c r="K1145" i="196"/>
  <c r="K1146" i="196"/>
  <c r="K1147" i="196"/>
  <c r="K1148" i="196"/>
  <c r="K1149" i="196"/>
  <c r="K1150" i="196"/>
  <c r="K1151" i="196"/>
  <c r="K1152" i="196"/>
  <c r="K1153" i="196"/>
  <c r="K1154" i="196"/>
  <c r="K1155" i="196"/>
  <c r="K1156" i="196"/>
  <c r="K1157" i="196"/>
  <c r="K1158" i="196"/>
  <c r="K1159" i="196"/>
  <c r="K1160" i="196"/>
  <c r="K1161" i="196"/>
  <c r="K1162" i="196"/>
  <c r="K1163" i="196"/>
  <c r="K1164" i="196"/>
  <c r="K1165" i="196"/>
  <c r="K1166" i="196"/>
  <c r="K1167" i="196"/>
  <c r="K1168" i="196"/>
  <c r="K1169" i="196"/>
  <c r="K1170" i="196"/>
  <c r="K1171" i="196"/>
  <c r="K1172" i="196"/>
  <c r="K1173" i="196"/>
  <c r="K1174" i="196"/>
  <c r="K1175" i="196"/>
  <c r="K1176" i="196"/>
  <c r="K1177" i="196"/>
  <c r="K1178" i="196"/>
  <c r="K1179" i="196"/>
  <c r="K1180" i="196"/>
  <c r="K1181" i="196"/>
  <c r="K1182" i="196"/>
  <c r="K1183" i="196"/>
  <c r="K1184" i="196"/>
  <c r="K1185" i="196"/>
  <c r="K1186" i="196"/>
  <c r="K1187" i="196"/>
  <c r="K1188" i="196"/>
  <c r="K1189" i="196"/>
  <c r="K1190" i="196"/>
  <c r="K1191" i="196"/>
  <c r="K1192" i="196"/>
  <c r="K1193" i="196"/>
  <c r="K1194" i="196"/>
  <c r="K1195" i="196"/>
  <c r="K1196" i="196"/>
  <c r="K1197" i="196"/>
  <c r="K1198" i="196"/>
  <c r="K1199" i="196"/>
  <c r="K1200" i="196"/>
  <c r="K1201" i="196"/>
  <c r="K1202" i="196"/>
  <c r="K1203" i="196"/>
  <c r="K1204" i="196"/>
  <c r="K1205" i="196"/>
  <c r="K1206" i="196"/>
  <c r="K1207" i="196"/>
  <c r="K1208" i="196"/>
  <c r="K1209" i="196"/>
  <c r="K1210" i="196"/>
  <c r="K1211" i="196"/>
  <c r="K1212" i="196"/>
  <c r="K1213" i="196"/>
  <c r="K1214" i="196"/>
  <c r="K1215" i="196"/>
  <c r="K1216" i="196"/>
  <c r="K1217" i="196"/>
  <c r="K1218" i="196"/>
  <c r="K1219" i="196"/>
  <c r="K1220" i="196"/>
  <c r="K1221" i="196"/>
  <c r="K1222" i="196"/>
  <c r="K1223" i="196"/>
  <c r="K1224" i="196"/>
  <c r="K1225" i="196"/>
  <c r="K1226" i="196"/>
  <c r="K1227" i="196"/>
  <c r="K1228" i="196"/>
  <c r="K1229" i="196"/>
  <c r="K1230" i="196"/>
  <c r="K1231" i="196"/>
  <c r="K1232" i="196"/>
  <c r="K1233" i="196"/>
  <c r="K1234" i="196"/>
  <c r="K1235" i="196"/>
  <c r="K1236" i="196"/>
  <c r="K1237" i="196"/>
  <c r="K1238" i="196"/>
  <c r="K1239" i="196"/>
  <c r="K1240" i="196"/>
  <c r="K1241" i="196"/>
  <c r="K1242" i="196"/>
  <c r="K1243" i="196"/>
  <c r="K1244" i="196"/>
  <c r="K1245" i="196"/>
  <c r="K1246" i="196"/>
  <c r="K1247" i="196"/>
  <c r="K1248" i="196"/>
  <c r="K1249" i="196"/>
  <c r="K1250" i="196"/>
  <c r="K1251" i="196"/>
  <c r="K1252" i="196"/>
  <c r="K1253" i="196"/>
  <c r="K1254" i="196"/>
  <c r="K1255" i="196"/>
  <c r="K1256" i="196"/>
  <c r="K1257" i="196"/>
  <c r="K1258" i="196"/>
  <c r="K1259" i="196"/>
  <c r="K1260" i="196"/>
  <c r="K1261" i="196"/>
  <c r="K1262" i="196"/>
  <c r="K1263" i="196"/>
  <c r="K1264" i="196"/>
  <c r="K1265" i="196"/>
  <c r="K1266" i="196"/>
  <c r="K1267" i="196"/>
  <c r="K1268" i="196"/>
  <c r="K1269" i="196"/>
  <c r="K1270" i="196"/>
  <c r="K1271" i="196"/>
  <c r="K1272" i="196"/>
  <c r="K1273" i="196"/>
  <c r="K1274" i="196"/>
  <c r="K1275" i="196"/>
  <c r="K1276" i="196"/>
  <c r="J2" i="196"/>
  <c r="J3" i="196"/>
  <c r="J4" i="196"/>
  <c r="J5" i="196"/>
  <c r="J6" i="196"/>
  <c r="J7" i="196"/>
  <c r="J8" i="196"/>
  <c r="J9" i="196"/>
  <c r="J10" i="196"/>
  <c r="J11" i="196"/>
  <c r="J12" i="196"/>
  <c r="J13" i="196"/>
  <c r="J14" i="196"/>
  <c r="J15" i="196"/>
  <c r="J16" i="196"/>
  <c r="J17" i="196"/>
  <c r="J18" i="196"/>
  <c r="J19" i="196"/>
  <c r="J20" i="196"/>
  <c r="J21" i="196"/>
  <c r="J22" i="196"/>
  <c r="J23" i="196"/>
  <c r="J24" i="196"/>
  <c r="J25" i="196"/>
  <c r="J26" i="196"/>
  <c r="J27" i="196"/>
  <c r="J28" i="196"/>
  <c r="J29" i="196"/>
  <c r="J30" i="196"/>
  <c r="J31" i="196"/>
  <c r="J32" i="196"/>
  <c r="J33" i="196"/>
  <c r="J34" i="196"/>
  <c r="J35" i="196"/>
  <c r="J36" i="196"/>
  <c r="J37" i="196"/>
  <c r="J38" i="196"/>
  <c r="J39" i="196"/>
  <c r="J40" i="196"/>
  <c r="J41" i="196"/>
  <c r="J42" i="196"/>
  <c r="J43" i="196"/>
  <c r="J44" i="196"/>
  <c r="J45" i="196"/>
  <c r="J46" i="196"/>
  <c r="J47" i="196"/>
  <c r="J48" i="196"/>
  <c r="J49" i="196"/>
  <c r="J50" i="196"/>
  <c r="J51" i="196"/>
  <c r="J52" i="196"/>
  <c r="J53" i="196"/>
  <c r="J54" i="196"/>
  <c r="J55" i="196"/>
  <c r="J56" i="196"/>
  <c r="J57" i="196"/>
  <c r="J58" i="196"/>
  <c r="J59" i="196"/>
  <c r="J60" i="196"/>
  <c r="J61" i="196"/>
  <c r="J62" i="196"/>
  <c r="J63" i="196"/>
  <c r="J64" i="196"/>
  <c r="J65" i="196"/>
  <c r="J66" i="196"/>
  <c r="J67" i="196"/>
  <c r="J68" i="196"/>
  <c r="J69" i="196"/>
  <c r="J70" i="196"/>
  <c r="J71" i="196"/>
  <c r="J72" i="196"/>
  <c r="J73" i="196"/>
  <c r="J74" i="196"/>
  <c r="J75" i="196"/>
  <c r="J76" i="196"/>
  <c r="J77" i="196"/>
  <c r="J78" i="196"/>
  <c r="J79" i="196"/>
  <c r="J80" i="196"/>
  <c r="J81" i="196"/>
  <c r="J82" i="196"/>
  <c r="J83" i="196"/>
  <c r="J84" i="196"/>
  <c r="J85" i="196"/>
  <c r="J86" i="196"/>
  <c r="J87" i="196"/>
  <c r="J88" i="196"/>
  <c r="J89" i="196"/>
  <c r="J90" i="196"/>
  <c r="J91" i="196"/>
  <c r="J92" i="196"/>
  <c r="J93" i="196"/>
  <c r="J94" i="196"/>
  <c r="J95" i="196"/>
  <c r="J96" i="196"/>
  <c r="J97" i="196"/>
  <c r="J98" i="196"/>
  <c r="J99" i="196"/>
  <c r="J100" i="196"/>
  <c r="J101" i="196"/>
  <c r="J102" i="196"/>
  <c r="J103" i="196"/>
  <c r="J104" i="196"/>
  <c r="J105" i="196"/>
  <c r="J106" i="196"/>
  <c r="J107" i="196"/>
  <c r="J108" i="196"/>
  <c r="J109" i="196"/>
  <c r="J110" i="196"/>
  <c r="J111" i="196"/>
  <c r="J112" i="196"/>
  <c r="J113" i="196"/>
  <c r="J114" i="196"/>
  <c r="J115" i="196"/>
  <c r="J116" i="196"/>
  <c r="J117" i="196"/>
  <c r="J118" i="196"/>
  <c r="J119" i="196"/>
  <c r="J120" i="196"/>
  <c r="J121" i="196"/>
  <c r="J122" i="196"/>
  <c r="J123" i="196"/>
  <c r="J124" i="196"/>
  <c r="J125" i="196"/>
  <c r="J126" i="196"/>
  <c r="J127" i="196"/>
  <c r="J128" i="196"/>
  <c r="J129" i="196"/>
  <c r="J130" i="196"/>
  <c r="J131" i="196"/>
  <c r="J132" i="196"/>
  <c r="J133" i="196"/>
  <c r="J134" i="196"/>
  <c r="J135" i="196"/>
  <c r="J136" i="196"/>
  <c r="J137" i="196"/>
  <c r="J138" i="196"/>
  <c r="J139" i="196"/>
  <c r="J140" i="196"/>
  <c r="J141" i="196"/>
  <c r="J142" i="196"/>
  <c r="J143" i="196"/>
  <c r="J144" i="196"/>
  <c r="J145" i="196"/>
  <c r="J146" i="196"/>
  <c r="J147" i="196"/>
  <c r="J148" i="196"/>
  <c r="J149" i="196"/>
  <c r="J150" i="196"/>
  <c r="J151" i="196"/>
  <c r="J152" i="196"/>
  <c r="J153" i="196"/>
  <c r="J154" i="196"/>
  <c r="J155" i="196"/>
  <c r="J156" i="196"/>
  <c r="J157" i="196"/>
  <c r="J158" i="196"/>
  <c r="J159" i="196"/>
  <c r="J160" i="196"/>
  <c r="J161" i="196"/>
  <c r="J162" i="196"/>
  <c r="J163" i="196"/>
  <c r="J164" i="196"/>
  <c r="J165" i="196"/>
  <c r="J166" i="196"/>
  <c r="J167" i="196"/>
  <c r="J168" i="196"/>
  <c r="J169" i="196"/>
  <c r="J170" i="196"/>
  <c r="J171" i="196"/>
  <c r="J172" i="196"/>
  <c r="J173" i="196"/>
  <c r="J174" i="196"/>
  <c r="J175" i="196"/>
  <c r="J176" i="196"/>
  <c r="J177" i="196"/>
  <c r="J178" i="196"/>
  <c r="J179" i="196"/>
  <c r="J180" i="196"/>
  <c r="J181" i="196"/>
  <c r="J182" i="196"/>
  <c r="J183" i="196"/>
  <c r="J184" i="196"/>
  <c r="J185" i="196"/>
  <c r="J186" i="196"/>
  <c r="J187" i="196"/>
  <c r="J188" i="196"/>
  <c r="J189" i="196"/>
  <c r="J190" i="196"/>
  <c r="J191" i="196"/>
  <c r="J192" i="196"/>
  <c r="J193" i="196"/>
  <c r="J194" i="196"/>
  <c r="J195" i="196"/>
  <c r="J196" i="196"/>
  <c r="J197" i="196"/>
  <c r="J198" i="196"/>
  <c r="J199" i="196"/>
  <c r="J200" i="196"/>
  <c r="J201" i="196"/>
  <c r="J202" i="196"/>
  <c r="J203" i="196"/>
  <c r="J204" i="196"/>
  <c r="J205" i="196"/>
  <c r="J206" i="196"/>
  <c r="J207" i="196"/>
  <c r="J208" i="196"/>
  <c r="J209" i="196"/>
  <c r="J210" i="196"/>
  <c r="J211" i="196"/>
  <c r="J212" i="196"/>
  <c r="J213" i="196"/>
  <c r="J214" i="196"/>
  <c r="J215" i="196"/>
  <c r="J216" i="196"/>
  <c r="J217" i="196"/>
  <c r="J218" i="196"/>
  <c r="J219" i="196"/>
  <c r="J220" i="196"/>
  <c r="J221" i="196"/>
  <c r="J222" i="196"/>
  <c r="J223" i="196"/>
  <c r="J224" i="196"/>
  <c r="J225" i="196"/>
  <c r="J226" i="196"/>
  <c r="J227" i="196"/>
  <c r="J228" i="196"/>
  <c r="J229" i="196"/>
  <c r="J230" i="196"/>
  <c r="J231" i="196"/>
  <c r="J232" i="196"/>
  <c r="J233" i="196"/>
  <c r="J234" i="196"/>
  <c r="J235" i="196"/>
  <c r="J236" i="196"/>
  <c r="J237" i="196"/>
  <c r="J238" i="196"/>
  <c r="J239" i="196"/>
  <c r="J240" i="196"/>
  <c r="J241" i="196"/>
  <c r="J242" i="196"/>
  <c r="J243" i="196"/>
  <c r="J244" i="196"/>
  <c r="J245" i="196"/>
  <c r="J246" i="196"/>
  <c r="J247" i="196"/>
  <c r="J248" i="196"/>
  <c r="J249" i="196"/>
  <c r="J250" i="196"/>
  <c r="J251" i="196"/>
  <c r="J252" i="196"/>
  <c r="J253" i="196"/>
  <c r="J254" i="196"/>
  <c r="J255" i="196"/>
  <c r="J256" i="196"/>
  <c r="J257" i="196"/>
  <c r="J258" i="196"/>
  <c r="J259" i="196"/>
  <c r="J260" i="196"/>
  <c r="J261" i="196"/>
  <c r="J262" i="196"/>
  <c r="J263" i="196"/>
  <c r="J264" i="196"/>
  <c r="J265" i="196"/>
  <c r="J266" i="196"/>
  <c r="J267" i="196"/>
  <c r="J268" i="196"/>
  <c r="J269" i="196"/>
  <c r="J270" i="196"/>
  <c r="J271" i="196"/>
  <c r="J272" i="196"/>
  <c r="J273" i="196"/>
  <c r="J274" i="196"/>
  <c r="J275" i="196"/>
  <c r="J276" i="196"/>
  <c r="J277" i="196"/>
  <c r="J278" i="196"/>
  <c r="J279" i="196"/>
  <c r="J280" i="196"/>
  <c r="J281" i="196"/>
  <c r="J282" i="196"/>
  <c r="J283" i="196"/>
  <c r="J284" i="196"/>
  <c r="J285" i="196"/>
  <c r="J286" i="196"/>
  <c r="J287" i="196"/>
  <c r="J288" i="196"/>
  <c r="J289" i="196"/>
  <c r="J290" i="196"/>
  <c r="J291" i="196"/>
  <c r="J292" i="196"/>
  <c r="J293" i="196"/>
  <c r="J294" i="196"/>
  <c r="J295" i="196"/>
  <c r="J296" i="196"/>
  <c r="J297" i="196"/>
  <c r="J298" i="196"/>
  <c r="J299" i="196"/>
  <c r="J300" i="196"/>
  <c r="J301" i="196"/>
  <c r="J302" i="196"/>
  <c r="J303" i="196"/>
  <c r="J304" i="196"/>
  <c r="J305" i="196"/>
  <c r="J306" i="196"/>
  <c r="J307" i="196"/>
  <c r="J308" i="196"/>
  <c r="J309" i="196"/>
  <c r="J310" i="196"/>
  <c r="J311" i="196"/>
  <c r="J312" i="196"/>
  <c r="J313" i="196"/>
  <c r="J314" i="196"/>
  <c r="J315" i="196"/>
  <c r="J316" i="196"/>
  <c r="J317" i="196"/>
  <c r="J318" i="196"/>
  <c r="J319" i="196"/>
  <c r="J320" i="196"/>
  <c r="J321" i="196"/>
  <c r="J322" i="196"/>
  <c r="J323" i="196"/>
  <c r="J324" i="196"/>
  <c r="J325" i="196"/>
  <c r="J326" i="196"/>
  <c r="J327" i="196"/>
  <c r="J328" i="196"/>
  <c r="J329" i="196"/>
  <c r="J330" i="196"/>
  <c r="J331" i="196"/>
  <c r="J332" i="196"/>
  <c r="J333" i="196"/>
  <c r="J334" i="196"/>
  <c r="J335" i="196"/>
  <c r="J336" i="196"/>
  <c r="J337" i="196"/>
  <c r="J338" i="196"/>
  <c r="J339" i="196"/>
  <c r="J340" i="196"/>
  <c r="J341" i="196"/>
  <c r="J342" i="196"/>
  <c r="J343" i="196"/>
  <c r="J344" i="196"/>
  <c r="J345" i="196"/>
  <c r="J346" i="196"/>
  <c r="J347" i="196"/>
  <c r="J348" i="196"/>
  <c r="J349" i="196"/>
  <c r="J350" i="196"/>
  <c r="J351" i="196"/>
  <c r="J352" i="196"/>
  <c r="J353" i="196"/>
  <c r="J354" i="196"/>
  <c r="J355" i="196"/>
  <c r="J356" i="196"/>
  <c r="J357" i="196"/>
  <c r="J358" i="196"/>
  <c r="J359" i="196"/>
  <c r="J360" i="196"/>
  <c r="J361" i="196"/>
  <c r="J362" i="196"/>
  <c r="J363" i="196"/>
  <c r="J364" i="196"/>
  <c r="J365" i="196"/>
  <c r="J366" i="196"/>
  <c r="J367" i="196"/>
  <c r="J368" i="196"/>
  <c r="J369" i="196"/>
  <c r="J370" i="196"/>
  <c r="J371" i="196"/>
  <c r="J372" i="196"/>
  <c r="J373" i="196"/>
  <c r="J374" i="196"/>
  <c r="J375" i="196"/>
  <c r="J376" i="196"/>
  <c r="J377" i="196"/>
  <c r="J378" i="196"/>
  <c r="J379" i="196"/>
  <c r="J380" i="196"/>
  <c r="J381" i="196"/>
  <c r="J382" i="196"/>
  <c r="J383" i="196"/>
  <c r="J384" i="196"/>
  <c r="J385" i="196"/>
  <c r="J386" i="196"/>
  <c r="J387" i="196"/>
  <c r="J388" i="196"/>
  <c r="J389" i="196"/>
  <c r="J390" i="196"/>
  <c r="J391" i="196"/>
  <c r="J392" i="196"/>
  <c r="J393" i="196"/>
  <c r="J394" i="196"/>
  <c r="J395" i="196"/>
  <c r="J396" i="196"/>
  <c r="J397" i="196"/>
  <c r="J398" i="196"/>
  <c r="J399" i="196"/>
  <c r="J400" i="196"/>
  <c r="J401" i="196"/>
  <c r="J402" i="196"/>
  <c r="J403" i="196"/>
  <c r="J404" i="196"/>
  <c r="J405" i="196"/>
  <c r="J406" i="196"/>
  <c r="J407" i="196"/>
  <c r="J408" i="196"/>
  <c r="J409" i="196"/>
  <c r="J410" i="196"/>
  <c r="J411" i="196"/>
  <c r="J412" i="196"/>
  <c r="J413" i="196"/>
  <c r="J414" i="196"/>
  <c r="J415" i="196"/>
  <c r="J416" i="196"/>
  <c r="J417" i="196"/>
  <c r="J418" i="196"/>
  <c r="J419" i="196"/>
  <c r="J420" i="196"/>
  <c r="J421" i="196"/>
  <c r="J422" i="196"/>
  <c r="J423" i="196"/>
  <c r="J424" i="196"/>
  <c r="J425" i="196"/>
  <c r="J426" i="196"/>
  <c r="J427" i="196"/>
  <c r="J428" i="196"/>
  <c r="J429" i="196"/>
  <c r="J430" i="196"/>
  <c r="J431" i="196"/>
  <c r="J432" i="196"/>
  <c r="J433" i="196"/>
  <c r="J434" i="196"/>
  <c r="J435" i="196"/>
  <c r="J436" i="196"/>
  <c r="J437" i="196"/>
  <c r="J438" i="196"/>
  <c r="J439" i="196"/>
  <c r="J440" i="196"/>
  <c r="J441" i="196"/>
  <c r="J442" i="196"/>
  <c r="J443" i="196"/>
  <c r="J444" i="196"/>
  <c r="J445" i="196"/>
  <c r="J446" i="196"/>
  <c r="J447" i="196"/>
  <c r="J448" i="196"/>
  <c r="J449" i="196"/>
  <c r="J450" i="196"/>
  <c r="J451" i="196"/>
  <c r="J452" i="196"/>
  <c r="J453" i="196"/>
  <c r="J454" i="196"/>
  <c r="J455" i="196"/>
  <c r="J456" i="196"/>
  <c r="J457" i="196"/>
  <c r="J458" i="196"/>
  <c r="J459" i="196"/>
  <c r="J460" i="196"/>
  <c r="J461" i="196"/>
  <c r="J462" i="196"/>
  <c r="J463" i="196"/>
  <c r="J464" i="196"/>
  <c r="J465" i="196"/>
  <c r="J466" i="196"/>
  <c r="J467" i="196"/>
  <c r="J468" i="196"/>
  <c r="J469" i="196"/>
  <c r="J470" i="196"/>
  <c r="J471" i="196"/>
  <c r="J472" i="196"/>
  <c r="J473" i="196"/>
  <c r="J474" i="196"/>
  <c r="J475" i="196"/>
  <c r="J476" i="196"/>
  <c r="J477" i="196"/>
  <c r="J478" i="196"/>
  <c r="J479" i="196"/>
  <c r="J480" i="196"/>
  <c r="J481" i="196"/>
  <c r="J482" i="196"/>
  <c r="J483" i="196"/>
  <c r="J484" i="196"/>
  <c r="J485" i="196"/>
  <c r="J486" i="196"/>
  <c r="J487" i="196"/>
  <c r="J488" i="196"/>
  <c r="J489" i="196"/>
  <c r="J490" i="196"/>
  <c r="J491" i="196"/>
  <c r="J492" i="196"/>
  <c r="J493" i="196"/>
  <c r="J494" i="196"/>
  <c r="J495" i="196"/>
  <c r="J496" i="196"/>
  <c r="J497" i="196"/>
  <c r="J498" i="196"/>
  <c r="J499" i="196"/>
  <c r="J500" i="196"/>
  <c r="J501" i="196"/>
  <c r="J502" i="196"/>
  <c r="J503" i="196"/>
  <c r="J504" i="196"/>
  <c r="J505" i="196"/>
  <c r="J506" i="196"/>
  <c r="J507" i="196"/>
  <c r="J508" i="196"/>
  <c r="J509" i="196"/>
  <c r="J510" i="196"/>
  <c r="J511" i="196"/>
  <c r="J512" i="196"/>
  <c r="J513" i="196"/>
  <c r="J514" i="196"/>
  <c r="J515" i="196"/>
  <c r="J516" i="196"/>
  <c r="J517" i="196"/>
  <c r="J518" i="196"/>
  <c r="J519" i="196"/>
  <c r="J520" i="196"/>
  <c r="J521" i="196"/>
  <c r="J522" i="196"/>
  <c r="J523" i="196"/>
  <c r="J524" i="196"/>
  <c r="J525" i="196"/>
  <c r="J526" i="196"/>
  <c r="J527" i="196"/>
  <c r="J528" i="196"/>
  <c r="J529" i="196"/>
  <c r="J530" i="196"/>
  <c r="J531" i="196"/>
  <c r="J532" i="196"/>
  <c r="J533" i="196"/>
  <c r="J534" i="196"/>
  <c r="J535" i="196"/>
  <c r="J536" i="196"/>
  <c r="J537" i="196"/>
  <c r="J538" i="196"/>
  <c r="J539" i="196"/>
  <c r="J540" i="196"/>
  <c r="J541" i="196"/>
  <c r="J542" i="196"/>
  <c r="J543" i="196"/>
  <c r="J544" i="196"/>
  <c r="J545" i="196"/>
  <c r="J546" i="196"/>
  <c r="J547" i="196"/>
  <c r="J548" i="196"/>
  <c r="J549" i="196"/>
  <c r="J550" i="196"/>
  <c r="J551" i="196"/>
  <c r="J552" i="196"/>
  <c r="J553" i="196"/>
  <c r="J554" i="196"/>
  <c r="J555" i="196"/>
  <c r="J556" i="196"/>
  <c r="J557" i="196"/>
  <c r="J558" i="196"/>
  <c r="J559" i="196"/>
  <c r="J560" i="196"/>
  <c r="J561" i="196"/>
  <c r="J562" i="196"/>
  <c r="J563" i="196"/>
  <c r="J564" i="196"/>
  <c r="J565" i="196"/>
  <c r="J566" i="196"/>
  <c r="J567" i="196"/>
  <c r="J568" i="196"/>
  <c r="J569" i="196"/>
  <c r="J570" i="196"/>
  <c r="J571" i="196"/>
  <c r="J572" i="196"/>
  <c r="J573" i="196"/>
  <c r="J574" i="196"/>
  <c r="J575" i="196"/>
  <c r="J576" i="196"/>
  <c r="J577" i="196"/>
  <c r="J578" i="196"/>
  <c r="J579" i="196"/>
  <c r="J580" i="196"/>
  <c r="J581" i="196"/>
  <c r="J582" i="196"/>
  <c r="J583" i="196"/>
  <c r="J584" i="196"/>
  <c r="J585" i="196"/>
  <c r="J586" i="196"/>
  <c r="J587" i="196"/>
  <c r="J588" i="196"/>
  <c r="J589" i="196"/>
  <c r="J590" i="196"/>
  <c r="J591" i="196"/>
  <c r="J592" i="196"/>
  <c r="J593" i="196"/>
  <c r="J594" i="196"/>
  <c r="J595" i="196"/>
  <c r="J596" i="196"/>
  <c r="J597" i="196"/>
  <c r="J598" i="196"/>
  <c r="J599" i="196"/>
  <c r="J600" i="196"/>
  <c r="J601" i="196"/>
  <c r="J602" i="196"/>
  <c r="J603" i="196"/>
  <c r="J604" i="196"/>
  <c r="J605" i="196"/>
  <c r="J606" i="196"/>
  <c r="J607" i="196"/>
  <c r="J608" i="196"/>
  <c r="J609" i="196"/>
  <c r="J610" i="196"/>
  <c r="J611" i="196"/>
  <c r="J612" i="196"/>
  <c r="J613" i="196"/>
  <c r="J614" i="196"/>
  <c r="J615" i="196"/>
  <c r="J616" i="196"/>
  <c r="J617" i="196"/>
  <c r="J618" i="196"/>
  <c r="J619" i="196"/>
  <c r="J620" i="196"/>
  <c r="J621" i="196"/>
  <c r="J622" i="196"/>
  <c r="J623" i="196"/>
  <c r="J624" i="196"/>
  <c r="J625" i="196"/>
  <c r="J626" i="196"/>
  <c r="J627" i="196"/>
  <c r="J628" i="196"/>
  <c r="J629" i="196"/>
  <c r="J630" i="196"/>
  <c r="J631" i="196"/>
  <c r="J632" i="196"/>
  <c r="J633" i="196"/>
  <c r="J634" i="196"/>
  <c r="J635" i="196"/>
  <c r="J636" i="196"/>
  <c r="J637" i="196"/>
  <c r="J638" i="196"/>
  <c r="J639" i="196"/>
  <c r="J640" i="196"/>
  <c r="J641" i="196"/>
  <c r="J642" i="196"/>
  <c r="J643" i="196"/>
  <c r="J644" i="196"/>
  <c r="J645" i="196"/>
  <c r="J646" i="196"/>
  <c r="J647" i="196"/>
  <c r="J648" i="196"/>
  <c r="J649" i="196"/>
  <c r="J650" i="196"/>
  <c r="J651" i="196"/>
  <c r="J652" i="196"/>
  <c r="J653" i="196"/>
  <c r="J654" i="196"/>
  <c r="J655" i="196"/>
  <c r="J656" i="196"/>
  <c r="J657" i="196"/>
  <c r="J658" i="196"/>
  <c r="J659" i="196"/>
  <c r="J660" i="196"/>
  <c r="J661" i="196"/>
  <c r="J662" i="196"/>
  <c r="J663" i="196"/>
  <c r="J664" i="196"/>
  <c r="J665" i="196"/>
  <c r="J666" i="196"/>
  <c r="J667" i="196"/>
  <c r="J668" i="196"/>
  <c r="J669" i="196"/>
  <c r="J670" i="196"/>
  <c r="J671" i="196"/>
  <c r="J672" i="196"/>
  <c r="J673" i="196"/>
  <c r="J674" i="196"/>
  <c r="J675" i="196"/>
  <c r="J676" i="196"/>
  <c r="J677" i="196"/>
  <c r="J678" i="196"/>
  <c r="J679" i="196"/>
  <c r="J680" i="196"/>
  <c r="J681" i="196"/>
  <c r="J682" i="196"/>
  <c r="J683" i="196"/>
  <c r="J684" i="196"/>
  <c r="J685" i="196"/>
  <c r="J686" i="196"/>
  <c r="J687" i="196"/>
  <c r="J688" i="196"/>
  <c r="J689" i="196"/>
  <c r="J690" i="196"/>
  <c r="J691" i="196"/>
  <c r="J692" i="196"/>
  <c r="J693" i="196"/>
  <c r="J694" i="196"/>
  <c r="J695" i="196"/>
  <c r="J696" i="196"/>
  <c r="J697" i="196"/>
  <c r="J698" i="196"/>
  <c r="J699" i="196"/>
  <c r="J700" i="196"/>
  <c r="J701" i="196"/>
  <c r="J702" i="196"/>
  <c r="J703" i="196"/>
  <c r="J704" i="196"/>
  <c r="J705" i="196"/>
  <c r="J706" i="196"/>
  <c r="J707" i="196"/>
  <c r="J708" i="196"/>
  <c r="J709" i="196"/>
  <c r="J710" i="196"/>
  <c r="J711" i="196"/>
  <c r="J712" i="196"/>
  <c r="J713" i="196"/>
  <c r="J714" i="196"/>
  <c r="J715" i="196"/>
  <c r="J716" i="196"/>
  <c r="J717" i="196"/>
  <c r="J718" i="196"/>
  <c r="J719" i="196"/>
  <c r="J720" i="196"/>
  <c r="J721" i="196"/>
  <c r="J722" i="196"/>
  <c r="J723" i="196"/>
  <c r="J724" i="196"/>
  <c r="J725" i="196"/>
  <c r="J726" i="196"/>
  <c r="J727" i="196"/>
  <c r="J728" i="196"/>
  <c r="J729" i="196"/>
  <c r="J730" i="196"/>
  <c r="J731" i="196"/>
  <c r="J732" i="196"/>
  <c r="J733" i="196"/>
  <c r="J734" i="196"/>
  <c r="J735" i="196"/>
  <c r="J736" i="196"/>
  <c r="J737" i="196"/>
  <c r="J738" i="196"/>
  <c r="J739" i="196"/>
  <c r="J740" i="196"/>
  <c r="J741" i="196"/>
  <c r="J742" i="196"/>
  <c r="J743" i="196"/>
  <c r="J744" i="196"/>
  <c r="J745" i="196"/>
  <c r="J746" i="196"/>
  <c r="J747" i="196"/>
  <c r="J748" i="196"/>
  <c r="J749" i="196"/>
  <c r="J750" i="196"/>
  <c r="J751" i="196"/>
  <c r="J752" i="196"/>
  <c r="J753" i="196"/>
  <c r="J754" i="196"/>
  <c r="J755" i="196"/>
  <c r="J756" i="196"/>
  <c r="J757" i="196"/>
  <c r="J758" i="196"/>
  <c r="J759" i="196"/>
  <c r="J760" i="196"/>
  <c r="J761" i="196"/>
  <c r="J762" i="196"/>
  <c r="J763" i="196"/>
  <c r="J764" i="196"/>
  <c r="J765" i="196"/>
  <c r="J766" i="196"/>
  <c r="J767" i="196"/>
  <c r="J768" i="196"/>
  <c r="J769" i="196"/>
  <c r="J770" i="196"/>
  <c r="J771" i="196"/>
  <c r="J772" i="196"/>
  <c r="J773" i="196"/>
  <c r="J774" i="196"/>
  <c r="J775" i="196"/>
  <c r="J776" i="196"/>
  <c r="J777" i="196"/>
  <c r="J778" i="196"/>
  <c r="J779" i="196"/>
  <c r="J780" i="196"/>
  <c r="J781" i="196"/>
  <c r="J782" i="196"/>
  <c r="J783" i="196"/>
  <c r="J784" i="196"/>
  <c r="J785" i="196"/>
  <c r="J786" i="196"/>
  <c r="J787" i="196"/>
  <c r="J788" i="196"/>
  <c r="J789" i="196"/>
  <c r="J790" i="196"/>
  <c r="J791" i="196"/>
  <c r="J792" i="196"/>
  <c r="J793" i="196"/>
  <c r="J794" i="196"/>
  <c r="J795" i="196"/>
  <c r="J796" i="196"/>
  <c r="J797" i="196"/>
  <c r="J798" i="196"/>
  <c r="J799" i="196"/>
  <c r="J800" i="196"/>
  <c r="J801" i="196"/>
  <c r="J802" i="196"/>
  <c r="J803" i="196"/>
  <c r="J804" i="196"/>
  <c r="J805" i="196"/>
  <c r="J806" i="196"/>
  <c r="J807" i="196"/>
  <c r="J808" i="196"/>
  <c r="J809" i="196"/>
  <c r="J810" i="196"/>
  <c r="J811" i="196"/>
  <c r="J812" i="196"/>
  <c r="J813" i="196"/>
  <c r="J814" i="196"/>
  <c r="J815" i="196"/>
  <c r="J816" i="196"/>
  <c r="J817" i="196"/>
  <c r="J818" i="196"/>
  <c r="J819" i="196"/>
  <c r="J820" i="196"/>
  <c r="J821" i="196"/>
  <c r="J822" i="196"/>
  <c r="J823" i="196"/>
  <c r="J824" i="196"/>
  <c r="J825" i="196"/>
  <c r="J826" i="196"/>
  <c r="J827" i="196"/>
  <c r="J828" i="196"/>
  <c r="J829" i="196"/>
  <c r="J830" i="196"/>
  <c r="J831" i="196"/>
  <c r="J832" i="196"/>
  <c r="J833" i="196"/>
  <c r="J834" i="196"/>
  <c r="J835" i="196"/>
  <c r="J836" i="196"/>
  <c r="J837" i="196"/>
  <c r="J838" i="196"/>
  <c r="J839" i="196"/>
  <c r="J840" i="196"/>
  <c r="J841" i="196"/>
  <c r="J842" i="196"/>
  <c r="J843" i="196"/>
  <c r="J844" i="196"/>
  <c r="J845" i="196"/>
  <c r="J846" i="196"/>
  <c r="J847" i="196"/>
  <c r="J848" i="196"/>
  <c r="J849" i="196"/>
  <c r="J850" i="196"/>
  <c r="J851" i="196"/>
  <c r="J852" i="196"/>
  <c r="J853" i="196"/>
  <c r="J854" i="196"/>
  <c r="J855" i="196"/>
  <c r="J856" i="196"/>
  <c r="J857" i="196"/>
  <c r="J858" i="196"/>
  <c r="J859" i="196"/>
  <c r="J860" i="196"/>
  <c r="J861" i="196"/>
  <c r="J862" i="196"/>
  <c r="J863" i="196"/>
  <c r="J864" i="196"/>
  <c r="J865" i="196"/>
  <c r="J866" i="196"/>
  <c r="J867" i="196"/>
  <c r="J868" i="196"/>
  <c r="J869" i="196"/>
  <c r="J870" i="196"/>
  <c r="J871" i="196"/>
  <c r="J872" i="196"/>
  <c r="J873" i="196"/>
  <c r="J874" i="196"/>
  <c r="J875" i="196"/>
  <c r="J876" i="196"/>
  <c r="J877" i="196"/>
  <c r="J878" i="196"/>
  <c r="J879" i="196"/>
  <c r="J880" i="196"/>
  <c r="J881" i="196"/>
  <c r="J882" i="196"/>
  <c r="J883" i="196"/>
  <c r="J884" i="196"/>
  <c r="J885" i="196"/>
  <c r="J886" i="196"/>
  <c r="J887" i="196"/>
  <c r="J888" i="196"/>
  <c r="J889" i="196"/>
  <c r="J890" i="196"/>
  <c r="J891" i="196"/>
  <c r="J892" i="196"/>
  <c r="J893" i="196"/>
  <c r="J894" i="196"/>
  <c r="J895" i="196"/>
  <c r="J896" i="196"/>
  <c r="J897" i="196"/>
  <c r="J898" i="196"/>
  <c r="J899" i="196"/>
  <c r="J900" i="196"/>
  <c r="J901" i="196"/>
  <c r="J902" i="196"/>
  <c r="J903" i="196"/>
  <c r="J904" i="196"/>
  <c r="J905" i="196"/>
  <c r="J906" i="196"/>
  <c r="J907" i="196"/>
  <c r="J908" i="196"/>
  <c r="J909" i="196"/>
  <c r="J910" i="196"/>
  <c r="J911" i="196"/>
  <c r="J912" i="196"/>
  <c r="J913" i="196"/>
  <c r="J914" i="196"/>
  <c r="J915" i="196"/>
  <c r="J916" i="196"/>
  <c r="J917" i="196"/>
  <c r="J918" i="196"/>
  <c r="J919" i="196"/>
  <c r="J920" i="196"/>
  <c r="J921" i="196"/>
  <c r="J922" i="196"/>
  <c r="J923" i="196"/>
  <c r="J924" i="196"/>
  <c r="J925" i="196"/>
  <c r="J926" i="196"/>
  <c r="J927" i="196"/>
  <c r="J928" i="196"/>
  <c r="J929" i="196"/>
  <c r="J930" i="196"/>
  <c r="J931" i="196"/>
  <c r="J932" i="196"/>
  <c r="J933" i="196"/>
  <c r="J934" i="196"/>
  <c r="J935" i="196"/>
  <c r="J936" i="196"/>
  <c r="J937" i="196"/>
  <c r="J938" i="196"/>
  <c r="J939" i="196"/>
  <c r="J940" i="196"/>
  <c r="J941" i="196"/>
  <c r="J942" i="196"/>
  <c r="J943" i="196"/>
  <c r="J944" i="196"/>
  <c r="J945" i="196"/>
  <c r="J946" i="196"/>
  <c r="J947" i="196"/>
  <c r="J948" i="196"/>
  <c r="J949" i="196"/>
  <c r="J950" i="196"/>
  <c r="J951" i="196"/>
  <c r="J952" i="196"/>
  <c r="J953" i="196"/>
  <c r="J954" i="196"/>
  <c r="J955" i="196"/>
  <c r="J956" i="196"/>
  <c r="J957" i="196"/>
  <c r="J958" i="196"/>
  <c r="J959" i="196"/>
  <c r="J960" i="196"/>
  <c r="J961" i="196"/>
  <c r="J962" i="196"/>
  <c r="J963" i="196"/>
  <c r="J964" i="196"/>
  <c r="J965" i="196"/>
  <c r="J966" i="196"/>
  <c r="J967" i="196"/>
  <c r="J968" i="196"/>
  <c r="J969" i="196"/>
  <c r="J970" i="196"/>
  <c r="J971" i="196"/>
  <c r="J972" i="196"/>
  <c r="J973" i="196"/>
  <c r="J974" i="196"/>
  <c r="J975" i="196"/>
  <c r="J976" i="196"/>
  <c r="J977" i="196"/>
  <c r="J978" i="196"/>
  <c r="J979" i="196"/>
  <c r="J980" i="196"/>
  <c r="J981" i="196"/>
  <c r="J982" i="196"/>
  <c r="J983" i="196"/>
  <c r="J984" i="196"/>
  <c r="J985" i="196"/>
  <c r="J986" i="196"/>
  <c r="J987" i="196"/>
  <c r="J988" i="196"/>
  <c r="J989" i="196"/>
  <c r="J990" i="196"/>
  <c r="J991" i="196"/>
  <c r="J992" i="196"/>
  <c r="J993" i="196"/>
  <c r="J994" i="196"/>
  <c r="J995" i="196"/>
  <c r="J996" i="196"/>
  <c r="J997" i="196"/>
  <c r="J998" i="196"/>
  <c r="J999" i="196"/>
  <c r="J1000" i="196"/>
  <c r="J1001" i="196"/>
  <c r="J1002" i="196"/>
  <c r="J1003" i="196"/>
  <c r="J1004" i="196"/>
  <c r="J1005" i="196"/>
  <c r="J1006" i="196"/>
  <c r="J1007" i="196"/>
  <c r="J1008" i="196"/>
  <c r="J1009" i="196"/>
  <c r="J1010" i="196"/>
  <c r="J1011" i="196"/>
  <c r="J1012" i="196"/>
  <c r="J1013" i="196"/>
  <c r="J1014" i="196"/>
  <c r="J1015" i="196"/>
  <c r="J1016" i="196"/>
  <c r="J1017" i="196"/>
  <c r="J1018" i="196"/>
  <c r="J1019" i="196"/>
  <c r="J1020" i="196"/>
  <c r="J1021" i="196"/>
  <c r="J1022" i="196"/>
  <c r="J1023" i="196"/>
  <c r="J1024" i="196"/>
  <c r="J1025" i="196"/>
  <c r="J1026" i="196"/>
  <c r="J1027" i="196"/>
  <c r="J1028" i="196"/>
  <c r="J1029" i="196"/>
  <c r="J1030" i="196"/>
  <c r="J1031" i="196"/>
  <c r="J1032" i="196"/>
  <c r="J1033" i="196"/>
  <c r="J1034" i="196"/>
  <c r="J1035" i="196"/>
  <c r="J1036" i="196"/>
  <c r="J1037" i="196"/>
  <c r="J1038" i="196"/>
  <c r="J1039" i="196"/>
  <c r="J1040" i="196"/>
  <c r="J1041" i="196"/>
  <c r="J1042" i="196"/>
  <c r="J1043" i="196"/>
  <c r="J1044" i="196"/>
  <c r="J1045" i="196"/>
  <c r="J1046" i="196"/>
  <c r="J1047" i="196"/>
  <c r="J1048" i="196"/>
  <c r="J1049" i="196"/>
  <c r="J1050" i="196"/>
  <c r="J1051" i="196"/>
  <c r="J1052" i="196"/>
  <c r="J1053" i="196"/>
  <c r="J1054" i="196"/>
  <c r="J1055" i="196"/>
  <c r="J1056" i="196"/>
  <c r="J1057" i="196"/>
  <c r="J1058" i="196"/>
  <c r="J1059" i="196"/>
  <c r="J1060" i="196"/>
  <c r="J1061" i="196"/>
  <c r="J1062" i="196"/>
  <c r="J1063" i="196"/>
  <c r="J1064" i="196"/>
  <c r="J1065" i="196"/>
  <c r="J1066" i="196"/>
  <c r="J1067" i="196"/>
  <c r="J1068" i="196"/>
  <c r="J1069" i="196"/>
  <c r="J1070" i="196"/>
  <c r="J1071" i="196"/>
  <c r="J1072" i="196"/>
  <c r="J1073" i="196"/>
  <c r="J1074" i="196"/>
  <c r="J1075" i="196"/>
  <c r="J1076" i="196"/>
  <c r="J1077" i="196"/>
  <c r="J1078" i="196"/>
  <c r="J1079" i="196"/>
  <c r="J1080" i="196"/>
  <c r="J1081" i="196"/>
  <c r="J1082" i="196"/>
  <c r="J1083" i="196"/>
  <c r="J1084" i="196"/>
  <c r="J1085" i="196"/>
  <c r="J1086" i="196"/>
  <c r="J1087" i="196"/>
  <c r="J1088" i="196"/>
  <c r="J1089" i="196"/>
  <c r="J1090" i="196"/>
  <c r="J1091" i="196"/>
  <c r="J1092" i="196"/>
  <c r="J1093" i="196"/>
  <c r="J1094" i="196"/>
  <c r="J1095" i="196"/>
  <c r="J1096" i="196"/>
  <c r="J1097" i="196"/>
  <c r="J1098" i="196"/>
  <c r="J1099" i="196"/>
  <c r="J1100" i="196"/>
  <c r="J1101" i="196"/>
  <c r="J1102" i="196"/>
  <c r="J1103" i="196"/>
  <c r="J1104" i="196"/>
  <c r="J1105" i="196"/>
  <c r="J1106" i="196"/>
  <c r="J1107" i="196"/>
  <c r="J1108" i="196"/>
  <c r="J1109" i="196"/>
  <c r="J1110" i="196"/>
  <c r="J1111" i="196"/>
  <c r="J1112" i="196"/>
  <c r="J1113" i="196"/>
  <c r="J1114" i="196"/>
  <c r="J1115" i="196"/>
  <c r="J1116" i="196"/>
  <c r="J1117" i="196"/>
  <c r="J1118" i="196"/>
  <c r="J1119" i="196"/>
  <c r="J1120" i="196"/>
  <c r="J1121" i="196"/>
  <c r="J1122" i="196"/>
  <c r="J1123" i="196"/>
  <c r="J1124" i="196"/>
  <c r="J1125" i="196"/>
  <c r="J1126" i="196"/>
  <c r="J1127" i="196"/>
  <c r="J1128" i="196"/>
  <c r="J1129" i="196"/>
  <c r="J1130" i="196"/>
  <c r="J1131" i="196"/>
  <c r="J1132" i="196"/>
  <c r="J1133" i="196"/>
  <c r="J1134" i="196"/>
  <c r="J1135" i="196"/>
  <c r="J1136" i="196"/>
  <c r="J1137" i="196"/>
  <c r="J1138" i="196"/>
  <c r="J1139" i="196"/>
  <c r="J1140" i="196"/>
  <c r="J1141" i="196"/>
  <c r="J1142" i="196"/>
  <c r="J1143" i="196"/>
  <c r="J1144" i="196"/>
  <c r="J1145" i="196"/>
  <c r="J1146" i="196"/>
  <c r="J1147" i="196"/>
  <c r="J1148" i="196"/>
  <c r="J1149" i="196"/>
  <c r="J1150" i="196"/>
  <c r="J1151" i="196"/>
  <c r="J1152" i="196"/>
  <c r="J1153" i="196"/>
  <c r="J1154" i="196"/>
  <c r="J1155" i="196"/>
  <c r="J1156" i="196"/>
  <c r="J1157" i="196"/>
  <c r="J1158" i="196"/>
  <c r="J1159" i="196"/>
  <c r="J1160" i="196"/>
  <c r="J1161" i="196"/>
  <c r="J1162" i="196"/>
  <c r="J1163" i="196"/>
  <c r="J1164" i="196"/>
  <c r="J1165" i="196"/>
  <c r="J1166" i="196"/>
  <c r="J1167" i="196"/>
  <c r="J1168" i="196"/>
  <c r="J1169" i="196"/>
  <c r="J1170" i="196"/>
  <c r="J1171" i="196"/>
  <c r="J1172" i="196"/>
  <c r="J1173" i="196"/>
  <c r="J1174" i="196"/>
  <c r="J1175" i="196"/>
  <c r="J1176" i="196"/>
  <c r="J1177" i="196"/>
  <c r="J1178" i="196"/>
  <c r="J1179" i="196"/>
  <c r="J1180" i="196"/>
  <c r="J1181" i="196"/>
  <c r="J1182" i="196"/>
  <c r="J1183" i="196"/>
  <c r="J1184" i="196"/>
  <c r="J1185" i="196"/>
  <c r="J1186" i="196"/>
  <c r="J1187" i="196"/>
  <c r="J1188" i="196"/>
  <c r="J1189" i="196"/>
  <c r="J1190" i="196"/>
  <c r="J1191" i="196"/>
  <c r="J1192" i="196"/>
  <c r="J1193" i="196"/>
  <c r="J1194" i="196"/>
  <c r="J1195" i="196"/>
  <c r="J1196" i="196"/>
  <c r="J1197" i="196"/>
  <c r="J1198" i="196"/>
  <c r="J1199" i="196"/>
  <c r="J1200" i="196"/>
  <c r="J1201" i="196"/>
  <c r="J1202" i="196"/>
  <c r="J1203" i="196"/>
  <c r="J1204" i="196"/>
  <c r="J1205" i="196"/>
  <c r="J1206" i="196"/>
  <c r="J1207" i="196"/>
  <c r="J1208" i="196"/>
  <c r="J1209" i="196"/>
  <c r="J1210" i="196"/>
  <c r="J1211" i="196"/>
  <c r="J1212" i="196"/>
  <c r="J1213" i="196"/>
  <c r="J1214" i="196"/>
  <c r="J1215" i="196"/>
  <c r="J1216" i="196"/>
  <c r="J1217" i="196"/>
  <c r="J1218" i="196"/>
  <c r="J1219" i="196"/>
  <c r="J1220" i="196"/>
  <c r="J1221" i="196"/>
  <c r="J1222" i="196"/>
  <c r="J1223" i="196"/>
  <c r="J1224" i="196"/>
  <c r="J1225" i="196"/>
  <c r="J1226" i="196"/>
  <c r="J1227" i="196"/>
  <c r="J1228" i="196"/>
  <c r="J1229" i="196"/>
  <c r="J1230" i="196"/>
  <c r="J1231" i="196"/>
  <c r="J1232" i="196"/>
  <c r="J1233" i="196"/>
  <c r="J1234" i="196"/>
  <c r="J1235" i="196"/>
  <c r="J1236" i="196"/>
  <c r="J1237" i="196"/>
  <c r="J1238" i="196"/>
  <c r="J1239" i="196"/>
  <c r="J1240" i="196"/>
  <c r="J1241" i="196"/>
  <c r="J1242" i="196"/>
  <c r="J1243" i="196"/>
  <c r="J1244" i="196"/>
  <c r="J1245" i="196"/>
  <c r="J1246" i="196"/>
  <c r="J1247" i="196"/>
  <c r="J1248" i="196"/>
  <c r="J1249" i="196"/>
  <c r="J1250" i="196"/>
  <c r="J1251" i="196"/>
  <c r="J1252" i="196"/>
  <c r="J1253" i="196"/>
  <c r="J1254" i="196"/>
  <c r="J1255" i="196"/>
  <c r="J1256" i="196"/>
  <c r="J1257" i="196"/>
  <c r="J1258" i="196"/>
  <c r="J1259" i="196"/>
  <c r="J1260" i="196"/>
  <c r="J1261" i="196"/>
  <c r="J1262" i="196"/>
  <c r="J1263" i="196"/>
  <c r="J1264" i="196"/>
  <c r="J1265" i="196"/>
  <c r="J1266" i="196"/>
  <c r="J1267" i="196"/>
  <c r="J1268" i="196"/>
  <c r="J1269" i="196"/>
  <c r="J1270" i="196"/>
  <c r="J1271" i="196"/>
  <c r="J1272" i="196"/>
  <c r="J1273" i="196"/>
  <c r="J1274" i="196"/>
  <c r="J1275" i="196"/>
  <c r="J1276" i="196"/>
  <c r="I2" i="196"/>
  <c r="I3" i="196"/>
  <c r="I4" i="196"/>
  <c r="I5" i="196"/>
  <c r="I6" i="196"/>
  <c r="I7" i="196"/>
  <c r="I8" i="196"/>
  <c r="I9" i="196"/>
  <c r="I10" i="196"/>
  <c r="I11" i="196"/>
  <c r="I12" i="196"/>
  <c r="I13" i="196"/>
  <c r="I14" i="196"/>
  <c r="I15" i="196"/>
  <c r="I16" i="196"/>
  <c r="I17" i="196"/>
  <c r="I18" i="196"/>
  <c r="I19" i="196"/>
  <c r="I20" i="196"/>
  <c r="I21" i="196"/>
  <c r="I22" i="196"/>
  <c r="I23" i="196"/>
  <c r="I24" i="196"/>
  <c r="I25" i="196"/>
  <c r="I26" i="196"/>
  <c r="I27" i="196"/>
  <c r="I28" i="196"/>
  <c r="I29" i="196"/>
  <c r="I30" i="196"/>
  <c r="I31" i="196"/>
  <c r="I32" i="196"/>
  <c r="I33" i="196"/>
  <c r="I34" i="196"/>
  <c r="I35" i="196"/>
  <c r="I36" i="196"/>
  <c r="I37" i="196"/>
  <c r="I38" i="196"/>
  <c r="I39" i="196"/>
  <c r="I40" i="196"/>
  <c r="I41" i="196"/>
  <c r="I42" i="196"/>
  <c r="I43" i="196"/>
  <c r="I44" i="196"/>
  <c r="I45" i="196"/>
  <c r="I46" i="196"/>
  <c r="I47" i="196"/>
  <c r="I48" i="196"/>
  <c r="I49" i="196"/>
  <c r="I50" i="196"/>
  <c r="I51" i="196"/>
  <c r="I52" i="196"/>
  <c r="I53" i="196"/>
  <c r="I54" i="196"/>
  <c r="I55" i="196"/>
  <c r="I56" i="196"/>
  <c r="I57" i="196"/>
  <c r="I58" i="196"/>
  <c r="I59" i="196"/>
  <c r="I60" i="196"/>
  <c r="I61" i="196"/>
  <c r="I62" i="196"/>
  <c r="I63" i="196"/>
  <c r="I64" i="196"/>
  <c r="I65" i="196"/>
  <c r="I66" i="196"/>
  <c r="I67" i="196"/>
  <c r="I68" i="196"/>
  <c r="I69" i="196"/>
  <c r="I70" i="196"/>
  <c r="I71" i="196"/>
  <c r="I72" i="196"/>
  <c r="I73" i="196"/>
  <c r="I74" i="196"/>
  <c r="I75" i="196"/>
  <c r="I76" i="196"/>
  <c r="I77" i="196"/>
  <c r="I78" i="196"/>
  <c r="I79" i="196"/>
  <c r="I80" i="196"/>
  <c r="I81" i="196"/>
  <c r="I82" i="196"/>
  <c r="I83" i="196"/>
  <c r="I84" i="196"/>
  <c r="I85" i="196"/>
  <c r="I86" i="196"/>
  <c r="I87" i="196"/>
  <c r="I88" i="196"/>
  <c r="I89" i="196"/>
  <c r="I90" i="196"/>
  <c r="I91" i="196"/>
  <c r="I92" i="196"/>
  <c r="I93" i="196"/>
  <c r="I94" i="196"/>
  <c r="I95" i="196"/>
  <c r="I96" i="196"/>
  <c r="I97" i="196"/>
  <c r="I98" i="196"/>
  <c r="I99" i="196"/>
  <c r="I100" i="196"/>
  <c r="I101" i="196"/>
  <c r="I102" i="196"/>
  <c r="I103" i="196"/>
  <c r="I104" i="196"/>
  <c r="I105" i="196"/>
  <c r="I106" i="196"/>
  <c r="I107" i="196"/>
  <c r="I108" i="196"/>
  <c r="I109" i="196"/>
  <c r="I110" i="196"/>
  <c r="I111" i="196"/>
  <c r="I112" i="196"/>
  <c r="I113" i="196"/>
  <c r="I114" i="196"/>
  <c r="I115" i="196"/>
  <c r="I116" i="196"/>
  <c r="I117" i="196"/>
  <c r="I118" i="196"/>
  <c r="I119" i="196"/>
  <c r="I120" i="196"/>
  <c r="I121" i="196"/>
  <c r="I122" i="196"/>
  <c r="I123" i="196"/>
  <c r="I124" i="196"/>
  <c r="I125" i="196"/>
  <c r="I126" i="196"/>
  <c r="I127" i="196"/>
  <c r="I128" i="196"/>
  <c r="I129" i="196"/>
  <c r="I130" i="196"/>
  <c r="I131" i="196"/>
  <c r="I132" i="196"/>
  <c r="I133" i="196"/>
  <c r="I134" i="196"/>
  <c r="I135" i="196"/>
  <c r="I136" i="196"/>
  <c r="I137" i="196"/>
  <c r="I138" i="196"/>
  <c r="I139" i="196"/>
  <c r="I140" i="196"/>
  <c r="I141" i="196"/>
  <c r="I142" i="196"/>
  <c r="I143" i="196"/>
  <c r="I144" i="196"/>
  <c r="I145" i="196"/>
  <c r="I146" i="196"/>
  <c r="I147" i="196"/>
  <c r="I148" i="196"/>
  <c r="I149" i="196"/>
  <c r="I150" i="196"/>
  <c r="I151" i="196"/>
  <c r="I152" i="196"/>
  <c r="I153" i="196"/>
  <c r="I154" i="196"/>
  <c r="I155" i="196"/>
  <c r="I156" i="196"/>
  <c r="I157" i="196"/>
  <c r="I158" i="196"/>
  <c r="I159" i="196"/>
  <c r="I160" i="196"/>
  <c r="I161" i="196"/>
  <c r="I162" i="196"/>
  <c r="I163" i="196"/>
  <c r="I164" i="196"/>
  <c r="I165" i="196"/>
  <c r="I166" i="196"/>
  <c r="I167" i="196"/>
  <c r="I168" i="196"/>
  <c r="I169" i="196"/>
  <c r="I170" i="196"/>
  <c r="I171" i="196"/>
  <c r="I172" i="196"/>
  <c r="I173" i="196"/>
  <c r="I174" i="196"/>
  <c r="I175" i="196"/>
  <c r="I176" i="196"/>
  <c r="I177" i="196"/>
  <c r="I178" i="196"/>
  <c r="I179" i="196"/>
  <c r="I180" i="196"/>
  <c r="I181" i="196"/>
  <c r="I182" i="196"/>
  <c r="I183" i="196"/>
  <c r="I184" i="196"/>
  <c r="I185" i="196"/>
  <c r="I186" i="196"/>
  <c r="I187" i="196"/>
  <c r="I188" i="196"/>
  <c r="I189" i="196"/>
  <c r="I190" i="196"/>
  <c r="I191" i="196"/>
  <c r="I192" i="196"/>
  <c r="I193" i="196"/>
  <c r="I194" i="196"/>
  <c r="I195" i="196"/>
  <c r="I196" i="196"/>
  <c r="I197" i="196"/>
  <c r="I198" i="196"/>
  <c r="I199" i="196"/>
  <c r="I200" i="196"/>
  <c r="I201" i="196"/>
  <c r="I202" i="196"/>
  <c r="I203" i="196"/>
  <c r="I204" i="196"/>
  <c r="I205" i="196"/>
  <c r="I206" i="196"/>
  <c r="I207" i="196"/>
  <c r="I208" i="196"/>
  <c r="I209" i="196"/>
  <c r="I210" i="196"/>
  <c r="I211" i="196"/>
  <c r="I212" i="196"/>
  <c r="I213" i="196"/>
  <c r="I214" i="196"/>
  <c r="I215" i="196"/>
  <c r="I216" i="196"/>
  <c r="I217" i="196"/>
  <c r="I218" i="196"/>
  <c r="I219" i="196"/>
  <c r="I220" i="196"/>
  <c r="I221" i="196"/>
  <c r="I222" i="196"/>
  <c r="I223" i="196"/>
  <c r="I224" i="196"/>
  <c r="I225" i="196"/>
  <c r="I226" i="196"/>
  <c r="I227" i="196"/>
  <c r="I228" i="196"/>
  <c r="I229" i="196"/>
  <c r="I230" i="196"/>
  <c r="I231" i="196"/>
  <c r="I232" i="196"/>
  <c r="I233" i="196"/>
  <c r="I234" i="196"/>
  <c r="I235" i="196"/>
  <c r="I236" i="196"/>
  <c r="I237" i="196"/>
  <c r="I238" i="196"/>
  <c r="I239" i="196"/>
  <c r="I240" i="196"/>
  <c r="I241" i="196"/>
  <c r="I242" i="196"/>
  <c r="I243" i="196"/>
  <c r="I244" i="196"/>
  <c r="I245" i="196"/>
  <c r="I246" i="196"/>
  <c r="I247" i="196"/>
  <c r="I248" i="196"/>
  <c r="I249" i="196"/>
  <c r="I250" i="196"/>
  <c r="I251" i="196"/>
  <c r="I252" i="196"/>
  <c r="I253" i="196"/>
  <c r="I254" i="196"/>
  <c r="I255" i="196"/>
  <c r="I256" i="196"/>
  <c r="I257" i="196"/>
  <c r="I258" i="196"/>
  <c r="I259" i="196"/>
  <c r="I260" i="196"/>
  <c r="I261" i="196"/>
  <c r="I262" i="196"/>
  <c r="I263" i="196"/>
  <c r="I264" i="196"/>
  <c r="I265" i="196"/>
  <c r="I266" i="196"/>
  <c r="I267" i="196"/>
  <c r="I268" i="196"/>
  <c r="I269" i="196"/>
  <c r="I270" i="196"/>
  <c r="I271" i="196"/>
  <c r="I272" i="196"/>
  <c r="I273" i="196"/>
  <c r="I274" i="196"/>
  <c r="I275" i="196"/>
  <c r="I276" i="196"/>
  <c r="I277" i="196"/>
  <c r="I278" i="196"/>
  <c r="I279" i="196"/>
  <c r="I280" i="196"/>
  <c r="I281" i="196"/>
  <c r="I282" i="196"/>
  <c r="I283" i="196"/>
  <c r="I284" i="196"/>
  <c r="I285" i="196"/>
  <c r="I286" i="196"/>
  <c r="I287" i="196"/>
  <c r="I288" i="196"/>
  <c r="I289" i="196"/>
  <c r="I290" i="196"/>
  <c r="I291" i="196"/>
  <c r="I292" i="196"/>
  <c r="I293" i="196"/>
  <c r="I294" i="196"/>
  <c r="I295" i="196"/>
  <c r="I296" i="196"/>
  <c r="I297" i="196"/>
  <c r="I298" i="196"/>
  <c r="I299" i="196"/>
  <c r="I300" i="196"/>
  <c r="I301" i="196"/>
  <c r="I302" i="196"/>
  <c r="I303" i="196"/>
  <c r="I304" i="196"/>
  <c r="I305" i="196"/>
  <c r="I306" i="196"/>
  <c r="I307" i="196"/>
  <c r="I308" i="196"/>
  <c r="I309" i="196"/>
  <c r="I310" i="196"/>
  <c r="I311" i="196"/>
  <c r="I312" i="196"/>
  <c r="I313" i="196"/>
  <c r="I314" i="196"/>
  <c r="I315" i="196"/>
  <c r="I316" i="196"/>
  <c r="I317" i="196"/>
  <c r="I318" i="196"/>
  <c r="I319" i="196"/>
  <c r="I320" i="196"/>
  <c r="I321" i="196"/>
  <c r="I322" i="196"/>
  <c r="I323" i="196"/>
  <c r="I324" i="196"/>
  <c r="I325" i="196"/>
  <c r="I326" i="196"/>
  <c r="I327" i="196"/>
  <c r="I328" i="196"/>
  <c r="I329" i="196"/>
  <c r="I330" i="196"/>
  <c r="I331" i="196"/>
  <c r="I332" i="196"/>
  <c r="I333" i="196"/>
  <c r="I334" i="196"/>
  <c r="I335" i="196"/>
  <c r="I336" i="196"/>
  <c r="I337" i="196"/>
  <c r="I338" i="196"/>
  <c r="I339" i="196"/>
  <c r="I340" i="196"/>
  <c r="I341" i="196"/>
  <c r="I342" i="196"/>
  <c r="I343" i="196"/>
  <c r="I344" i="196"/>
  <c r="I345" i="196"/>
  <c r="I346" i="196"/>
  <c r="I347" i="196"/>
  <c r="I348" i="196"/>
  <c r="I349" i="196"/>
  <c r="I350" i="196"/>
  <c r="I351" i="196"/>
  <c r="I352" i="196"/>
  <c r="I353" i="196"/>
  <c r="I354" i="196"/>
  <c r="I355" i="196"/>
  <c r="I356" i="196"/>
  <c r="I357" i="196"/>
  <c r="I358" i="196"/>
  <c r="I359" i="196"/>
  <c r="I360" i="196"/>
  <c r="I361" i="196"/>
  <c r="I362" i="196"/>
  <c r="I363" i="196"/>
  <c r="I364" i="196"/>
  <c r="I365" i="196"/>
  <c r="I366" i="196"/>
  <c r="I367" i="196"/>
  <c r="I368" i="196"/>
  <c r="I369" i="196"/>
  <c r="I370" i="196"/>
  <c r="I371" i="196"/>
  <c r="I372" i="196"/>
  <c r="I373" i="196"/>
  <c r="I374" i="196"/>
  <c r="I375" i="196"/>
  <c r="I376" i="196"/>
  <c r="I377" i="196"/>
  <c r="I378" i="196"/>
  <c r="I379" i="196"/>
  <c r="I380" i="196"/>
  <c r="I381" i="196"/>
  <c r="I382" i="196"/>
  <c r="I383" i="196"/>
  <c r="I384" i="196"/>
  <c r="I385" i="196"/>
  <c r="I386" i="196"/>
  <c r="I387" i="196"/>
  <c r="I388" i="196"/>
  <c r="I389" i="196"/>
  <c r="I390" i="196"/>
  <c r="I391" i="196"/>
  <c r="I392" i="196"/>
  <c r="I393" i="196"/>
  <c r="I394" i="196"/>
  <c r="I395" i="196"/>
  <c r="I396" i="196"/>
  <c r="I397" i="196"/>
  <c r="I398" i="196"/>
  <c r="I399" i="196"/>
  <c r="I400" i="196"/>
  <c r="I401" i="196"/>
  <c r="I402" i="196"/>
  <c r="I403" i="196"/>
  <c r="I404" i="196"/>
  <c r="I405" i="196"/>
  <c r="I406" i="196"/>
  <c r="I407" i="196"/>
  <c r="I408" i="196"/>
  <c r="I409" i="196"/>
  <c r="I410" i="196"/>
  <c r="I411" i="196"/>
  <c r="I412" i="196"/>
  <c r="I413" i="196"/>
  <c r="I414" i="196"/>
  <c r="I415" i="196"/>
  <c r="I416" i="196"/>
  <c r="I417" i="196"/>
  <c r="I418" i="196"/>
  <c r="I419" i="196"/>
  <c r="I420" i="196"/>
  <c r="I421" i="196"/>
  <c r="I422" i="196"/>
  <c r="I423" i="196"/>
  <c r="I424" i="196"/>
  <c r="I425" i="196"/>
  <c r="I426" i="196"/>
  <c r="I427" i="196"/>
  <c r="I428" i="196"/>
  <c r="I429" i="196"/>
  <c r="I430" i="196"/>
  <c r="I431" i="196"/>
  <c r="I432" i="196"/>
  <c r="I433" i="196"/>
  <c r="I434" i="196"/>
  <c r="I435" i="196"/>
  <c r="I436" i="196"/>
  <c r="I437" i="196"/>
  <c r="I438" i="196"/>
  <c r="I439" i="196"/>
  <c r="I440" i="196"/>
  <c r="I441" i="196"/>
  <c r="I442" i="196"/>
  <c r="I443" i="196"/>
  <c r="I444" i="196"/>
  <c r="I445" i="196"/>
  <c r="I446" i="196"/>
  <c r="I447" i="196"/>
  <c r="I448" i="196"/>
  <c r="I449" i="196"/>
  <c r="I450" i="196"/>
  <c r="I451" i="196"/>
  <c r="I452" i="196"/>
  <c r="I453" i="196"/>
  <c r="I454" i="196"/>
  <c r="I455" i="196"/>
  <c r="I456" i="196"/>
  <c r="I457" i="196"/>
  <c r="I458" i="196"/>
  <c r="I459" i="196"/>
  <c r="I460" i="196"/>
  <c r="I461" i="196"/>
  <c r="I462" i="196"/>
  <c r="I463" i="196"/>
  <c r="I464" i="196"/>
  <c r="I465" i="196"/>
  <c r="I466" i="196"/>
  <c r="I467" i="196"/>
  <c r="I468" i="196"/>
  <c r="I469" i="196"/>
  <c r="I470" i="196"/>
  <c r="I471" i="196"/>
  <c r="I472" i="196"/>
  <c r="I473" i="196"/>
  <c r="I474" i="196"/>
  <c r="I475" i="196"/>
  <c r="I476" i="196"/>
  <c r="I477" i="196"/>
  <c r="I478" i="196"/>
  <c r="I479" i="196"/>
  <c r="I480" i="196"/>
  <c r="I481" i="196"/>
  <c r="I482" i="196"/>
  <c r="I483" i="196"/>
  <c r="I484" i="196"/>
  <c r="I485" i="196"/>
  <c r="I486" i="196"/>
  <c r="I487" i="196"/>
  <c r="I488" i="196"/>
  <c r="I489" i="196"/>
  <c r="I490" i="196"/>
  <c r="I491" i="196"/>
  <c r="I492" i="196"/>
  <c r="I493" i="196"/>
  <c r="I494" i="196"/>
  <c r="I495" i="196"/>
  <c r="I496" i="196"/>
  <c r="I497" i="196"/>
  <c r="I498" i="196"/>
  <c r="I499" i="196"/>
  <c r="I500" i="196"/>
  <c r="I501" i="196"/>
  <c r="I502" i="196"/>
  <c r="I503" i="196"/>
  <c r="I504" i="196"/>
  <c r="I505" i="196"/>
  <c r="I506" i="196"/>
  <c r="I507" i="196"/>
  <c r="I508" i="196"/>
  <c r="I509" i="196"/>
  <c r="I510" i="196"/>
  <c r="I511" i="196"/>
  <c r="I512" i="196"/>
  <c r="I513" i="196"/>
  <c r="I514" i="196"/>
  <c r="I515" i="196"/>
  <c r="I516" i="196"/>
  <c r="I517" i="196"/>
  <c r="I518" i="196"/>
  <c r="I519" i="196"/>
  <c r="I520" i="196"/>
  <c r="I521" i="196"/>
  <c r="I522" i="196"/>
  <c r="I523" i="196"/>
  <c r="I524" i="196"/>
  <c r="I525" i="196"/>
  <c r="I526" i="196"/>
  <c r="I527" i="196"/>
  <c r="I528" i="196"/>
  <c r="I529" i="196"/>
  <c r="I530" i="196"/>
  <c r="I531" i="196"/>
  <c r="I532" i="196"/>
  <c r="I533" i="196"/>
  <c r="I534" i="196"/>
  <c r="I535" i="196"/>
  <c r="I536" i="196"/>
  <c r="I537" i="196"/>
  <c r="I538" i="196"/>
  <c r="I539" i="196"/>
  <c r="I540" i="196"/>
  <c r="I541" i="196"/>
  <c r="I542" i="196"/>
  <c r="I543" i="196"/>
  <c r="I544" i="196"/>
  <c r="I545" i="196"/>
  <c r="I546" i="196"/>
  <c r="I547" i="196"/>
  <c r="I548" i="196"/>
  <c r="I549" i="196"/>
  <c r="I550" i="196"/>
  <c r="I551" i="196"/>
  <c r="I552" i="196"/>
  <c r="I553" i="196"/>
  <c r="I554" i="196"/>
  <c r="I555" i="196"/>
  <c r="I556" i="196"/>
  <c r="I557" i="196"/>
  <c r="I558" i="196"/>
  <c r="I559" i="196"/>
  <c r="I560" i="196"/>
  <c r="I561" i="196"/>
  <c r="I562" i="196"/>
  <c r="I563" i="196"/>
  <c r="I564" i="196"/>
  <c r="I565" i="196"/>
  <c r="I566" i="196"/>
  <c r="I567" i="196"/>
  <c r="I568" i="196"/>
  <c r="I569" i="196"/>
  <c r="I570" i="196"/>
  <c r="I571" i="196"/>
  <c r="I572" i="196"/>
  <c r="I573" i="196"/>
  <c r="I574" i="196"/>
  <c r="I575" i="196"/>
  <c r="I576" i="196"/>
  <c r="I577" i="196"/>
  <c r="I578" i="196"/>
  <c r="I579" i="196"/>
  <c r="I580" i="196"/>
  <c r="I581" i="196"/>
  <c r="I582" i="196"/>
  <c r="I583" i="196"/>
  <c r="I584" i="196"/>
  <c r="I585" i="196"/>
  <c r="I586" i="196"/>
  <c r="I587" i="196"/>
  <c r="I588" i="196"/>
  <c r="I589" i="196"/>
  <c r="I590" i="196"/>
  <c r="I591" i="196"/>
  <c r="I592" i="196"/>
  <c r="I593" i="196"/>
  <c r="I594" i="196"/>
  <c r="I595" i="196"/>
  <c r="I596" i="196"/>
  <c r="I597" i="196"/>
  <c r="I598" i="196"/>
  <c r="I599" i="196"/>
  <c r="I600" i="196"/>
  <c r="I601" i="196"/>
  <c r="I602" i="196"/>
  <c r="I603" i="196"/>
  <c r="I604" i="196"/>
  <c r="I605" i="196"/>
  <c r="I606" i="196"/>
  <c r="I607" i="196"/>
  <c r="I608" i="196"/>
  <c r="I609" i="196"/>
  <c r="I610" i="196"/>
  <c r="I611" i="196"/>
  <c r="I612" i="196"/>
  <c r="I613" i="196"/>
  <c r="I614" i="196"/>
  <c r="I615" i="196"/>
  <c r="I616" i="196"/>
  <c r="I617" i="196"/>
  <c r="I618" i="196"/>
  <c r="I619" i="196"/>
  <c r="I620" i="196"/>
  <c r="I621" i="196"/>
  <c r="I622" i="196"/>
  <c r="I623" i="196"/>
  <c r="I624" i="196"/>
  <c r="I625" i="196"/>
  <c r="I626" i="196"/>
  <c r="I627" i="196"/>
  <c r="I628" i="196"/>
  <c r="I629" i="196"/>
  <c r="I630" i="196"/>
  <c r="I631" i="196"/>
  <c r="I632" i="196"/>
  <c r="I633" i="196"/>
  <c r="I634" i="196"/>
  <c r="I635" i="196"/>
  <c r="I636" i="196"/>
  <c r="I637" i="196"/>
  <c r="I638" i="196"/>
  <c r="I639" i="196"/>
  <c r="I640" i="196"/>
  <c r="I641" i="196"/>
  <c r="I642" i="196"/>
  <c r="I643" i="196"/>
  <c r="I644" i="196"/>
  <c r="I645" i="196"/>
  <c r="I646" i="196"/>
  <c r="I647" i="196"/>
  <c r="I648" i="196"/>
  <c r="I649" i="196"/>
  <c r="I650" i="196"/>
  <c r="I651" i="196"/>
  <c r="I652" i="196"/>
  <c r="I653" i="196"/>
  <c r="I654" i="196"/>
  <c r="I655" i="196"/>
  <c r="I656" i="196"/>
  <c r="I657" i="196"/>
  <c r="I658" i="196"/>
  <c r="I659" i="196"/>
  <c r="I660" i="196"/>
  <c r="I661" i="196"/>
  <c r="I662" i="196"/>
  <c r="I663" i="196"/>
  <c r="I664" i="196"/>
  <c r="I665" i="196"/>
  <c r="I666" i="196"/>
  <c r="I667" i="196"/>
  <c r="I668" i="196"/>
  <c r="I669" i="196"/>
  <c r="I670" i="196"/>
  <c r="I671" i="196"/>
  <c r="I672" i="196"/>
  <c r="I673" i="196"/>
  <c r="I674" i="196"/>
  <c r="I675" i="196"/>
  <c r="I676" i="196"/>
  <c r="I677" i="196"/>
  <c r="I678" i="196"/>
  <c r="I679" i="196"/>
  <c r="I680" i="196"/>
  <c r="I681" i="196"/>
  <c r="I682" i="196"/>
  <c r="I683" i="196"/>
  <c r="I684" i="196"/>
  <c r="I685" i="196"/>
  <c r="I686" i="196"/>
  <c r="I687" i="196"/>
  <c r="I688" i="196"/>
  <c r="I689" i="196"/>
  <c r="I690" i="196"/>
  <c r="I691" i="196"/>
  <c r="I692" i="196"/>
  <c r="I693" i="196"/>
  <c r="I694" i="196"/>
  <c r="I695" i="196"/>
  <c r="I696" i="196"/>
  <c r="I697" i="196"/>
  <c r="I698" i="196"/>
  <c r="I699" i="196"/>
  <c r="I700" i="196"/>
  <c r="I701" i="196"/>
  <c r="I702" i="196"/>
  <c r="I703" i="196"/>
  <c r="I704" i="196"/>
  <c r="I705" i="196"/>
  <c r="I706" i="196"/>
  <c r="I707" i="196"/>
  <c r="I708" i="196"/>
  <c r="I709" i="196"/>
  <c r="I710" i="196"/>
  <c r="I711" i="196"/>
  <c r="I712" i="196"/>
  <c r="I713" i="196"/>
  <c r="I714" i="196"/>
  <c r="I715" i="196"/>
  <c r="I716" i="196"/>
  <c r="I717" i="196"/>
  <c r="I718" i="196"/>
  <c r="I719" i="196"/>
  <c r="I720" i="196"/>
  <c r="I721" i="196"/>
  <c r="I722" i="196"/>
  <c r="I723" i="196"/>
  <c r="I724" i="196"/>
  <c r="I725" i="196"/>
  <c r="I726" i="196"/>
  <c r="I727" i="196"/>
  <c r="I728" i="196"/>
  <c r="I729" i="196"/>
  <c r="I730" i="196"/>
  <c r="I731" i="196"/>
  <c r="I732" i="196"/>
  <c r="I733" i="196"/>
  <c r="I734" i="196"/>
  <c r="I735" i="196"/>
  <c r="I736" i="196"/>
  <c r="I737" i="196"/>
  <c r="I738" i="196"/>
  <c r="I739" i="196"/>
  <c r="I740" i="196"/>
  <c r="I741" i="196"/>
  <c r="I742" i="196"/>
  <c r="I743" i="196"/>
  <c r="I744" i="196"/>
  <c r="I745" i="196"/>
  <c r="I746" i="196"/>
  <c r="I747" i="196"/>
  <c r="I748" i="196"/>
  <c r="I749" i="196"/>
  <c r="I750" i="196"/>
  <c r="I751" i="196"/>
  <c r="I752" i="196"/>
  <c r="I753" i="196"/>
  <c r="I754" i="196"/>
  <c r="I755" i="196"/>
  <c r="I756" i="196"/>
  <c r="I757" i="196"/>
  <c r="I758" i="196"/>
  <c r="I759" i="196"/>
  <c r="I760" i="196"/>
  <c r="I761" i="196"/>
  <c r="I762" i="196"/>
  <c r="I763" i="196"/>
  <c r="I764" i="196"/>
  <c r="I765" i="196"/>
  <c r="I766" i="196"/>
  <c r="I767" i="196"/>
  <c r="I768" i="196"/>
  <c r="I769" i="196"/>
  <c r="I770" i="196"/>
  <c r="I771" i="196"/>
  <c r="I772" i="196"/>
  <c r="I773" i="196"/>
  <c r="I774" i="196"/>
  <c r="I775" i="196"/>
  <c r="I776" i="196"/>
  <c r="I777" i="196"/>
  <c r="I778" i="196"/>
  <c r="I779" i="196"/>
  <c r="I780" i="196"/>
  <c r="I781" i="196"/>
  <c r="I782" i="196"/>
  <c r="I783" i="196"/>
  <c r="I784" i="196"/>
  <c r="I785" i="196"/>
  <c r="I786" i="196"/>
  <c r="I787" i="196"/>
  <c r="I788" i="196"/>
  <c r="I789" i="196"/>
  <c r="I790" i="196"/>
  <c r="I791" i="196"/>
  <c r="I792" i="196"/>
  <c r="I793" i="196"/>
  <c r="I794" i="196"/>
  <c r="I795" i="196"/>
  <c r="I796" i="196"/>
  <c r="I797" i="196"/>
  <c r="I798" i="196"/>
  <c r="I799" i="196"/>
  <c r="I800" i="196"/>
  <c r="I801" i="196"/>
  <c r="I802" i="196"/>
  <c r="I803" i="196"/>
  <c r="I804" i="196"/>
  <c r="I805" i="196"/>
  <c r="I806" i="196"/>
  <c r="I807" i="196"/>
  <c r="I808" i="196"/>
  <c r="I809" i="196"/>
  <c r="I810" i="196"/>
  <c r="I811" i="196"/>
  <c r="I812" i="196"/>
  <c r="I813" i="196"/>
  <c r="I814" i="196"/>
  <c r="I815" i="196"/>
  <c r="I816" i="196"/>
  <c r="I817" i="196"/>
  <c r="I818" i="196"/>
  <c r="I819" i="196"/>
  <c r="I820" i="196"/>
  <c r="I821" i="196"/>
  <c r="I822" i="196"/>
  <c r="I823" i="196"/>
  <c r="I824" i="196"/>
  <c r="I825" i="196"/>
  <c r="I826" i="196"/>
  <c r="I827" i="196"/>
  <c r="I828" i="196"/>
  <c r="I829" i="196"/>
  <c r="I830" i="196"/>
  <c r="I831" i="196"/>
  <c r="I832" i="196"/>
  <c r="I833" i="196"/>
  <c r="I834" i="196"/>
  <c r="I835" i="196"/>
  <c r="I836" i="196"/>
  <c r="I837" i="196"/>
  <c r="I838" i="196"/>
  <c r="I839" i="196"/>
  <c r="I840" i="196"/>
  <c r="I841" i="196"/>
  <c r="I842" i="196"/>
  <c r="I843" i="196"/>
  <c r="I844" i="196"/>
  <c r="I845" i="196"/>
  <c r="I846" i="196"/>
  <c r="I847" i="196"/>
  <c r="I848" i="196"/>
  <c r="I849" i="196"/>
  <c r="I850" i="196"/>
  <c r="I851" i="196"/>
  <c r="I852" i="196"/>
  <c r="I853" i="196"/>
  <c r="I854" i="196"/>
  <c r="I855" i="196"/>
  <c r="I856" i="196"/>
  <c r="I857" i="196"/>
  <c r="I858" i="196"/>
  <c r="I859" i="196"/>
  <c r="I860" i="196"/>
  <c r="I861" i="196"/>
  <c r="I862" i="196"/>
  <c r="I863" i="196"/>
  <c r="I864" i="196"/>
  <c r="I865" i="196"/>
  <c r="I866" i="196"/>
  <c r="I867" i="196"/>
  <c r="I868" i="196"/>
  <c r="I869" i="196"/>
  <c r="I870" i="196"/>
  <c r="I871" i="196"/>
  <c r="I872" i="196"/>
  <c r="I873" i="196"/>
  <c r="I874" i="196"/>
  <c r="I875" i="196"/>
  <c r="I876" i="196"/>
  <c r="I877" i="196"/>
  <c r="I878" i="196"/>
  <c r="I879" i="196"/>
  <c r="I880" i="196"/>
  <c r="I881" i="196"/>
  <c r="I882" i="196"/>
  <c r="I883" i="196"/>
  <c r="I884" i="196"/>
  <c r="I885" i="196"/>
  <c r="I886" i="196"/>
  <c r="I887" i="196"/>
  <c r="I888" i="196"/>
  <c r="I889" i="196"/>
  <c r="I890" i="196"/>
  <c r="I891" i="196"/>
  <c r="I892" i="196"/>
  <c r="I893" i="196"/>
  <c r="I894" i="196"/>
  <c r="I895" i="196"/>
  <c r="I896" i="196"/>
  <c r="I897" i="196"/>
  <c r="I898" i="196"/>
  <c r="I899" i="196"/>
  <c r="I900" i="196"/>
  <c r="I901" i="196"/>
  <c r="I902" i="196"/>
  <c r="I903" i="196"/>
  <c r="I904" i="196"/>
  <c r="I905" i="196"/>
  <c r="I906" i="196"/>
  <c r="I907" i="196"/>
  <c r="I908" i="196"/>
  <c r="I909" i="196"/>
  <c r="I910" i="196"/>
  <c r="I911" i="196"/>
  <c r="I912" i="196"/>
  <c r="I913" i="196"/>
  <c r="I914" i="196"/>
  <c r="I915" i="196"/>
  <c r="I916" i="196"/>
  <c r="I917" i="196"/>
  <c r="I918" i="196"/>
  <c r="I919" i="196"/>
  <c r="I920" i="196"/>
  <c r="I921" i="196"/>
  <c r="I922" i="196"/>
  <c r="I923" i="196"/>
  <c r="I924" i="196"/>
  <c r="I925" i="196"/>
  <c r="I926" i="196"/>
  <c r="I927" i="196"/>
  <c r="I928" i="196"/>
  <c r="I929" i="196"/>
  <c r="I930" i="196"/>
  <c r="I931" i="196"/>
  <c r="I932" i="196"/>
  <c r="I933" i="196"/>
  <c r="I934" i="196"/>
  <c r="I935" i="196"/>
  <c r="I936" i="196"/>
  <c r="I937" i="196"/>
  <c r="I938" i="196"/>
  <c r="I939" i="196"/>
  <c r="I940" i="196"/>
  <c r="I941" i="196"/>
  <c r="I942" i="196"/>
  <c r="I943" i="196"/>
  <c r="I944" i="196"/>
  <c r="I945" i="196"/>
  <c r="I946" i="196"/>
  <c r="I947" i="196"/>
  <c r="I948" i="196"/>
  <c r="I949" i="196"/>
  <c r="I950" i="196"/>
  <c r="I951" i="196"/>
  <c r="I952" i="196"/>
  <c r="I953" i="196"/>
  <c r="I954" i="196"/>
  <c r="I955" i="196"/>
  <c r="I956" i="196"/>
  <c r="I957" i="196"/>
  <c r="I958" i="196"/>
  <c r="I959" i="196"/>
  <c r="I960" i="196"/>
  <c r="I961" i="196"/>
  <c r="I962" i="196"/>
  <c r="I963" i="196"/>
  <c r="I964" i="196"/>
  <c r="I965" i="196"/>
  <c r="I966" i="196"/>
  <c r="I967" i="196"/>
  <c r="I968" i="196"/>
  <c r="I969" i="196"/>
  <c r="I970" i="196"/>
  <c r="I971" i="196"/>
  <c r="I972" i="196"/>
  <c r="I973" i="196"/>
  <c r="I974" i="196"/>
  <c r="I975" i="196"/>
  <c r="I976" i="196"/>
  <c r="I977" i="196"/>
  <c r="I978" i="196"/>
  <c r="I979" i="196"/>
  <c r="I980" i="196"/>
  <c r="I981" i="196"/>
  <c r="I982" i="196"/>
  <c r="I983" i="196"/>
  <c r="I984" i="196"/>
  <c r="I985" i="196"/>
  <c r="I986" i="196"/>
  <c r="I987" i="196"/>
  <c r="I988" i="196"/>
  <c r="I989" i="196"/>
  <c r="I990" i="196"/>
  <c r="I991" i="196"/>
  <c r="I992" i="196"/>
  <c r="I993" i="196"/>
  <c r="I994" i="196"/>
  <c r="I995" i="196"/>
  <c r="I996" i="196"/>
  <c r="I997" i="196"/>
  <c r="I998" i="196"/>
  <c r="I999" i="196"/>
  <c r="I1000" i="196"/>
  <c r="I1001" i="196"/>
  <c r="I1002" i="196"/>
  <c r="I1003" i="196"/>
  <c r="I1004" i="196"/>
  <c r="I1005" i="196"/>
  <c r="I1006" i="196"/>
  <c r="I1007" i="196"/>
  <c r="I1008" i="196"/>
  <c r="I1009" i="196"/>
  <c r="I1010" i="196"/>
  <c r="I1011" i="196"/>
  <c r="I1012" i="196"/>
  <c r="I1013" i="196"/>
  <c r="I1014" i="196"/>
  <c r="I1015" i="196"/>
  <c r="I1016" i="196"/>
  <c r="I1017" i="196"/>
  <c r="I1018" i="196"/>
  <c r="I1019" i="196"/>
  <c r="I1020" i="196"/>
  <c r="I1021" i="196"/>
  <c r="I1022" i="196"/>
  <c r="I1023" i="196"/>
  <c r="I1024" i="196"/>
  <c r="I1025" i="196"/>
  <c r="I1026" i="196"/>
  <c r="I1027" i="196"/>
  <c r="I1028" i="196"/>
  <c r="I1029" i="196"/>
  <c r="I1030" i="196"/>
  <c r="I1031" i="196"/>
  <c r="I1032" i="196"/>
  <c r="I1033" i="196"/>
  <c r="I1034" i="196"/>
  <c r="I1035" i="196"/>
  <c r="I1036" i="196"/>
  <c r="I1037" i="196"/>
  <c r="I1038" i="196"/>
  <c r="I1039" i="196"/>
  <c r="I1040" i="196"/>
  <c r="I1041" i="196"/>
  <c r="I1042" i="196"/>
  <c r="I1043" i="196"/>
  <c r="I1044" i="196"/>
  <c r="I1045" i="196"/>
  <c r="I1046" i="196"/>
  <c r="I1047" i="196"/>
  <c r="I1048" i="196"/>
  <c r="I1049" i="196"/>
  <c r="I1050" i="196"/>
  <c r="I1051" i="196"/>
  <c r="I1052" i="196"/>
  <c r="I1053" i="196"/>
  <c r="I1054" i="196"/>
  <c r="I1055" i="196"/>
  <c r="I1056" i="196"/>
  <c r="I1057" i="196"/>
  <c r="I1058" i="196"/>
  <c r="I1059" i="196"/>
  <c r="I1060" i="196"/>
  <c r="I1061" i="196"/>
  <c r="I1062" i="196"/>
  <c r="I1063" i="196"/>
  <c r="I1064" i="196"/>
  <c r="I1065" i="196"/>
  <c r="I1066" i="196"/>
  <c r="I1067" i="196"/>
  <c r="I1068" i="196"/>
  <c r="I1069" i="196"/>
  <c r="I1070" i="196"/>
  <c r="I1071" i="196"/>
  <c r="I1072" i="196"/>
  <c r="I1073" i="196"/>
  <c r="I1074" i="196"/>
  <c r="I1075" i="196"/>
  <c r="I1076" i="196"/>
  <c r="I1077" i="196"/>
  <c r="I1078" i="196"/>
  <c r="I1079" i="196"/>
  <c r="I1080" i="196"/>
  <c r="I1081" i="196"/>
  <c r="I1082" i="196"/>
  <c r="I1083" i="196"/>
  <c r="I1084" i="196"/>
  <c r="I1085" i="196"/>
  <c r="I1086" i="196"/>
  <c r="I1087" i="196"/>
  <c r="I1088" i="196"/>
  <c r="I1089" i="196"/>
  <c r="I1090" i="196"/>
  <c r="I1091" i="196"/>
  <c r="I1092" i="196"/>
  <c r="I1093" i="196"/>
  <c r="I1094" i="196"/>
  <c r="I1095" i="196"/>
  <c r="I1096" i="196"/>
  <c r="I1097" i="196"/>
  <c r="I1098" i="196"/>
  <c r="I1099" i="196"/>
  <c r="I1100" i="196"/>
  <c r="I1101" i="196"/>
  <c r="I1102" i="196"/>
  <c r="I1103" i="196"/>
  <c r="I1104" i="196"/>
  <c r="I1105" i="196"/>
  <c r="I1106" i="196"/>
  <c r="I1107" i="196"/>
  <c r="I1108" i="196"/>
  <c r="I1109" i="196"/>
  <c r="I1110" i="196"/>
  <c r="I1111" i="196"/>
  <c r="I1112" i="196"/>
  <c r="I1113" i="196"/>
  <c r="I1114" i="196"/>
  <c r="I1115" i="196"/>
  <c r="I1116" i="196"/>
  <c r="I1117" i="196"/>
  <c r="I1118" i="196"/>
  <c r="I1119" i="196"/>
  <c r="I1120" i="196"/>
  <c r="I1121" i="196"/>
  <c r="I1122" i="196"/>
  <c r="I1123" i="196"/>
  <c r="I1124" i="196"/>
  <c r="I1125" i="196"/>
  <c r="I1126" i="196"/>
  <c r="I1127" i="196"/>
  <c r="I1128" i="196"/>
  <c r="I1129" i="196"/>
  <c r="I1130" i="196"/>
  <c r="I1131" i="196"/>
  <c r="I1132" i="196"/>
  <c r="I1133" i="196"/>
  <c r="I1134" i="196"/>
  <c r="I1135" i="196"/>
  <c r="I1136" i="196"/>
  <c r="I1137" i="196"/>
  <c r="I1138" i="196"/>
  <c r="I1139" i="196"/>
  <c r="I1140" i="196"/>
  <c r="I1141" i="196"/>
  <c r="I1142" i="196"/>
  <c r="I1143" i="196"/>
  <c r="I1144" i="196"/>
  <c r="I1145" i="196"/>
  <c r="I1146" i="196"/>
  <c r="I1147" i="196"/>
  <c r="I1148" i="196"/>
  <c r="I1149" i="196"/>
  <c r="I1150" i="196"/>
  <c r="I1151" i="196"/>
  <c r="I1152" i="196"/>
  <c r="I1153" i="196"/>
  <c r="I1154" i="196"/>
  <c r="I1155" i="196"/>
  <c r="I1156" i="196"/>
  <c r="I1157" i="196"/>
  <c r="I1158" i="196"/>
  <c r="I1159" i="196"/>
  <c r="I1160" i="196"/>
  <c r="I1161" i="196"/>
  <c r="I1162" i="196"/>
  <c r="I1163" i="196"/>
  <c r="I1164" i="196"/>
  <c r="I1165" i="196"/>
  <c r="I1166" i="196"/>
  <c r="I1167" i="196"/>
  <c r="I1168" i="196"/>
  <c r="I1169" i="196"/>
  <c r="I1170" i="196"/>
  <c r="I1171" i="196"/>
  <c r="I1172" i="196"/>
  <c r="I1173" i="196"/>
  <c r="I1174" i="196"/>
  <c r="I1175" i="196"/>
  <c r="I1176" i="196"/>
  <c r="I1177" i="196"/>
  <c r="I1178" i="196"/>
  <c r="I1179" i="196"/>
  <c r="I1180" i="196"/>
  <c r="I1181" i="196"/>
  <c r="I1182" i="196"/>
  <c r="I1183" i="196"/>
  <c r="I1184" i="196"/>
  <c r="I1185" i="196"/>
  <c r="I1186" i="196"/>
  <c r="I1187" i="196"/>
  <c r="I1188" i="196"/>
  <c r="I1189" i="196"/>
  <c r="I1190" i="196"/>
  <c r="I1191" i="196"/>
  <c r="I1192" i="196"/>
  <c r="I1193" i="196"/>
  <c r="I1194" i="196"/>
  <c r="I1195" i="196"/>
  <c r="I1196" i="196"/>
  <c r="I1197" i="196"/>
  <c r="I1198" i="196"/>
  <c r="I1199" i="196"/>
  <c r="I1200" i="196"/>
  <c r="I1201" i="196"/>
  <c r="I1202" i="196"/>
  <c r="I1203" i="196"/>
  <c r="I1204" i="196"/>
  <c r="I1205" i="196"/>
  <c r="I1206" i="196"/>
  <c r="I1207" i="196"/>
  <c r="I1208" i="196"/>
  <c r="I1209" i="196"/>
  <c r="I1210" i="196"/>
  <c r="I1211" i="196"/>
  <c r="I1212" i="196"/>
  <c r="I1213" i="196"/>
  <c r="I1214" i="196"/>
  <c r="I1215" i="196"/>
  <c r="I1216" i="196"/>
  <c r="I1217" i="196"/>
  <c r="I1218" i="196"/>
  <c r="I1219" i="196"/>
  <c r="I1220" i="196"/>
  <c r="I1221" i="196"/>
  <c r="I1222" i="196"/>
  <c r="I1223" i="196"/>
  <c r="I1224" i="196"/>
  <c r="I1225" i="196"/>
  <c r="I1226" i="196"/>
  <c r="I1227" i="196"/>
  <c r="I1228" i="196"/>
  <c r="I1229" i="196"/>
  <c r="I1230" i="196"/>
  <c r="I1231" i="196"/>
  <c r="I1232" i="196"/>
  <c r="I1233" i="196"/>
  <c r="I1234" i="196"/>
  <c r="I1235" i="196"/>
  <c r="I1236" i="196"/>
  <c r="I1237" i="196"/>
  <c r="I1238" i="196"/>
  <c r="I1239" i="196"/>
  <c r="I1240" i="196"/>
  <c r="I1241" i="196"/>
  <c r="I1242" i="196"/>
  <c r="I1243" i="196"/>
  <c r="I1244" i="196"/>
  <c r="I1245" i="196"/>
  <c r="I1246" i="196"/>
  <c r="I1247" i="196"/>
  <c r="I1248" i="196"/>
  <c r="I1249" i="196"/>
  <c r="I1250" i="196"/>
  <c r="I1251" i="196"/>
  <c r="I1252" i="196"/>
  <c r="I1253" i="196"/>
  <c r="I1254" i="196"/>
  <c r="I1255" i="196"/>
  <c r="I1256" i="196"/>
  <c r="I1257" i="196"/>
  <c r="I1258" i="196"/>
  <c r="I1259" i="196"/>
  <c r="I1260" i="196"/>
  <c r="I1261" i="196"/>
  <c r="I1262" i="196"/>
  <c r="I1263" i="196"/>
  <c r="I1264" i="196"/>
  <c r="I1265" i="196"/>
  <c r="I1266" i="196"/>
  <c r="I1267" i="196"/>
  <c r="I1268" i="196"/>
  <c r="I1269" i="196"/>
  <c r="I1270" i="196"/>
  <c r="I1271" i="196"/>
  <c r="I1272" i="196"/>
  <c r="I1273" i="196"/>
  <c r="I1274" i="196"/>
  <c r="I1275" i="196"/>
  <c r="I1276" i="196"/>
  <c r="A3" i="252" a="1"/>
  <c r="A3" i="252" s="1"/>
  <c r="A12" i="260" a="1"/>
  <c r="A12" i="260" s="1"/>
  <c r="A15" i="267" s="1"/>
  <c r="A17" i="266"/>
  <c r="A3" i="267" a="1"/>
  <c r="A3" i="267" s="1"/>
  <c r="H97" i="269"/>
  <c r="H96" i="269"/>
  <c r="H95" i="269"/>
  <c r="H94" i="269"/>
  <c r="H93" i="269"/>
  <c r="H92" i="269"/>
  <c r="H91" i="269"/>
  <c r="H90" i="269"/>
  <c r="H89" i="269"/>
  <c r="H88" i="269"/>
  <c r="H87" i="269"/>
  <c r="H86" i="269"/>
  <c r="H85" i="269"/>
  <c r="H84" i="269"/>
  <c r="H83" i="269"/>
  <c r="H82" i="269"/>
  <c r="H81" i="269"/>
  <c r="H80" i="269"/>
  <c r="H79" i="269"/>
  <c r="H78" i="269"/>
  <c r="H77" i="269"/>
  <c r="H76" i="269"/>
  <c r="H75" i="269"/>
  <c r="H74" i="269"/>
  <c r="H73" i="269"/>
  <c r="H72" i="269"/>
  <c r="H71" i="269"/>
  <c r="H70" i="269"/>
  <c r="H69" i="269"/>
  <c r="H68" i="269"/>
  <c r="H67" i="269"/>
  <c r="H66" i="269"/>
  <c r="H65" i="269"/>
  <c r="H64" i="269"/>
  <c r="H63" i="269"/>
  <c r="H62" i="269"/>
  <c r="H61" i="269"/>
  <c r="H60" i="269"/>
  <c r="H59" i="269"/>
  <c r="H58" i="269"/>
  <c r="H57" i="269"/>
  <c r="H56" i="269"/>
  <c r="H55" i="269"/>
  <c r="H54" i="269"/>
  <c r="H53" i="269"/>
  <c r="H52" i="269"/>
  <c r="H51" i="269"/>
  <c r="H50" i="269"/>
  <c r="H49" i="269"/>
  <c r="H48" i="269"/>
  <c r="H47" i="269"/>
  <c r="H46" i="269"/>
  <c r="H45" i="269"/>
  <c r="H44" i="269"/>
  <c r="H43" i="269"/>
  <c r="H42" i="269"/>
  <c r="H41" i="269"/>
  <c r="H40" i="269"/>
  <c r="H39" i="269"/>
  <c r="H38" i="269"/>
  <c r="H37" i="269"/>
  <c r="H36" i="269"/>
  <c r="H35" i="269"/>
  <c r="H34" i="269"/>
  <c r="H33" i="269"/>
  <c r="H32" i="269"/>
  <c r="H31" i="269"/>
  <c r="H30" i="269"/>
  <c r="H29" i="269"/>
  <c r="H28" i="269"/>
  <c r="H27" i="269"/>
  <c r="H26" i="269"/>
  <c r="H25" i="269"/>
  <c r="H24" i="269"/>
  <c r="H23" i="269"/>
  <c r="H22" i="269"/>
  <c r="Q2" i="196"/>
  <c r="Q14" i="196"/>
  <c r="Q4" i="196"/>
  <c r="Q172" i="196"/>
  <c r="Q6" i="196"/>
  <c r="Q7" i="196"/>
  <c r="Q8" i="196"/>
  <c r="Q9" i="196"/>
  <c r="Q10" i="196"/>
  <c r="Q174" i="196"/>
  <c r="Q664" i="196"/>
  <c r="Q13" i="196"/>
  <c r="Q246" i="196"/>
  <c r="Q164" i="196"/>
  <c r="Q247" i="196"/>
  <c r="Q17" i="196"/>
  <c r="Q155" i="196"/>
  <c r="Q138" i="196"/>
  <c r="Q20" i="196"/>
  <c r="Q21" i="196"/>
  <c r="Q22" i="196"/>
  <c r="Q23" i="196"/>
  <c r="Q175" i="196"/>
  <c r="Q25" i="196"/>
  <c r="Q26" i="196"/>
  <c r="Q27" i="196"/>
  <c r="Q192" i="196"/>
  <c r="Q343" i="196"/>
  <c r="Q665" i="196"/>
  <c r="Q31" i="196"/>
  <c r="Q32" i="196"/>
  <c r="Q33" i="196"/>
  <c r="Q34" i="196"/>
  <c r="Q35" i="196"/>
  <c r="Q36" i="196"/>
  <c r="Q37" i="196"/>
  <c r="Q673" i="196"/>
  <c r="Q193" i="196"/>
  <c r="Q40" i="196"/>
  <c r="Q41" i="196"/>
  <c r="Q380" i="196"/>
  <c r="Q43" i="196"/>
  <c r="Q248" i="196"/>
  <c r="Q45" i="196"/>
  <c r="Q46" i="196"/>
  <c r="Q47" i="196"/>
  <c r="Q48" i="196"/>
  <c r="Q49" i="196"/>
  <c r="Q50" i="196"/>
  <c r="Q51" i="196"/>
  <c r="Q52" i="196"/>
  <c r="Q53" i="196"/>
  <c r="Q54" i="196"/>
  <c r="Q55" i="196"/>
  <c r="Q56" i="196"/>
  <c r="Q57" i="196"/>
  <c r="Q58" i="196"/>
  <c r="Q59" i="196"/>
  <c r="Q60" i="196"/>
  <c r="Q61" i="196"/>
  <c r="Q29" i="196"/>
  <c r="Q110" i="196"/>
  <c r="Q674" i="196"/>
  <c r="Q675" i="196"/>
  <c r="Q66" i="196"/>
  <c r="Q67" i="196"/>
  <c r="Q68" i="196"/>
  <c r="Q69" i="196"/>
  <c r="Q70" i="196"/>
  <c r="Q71" i="196"/>
  <c r="Q72" i="196"/>
  <c r="Q73" i="196"/>
  <c r="Q74" i="196"/>
  <c r="Q75" i="196"/>
  <c r="Q76" i="196"/>
  <c r="Q77" i="196"/>
  <c r="Q252" i="196"/>
  <c r="Q676" i="196"/>
  <c r="Q80" i="196"/>
  <c r="Q81" i="196"/>
  <c r="Q381" i="196"/>
  <c r="Q677" i="196"/>
  <c r="Q679" i="196"/>
  <c r="Q85" i="196"/>
  <c r="Q86" i="196"/>
  <c r="Q253" i="196"/>
  <c r="Q398" i="196"/>
  <c r="Q194" i="196"/>
  <c r="Q90" i="196"/>
  <c r="Q91" i="196"/>
  <c r="Q92" i="196"/>
  <c r="Q93" i="196"/>
  <c r="Q94" i="196"/>
  <c r="Q681" i="196"/>
  <c r="Q96" i="196"/>
  <c r="Q97" i="196"/>
  <c r="Q98" i="196"/>
  <c r="Q682" i="196"/>
  <c r="Q100" i="196"/>
  <c r="Q399" i="196"/>
  <c r="Q686" i="196"/>
  <c r="Q687" i="196"/>
  <c r="Q104" i="196"/>
  <c r="Q105" i="196"/>
  <c r="Q106" i="196"/>
  <c r="Q107" i="196"/>
  <c r="Q403" i="196"/>
  <c r="Q258" i="196"/>
  <c r="Q690" i="196"/>
  <c r="Q111" i="196"/>
  <c r="Q112" i="196"/>
  <c r="Q113" i="196"/>
  <c r="Q114" i="196"/>
  <c r="Q693" i="196"/>
  <c r="Q116" i="196"/>
  <c r="Q117" i="196"/>
  <c r="Q118" i="196"/>
  <c r="Q405" i="196"/>
  <c r="Q11" i="196"/>
  <c r="Q15" i="196"/>
  <c r="Q5" i="196"/>
  <c r="Q16" i="196"/>
  <c r="Q18" i="196"/>
  <c r="Q30" i="196"/>
  <c r="Q122" i="196"/>
  <c r="Q698" i="196"/>
  <c r="Q19" i="196"/>
  <c r="Q129" i="196"/>
  <c r="Q130" i="196"/>
  <c r="Q131" i="196"/>
  <c r="Q132" i="196"/>
  <c r="Q133" i="196"/>
  <c r="Q134" i="196"/>
  <c r="Q699" i="196"/>
  <c r="Q136" i="196"/>
  <c r="Q165" i="196"/>
  <c r="Q123" i="196"/>
  <c r="Q38" i="196"/>
  <c r="Q140" i="196"/>
  <c r="Q141" i="196"/>
  <c r="Q142" i="196"/>
  <c r="Q143" i="196"/>
  <c r="Q144" i="196"/>
  <c r="Q195" i="196"/>
  <c r="Q39" i="196"/>
  <c r="Q700" i="196"/>
  <c r="Q148" i="196"/>
  <c r="Q149" i="196"/>
  <c r="Q150" i="196"/>
  <c r="Q267" i="196"/>
  <c r="Q268" i="196"/>
  <c r="Q701" i="196"/>
  <c r="Q154" i="196"/>
  <c r="Q407" i="196"/>
  <c r="Q196" i="196"/>
  <c r="Q115" i="196"/>
  <c r="Q139" i="196"/>
  <c r="Q159" i="196"/>
  <c r="Q160" i="196"/>
  <c r="Q161" i="196"/>
  <c r="Q162" i="196"/>
  <c r="Q156" i="196"/>
  <c r="Q24" i="196"/>
  <c r="Q42" i="196"/>
  <c r="Q421" i="196"/>
  <c r="Q707" i="196"/>
  <c r="Q197" i="196"/>
  <c r="Q44" i="196"/>
  <c r="Q207" i="196"/>
  <c r="Q171" i="196"/>
  <c r="Q708" i="196"/>
  <c r="Q173" i="196"/>
  <c r="Q423" i="196"/>
  <c r="Q62" i="196"/>
  <c r="Q102" i="196"/>
  <c r="Q145" i="196"/>
  <c r="Q176" i="196"/>
  <c r="Q425" i="196"/>
  <c r="Q180" i="196"/>
  <c r="Q124" i="196"/>
  <c r="Q166" i="196"/>
  <c r="Q183" i="196"/>
  <c r="Q184" i="196"/>
  <c r="Q185" i="196"/>
  <c r="Q125" i="196"/>
  <c r="Q146" i="196"/>
  <c r="Q188" i="196"/>
  <c r="Q189" i="196"/>
  <c r="Q709" i="196"/>
  <c r="Q191" i="196"/>
  <c r="Q177" i="196"/>
  <c r="Q135" i="196"/>
  <c r="Q103" i="196"/>
  <c r="Q157" i="196"/>
  <c r="Q269" i="196"/>
  <c r="Q178" i="196"/>
  <c r="Q198" i="196"/>
  <c r="Q199" i="196"/>
  <c r="Q200" i="196"/>
  <c r="Q201" i="196"/>
  <c r="Q202" i="196"/>
  <c r="Q203" i="196"/>
  <c r="Q204" i="196"/>
  <c r="Q205" i="196"/>
  <c r="Q206" i="196"/>
  <c r="Q270" i="196"/>
  <c r="Q179" i="196"/>
  <c r="Q158" i="196"/>
  <c r="Q210" i="196"/>
  <c r="Q211" i="196"/>
  <c r="Q723" i="196"/>
  <c r="Q213" i="196"/>
  <c r="Q494" i="196"/>
  <c r="Q725" i="196"/>
  <c r="Q539" i="196"/>
  <c r="Q271" i="196"/>
  <c r="Q272" i="196"/>
  <c r="Q219" i="196"/>
  <c r="Q220" i="196"/>
  <c r="Q221" i="196"/>
  <c r="Q222" i="196"/>
  <c r="Q223" i="196"/>
  <c r="Q224" i="196"/>
  <c r="Q126" i="196"/>
  <c r="Q540" i="196"/>
  <c r="Q759" i="196"/>
  <c r="Q208" i="196"/>
  <c r="Q541" i="196"/>
  <c r="Q230" i="196"/>
  <c r="Q231" i="196"/>
  <c r="Q181" i="196"/>
  <c r="Q63" i="196"/>
  <c r="Q234" i="196"/>
  <c r="Q64" i="196"/>
  <c r="Q766" i="196"/>
  <c r="Q774" i="196"/>
  <c r="Q238" i="196"/>
  <c r="Q239" i="196"/>
  <c r="Q240" i="196"/>
  <c r="Q241" i="196"/>
  <c r="Q209" i="196"/>
  <c r="Q212" i="196"/>
  <c r="Q244" i="196"/>
  <c r="Q548" i="196"/>
  <c r="Q775" i="196"/>
  <c r="Q214" i="196"/>
  <c r="Q550" i="196"/>
  <c r="Q249" i="196"/>
  <c r="Q250" i="196"/>
  <c r="Q251" i="196"/>
  <c r="Q108" i="196"/>
  <c r="Q119" i="196"/>
  <c r="Q254" i="196"/>
  <c r="Q255" i="196"/>
  <c r="Q256" i="196"/>
  <c r="Q257" i="196"/>
  <c r="Q777" i="196"/>
  <c r="Q259" i="196"/>
  <c r="Q260" i="196"/>
  <c r="Q261" i="196"/>
  <c r="Q262" i="196"/>
  <c r="Q263" i="196"/>
  <c r="Q264" i="196"/>
  <c r="Q265" i="196"/>
  <c r="Q266" i="196"/>
  <c r="Q560" i="196"/>
  <c r="Q215" i="196"/>
  <c r="Q216" i="196"/>
  <c r="Q137" i="196"/>
  <c r="Q273" i="196"/>
  <c r="Q65" i="196"/>
  <c r="Q12" i="196"/>
  <c r="Q274" i="196"/>
  <c r="Q275" i="196"/>
  <c r="Q778" i="196"/>
  <c r="Q277" i="196"/>
  <c r="Q278" i="196"/>
  <c r="Q279" i="196"/>
  <c r="Q280" i="196"/>
  <c r="Q281" i="196"/>
  <c r="Q282" i="196"/>
  <c r="Q276" i="196"/>
  <c r="Q284" i="196"/>
  <c r="Q78" i="196"/>
  <c r="Q286" i="196"/>
  <c r="Q287" i="196"/>
  <c r="Q167" i="196"/>
  <c r="Q79" i="196"/>
  <c r="Q283" i="196"/>
  <c r="Q120" i="196"/>
  <c r="Q147" i="196"/>
  <c r="Q82" i="196"/>
  <c r="Q294" i="196"/>
  <c r="Q779" i="196"/>
  <c r="Q296" i="196"/>
  <c r="Q297" i="196"/>
  <c r="Q298" i="196"/>
  <c r="Q299" i="196"/>
  <c r="Q300" i="196"/>
  <c r="Q301" i="196"/>
  <c r="Q3" i="196"/>
  <c r="Q217" i="196"/>
  <c r="Q304" i="196"/>
  <c r="Q305" i="196"/>
  <c r="Q306" i="196"/>
  <c r="Q307" i="196"/>
  <c r="Q308" i="196"/>
  <c r="Q309" i="196"/>
  <c r="Q310" i="196"/>
  <c r="Q311" i="196"/>
  <c r="Q312" i="196"/>
  <c r="Q313" i="196"/>
  <c r="Q314" i="196"/>
  <c r="Q315" i="196"/>
  <c r="Q316" i="196"/>
  <c r="Q317" i="196"/>
  <c r="Q83" i="196"/>
  <c r="Q168" i="196"/>
  <c r="Q320" i="196"/>
  <c r="Q567" i="196"/>
  <c r="Q218" i="196"/>
  <c r="Q323" i="196"/>
  <c r="Q324" i="196"/>
  <c r="Q325" i="196"/>
  <c r="Q326" i="196"/>
  <c r="Q327" i="196"/>
  <c r="Q328" i="196"/>
  <c r="Q329" i="196"/>
  <c r="Q330" i="196"/>
  <c r="Q331" i="196"/>
  <c r="Q332" i="196"/>
  <c r="Q333" i="196"/>
  <c r="Q334" i="196"/>
  <c r="Q335" i="196"/>
  <c r="Q336" i="196"/>
  <c r="Q337" i="196"/>
  <c r="Q338" i="196"/>
  <c r="Q339" i="196"/>
  <c r="Q340" i="196"/>
  <c r="Q127" i="196"/>
  <c r="Q342" i="196"/>
  <c r="Q285" i="196"/>
  <c r="Q344" i="196"/>
  <c r="Q345" i="196"/>
  <c r="Q346" i="196"/>
  <c r="Q347" i="196"/>
  <c r="Q348" i="196"/>
  <c r="Q349" i="196"/>
  <c r="Q350" i="196"/>
  <c r="Q351" i="196"/>
  <c r="Q352" i="196"/>
  <c r="Q353" i="196"/>
  <c r="Q354" i="196"/>
  <c r="Q355" i="196"/>
  <c r="Q356" i="196"/>
  <c r="Q357" i="196"/>
  <c r="Q358" i="196"/>
  <c r="Q359" i="196"/>
  <c r="Q360" i="196"/>
  <c r="Q361" i="196"/>
  <c r="Q362" i="196"/>
  <c r="Q363" i="196"/>
  <c r="Q364" i="196"/>
  <c r="Q365" i="196"/>
  <c r="Q366" i="196"/>
  <c r="Q367" i="196"/>
  <c r="Q368" i="196"/>
  <c r="Q369" i="196"/>
  <c r="Q370" i="196"/>
  <c r="Q371" i="196"/>
  <c r="Q372" i="196"/>
  <c r="Q373" i="196"/>
  <c r="Q374" i="196"/>
  <c r="Q375" i="196"/>
  <c r="Q376" i="196"/>
  <c r="Q377" i="196"/>
  <c r="Q378" i="196"/>
  <c r="Q379" i="196"/>
  <c r="Q84" i="196"/>
  <c r="Q780" i="196"/>
  <c r="Q382" i="196"/>
  <c r="Q383" i="196"/>
  <c r="Q384" i="196"/>
  <c r="Q385" i="196"/>
  <c r="Q386" i="196"/>
  <c r="Q387" i="196"/>
  <c r="Q388" i="196"/>
  <c r="Q389" i="196"/>
  <c r="Q390" i="196"/>
  <c r="Q391" i="196"/>
  <c r="Q392" i="196"/>
  <c r="Q393" i="196"/>
  <c r="Q394" i="196"/>
  <c r="Q395" i="196"/>
  <c r="Q396" i="196"/>
  <c r="Q397" i="196"/>
  <c r="Q785" i="196"/>
  <c r="Q586" i="196"/>
  <c r="Q400" i="196"/>
  <c r="Q401" i="196"/>
  <c r="Q402" i="196"/>
  <c r="Q588" i="196"/>
  <c r="Q404" i="196"/>
  <c r="Q786" i="196"/>
  <c r="Q406" i="196"/>
  <c r="Q589" i="196"/>
  <c r="Q408" i="196"/>
  <c r="Q409" i="196"/>
  <c r="Q410" i="196"/>
  <c r="Q411" i="196"/>
  <c r="Q412" i="196"/>
  <c r="Q413" i="196"/>
  <c r="Q414" i="196"/>
  <c r="Q415" i="196"/>
  <c r="Q416" i="196"/>
  <c r="Q417" i="196"/>
  <c r="Q418" i="196"/>
  <c r="Q419" i="196"/>
  <c r="Q420" i="196"/>
  <c r="Q788" i="196"/>
  <c r="Q422" i="196"/>
  <c r="Q163" i="196"/>
  <c r="Q424" i="196"/>
  <c r="Q590" i="196"/>
  <c r="Q426" i="196"/>
  <c r="Q427" i="196"/>
  <c r="Q428" i="196"/>
  <c r="Q429" i="196"/>
  <c r="Q430" i="196"/>
  <c r="Q431" i="196"/>
  <c r="Q432" i="196"/>
  <c r="Q433" i="196"/>
  <c r="Q434" i="196"/>
  <c r="Q435" i="196"/>
  <c r="Q436" i="196"/>
  <c r="Q437" i="196"/>
  <c r="Q438" i="196"/>
  <c r="Q439" i="196"/>
  <c r="Q440" i="196"/>
  <c r="Q441" i="196"/>
  <c r="Q442" i="196"/>
  <c r="Q443" i="196"/>
  <c r="Q444" i="196"/>
  <c r="Q445" i="196"/>
  <c r="Q446" i="196"/>
  <c r="Q447" i="196"/>
  <c r="Q448" i="196"/>
  <c r="Q449" i="196"/>
  <c r="Q450" i="196"/>
  <c r="Q451" i="196"/>
  <c r="Q452" i="196"/>
  <c r="Q453" i="196"/>
  <c r="Q454" i="196"/>
  <c r="Q455" i="196"/>
  <c r="Q456" i="196"/>
  <c r="Q457" i="196"/>
  <c r="Q458" i="196"/>
  <c r="Q459" i="196"/>
  <c r="Q460" i="196"/>
  <c r="Q461" i="196"/>
  <c r="Q462" i="196"/>
  <c r="Q463" i="196"/>
  <c r="Q464" i="196"/>
  <c r="Q465" i="196"/>
  <c r="Q466" i="196"/>
  <c r="Q467" i="196"/>
  <c r="Q468" i="196"/>
  <c r="Q469" i="196"/>
  <c r="Q470" i="196"/>
  <c r="Q471" i="196"/>
  <c r="Q472" i="196"/>
  <c r="Q473" i="196"/>
  <c r="Q474" i="196"/>
  <c r="Q475" i="196"/>
  <c r="Q476" i="196"/>
  <c r="Q477" i="196"/>
  <c r="Q478" i="196"/>
  <c r="Q479" i="196"/>
  <c r="Q480" i="196"/>
  <c r="Q481" i="196"/>
  <c r="Q482" i="196"/>
  <c r="Q483" i="196"/>
  <c r="Q484" i="196"/>
  <c r="Q485" i="196"/>
  <c r="Q486" i="196"/>
  <c r="Q487" i="196"/>
  <c r="Q488" i="196"/>
  <c r="Q489" i="196"/>
  <c r="Q490" i="196"/>
  <c r="Q491" i="196"/>
  <c r="Q492" i="196"/>
  <c r="Q493" i="196"/>
  <c r="Q288" i="196"/>
  <c r="Q495" i="196"/>
  <c r="Q496" i="196"/>
  <c r="Q497" i="196"/>
  <c r="Q498" i="196"/>
  <c r="Q499" i="196"/>
  <c r="Q500" i="196"/>
  <c r="Q501" i="196"/>
  <c r="Q502" i="196"/>
  <c r="Q503" i="196"/>
  <c r="Q504" i="196"/>
  <c r="Q505" i="196"/>
  <c r="Q506" i="196"/>
  <c r="Q507" i="196"/>
  <c r="Q508" i="196"/>
  <c r="Q509" i="196"/>
  <c r="Q510" i="196"/>
  <c r="Q511" i="196"/>
  <c r="Q512" i="196"/>
  <c r="Q513" i="196"/>
  <c r="Q514" i="196"/>
  <c r="Q515" i="196"/>
  <c r="Q516" i="196"/>
  <c r="Q517" i="196"/>
  <c r="Q518" i="196"/>
  <c r="Q519" i="196"/>
  <c r="Q520" i="196"/>
  <c r="Q521" i="196"/>
  <c r="Q522" i="196"/>
  <c r="Q523" i="196"/>
  <c r="Q524" i="196"/>
  <c r="Q525" i="196"/>
  <c r="Q526" i="196"/>
  <c r="Q527" i="196"/>
  <c r="Q528" i="196"/>
  <c r="Q529" i="196"/>
  <c r="Q530" i="196"/>
  <c r="Q531" i="196"/>
  <c r="Q532" i="196"/>
  <c r="Q533" i="196"/>
  <c r="Q534" i="196"/>
  <c r="Q535" i="196"/>
  <c r="Q536" i="196"/>
  <c r="Q537" i="196"/>
  <c r="Q538" i="196"/>
  <c r="Q169" i="196"/>
  <c r="Q151" i="196"/>
  <c r="Q790" i="196"/>
  <c r="Q542" i="196"/>
  <c r="Q543" i="196"/>
  <c r="Q544" i="196"/>
  <c r="Q545" i="196"/>
  <c r="Q546" i="196"/>
  <c r="Q547" i="196"/>
  <c r="Q794" i="196"/>
  <c r="Q549" i="196"/>
  <c r="Q797" i="196"/>
  <c r="Q551" i="196"/>
  <c r="Q552" i="196"/>
  <c r="Q553" i="196"/>
  <c r="Q554" i="196"/>
  <c r="Q555" i="196"/>
  <c r="Q556" i="196"/>
  <c r="Q557" i="196"/>
  <c r="Q558" i="196"/>
  <c r="Q559" i="196"/>
  <c r="Q87" i="196"/>
  <c r="Q561" i="196"/>
  <c r="Q562" i="196"/>
  <c r="Q563" i="196"/>
  <c r="Q564" i="196"/>
  <c r="Q565" i="196"/>
  <c r="Q566" i="196"/>
  <c r="Q799" i="196"/>
  <c r="Q568" i="196"/>
  <c r="Q569" i="196"/>
  <c r="Q570" i="196"/>
  <c r="Q571" i="196"/>
  <c r="Q572" i="196"/>
  <c r="Q573" i="196"/>
  <c r="Q574" i="196"/>
  <c r="Q575" i="196"/>
  <c r="Q576" i="196"/>
  <c r="Q577" i="196"/>
  <c r="Q578" i="196"/>
  <c r="Q579" i="196"/>
  <c r="Q580" i="196"/>
  <c r="Q581" i="196"/>
  <c r="Q582" i="196"/>
  <c r="Q583" i="196"/>
  <c r="Q584" i="196"/>
  <c r="Q585" i="196"/>
  <c r="Q152" i="196"/>
  <c r="Q587" i="196"/>
  <c r="Q153" i="196"/>
  <c r="Q128" i="196"/>
  <c r="Q591" i="196"/>
  <c r="Q289" i="196"/>
  <c r="Q592" i="196"/>
  <c r="Q593" i="196"/>
  <c r="Q88" i="196"/>
  <c r="Q595" i="196"/>
  <c r="Q596" i="196"/>
  <c r="Q89" i="196"/>
  <c r="Q598" i="196"/>
  <c r="Q599" i="196"/>
  <c r="Q28" i="196"/>
  <c r="Q601" i="196"/>
  <c r="Q602" i="196"/>
  <c r="Q603" i="196"/>
  <c r="Q604" i="196"/>
  <c r="Q605" i="196"/>
  <c r="Q606" i="196"/>
  <c r="Q607" i="196"/>
  <c r="Q608" i="196"/>
  <c r="Q609" i="196"/>
  <c r="Q610" i="196"/>
  <c r="Q611" i="196"/>
  <c r="Q612" i="196"/>
  <c r="Q613" i="196"/>
  <c r="Q182" i="196"/>
  <c r="Q801" i="196"/>
  <c r="Q290" i="196"/>
  <c r="Q109" i="196"/>
  <c r="Q618" i="196"/>
  <c r="Q95" i="196"/>
  <c r="Q99" i="196"/>
  <c r="Q121" i="196"/>
  <c r="Q622" i="196"/>
  <c r="Q623" i="196"/>
  <c r="Q624" i="196"/>
  <c r="Q170" i="196"/>
  <c r="Q626" i="196"/>
  <c r="Q594" i="196"/>
  <c r="Q291" i="196"/>
  <c r="Q597" i="196"/>
  <c r="Q630" i="196"/>
  <c r="Q631" i="196"/>
  <c r="Q632" i="196"/>
  <c r="Q633" i="196"/>
  <c r="Q634" i="196"/>
  <c r="Q810" i="196"/>
  <c r="Q101" i="196"/>
  <c r="Q637" i="196"/>
  <c r="Q638" i="196"/>
  <c r="Q639" i="196"/>
  <c r="Q640" i="196"/>
  <c r="Q641" i="196"/>
  <c r="Q642" i="196"/>
  <c r="Q643" i="196"/>
  <c r="Q644" i="196"/>
  <c r="Q645" i="196"/>
  <c r="Q225" i="196"/>
  <c r="Q647" i="196"/>
  <c r="Q648" i="196"/>
  <c r="Q649" i="196"/>
  <c r="Q600" i="196"/>
  <c r="Q815" i="196"/>
  <c r="Q652" i="196"/>
  <c r="Q653" i="196"/>
  <c r="Q654" i="196"/>
  <c r="Q186" i="196"/>
  <c r="Q818" i="196"/>
  <c r="Q657" i="196"/>
  <c r="Q614" i="196"/>
  <c r="Q659" i="196"/>
  <c r="Q660" i="196"/>
  <c r="Q661" i="196"/>
  <c r="Q662" i="196"/>
  <c r="Q821" i="196"/>
  <c r="Q187" i="196"/>
  <c r="Q615" i="196"/>
  <c r="Q666" i="196"/>
  <c r="Q667" i="196"/>
  <c r="Q668" i="196"/>
  <c r="Q669" i="196"/>
  <c r="Q670" i="196"/>
  <c r="Q671" i="196"/>
  <c r="Q672" i="196"/>
  <c r="Q822" i="196"/>
  <c r="Q226" i="196"/>
  <c r="Q616" i="196"/>
  <c r="Q227" i="196"/>
  <c r="Q617" i="196"/>
  <c r="Q678" i="196"/>
  <c r="Q836" i="196"/>
  <c r="Q680" i="196"/>
  <c r="Q839" i="196"/>
  <c r="Q841" i="196"/>
  <c r="Q683" i="196"/>
  <c r="Q684" i="196"/>
  <c r="Q685" i="196"/>
  <c r="Q842" i="196"/>
  <c r="Q847" i="196"/>
  <c r="Q688" i="196"/>
  <c r="Q689" i="196"/>
  <c r="Q619" i="196"/>
  <c r="Q691" i="196"/>
  <c r="Q692" i="196"/>
  <c r="Q848" i="196"/>
  <c r="Q694" i="196"/>
  <c r="Q695" i="196"/>
  <c r="Q696" i="196"/>
  <c r="Q697" i="196"/>
  <c r="Q620" i="196"/>
  <c r="Q849" i="196"/>
  <c r="Q850" i="196"/>
  <c r="Q621" i="196"/>
  <c r="Q702" i="196"/>
  <c r="Q703" i="196"/>
  <c r="Q704" i="196"/>
  <c r="Q705" i="196"/>
  <c r="Q706" i="196"/>
  <c r="Q853" i="196"/>
  <c r="Q854" i="196"/>
  <c r="Q961" i="196"/>
  <c r="Q710" i="196"/>
  <c r="Q711" i="196"/>
  <c r="Q712" i="196"/>
  <c r="Q713" i="196"/>
  <c r="Q714" i="196"/>
  <c r="Q715" i="196"/>
  <c r="Q716" i="196"/>
  <c r="Q717" i="196"/>
  <c r="Q718" i="196"/>
  <c r="Q719" i="196"/>
  <c r="Q720" i="196"/>
  <c r="Q721" i="196"/>
  <c r="Q722" i="196"/>
  <c r="Q855" i="196"/>
  <c r="Q724" i="196"/>
  <c r="Q625" i="196"/>
  <c r="Q726" i="196"/>
  <c r="Q727" i="196"/>
  <c r="Q728" i="196"/>
  <c r="Q729" i="196"/>
  <c r="Q730" i="196"/>
  <c r="Q731" i="196"/>
  <c r="Q732" i="196"/>
  <c r="Q733" i="196"/>
  <c r="Q734" i="196"/>
  <c r="Q735" i="196"/>
  <c r="Q736" i="196"/>
  <c r="Q737" i="196"/>
  <c r="Q738" i="196"/>
  <c r="Q739" i="196"/>
  <c r="Q740" i="196"/>
  <c r="Q741" i="196"/>
  <c r="Q742" i="196"/>
  <c r="Q743" i="196"/>
  <c r="Q744" i="196"/>
  <c r="Q745" i="196"/>
  <c r="Q746" i="196"/>
  <c r="Q747" i="196"/>
  <c r="Q748" i="196"/>
  <c r="Q749" i="196"/>
  <c r="Q750" i="196"/>
  <c r="Q751" i="196"/>
  <c r="Q752" i="196"/>
  <c r="Q753" i="196"/>
  <c r="Q754" i="196"/>
  <c r="Q755" i="196"/>
  <c r="Q756" i="196"/>
  <c r="Q757" i="196"/>
  <c r="Q758" i="196"/>
  <c r="Q228" i="196"/>
  <c r="Q760" i="196"/>
  <c r="Q761" i="196"/>
  <c r="Q762" i="196"/>
  <c r="Q763" i="196"/>
  <c r="Q764" i="196"/>
  <c r="Q765" i="196"/>
  <c r="Q627" i="196"/>
  <c r="Q767" i="196"/>
  <c r="Q768" i="196"/>
  <c r="Q769" i="196"/>
  <c r="Q770" i="196"/>
  <c r="Q771" i="196"/>
  <c r="Q772" i="196"/>
  <c r="Q773" i="196"/>
  <c r="Q628" i="196"/>
  <c r="Q856" i="196"/>
  <c r="Q776" i="196"/>
  <c r="Q229" i="196"/>
  <c r="Q292" i="196"/>
  <c r="Q293" i="196"/>
  <c r="Q860" i="196"/>
  <c r="Q781" i="196"/>
  <c r="Q782" i="196"/>
  <c r="Q783" i="196"/>
  <c r="Q784" i="196"/>
  <c r="Q880" i="196"/>
  <c r="Q295" i="196"/>
  <c r="Q787" i="196"/>
  <c r="Q884" i="196"/>
  <c r="Q789" i="196"/>
  <c r="Q629" i="196"/>
  <c r="Q791" i="196"/>
  <c r="Q792" i="196"/>
  <c r="Q793" i="196"/>
  <c r="Q635" i="196"/>
  <c r="Q795" i="196"/>
  <c r="Q796" i="196"/>
  <c r="Q886" i="196"/>
  <c r="Q798" i="196"/>
  <c r="Q888" i="196"/>
  <c r="Q800" i="196"/>
  <c r="Q302" i="196"/>
  <c r="Q802" i="196"/>
  <c r="Q803" i="196"/>
  <c r="Q804" i="196"/>
  <c r="Q805" i="196"/>
  <c r="Q806" i="196"/>
  <c r="Q807" i="196"/>
  <c r="Q808" i="196"/>
  <c r="Q809" i="196"/>
  <c r="Q889" i="196"/>
  <c r="Q811" i="196"/>
  <c r="Q812" i="196"/>
  <c r="Q813" i="196"/>
  <c r="Q814" i="196"/>
  <c r="Q891" i="196"/>
  <c r="Q816" i="196"/>
  <c r="Q817" i="196"/>
  <c r="Q898" i="196"/>
  <c r="Q819" i="196"/>
  <c r="Q820" i="196"/>
  <c r="Q232" i="196"/>
  <c r="Q906" i="196"/>
  <c r="Q823" i="196"/>
  <c r="Q824" i="196"/>
  <c r="Q825" i="196"/>
  <c r="Q826" i="196"/>
  <c r="Q827" i="196"/>
  <c r="Q828" i="196"/>
  <c r="Q829" i="196"/>
  <c r="Q830" i="196"/>
  <c r="Q831" i="196"/>
  <c r="Q832" i="196"/>
  <c r="Q833" i="196"/>
  <c r="Q834" i="196"/>
  <c r="Q835" i="196"/>
  <c r="Q233" i="196"/>
  <c r="Q837" i="196"/>
  <c r="Q838" i="196"/>
  <c r="Q907" i="196"/>
  <c r="Q840" i="196"/>
  <c r="Q908" i="196"/>
  <c r="Q636" i="196"/>
  <c r="Q843" i="196"/>
  <c r="Q844" i="196"/>
  <c r="Q845" i="196"/>
  <c r="Q846" i="196"/>
  <c r="Q303" i="196"/>
  <c r="Q318" i="196"/>
  <c r="Q909" i="196"/>
  <c r="Q911" i="196"/>
  <c r="Q851" i="196"/>
  <c r="Q852" i="196"/>
  <c r="Q646" i="196"/>
  <c r="Q235" i="196"/>
  <c r="Q915" i="196"/>
  <c r="Q650" i="196"/>
  <c r="Q857" i="196"/>
  <c r="Q858" i="196"/>
  <c r="Q859" i="196"/>
  <c r="Q236" i="196"/>
  <c r="Q861" i="196"/>
  <c r="Q862" i="196"/>
  <c r="Q863" i="196"/>
  <c r="Q864" i="196"/>
  <c r="Q865" i="196"/>
  <c r="Q866" i="196"/>
  <c r="Q867" i="196"/>
  <c r="Q868" i="196"/>
  <c r="Q869" i="196"/>
  <c r="Q870" i="196"/>
  <c r="Q871" i="196"/>
  <c r="Q872" i="196"/>
  <c r="Q873" i="196"/>
  <c r="Q874" i="196"/>
  <c r="Q875" i="196"/>
  <c r="Q876" i="196"/>
  <c r="Q877" i="196"/>
  <c r="Q878" i="196"/>
  <c r="Q879" i="196"/>
  <c r="Q916" i="196"/>
  <c r="Q881" i="196"/>
  <c r="Q882" i="196"/>
  <c r="Q883" i="196"/>
  <c r="Q237" i="196"/>
  <c r="Q885" i="196"/>
  <c r="Q190" i="196"/>
  <c r="Q887" i="196"/>
  <c r="Q319" i="196"/>
  <c r="Q651" i="196"/>
  <c r="Q890" i="196"/>
  <c r="Q918" i="196"/>
  <c r="Q892" i="196"/>
  <c r="Q893" i="196"/>
  <c r="Q894" i="196"/>
  <c r="Q895" i="196"/>
  <c r="Q896" i="196"/>
  <c r="Q897" i="196"/>
  <c r="Q1083" i="196"/>
  <c r="Q899" i="196"/>
  <c r="Q900" i="196"/>
  <c r="Q901" i="196"/>
  <c r="Q902" i="196"/>
  <c r="Q903" i="196"/>
  <c r="Q904" i="196"/>
  <c r="Q905" i="196"/>
  <c r="Q321" i="196"/>
  <c r="Q655" i="196"/>
  <c r="Q656" i="196"/>
  <c r="Q658" i="196"/>
  <c r="Q910" i="196"/>
  <c r="Q322" i="196"/>
  <c r="Q912" i="196"/>
  <c r="Q913" i="196"/>
  <c r="Q914" i="196"/>
  <c r="Q919" i="196"/>
  <c r="Q242" i="196"/>
  <c r="Q917" i="196"/>
  <c r="Q920" i="196"/>
  <c r="Q243" i="196"/>
  <c r="Q925" i="196"/>
  <c r="Q921" i="196"/>
  <c r="Q922" i="196"/>
  <c r="Q923" i="196"/>
  <c r="Q924" i="196"/>
  <c r="Q926" i="196"/>
  <c r="Q932" i="196"/>
  <c r="Q927" i="196"/>
  <c r="Q928" i="196"/>
  <c r="Q929" i="196"/>
  <c r="Q930" i="196"/>
  <c r="Q931" i="196"/>
  <c r="Q245" i="196"/>
  <c r="Q933" i="196"/>
  <c r="Q934" i="196"/>
  <c r="Q663" i="196"/>
  <c r="Q935" i="196"/>
  <c r="Q936" i="196"/>
  <c r="Q937" i="196"/>
  <c r="Q938" i="196"/>
  <c r="Q939" i="196"/>
  <c r="Q940" i="196"/>
  <c r="Q941" i="196"/>
  <c r="Q942" i="196"/>
  <c r="Q943" i="196"/>
  <c r="Q944" i="196"/>
  <c r="Q945" i="196"/>
  <c r="Q946" i="196"/>
  <c r="Q947" i="196"/>
  <c r="Q948" i="196"/>
  <c r="Q949" i="196"/>
  <c r="Q950" i="196"/>
  <c r="Q951" i="196"/>
  <c r="Q952" i="196"/>
  <c r="Q953" i="196"/>
  <c r="Q954" i="196"/>
  <c r="Q955" i="196"/>
  <c r="Q956" i="196"/>
  <c r="Q957" i="196"/>
  <c r="Q958" i="196"/>
  <c r="Q959" i="196"/>
  <c r="Q960" i="196"/>
  <c r="Q341" i="196"/>
  <c r="Q962" i="196"/>
  <c r="Q963" i="196"/>
  <c r="Q964" i="196"/>
  <c r="Q965" i="196"/>
  <c r="Q966" i="196"/>
  <c r="Q967" i="196"/>
  <c r="Q968" i="196"/>
  <c r="Q969" i="196"/>
  <c r="Q970" i="196"/>
  <c r="Q971" i="196"/>
  <c r="Q972" i="196"/>
  <c r="Q973" i="196"/>
  <c r="Q974" i="196"/>
  <c r="Q975" i="196"/>
  <c r="Q976" i="196"/>
  <c r="Q977" i="196"/>
  <c r="Q978" i="196"/>
  <c r="Q979" i="196"/>
  <c r="Q980" i="196"/>
  <c r="Q981" i="196"/>
  <c r="Q982" i="196"/>
  <c r="Q983" i="196"/>
  <c r="Q984" i="196"/>
  <c r="Q985" i="196"/>
  <c r="Q986" i="196"/>
  <c r="Q987" i="196"/>
  <c r="Q988" i="196"/>
  <c r="Q989" i="196"/>
  <c r="Q990" i="196"/>
  <c r="Q991" i="196"/>
  <c r="Q992" i="196"/>
  <c r="Q993" i="196"/>
  <c r="Q994" i="196"/>
  <c r="Q995" i="196"/>
  <c r="Q996" i="196"/>
  <c r="Q997" i="196"/>
  <c r="Q998" i="196"/>
  <c r="Q999" i="196"/>
  <c r="Q1000" i="196"/>
  <c r="Q1001" i="196"/>
  <c r="Q1002" i="196"/>
  <c r="Q1003" i="196"/>
  <c r="Q1004" i="196"/>
  <c r="Q1005" i="196"/>
  <c r="Q1006" i="196"/>
  <c r="Q1007" i="196"/>
  <c r="Q1008" i="196"/>
  <c r="Q1009" i="196"/>
  <c r="Q1010" i="196"/>
  <c r="Q1011" i="196"/>
  <c r="Q1012" i="196"/>
  <c r="Q1013" i="196"/>
  <c r="Q1014" i="196"/>
  <c r="Q1015" i="196"/>
  <c r="Q1016" i="196"/>
  <c r="Q1017" i="196"/>
  <c r="Q1018" i="196"/>
  <c r="Q1019" i="196"/>
  <c r="Q1020" i="196"/>
  <c r="Q1021" i="196"/>
  <c r="Q1022" i="196"/>
  <c r="Q1023" i="196"/>
  <c r="Q1024" i="196"/>
  <c r="Q1025" i="196"/>
  <c r="Q1026" i="196"/>
  <c r="Q1027" i="196"/>
  <c r="Q1028" i="196"/>
  <c r="Q1029" i="196"/>
  <c r="Q1030" i="196"/>
  <c r="Q1031" i="196"/>
  <c r="Q1032" i="196"/>
  <c r="Q1033" i="196"/>
  <c r="Q1034" i="196"/>
  <c r="Q1035" i="196"/>
  <c r="Q1036" i="196"/>
  <c r="Q1037" i="196"/>
  <c r="Q1038" i="196"/>
  <c r="Q1039" i="196"/>
  <c r="Q1040" i="196"/>
  <c r="Q1041" i="196"/>
  <c r="Q1042" i="196"/>
  <c r="Q1043" i="196"/>
  <c r="Q1044" i="196"/>
  <c r="Q1045" i="196"/>
  <c r="Q1046" i="196"/>
  <c r="Q1047" i="196"/>
  <c r="Q1048" i="196"/>
  <c r="Q1049" i="196"/>
  <c r="Q1050" i="196"/>
  <c r="Q1051" i="196"/>
  <c r="Q1052" i="196"/>
  <c r="Q1053" i="196"/>
  <c r="Q1054" i="196"/>
  <c r="Q1055" i="196"/>
  <c r="Q1056" i="196"/>
  <c r="Q1057" i="196"/>
  <c r="Q1058" i="196"/>
  <c r="Q1059" i="196"/>
  <c r="Q1060" i="196"/>
  <c r="Q1061" i="196"/>
  <c r="Q1062" i="196"/>
  <c r="Q1063" i="196"/>
  <c r="Q1064" i="196"/>
  <c r="Q1065" i="196"/>
  <c r="Q1066" i="196"/>
  <c r="Q1067" i="196"/>
  <c r="Q1068" i="196"/>
  <c r="Q1069" i="196"/>
  <c r="Q1070" i="196"/>
  <c r="Q1071" i="196"/>
  <c r="Q1072" i="196"/>
  <c r="Q1073" i="196"/>
  <c r="Q1074" i="196"/>
  <c r="Q1075" i="196"/>
  <c r="Q1076" i="196"/>
  <c r="Q1077" i="196"/>
  <c r="Q1078" i="196"/>
  <c r="Q1079" i="196"/>
  <c r="Q1080" i="196"/>
  <c r="Q1081" i="196"/>
  <c r="Q1082" i="196"/>
  <c r="Q1084" i="196"/>
  <c r="Q1085" i="196"/>
  <c r="Q1086" i="196"/>
  <c r="Q1087" i="196"/>
  <c r="Q1088" i="196"/>
  <c r="Q1089" i="196"/>
  <c r="Q1090" i="196"/>
  <c r="Q1091" i="196"/>
  <c r="Q1092" i="196"/>
  <c r="Q1093" i="196"/>
  <c r="Q1094" i="196"/>
  <c r="Q1095" i="196"/>
  <c r="Q1096" i="196"/>
  <c r="Q1097" i="196"/>
  <c r="Q1098" i="196"/>
  <c r="Q1099" i="196"/>
  <c r="Q1100" i="196"/>
  <c r="Q1101" i="196"/>
  <c r="Q1102" i="196"/>
  <c r="Q1103" i="196"/>
  <c r="Q1104" i="196"/>
  <c r="Q1105" i="196"/>
  <c r="Q1106" i="196"/>
  <c r="Q1107" i="196"/>
  <c r="Q1108" i="196"/>
  <c r="Q1109" i="196"/>
  <c r="Q1110" i="196"/>
  <c r="Q1111" i="196"/>
  <c r="Q1112" i="196"/>
  <c r="Q1113" i="196"/>
  <c r="Q1114" i="196"/>
  <c r="Q1115" i="196"/>
  <c r="Q1116" i="196"/>
  <c r="Q1117" i="196"/>
  <c r="Q1118" i="196"/>
  <c r="Q1119" i="196"/>
  <c r="Q1120" i="196"/>
  <c r="Q1121" i="196"/>
  <c r="Q1122" i="196"/>
  <c r="Q1123" i="196"/>
  <c r="Q1124" i="196"/>
  <c r="Q1125" i="196"/>
  <c r="Q1126" i="196"/>
  <c r="Q1127" i="196"/>
  <c r="Q1128" i="196"/>
  <c r="Q1129" i="196"/>
  <c r="Q1130" i="196"/>
  <c r="Q1131" i="196"/>
  <c r="Q1132" i="196"/>
  <c r="Q1133" i="196"/>
  <c r="Q1134" i="196"/>
  <c r="Q1135" i="196"/>
  <c r="Q1136" i="196"/>
  <c r="Q1137" i="196"/>
  <c r="Q1138" i="196"/>
  <c r="Q1139" i="196"/>
  <c r="Q1140" i="196"/>
  <c r="Q1141" i="196"/>
  <c r="Q1142" i="196"/>
  <c r="Q1143" i="196"/>
  <c r="Q1144" i="196"/>
  <c r="Q1145" i="196"/>
  <c r="Q1146" i="196"/>
  <c r="Q1147" i="196"/>
  <c r="Q1148" i="196"/>
  <c r="Q1149" i="196"/>
  <c r="Q1150" i="196"/>
  <c r="Q1151" i="196"/>
  <c r="Q1152" i="196"/>
  <c r="Q1153" i="196"/>
  <c r="Q1154" i="196"/>
  <c r="Q1155" i="196"/>
  <c r="Q1156" i="196"/>
  <c r="Q1157" i="196"/>
  <c r="Q1158" i="196"/>
  <c r="Q1159" i="196"/>
  <c r="Q1160" i="196"/>
  <c r="Q1161" i="196"/>
  <c r="Q1162" i="196"/>
  <c r="Q1163" i="196"/>
  <c r="Q1164" i="196"/>
  <c r="Q1165" i="196"/>
  <c r="Q1166" i="196"/>
  <c r="Q1167" i="196"/>
  <c r="Q1168" i="196"/>
  <c r="Q1169" i="196"/>
  <c r="Q1170" i="196"/>
  <c r="Q1171" i="196"/>
  <c r="Q1172" i="196"/>
  <c r="Q1173" i="196"/>
  <c r="Q1174" i="196"/>
  <c r="Q1175" i="196"/>
  <c r="Q1176" i="196"/>
  <c r="Q1177" i="196"/>
  <c r="Q1178" i="196"/>
  <c r="Q1179" i="196"/>
  <c r="Q1180" i="196"/>
  <c r="Q1181" i="196"/>
  <c r="Q1182" i="196"/>
  <c r="Q1183" i="196"/>
  <c r="Q1184" i="196"/>
  <c r="Q1185" i="196"/>
  <c r="Q1186" i="196"/>
  <c r="Q1187" i="196"/>
  <c r="Q1188" i="196"/>
  <c r="Q1189" i="196"/>
  <c r="Q1190" i="196"/>
  <c r="Q1191" i="196"/>
  <c r="Q1192" i="196"/>
  <c r="Q1193" i="196"/>
  <c r="Q1194" i="196"/>
  <c r="Q1195" i="196"/>
  <c r="Q1196" i="196"/>
  <c r="Q1197" i="196"/>
  <c r="Q1198" i="196"/>
  <c r="Q1199" i="196"/>
  <c r="Q1200" i="196"/>
  <c r="Q1201" i="196"/>
  <c r="Q1202" i="196"/>
  <c r="Q1203" i="196"/>
  <c r="Q1204" i="196"/>
  <c r="Q1205" i="196"/>
  <c r="Q1206" i="196"/>
  <c r="Q1207" i="196"/>
  <c r="Q1208" i="196"/>
  <c r="Q1209" i="196"/>
  <c r="Q1210" i="196"/>
  <c r="Q1211" i="196"/>
  <c r="Q1212" i="196"/>
  <c r="Q1213" i="196"/>
  <c r="Q1214" i="196"/>
  <c r="Q1215" i="196"/>
  <c r="Q1216" i="196"/>
  <c r="Q1217" i="196"/>
  <c r="Q1218" i="196"/>
  <c r="Q1219" i="196"/>
  <c r="Q1220" i="196"/>
  <c r="Q1221" i="196"/>
  <c r="Q1222" i="196"/>
  <c r="Q1223" i="196"/>
  <c r="Q1224" i="196"/>
  <c r="Q1225" i="196"/>
  <c r="Q1226" i="196"/>
  <c r="Q1227" i="196"/>
  <c r="Q1228" i="196"/>
  <c r="Q1229" i="196"/>
  <c r="Q1230" i="196"/>
  <c r="Q1231" i="196"/>
  <c r="Q1232" i="196"/>
  <c r="Q1233" i="196"/>
  <c r="Q1234" i="196"/>
  <c r="Q1235" i="196"/>
  <c r="Q1236" i="196"/>
  <c r="Q1237" i="196"/>
  <c r="Q1238" i="196"/>
  <c r="Q1239" i="196"/>
  <c r="Q1240" i="196"/>
  <c r="Q1241" i="196"/>
  <c r="Q1242" i="196"/>
  <c r="Q1243" i="196"/>
  <c r="Q1244" i="196"/>
  <c r="Q1245" i="196"/>
  <c r="Q1246" i="196"/>
  <c r="Q1247" i="196"/>
  <c r="Q1248" i="196"/>
  <c r="Q1249" i="196"/>
  <c r="Q1250" i="196"/>
  <c r="Q1251" i="196"/>
  <c r="Q1252" i="196"/>
  <c r="Q1253" i="196"/>
  <c r="Q1254" i="196"/>
  <c r="Q1255" i="196"/>
  <c r="Q1256" i="196"/>
  <c r="Q1257" i="196"/>
  <c r="Q1258" i="196"/>
  <c r="Q1259" i="196"/>
  <c r="Q1260" i="196"/>
  <c r="Q1261" i="196"/>
  <c r="Q1262" i="196"/>
  <c r="Q1263" i="196"/>
  <c r="Q1264" i="196"/>
  <c r="Q1265" i="196"/>
  <c r="Q1266" i="196"/>
  <c r="Q1267" i="196"/>
  <c r="Q1268" i="196"/>
  <c r="Q1269" i="196"/>
  <c r="Q1270" i="196"/>
  <c r="Q1271" i="196"/>
  <c r="Q1272" i="196"/>
  <c r="Q1273" i="196"/>
  <c r="Q1274" i="196"/>
  <c r="Q1275" i="196"/>
  <c r="Q1276" i="196"/>
  <c r="A3" i="304" a="1"/>
  <c r="A3" i="304" s="1"/>
  <c r="B95" i="305"/>
  <c r="H50" i="262"/>
  <c r="H49" i="262"/>
  <c r="H48" i="262"/>
  <c r="H47" i="262"/>
  <c r="H46" i="262"/>
  <c r="H45" i="262"/>
  <c r="H44" i="262"/>
  <c r="H43" i="262"/>
  <c r="H42" i="262"/>
  <c r="H41" i="262"/>
  <c r="H40" i="262"/>
  <c r="H39" i="262"/>
  <c r="H38" i="262"/>
  <c r="H37" i="262"/>
  <c r="H36" i="262"/>
  <c r="H35" i="262"/>
  <c r="H34" i="262"/>
  <c r="H33" i="262"/>
  <c r="H32" i="262"/>
  <c r="H31" i="262"/>
  <c r="H30" i="262"/>
  <c r="H29" i="262"/>
  <c r="H28" i="262"/>
  <c r="H27" i="262"/>
  <c r="H26" i="262"/>
  <c r="H25" i="262"/>
  <c r="H24" i="262"/>
  <c r="H23" i="262"/>
  <c r="H22" i="262"/>
  <c r="F26" i="263"/>
  <c r="A3" i="262" a="1"/>
  <c r="A3" i="262" s="1"/>
  <c r="A3" i="263" a="1"/>
  <c r="A3" i="263" s="1"/>
  <c r="E51" i="262"/>
  <c r="F51" i="262"/>
  <c r="A15" i="266" l="1" a="1"/>
  <c r="A15" i="266" s="1"/>
  <c r="A17" i="263"/>
  <c r="A17" i="262"/>
  <c r="H21" i="266"/>
  <c r="N2" i="196"/>
  <c r="F93" i="305" l="1"/>
  <c r="D95" i="305" s="1"/>
  <c r="E93" i="305"/>
  <c r="A39" i="304" a="1"/>
  <c r="A39" i="304" s="1"/>
  <c r="F37" i="304"/>
  <c r="F39" i="304" s="1"/>
  <c r="E37" i="304"/>
  <c r="D37" i="304"/>
  <c r="A19" i="304"/>
  <c r="A13" i="304"/>
  <c r="C3" i="304"/>
  <c r="E46" i="265"/>
  <c r="F41" i="304" l="1"/>
  <c r="A100" i="269" l="1" a="1"/>
  <c r="A100" i="269" s="1"/>
  <c r="E98" i="269"/>
  <c r="H21" i="269"/>
  <c r="H98" i="269" s="1"/>
  <c r="A19" i="269"/>
  <c r="A13" i="269"/>
  <c r="D3" i="269"/>
  <c r="A3" i="269"/>
  <c r="H100" i="269" l="1"/>
  <c r="G102" i="269" s="1"/>
  <c r="D3" i="268" l="1" a="1"/>
  <c r="D3" i="268" s="1"/>
  <c r="B86" i="268"/>
  <c r="F84" i="268"/>
  <c r="D86" i="268" s="1"/>
  <c r="C3" i="252"/>
  <c r="C3" i="263"/>
  <c r="C3" i="267"/>
  <c r="A42" i="267" a="1"/>
  <c r="A42" i="267" s="1"/>
  <c r="F40" i="267"/>
  <c r="F42" i="267" s="1"/>
  <c r="F44" i="267" s="1"/>
  <c r="E40" i="267"/>
  <c r="D40" i="267"/>
  <c r="A19" i="267"/>
  <c r="A17" i="267"/>
  <c r="A13" i="267"/>
  <c r="A227" i="266" l="1" a="1"/>
  <c r="A227" i="266" s="1"/>
  <c r="E225" i="266"/>
  <c r="H225" i="266"/>
  <c r="A19" i="266"/>
  <c r="A13" i="266"/>
  <c r="D3" i="266"/>
  <c r="A3" i="266"/>
  <c r="B48" i="265"/>
  <c r="F46" i="265"/>
  <c r="D48" i="265" s="1"/>
  <c r="A28" i="263" a="1"/>
  <c r="A28" i="263" s="1"/>
  <c r="F28" i="263"/>
  <c r="F30" i="263" s="1"/>
  <c r="E26" i="263"/>
  <c r="D26" i="263"/>
  <c r="A19" i="263"/>
  <c r="A13" i="263"/>
  <c r="A15" i="262" l="1"/>
  <c r="A13" i="265"/>
  <c r="H227" i="266"/>
  <c r="G229" i="266" s="1"/>
  <c r="A15" i="263"/>
  <c r="A15" i="252"/>
  <c r="A15" i="257"/>
  <c r="A53" i="262" l="1" a="1"/>
  <c r="A53" i="262" s="1"/>
  <c r="H21" i="262"/>
  <c r="H51" i="262" s="1"/>
  <c r="A19" i="262"/>
  <c r="A13" i="262"/>
  <c r="D3" i="262"/>
  <c r="H6" i="259"/>
  <c r="H3" i="259"/>
  <c r="L896" i="196"/>
  <c r="L897" i="196"/>
  <c r="L1083" i="196"/>
  <c r="L899" i="196"/>
  <c r="L900" i="196"/>
  <c r="L901" i="196"/>
  <c r="L902" i="196"/>
  <c r="L903" i="196"/>
  <c r="M966" i="196"/>
  <c r="M967" i="196"/>
  <c r="M968" i="196"/>
  <c r="M969" i="196"/>
  <c r="M970" i="196"/>
  <c r="M971" i="196"/>
  <c r="M972" i="196"/>
  <c r="M973" i="196"/>
  <c r="M974" i="196"/>
  <c r="M975" i="196"/>
  <c r="M976" i="196"/>
  <c r="M977" i="196"/>
  <c r="M978" i="196"/>
  <c r="M979" i="196"/>
  <c r="M980" i="196"/>
  <c r="M981" i="196"/>
  <c r="M982" i="196"/>
  <c r="M983" i="196"/>
  <c r="M984" i="196"/>
  <c r="M985" i="196"/>
  <c r="M986" i="196"/>
  <c r="M987" i="196"/>
  <c r="M988" i="196"/>
  <c r="M989" i="196"/>
  <c r="B69" i="254"/>
  <c r="E121" i="257"/>
  <c r="F67" i="254"/>
  <c r="D69" i="254" s="1"/>
  <c r="L1024" i="196"/>
  <c r="L1025" i="196"/>
  <c r="L1026" i="196"/>
  <c r="L1027" i="196"/>
  <c r="L1028" i="196"/>
  <c r="L1029" i="196"/>
  <c r="L1030" i="196"/>
  <c r="L1031" i="196"/>
  <c r="L1032" i="196"/>
  <c r="L1033" i="196"/>
  <c r="L1034" i="196"/>
  <c r="L1035" i="196"/>
  <c r="L1036" i="196"/>
  <c r="L1037" i="196"/>
  <c r="L1038" i="196"/>
  <c r="L1039" i="196"/>
  <c r="L1040" i="196"/>
  <c r="L1041" i="196"/>
  <c r="L1042" i="196"/>
  <c r="L1043" i="196"/>
  <c r="L1044" i="196"/>
  <c r="L1045" i="196"/>
  <c r="L1046" i="196"/>
  <c r="L1047" i="196"/>
  <c r="L1048" i="196"/>
  <c r="L1049" i="196"/>
  <c r="L1050" i="196"/>
  <c r="L1051" i="196"/>
  <c r="L1052" i="196"/>
  <c r="L1053" i="196"/>
  <c r="L1054" i="196"/>
  <c r="L1055" i="196"/>
  <c r="L1056" i="196"/>
  <c r="L1057" i="196"/>
  <c r="L1058" i="196"/>
  <c r="L1059" i="196"/>
  <c r="L1060" i="196"/>
  <c r="L1061" i="196"/>
  <c r="L1062" i="196"/>
  <c r="L1063" i="196"/>
  <c r="L1064" i="196"/>
  <c r="L1065" i="196"/>
  <c r="L1066" i="196"/>
  <c r="L1067" i="196"/>
  <c r="L1068" i="196"/>
  <c r="L1069" i="196"/>
  <c r="L1070" i="196"/>
  <c r="L1071" i="196"/>
  <c r="L1072" i="196"/>
  <c r="L1073" i="196"/>
  <c r="L1074" i="196"/>
  <c r="L1075" i="196"/>
  <c r="L1076" i="196"/>
  <c r="L1077" i="196"/>
  <c r="L1078" i="196"/>
  <c r="L1079" i="196"/>
  <c r="L1080" i="196"/>
  <c r="L1081" i="196"/>
  <c r="L1082" i="196"/>
  <c r="L1084" i="196"/>
  <c r="L1085" i="196"/>
  <c r="L1086" i="196"/>
  <c r="L1087" i="196"/>
  <c r="L1088" i="196"/>
  <c r="L1089" i="196"/>
  <c r="L1090" i="196"/>
  <c r="L1091" i="196"/>
  <c r="L1092" i="196"/>
  <c r="L1093" i="196"/>
  <c r="L1094" i="196"/>
  <c r="L1095" i="196"/>
  <c r="L1096" i="196"/>
  <c r="L1097" i="196"/>
  <c r="L1098" i="196"/>
  <c r="L1099" i="196"/>
  <c r="L1100" i="196"/>
  <c r="L1101" i="196"/>
  <c r="L1102" i="196"/>
  <c r="L1103" i="196"/>
  <c r="L1104" i="196"/>
  <c r="L1105" i="196"/>
  <c r="L1106" i="196"/>
  <c r="L1107" i="196"/>
  <c r="L1108" i="196"/>
  <c r="L1109" i="196"/>
  <c r="L1110" i="196"/>
  <c r="L1111" i="196"/>
  <c r="L1112" i="196"/>
  <c r="L1113" i="196"/>
  <c r="L1114" i="196"/>
  <c r="L1115" i="196"/>
  <c r="L1116" i="196"/>
  <c r="L1117" i="196"/>
  <c r="L1118" i="196"/>
  <c r="L1119" i="196"/>
  <c r="L1120" i="196"/>
  <c r="L1121" i="196"/>
  <c r="L1122" i="196"/>
  <c r="L1123" i="196"/>
  <c r="L1124" i="196"/>
  <c r="L1125" i="196"/>
  <c r="L1126" i="196"/>
  <c r="L1127" i="196"/>
  <c r="L1128" i="196"/>
  <c r="L1129" i="196"/>
  <c r="L1130" i="196"/>
  <c r="L1131" i="196"/>
  <c r="L1132" i="196"/>
  <c r="L1133" i="196"/>
  <c r="L1134" i="196"/>
  <c r="L1135" i="196"/>
  <c r="L1136" i="196"/>
  <c r="L1137" i="196"/>
  <c r="L1138" i="196"/>
  <c r="L1139" i="196"/>
  <c r="L1140" i="196"/>
  <c r="L1141" i="196"/>
  <c r="L1142" i="196"/>
  <c r="L1143" i="196"/>
  <c r="L1144" i="196"/>
  <c r="L1145" i="196"/>
  <c r="L1146" i="196"/>
  <c r="L1147" i="196"/>
  <c r="L1148" i="196"/>
  <c r="L1149" i="196"/>
  <c r="L1150" i="196"/>
  <c r="L1151" i="196"/>
  <c r="L1152" i="196"/>
  <c r="L1153" i="196"/>
  <c r="L1154" i="196"/>
  <c r="L1155" i="196"/>
  <c r="L1156" i="196"/>
  <c r="L1157" i="196"/>
  <c r="L1158" i="196"/>
  <c r="L1159" i="196"/>
  <c r="L1160" i="196"/>
  <c r="L1161" i="196"/>
  <c r="L1162" i="196"/>
  <c r="L1163" i="196"/>
  <c r="L1164" i="196"/>
  <c r="L1165" i="196"/>
  <c r="L1166" i="196"/>
  <c r="L1167" i="196"/>
  <c r="L1168" i="196"/>
  <c r="L1169" i="196"/>
  <c r="L1170" i="196"/>
  <c r="L1171" i="196"/>
  <c r="L1172" i="196"/>
  <c r="L1173" i="196"/>
  <c r="L1174" i="196"/>
  <c r="L1175" i="196"/>
  <c r="L1176" i="196"/>
  <c r="L1177" i="196"/>
  <c r="L1178" i="196"/>
  <c r="L1179" i="196"/>
  <c r="L1180" i="196"/>
  <c r="L1181" i="196"/>
  <c r="L1182" i="196"/>
  <c r="L1183" i="196"/>
  <c r="L1184" i="196"/>
  <c r="L1185" i="196"/>
  <c r="L1186" i="196"/>
  <c r="L1187" i="196"/>
  <c r="L1188" i="196"/>
  <c r="L1189" i="196"/>
  <c r="L1190" i="196"/>
  <c r="L1191" i="196"/>
  <c r="L1192" i="196"/>
  <c r="L1193" i="196"/>
  <c r="L1194" i="196"/>
  <c r="L1195" i="196"/>
  <c r="L1196" i="196"/>
  <c r="L1197" i="196"/>
  <c r="L1198" i="196"/>
  <c r="L1199" i="196"/>
  <c r="L1200" i="196"/>
  <c r="L1201" i="196"/>
  <c r="L1202" i="196"/>
  <c r="L1203" i="196"/>
  <c r="L1204" i="196"/>
  <c r="L1205" i="196"/>
  <c r="L1206" i="196"/>
  <c r="L1207" i="196"/>
  <c r="L1208" i="196"/>
  <c r="L1209" i="196"/>
  <c r="L1210" i="196"/>
  <c r="L1211" i="196"/>
  <c r="L1212" i="196"/>
  <c r="L1213" i="196"/>
  <c r="L1214" i="196"/>
  <c r="L1215" i="196"/>
  <c r="L1216" i="196"/>
  <c r="L1217" i="196"/>
  <c r="L1218" i="196"/>
  <c r="L1219" i="196"/>
  <c r="L1220" i="196"/>
  <c r="L1221" i="196"/>
  <c r="L1222" i="196"/>
  <c r="L1223" i="196"/>
  <c r="L1224" i="196"/>
  <c r="L1225" i="196"/>
  <c r="L1226" i="196"/>
  <c r="L1227" i="196"/>
  <c r="L1228" i="196"/>
  <c r="L1229" i="196"/>
  <c r="L1230" i="196"/>
  <c r="L1231" i="196"/>
  <c r="L1232" i="196"/>
  <c r="L1233" i="196"/>
  <c r="L1234" i="196"/>
  <c r="L1235" i="196"/>
  <c r="L1236" i="196"/>
  <c r="L1237" i="196"/>
  <c r="L1238" i="196"/>
  <c r="L1239" i="196"/>
  <c r="L1240" i="196"/>
  <c r="L1241" i="196"/>
  <c r="L1242" i="196"/>
  <c r="L1243" i="196"/>
  <c r="L1244" i="196"/>
  <c r="L1245" i="196"/>
  <c r="L1246" i="196"/>
  <c r="L1247" i="196"/>
  <c r="L1248" i="196"/>
  <c r="L1249" i="196"/>
  <c r="L1250" i="196"/>
  <c r="L1251" i="196"/>
  <c r="L1252" i="196"/>
  <c r="L1253" i="196"/>
  <c r="L1254" i="196"/>
  <c r="L1255" i="196"/>
  <c r="L1256" i="196"/>
  <c r="L1257" i="196"/>
  <c r="L1258" i="196"/>
  <c r="L1259" i="196"/>
  <c r="L1260" i="196"/>
  <c r="L1261" i="196"/>
  <c r="L1262" i="196"/>
  <c r="L1263" i="196"/>
  <c r="L1264" i="196"/>
  <c r="L1265" i="196"/>
  <c r="L1266" i="196"/>
  <c r="L1267" i="196"/>
  <c r="L1268" i="196"/>
  <c r="L1269" i="196"/>
  <c r="L1270" i="196"/>
  <c r="L1271" i="196"/>
  <c r="L1272" i="196"/>
  <c r="L1273" i="196"/>
  <c r="L1274" i="196"/>
  <c r="L1275" i="196"/>
  <c r="L1276" i="196"/>
  <c r="L820" i="196"/>
  <c r="L232" i="196"/>
  <c r="L906" i="196"/>
  <c r="L823" i="196"/>
  <c r="L824" i="196"/>
  <c r="L825" i="196"/>
  <c r="L826" i="196"/>
  <c r="L827" i="196"/>
  <c r="L828" i="196"/>
  <c r="L829" i="196"/>
  <c r="L830" i="196"/>
  <c r="L831" i="196"/>
  <c r="L832" i="196"/>
  <c r="L833" i="196"/>
  <c r="L834" i="196"/>
  <c r="L835" i="196"/>
  <c r="L233" i="196"/>
  <c r="L837" i="196"/>
  <c r="L838" i="196"/>
  <c r="L907" i="196"/>
  <c r="L840" i="196"/>
  <c r="L908" i="196"/>
  <c r="L636" i="196"/>
  <c r="L843" i="196"/>
  <c r="L844" i="196"/>
  <c r="L845" i="196"/>
  <c r="L846" i="196"/>
  <c r="L303" i="196"/>
  <c r="L318" i="196"/>
  <c r="L909" i="196"/>
  <c r="L911" i="196"/>
  <c r="L851" i="196"/>
  <c r="L852" i="196"/>
  <c r="L646" i="196"/>
  <c r="L235" i="196"/>
  <c r="L915" i="196"/>
  <c r="L650" i="196"/>
  <c r="L857" i="196"/>
  <c r="L858" i="196"/>
  <c r="L859" i="196"/>
  <c r="L236" i="196"/>
  <c r="L861" i="196"/>
  <c r="L862" i="196"/>
  <c r="L863" i="196"/>
  <c r="L864" i="196"/>
  <c r="L865" i="196"/>
  <c r="L866" i="196"/>
  <c r="L867" i="196"/>
  <c r="L868" i="196"/>
  <c r="L869" i="196"/>
  <c r="L870" i="196"/>
  <c r="L871" i="196"/>
  <c r="L872" i="196"/>
  <c r="L873" i="196"/>
  <c r="L874" i="196"/>
  <c r="L875" i="196"/>
  <c r="L876" i="196"/>
  <c r="L877" i="196"/>
  <c r="L878" i="196"/>
  <c r="L879" i="196"/>
  <c r="L916" i="196"/>
  <c r="L881" i="196"/>
  <c r="L882" i="196"/>
  <c r="L883" i="196"/>
  <c r="L237" i="196"/>
  <c r="L885" i="196"/>
  <c r="L190" i="196"/>
  <c r="L887" i="196"/>
  <c r="L319" i="196"/>
  <c r="L651" i="196"/>
  <c r="L890" i="196"/>
  <c r="L918" i="196"/>
  <c r="L892" i="196"/>
  <c r="L893" i="196"/>
  <c r="L894" i="196"/>
  <c r="L895" i="196"/>
  <c r="L904" i="196"/>
  <c r="L905" i="196"/>
  <c r="L321" i="196"/>
  <c r="L655" i="196"/>
  <c r="L656" i="196"/>
  <c r="L658" i="196"/>
  <c r="L910" i="196"/>
  <c r="L322" i="196"/>
  <c r="L912" i="196"/>
  <c r="L913" i="196"/>
  <c r="L914" i="196"/>
  <c r="L919" i="196"/>
  <c r="L242" i="196"/>
  <c r="L917" i="196"/>
  <c r="L920" i="196"/>
  <c r="L243" i="196"/>
  <c r="L925" i="196"/>
  <c r="L921" i="196"/>
  <c r="L922" i="196"/>
  <c r="L923" i="196"/>
  <c r="L924" i="196"/>
  <c r="L926" i="196"/>
  <c r="L932" i="196"/>
  <c r="L927" i="196"/>
  <c r="L928" i="196"/>
  <c r="L929" i="196"/>
  <c r="L930" i="196"/>
  <c r="L931" i="196"/>
  <c r="L245" i="196"/>
  <c r="L933" i="196"/>
  <c r="L934" i="196"/>
  <c r="L663" i="196"/>
  <c r="L935" i="196"/>
  <c r="L936" i="196"/>
  <c r="L937" i="196"/>
  <c r="L938" i="196"/>
  <c r="L939" i="196"/>
  <c r="L940" i="196"/>
  <c r="L941" i="196"/>
  <c r="L942" i="196"/>
  <c r="L943" i="196"/>
  <c r="L944" i="196"/>
  <c r="L945" i="196"/>
  <c r="L946" i="196"/>
  <c r="L947" i="196"/>
  <c r="L948" i="196"/>
  <c r="L949" i="196"/>
  <c r="L950" i="196"/>
  <c r="L951" i="196"/>
  <c r="L952" i="196"/>
  <c r="L953" i="196"/>
  <c r="L954" i="196"/>
  <c r="L955" i="196"/>
  <c r="L956" i="196"/>
  <c r="L957" i="196"/>
  <c r="L958" i="196"/>
  <c r="L959" i="196"/>
  <c r="L960" i="196"/>
  <c r="L341" i="196"/>
  <c r="L962" i="196"/>
  <c r="L963" i="196"/>
  <c r="L964" i="196"/>
  <c r="L965" i="196"/>
  <c r="L966" i="196"/>
  <c r="L967" i="196"/>
  <c r="L968" i="196"/>
  <c r="L969" i="196"/>
  <c r="L970" i="196"/>
  <c r="L971" i="196"/>
  <c r="L972" i="196"/>
  <c r="L973" i="196"/>
  <c r="L974" i="196"/>
  <c r="L975" i="196"/>
  <c r="L976" i="196"/>
  <c r="L977" i="196"/>
  <c r="L978" i="196"/>
  <c r="L979" i="196"/>
  <c r="L980" i="196"/>
  <c r="L981" i="196"/>
  <c r="L982" i="196"/>
  <c r="L983" i="196"/>
  <c r="L984" i="196"/>
  <c r="L985" i="196"/>
  <c r="L986" i="196"/>
  <c r="L987" i="196"/>
  <c r="L988" i="196"/>
  <c r="L989" i="196"/>
  <c r="L990" i="196"/>
  <c r="L991" i="196"/>
  <c r="L992" i="196"/>
  <c r="L993" i="196"/>
  <c r="L994" i="196"/>
  <c r="L995" i="196"/>
  <c r="L996" i="196"/>
  <c r="L997" i="196"/>
  <c r="L998" i="196"/>
  <c r="L999" i="196"/>
  <c r="L1000" i="196"/>
  <c r="L1001" i="196"/>
  <c r="L1002" i="196"/>
  <c r="L1003" i="196"/>
  <c r="L1004" i="196"/>
  <c r="L1005" i="196"/>
  <c r="L1006" i="196"/>
  <c r="L1007" i="196"/>
  <c r="L1008" i="196"/>
  <c r="L1009" i="196"/>
  <c r="L1010" i="196"/>
  <c r="L1011" i="196"/>
  <c r="L1012" i="196"/>
  <c r="L1013" i="196"/>
  <c r="L1014" i="196"/>
  <c r="L1015" i="196"/>
  <c r="L1016" i="196"/>
  <c r="L1017" i="196"/>
  <c r="L1018" i="196"/>
  <c r="L1019" i="196"/>
  <c r="L1020" i="196"/>
  <c r="L1021" i="196"/>
  <c r="L1022" i="196"/>
  <c r="L1023" i="196"/>
  <c r="H53" i="262" l="1"/>
  <c r="G55" i="262" s="1"/>
  <c r="H2" i="261"/>
  <c r="L819" i="196" l="1"/>
  <c r="L898" i="196"/>
  <c r="L817" i="196"/>
  <c r="L816" i="196"/>
  <c r="L891" i="196"/>
  <c r="L814" i="196"/>
  <c r="L813" i="196"/>
  <c r="L812" i="196"/>
  <c r="L811" i="196"/>
  <c r="L889" i="196"/>
  <c r="L809" i="196"/>
  <c r="L808" i="196"/>
  <c r="L807" i="196"/>
  <c r="L806" i="196"/>
  <c r="L805" i="196"/>
  <c r="L804" i="196"/>
  <c r="L803" i="196"/>
  <c r="L802" i="196"/>
  <c r="L302" i="196"/>
  <c r="L800" i="196"/>
  <c r="L888" i="196"/>
  <c r="L798" i="196"/>
  <c r="L886" i="196"/>
  <c r="L796" i="196"/>
  <c r="L795" i="196"/>
  <c r="L635" i="196"/>
  <c r="L793" i="196"/>
  <c r="L792" i="196"/>
  <c r="L791" i="196"/>
  <c r="L629" i="196"/>
  <c r="L789" i="196"/>
  <c r="L884" i="196"/>
  <c r="L787" i="196"/>
  <c r="L295" i="196"/>
  <c r="L880" i="196"/>
  <c r="L784" i="196"/>
  <c r="L783" i="196"/>
  <c r="L782" i="196"/>
  <c r="L781" i="196"/>
  <c r="L860" i="196"/>
  <c r="L293" i="196"/>
  <c r="L292" i="196"/>
  <c r="L229" i="196"/>
  <c r="L776" i="196"/>
  <c r="L856" i="196"/>
  <c r="L628" i="196"/>
  <c r="L773" i="196"/>
  <c r="L772" i="196"/>
  <c r="L771" i="196"/>
  <c r="L770" i="196"/>
  <c r="L769" i="196"/>
  <c r="L768" i="196"/>
  <c r="L767" i="196"/>
  <c r="L627" i="196"/>
  <c r="L765" i="196"/>
  <c r="L764" i="196"/>
  <c r="L763" i="196"/>
  <c r="L762" i="196"/>
  <c r="L761" i="196"/>
  <c r="L760" i="196"/>
  <c r="L228" i="196"/>
  <c r="L758" i="196"/>
  <c r="L757" i="196"/>
  <c r="L756" i="196"/>
  <c r="L755" i="196"/>
  <c r="L754" i="196"/>
  <c r="L753" i="196"/>
  <c r="L752" i="196"/>
  <c r="L751" i="196"/>
  <c r="L750" i="196"/>
  <c r="L749" i="196"/>
  <c r="L748" i="196"/>
  <c r="L747" i="196"/>
  <c r="L746" i="196"/>
  <c r="L745" i="196"/>
  <c r="L744" i="196"/>
  <c r="L743" i="196"/>
  <c r="L742" i="196"/>
  <c r="L741" i="196"/>
  <c r="L740" i="196"/>
  <c r="L739" i="196"/>
  <c r="L738" i="196"/>
  <c r="L737" i="196"/>
  <c r="L736" i="196"/>
  <c r="L735" i="196"/>
  <c r="L734" i="196"/>
  <c r="L733" i="196"/>
  <c r="L732" i="196"/>
  <c r="L731" i="196"/>
  <c r="L730" i="196"/>
  <c r="L729" i="196"/>
  <c r="L728" i="196"/>
  <c r="L727" i="196"/>
  <c r="L726" i="196"/>
  <c r="L625" i="196"/>
  <c r="L724" i="196"/>
  <c r="L855" i="196"/>
  <c r="L722" i="196"/>
  <c r="L721" i="196"/>
  <c r="L720" i="196"/>
  <c r="L719" i="196"/>
  <c r="L718" i="196"/>
  <c r="L717" i="196"/>
  <c r="L716" i="196"/>
  <c r="L715" i="196"/>
  <c r="L714" i="196"/>
  <c r="L713" i="196"/>
  <c r="L712" i="196"/>
  <c r="L711" i="196"/>
  <c r="L710" i="196"/>
  <c r="L961" i="196"/>
  <c r="L854" i="196"/>
  <c r="L853" i="196"/>
  <c r="L706" i="196"/>
  <c r="L705" i="196"/>
  <c r="L704" i="196"/>
  <c r="L703" i="196"/>
  <c r="L702" i="196"/>
  <c r="L621" i="196"/>
  <c r="L850" i="196"/>
  <c r="L849" i="196"/>
  <c r="L620" i="196"/>
  <c r="L697" i="196"/>
  <c r="L696" i="196"/>
  <c r="L695" i="196"/>
  <c r="L694" i="196"/>
  <c r="L848" i="196"/>
  <c r="L692" i="196"/>
  <c r="L691" i="196"/>
  <c r="L619" i="196"/>
  <c r="L689" i="196"/>
  <c r="L688" i="196"/>
  <c r="L847" i="196"/>
  <c r="L842" i="196"/>
  <c r="L685" i="196"/>
  <c r="L684" i="196"/>
  <c r="L683" i="196"/>
  <c r="L841" i="196"/>
  <c r="L839" i="196"/>
  <c r="L680" i="196"/>
  <c r="L836" i="196"/>
  <c r="L678" i="196"/>
  <c r="L617" i="196"/>
  <c r="L227" i="196"/>
  <c r="L616" i="196"/>
  <c r="L226" i="196"/>
  <c r="L822" i="196"/>
  <c r="L672" i="196"/>
  <c r="L671" i="196"/>
  <c r="L670" i="196"/>
  <c r="L669" i="196"/>
  <c r="L668" i="196"/>
  <c r="L667" i="196"/>
  <c r="L666" i="196"/>
  <c r="L615" i="196"/>
  <c r="L187" i="196"/>
  <c r="L821" i="196"/>
  <c r="L662" i="196"/>
  <c r="L661" i="196"/>
  <c r="L660" i="196"/>
  <c r="L659" i="196"/>
  <c r="L614" i="196"/>
  <c r="L657" i="196"/>
  <c r="L818" i="196"/>
  <c r="L186" i="196"/>
  <c r="L654" i="196"/>
  <c r="L653" i="196"/>
  <c r="L652" i="196"/>
  <c r="L815" i="196"/>
  <c r="L600" i="196"/>
  <c r="L649" i="196"/>
  <c r="L648" i="196"/>
  <c r="L647" i="196"/>
  <c r="L225" i="196"/>
  <c r="L645" i="196"/>
  <c r="L644" i="196"/>
  <c r="L643" i="196"/>
  <c r="L642" i="196"/>
  <c r="L641" i="196"/>
  <c r="L640" i="196"/>
  <c r="L639" i="196"/>
  <c r="L638" i="196"/>
  <c r="L637" i="196"/>
  <c r="L101" i="196"/>
  <c r="L810" i="196"/>
  <c r="L634" i="196"/>
  <c r="L633" i="196"/>
  <c r="L632" i="196"/>
  <c r="L631" i="196"/>
  <c r="L630" i="196"/>
  <c r="L597" i="196"/>
  <c r="L291" i="196"/>
  <c r="L594" i="196"/>
  <c r="L626" i="196"/>
  <c r="L170" i="196"/>
  <c r="L624" i="196"/>
  <c r="L623" i="196"/>
  <c r="L622" i="196"/>
  <c r="L121" i="196"/>
  <c r="L99" i="196"/>
  <c r="L95" i="196"/>
  <c r="L618" i="196"/>
  <c r="L109" i="196"/>
  <c r="L290" i="196"/>
  <c r="L801" i="196"/>
  <c r="L182" i="196"/>
  <c r="L613" i="196"/>
  <c r="L612" i="196"/>
  <c r="L611" i="196"/>
  <c r="L610" i="196"/>
  <c r="L609" i="196"/>
  <c r="L608" i="196"/>
  <c r="L607" i="196"/>
  <c r="L606" i="196"/>
  <c r="L605" i="196"/>
  <c r="L604" i="196"/>
  <c r="L603" i="196"/>
  <c r="L602" i="196"/>
  <c r="L601" i="196"/>
  <c r="L28" i="196"/>
  <c r="L599" i="196"/>
  <c r="L598" i="196"/>
  <c r="L89" i="196"/>
  <c r="L596" i="196"/>
  <c r="L595" i="196"/>
  <c r="L88" i="196"/>
  <c r="L593" i="196"/>
  <c r="L592" i="196"/>
  <c r="L289" i="196"/>
  <c r="L591" i="196"/>
  <c r="L128" i="196"/>
  <c r="L153" i="196"/>
  <c r="L587" i="196"/>
  <c r="L152" i="196"/>
  <c r="L585" i="196"/>
  <c r="L584" i="196"/>
  <c r="L583" i="196"/>
  <c r="L582" i="196"/>
  <c r="L581" i="196"/>
  <c r="L580" i="196"/>
  <c r="L579" i="196"/>
  <c r="L578" i="196"/>
  <c r="L577" i="196"/>
  <c r="L576" i="196"/>
  <c r="L575" i="196"/>
  <c r="L574" i="196"/>
  <c r="L573" i="196"/>
  <c r="L572" i="196"/>
  <c r="L571" i="196"/>
  <c r="L570" i="196"/>
  <c r="L569" i="196"/>
  <c r="L568" i="196"/>
  <c r="L799" i="196"/>
  <c r="L566" i="196"/>
  <c r="L565" i="196"/>
  <c r="L564" i="196"/>
  <c r="L563" i="196"/>
  <c r="L562" i="196"/>
  <c r="L561" i="196"/>
  <c r="L87" i="196"/>
  <c r="L559" i="196"/>
  <c r="L558" i="196"/>
  <c r="L557" i="196"/>
  <c r="L556" i="196"/>
  <c r="L555" i="196"/>
  <c r="L554" i="196"/>
  <c r="L553" i="196"/>
  <c r="L552" i="196"/>
  <c r="L551" i="196"/>
  <c r="L797" i="196"/>
  <c r="L549" i="196"/>
  <c r="L794" i="196"/>
  <c r="L547" i="196"/>
  <c r="L546" i="196"/>
  <c r="L545" i="196"/>
  <c r="L544" i="196"/>
  <c r="L543" i="196"/>
  <c r="L542" i="196"/>
  <c r="L790" i="196"/>
  <c r="L151" i="196"/>
  <c r="L169" i="196"/>
  <c r="L538" i="196"/>
  <c r="L537" i="196"/>
  <c r="L536" i="196"/>
  <c r="L535" i="196"/>
  <c r="L534" i="196"/>
  <c r="L533" i="196"/>
  <c r="L532" i="196"/>
  <c r="L531" i="196"/>
  <c r="L530" i="196"/>
  <c r="L529" i="196"/>
  <c r="L528" i="196"/>
  <c r="L527" i="196"/>
  <c r="L526" i="196"/>
  <c r="L525" i="196"/>
  <c r="L524" i="196"/>
  <c r="L523" i="196"/>
  <c r="L522" i="196"/>
  <c r="L521" i="196"/>
  <c r="L520" i="196"/>
  <c r="L519" i="196"/>
  <c r="L518" i="196"/>
  <c r="L517" i="196"/>
  <c r="L516" i="196"/>
  <c r="L515" i="196"/>
  <c r="L514" i="196"/>
  <c r="L513" i="196"/>
  <c r="L512" i="196"/>
  <c r="L511" i="196"/>
  <c r="L510" i="196"/>
  <c r="L509" i="196"/>
  <c r="L508" i="196"/>
  <c r="L507" i="196"/>
  <c r="L506" i="196"/>
  <c r="L505" i="196"/>
  <c r="L504" i="196"/>
  <c r="L503" i="196"/>
  <c r="L502" i="196"/>
  <c r="L501" i="196"/>
  <c r="L500" i="196"/>
  <c r="L499" i="196"/>
  <c r="L498" i="196"/>
  <c r="L497" i="196"/>
  <c r="L496" i="196"/>
  <c r="L495" i="196"/>
  <c r="L288" i="196"/>
  <c r="L493" i="196"/>
  <c r="L492" i="196"/>
  <c r="L491" i="196"/>
  <c r="L490" i="196"/>
  <c r="L489" i="196"/>
  <c r="L488" i="196"/>
  <c r="L487" i="196"/>
  <c r="L486" i="196"/>
  <c r="L485" i="196"/>
  <c r="L484" i="196"/>
  <c r="L483" i="196"/>
  <c r="L482" i="196"/>
  <c r="L481" i="196"/>
  <c r="L480" i="196"/>
  <c r="L479" i="196"/>
  <c r="L478" i="196"/>
  <c r="L477" i="196"/>
  <c r="L476" i="196"/>
  <c r="L475" i="196"/>
  <c r="L474" i="196"/>
  <c r="L473" i="196"/>
  <c r="L472" i="196"/>
  <c r="L471" i="196"/>
  <c r="L470" i="196"/>
  <c r="L469" i="196"/>
  <c r="L468" i="196"/>
  <c r="L467" i="196"/>
  <c r="L466" i="196"/>
  <c r="L465" i="196"/>
  <c r="L464" i="196"/>
  <c r="L463" i="196"/>
  <c r="L462" i="196"/>
  <c r="L461" i="196"/>
  <c r="L460" i="196"/>
  <c r="L459" i="196"/>
  <c r="L458" i="196"/>
  <c r="L457" i="196"/>
  <c r="L456" i="196"/>
  <c r="L455" i="196"/>
  <c r="L454" i="196"/>
  <c r="L453" i="196"/>
  <c r="L452" i="196"/>
  <c r="L451" i="196"/>
  <c r="L450" i="196"/>
  <c r="L449" i="196"/>
  <c r="L448" i="196"/>
  <c r="L447" i="196"/>
  <c r="L446" i="196"/>
  <c r="L445" i="196"/>
  <c r="L444" i="196"/>
  <c r="L443" i="196"/>
  <c r="L442" i="196"/>
  <c r="L441" i="196"/>
  <c r="L440" i="196"/>
  <c r="L439" i="196"/>
  <c r="L438" i="196"/>
  <c r="L437" i="196"/>
  <c r="L436" i="196"/>
  <c r="L435" i="196"/>
  <c r="L434" i="196"/>
  <c r="L433" i="196"/>
  <c r="L432" i="196"/>
  <c r="L431" i="196"/>
  <c r="L430" i="196"/>
  <c r="L429" i="196"/>
  <c r="L428" i="196"/>
  <c r="L427" i="196"/>
  <c r="L426" i="196"/>
  <c r="L590" i="196"/>
  <c r="L424" i="196"/>
  <c r="L163" i="196"/>
  <c r="L422" i="196"/>
  <c r="L788" i="196"/>
  <c r="L420" i="196"/>
  <c r="L419" i="196"/>
  <c r="L418" i="196"/>
  <c r="L417" i="196"/>
  <c r="L416" i="196"/>
  <c r="L415" i="196"/>
  <c r="L414" i="196"/>
  <c r="L413" i="196"/>
  <c r="L412" i="196"/>
  <c r="L411" i="196"/>
  <c r="L410" i="196"/>
  <c r="L409" i="196"/>
  <c r="L408" i="196"/>
  <c r="L589" i="196"/>
  <c r="L406" i="196"/>
  <c r="L786" i="196"/>
  <c r="L404" i="196"/>
  <c r="L588" i="196"/>
  <c r="L402" i="196"/>
  <c r="L401" i="196"/>
  <c r="L400" i="196"/>
  <c r="L586" i="196"/>
  <c r="L785" i="196"/>
  <c r="L397" i="196"/>
  <c r="L396" i="196"/>
  <c r="L395" i="196"/>
  <c r="L394" i="196"/>
  <c r="L393" i="196"/>
  <c r="L392" i="196"/>
  <c r="L391" i="196"/>
  <c r="L390" i="196"/>
  <c r="L389" i="196"/>
  <c r="L388" i="196"/>
  <c r="L387" i="196"/>
  <c r="L386" i="196"/>
  <c r="L385" i="196"/>
  <c r="L384" i="196"/>
  <c r="L383" i="196"/>
  <c r="L382" i="196"/>
  <c r="L780" i="196"/>
  <c r="L84" i="196"/>
  <c r="L379" i="196"/>
  <c r="L378" i="196"/>
  <c r="L377" i="196"/>
  <c r="L376" i="196"/>
  <c r="L375" i="196"/>
  <c r="L374" i="196"/>
  <c r="L373" i="196"/>
  <c r="L372" i="196"/>
  <c r="L371" i="196"/>
  <c r="L370" i="196"/>
  <c r="L369" i="196"/>
  <c r="L368" i="196"/>
  <c r="L367" i="196"/>
  <c r="L366" i="196"/>
  <c r="L365" i="196"/>
  <c r="L364" i="196"/>
  <c r="L363" i="196"/>
  <c r="L362" i="196"/>
  <c r="L361" i="196"/>
  <c r="L360" i="196"/>
  <c r="L359" i="196"/>
  <c r="L358" i="196"/>
  <c r="L357" i="196"/>
  <c r="L356" i="196"/>
  <c r="L355" i="196"/>
  <c r="L354" i="196"/>
  <c r="L353" i="196"/>
  <c r="L352" i="196"/>
  <c r="L351" i="196"/>
  <c r="L350" i="196"/>
  <c r="L349" i="196"/>
  <c r="L348" i="196"/>
  <c r="L347" i="196"/>
  <c r="L346" i="196"/>
  <c r="L345" i="196"/>
  <c r="L344" i="196"/>
  <c r="L285" i="196"/>
  <c r="L342" i="196"/>
  <c r="L127" i="196"/>
  <c r="L340" i="196"/>
  <c r="L339" i="196"/>
  <c r="L338" i="196"/>
  <c r="L337" i="196"/>
  <c r="L336" i="196"/>
  <c r="L335" i="196"/>
  <c r="L334" i="196"/>
  <c r="L333" i="196"/>
  <c r="L332" i="196"/>
  <c r="L331" i="196"/>
  <c r="L330" i="196"/>
  <c r="L329" i="196"/>
  <c r="L328" i="196"/>
  <c r="L327" i="196"/>
  <c r="L326" i="196"/>
  <c r="L325" i="196"/>
  <c r="L324" i="196"/>
  <c r="L323" i="196"/>
  <c r="L218" i="196"/>
  <c r="L567" i="196"/>
  <c r="L320" i="196"/>
  <c r="L168" i="196"/>
  <c r="L83" i="196"/>
  <c r="L317" i="196"/>
  <c r="L316" i="196"/>
  <c r="L315" i="196"/>
  <c r="L314" i="196"/>
  <c r="L313" i="196"/>
  <c r="L312" i="196"/>
  <c r="L311" i="196"/>
  <c r="L310" i="196"/>
  <c r="L309" i="196"/>
  <c r="L308" i="196"/>
  <c r="L307" i="196"/>
  <c r="L306" i="196"/>
  <c r="L305" i="196"/>
  <c r="L304" i="196"/>
  <c r="L217" i="196"/>
  <c r="L3" i="196"/>
  <c r="L301" i="196"/>
  <c r="L300" i="196"/>
  <c r="L299" i="196"/>
  <c r="L298" i="196"/>
  <c r="L297" i="196"/>
  <c r="L296" i="196"/>
  <c r="L779" i="196"/>
  <c r="L294" i="196"/>
  <c r="L82" i="196"/>
  <c r="L147" i="196"/>
  <c r="L120" i="196"/>
  <c r="L283" i="196"/>
  <c r="L79" i="196"/>
  <c r="L167" i="196"/>
  <c r="L287" i="196"/>
  <c r="L286" i="196"/>
  <c r="L78" i="196"/>
  <c r="L284" i="196"/>
  <c r="L276" i="196"/>
  <c r="L282" i="196"/>
  <c r="L281" i="196"/>
  <c r="L280" i="196"/>
  <c r="L279" i="196"/>
  <c r="L278" i="196"/>
  <c r="L277" i="196"/>
  <c r="L778" i="196"/>
  <c r="L275" i="196"/>
  <c r="L274" i="196"/>
  <c r="L12" i="196"/>
  <c r="L65" i="196"/>
  <c r="L273" i="196"/>
  <c r="L137" i="196"/>
  <c r="L216" i="196"/>
  <c r="L215" i="196"/>
  <c r="L560" i="196"/>
  <c r="L266" i="196"/>
  <c r="L265" i="196"/>
  <c r="L264" i="196"/>
  <c r="L263" i="196"/>
  <c r="L262" i="196"/>
  <c r="L261" i="196"/>
  <c r="L260" i="196"/>
  <c r="L259" i="196"/>
  <c r="L777" i="196"/>
  <c r="L257" i="196"/>
  <c r="L256" i="196"/>
  <c r="L255" i="196"/>
  <c r="L254" i="196"/>
  <c r="L119" i="196"/>
  <c r="L108" i="196"/>
  <c r="L251" i="196"/>
  <c r="L250" i="196"/>
  <c r="L249" i="196"/>
  <c r="L550" i="196"/>
  <c r="L214" i="196"/>
  <c r="L775" i="196"/>
  <c r="L548" i="196"/>
  <c r="L244" i="196"/>
  <c r="L212" i="196"/>
  <c r="L209" i="196"/>
  <c r="L241" i="196"/>
  <c r="L240" i="196"/>
  <c r="L239" i="196"/>
  <c r="L238" i="196"/>
  <c r="L774" i="196"/>
  <c r="L766" i="196"/>
  <c r="L64" i="196"/>
  <c r="L234" i="196"/>
  <c r="L63" i="196"/>
  <c r="L181" i="196"/>
  <c r="L231" i="196"/>
  <c r="L230" i="196"/>
  <c r="L541" i="196"/>
  <c r="L208" i="196"/>
  <c r="L759" i="196"/>
  <c r="L540" i="196"/>
  <c r="L126" i="196"/>
  <c r="L224" i="196"/>
  <c r="L223" i="196"/>
  <c r="L222" i="196"/>
  <c r="L221" i="196"/>
  <c r="L220" i="196"/>
  <c r="L219" i="196"/>
  <c r="L272" i="196"/>
  <c r="L271" i="196"/>
  <c r="L539" i="196"/>
  <c r="L725" i="196"/>
  <c r="L494" i="196"/>
  <c r="L213" i="196"/>
  <c r="L723" i="196"/>
  <c r="L211" i="196"/>
  <c r="L210" i="196"/>
  <c r="L158" i="196"/>
  <c r="L179" i="196"/>
  <c r="L270" i="196"/>
  <c r="L206" i="196"/>
  <c r="L205" i="196"/>
  <c r="L204" i="196"/>
  <c r="L203" i="196"/>
  <c r="L202" i="196"/>
  <c r="L201" i="196"/>
  <c r="L200" i="196"/>
  <c r="L199" i="196"/>
  <c r="L198" i="196"/>
  <c r="L178" i="196"/>
  <c r="L269" i="196"/>
  <c r="L157" i="196"/>
  <c r="L103" i="196"/>
  <c r="L135" i="196"/>
  <c r="L177" i="196"/>
  <c r="L191" i="196"/>
  <c r="L709" i="196"/>
  <c r="L189" i="196"/>
  <c r="L188" i="196"/>
  <c r="L146" i="196"/>
  <c r="L125" i="196"/>
  <c r="L185" i="196"/>
  <c r="L184" i="196"/>
  <c r="L183" i="196"/>
  <c r="L166" i="196"/>
  <c r="L124" i="196"/>
  <c r="L180" i="196"/>
  <c r="L425" i="196"/>
  <c r="L176" i="196"/>
  <c r="L145" i="196"/>
  <c r="L102" i="196"/>
  <c r="L62" i="196"/>
  <c r="L423" i="196"/>
  <c r="L173" i="196"/>
  <c r="L708" i="196"/>
  <c r="L171" i="196"/>
  <c r="L207" i="196"/>
  <c r="L44" i="196"/>
  <c r="L197" i="196"/>
  <c r="L707" i="196"/>
  <c r="L421" i="196"/>
  <c r="L42" i="196"/>
  <c r="L24" i="196"/>
  <c r="L156" i="196"/>
  <c r="L162" i="196"/>
  <c r="L161" i="196"/>
  <c r="L160" i="196"/>
  <c r="L159" i="196"/>
  <c r="L139" i="196"/>
  <c r="L115" i="196"/>
  <c r="L196" i="196"/>
  <c r="L407" i="196"/>
  <c r="L154" i="196"/>
  <c r="L701" i="196"/>
  <c r="L268" i="196"/>
  <c r="L267" i="196"/>
  <c r="L150" i="196"/>
  <c r="L149" i="196"/>
  <c r="L148" i="196"/>
  <c r="L700" i="196"/>
  <c r="L39" i="196"/>
  <c r="L195" i="196"/>
  <c r="L144" i="196"/>
  <c r="L143" i="196"/>
  <c r="L142" i="196"/>
  <c r="L141" i="196"/>
  <c r="L140" i="196"/>
  <c r="L38" i="196"/>
  <c r="L123" i="196"/>
  <c r="L165" i="196"/>
  <c r="L136" i="196"/>
  <c r="L699" i="196"/>
  <c r="L134" i="196"/>
  <c r="L133" i="196"/>
  <c r="L132" i="196"/>
  <c r="L131" i="196"/>
  <c r="L130" i="196"/>
  <c r="L129" i="196"/>
  <c r="L19" i="196"/>
  <c r="L698" i="196"/>
  <c r="L122" i="196"/>
  <c r="L30" i="196"/>
  <c r="L18" i="196"/>
  <c r="L16" i="196"/>
  <c r="L5" i="196"/>
  <c r="L15" i="196"/>
  <c r="L11" i="196"/>
  <c r="L405" i="196"/>
  <c r="L118" i="196"/>
  <c r="L117" i="196"/>
  <c r="L116" i="196"/>
  <c r="L693" i="196"/>
  <c r="L114" i="196"/>
  <c r="L113" i="196"/>
  <c r="L112" i="196"/>
  <c r="L111" i="196"/>
  <c r="L690" i="196"/>
  <c r="L258" i="196"/>
  <c r="L403" i="196"/>
  <c r="L107" i="196"/>
  <c r="L106" i="196"/>
  <c r="L105" i="196"/>
  <c r="L104" i="196"/>
  <c r="L687" i="196"/>
  <c r="L686" i="196"/>
  <c r="L399" i="196"/>
  <c r="L100" i="196"/>
  <c r="L682" i="196"/>
  <c r="L98" i="196"/>
  <c r="L97" i="196"/>
  <c r="L96" i="196"/>
  <c r="L681" i="196"/>
  <c r="L94" i="196"/>
  <c r="L93" i="196"/>
  <c r="L92" i="196"/>
  <c r="L91" i="196"/>
  <c r="L90" i="196"/>
  <c r="L194" i="196"/>
  <c r="L398" i="196"/>
  <c r="L253" i="196"/>
  <c r="L86" i="196"/>
  <c r="L85" i="196"/>
  <c r="L679" i="196"/>
  <c r="L677" i="196"/>
  <c r="L381" i="196"/>
  <c r="L81" i="196"/>
  <c r="L80" i="196"/>
  <c r="L676" i="196"/>
  <c r="L252" i="196"/>
  <c r="L77" i="196"/>
  <c r="L76" i="196"/>
  <c r="L75" i="196"/>
  <c r="L74" i="196"/>
  <c r="L73" i="196"/>
  <c r="L72" i="196"/>
  <c r="L71" i="196"/>
  <c r="L70" i="196"/>
  <c r="L69" i="196"/>
  <c r="L68" i="196"/>
  <c r="L67" i="196"/>
  <c r="L66" i="196"/>
  <c r="L675" i="196"/>
  <c r="L674" i="196"/>
  <c r="L110" i="196"/>
  <c r="L29" i="196"/>
  <c r="L61" i="196"/>
  <c r="L60" i="196"/>
  <c r="L59" i="196"/>
  <c r="L58" i="196"/>
  <c r="L57" i="196"/>
  <c r="L56" i="196"/>
  <c r="L55" i="196"/>
  <c r="L54" i="196"/>
  <c r="L53" i="196"/>
  <c r="L52" i="196"/>
  <c r="L51" i="196"/>
  <c r="L50" i="196"/>
  <c r="L49" i="196"/>
  <c r="L48" i="196"/>
  <c r="L47" i="196"/>
  <c r="L46" i="196"/>
  <c r="L45" i="196"/>
  <c r="L248" i="196"/>
  <c r="L43" i="196"/>
  <c r="L380" i="196"/>
  <c r="L41" i="196"/>
  <c r="L40" i="196"/>
  <c r="L193" i="196"/>
  <c r="L673" i="196"/>
  <c r="L37" i="196"/>
  <c r="L36" i="196"/>
  <c r="L35" i="196"/>
  <c r="L34" i="196"/>
  <c r="L33" i="196"/>
  <c r="L32" i="196"/>
  <c r="L31" i="196"/>
  <c r="L665" i="196"/>
  <c r="L343" i="196"/>
  <c r="L192" i="196"/>
  <c r="L27" i="196"/>
  <c r="L26" i="196"/>
  <c r="L25" i="196"/>
  <c r="L175" i="196"/>
  <c r="L23" i="196"/>
  <c r="L22" i="196"/>
  <c r="L21" i="196"/>
  <c r="L20" i="196"/>
  <c r="L138" i="196"/>
  <c r="L155" i="196"/>
  <c r="L17" i="196"/>
  <c r="L247" i="196"/>
  <c r="L164" i="196"/>
  <c r="L246" i="196"/>
  <c r="L13" i="196"/>
  <c r="L664" i="196"/>
  <c r="L174" i="196"/>
  <c r="L10" i="196"/>
  <c r="L9" i="196"/>
  <c r="L8" i="196"/>
  <c r="L7" i="196"/>
  <c r="L6" i="196"/>
  <c r="L172" i="196"/>
  <c r="L4" i="196"/>
  <c r="L14" i="196"/>
  <c r="L2" i="196"/>
  <c r="O1276" i="196"/>
  <c r="O1275" i="196"/>
  <c r="O1274" i="196"/>
  <c r="O1273" i="196"/>
  <c r="O1272" i="196"/>
  <c r="O1271" i="196"/>
  <c r="O1270" i="196"/>
  <c r="O1269" i="196"/>
  <c r="O1268" i="196"/>
  <c r="O1267" i="196"/>
  <c r="O1266" i="196"/>
  <c r="O1265" i="196"/>
  <c r="O1264" i="196"/>
  <c r="O1263" i="196"/>
  <c r="O1262" i="196"/>
  <c r="O1261" i="196"/>
  <c r="O1260" i="196"/>
  <c r="O1259" i="196"/>
  <c r="O1258" i="196"/>
  <c r="O1257" i="196"/>
  <c r="O1256" i="196"/>
  <c r="O1255" i="196"/>
  <c r="O1254" i="196"/>
  <c r="O1253" i="196"/>
  <c r="O1252" i="196"/>
  <c r="O1251" i="196"/>
  <c r="O1250" i="196"/>
  <c r="O1249" i="196"/>
  <c r="O1248" i="196"/>
  <c r="O1247" i="196"/>
  <c r="O1246" i="196"/>
  <c r="O1245" i="196"/>
  <c r="O1244" i="196"/>
  <c r="O1243" i="196"/>
  <c r="O1242" i="196"/>
  <c r="O1241" i="196"/>
  <c r="O1240" i="196"/>
  <c r="O1239" i="196"/>
  <c r="O1238" i="196"/>
  <c r="O1237" i="196"/>
  <c r="O1236" i="196"/>
  <c r="O1235" i="196"/>
  <c r="O1234" i="196"/>
  <c r="O1233" i="196"/>
  <c r="O1232" i="196"/>
  <c r="O1231" i="196"/>
  <c r="O1230" i="196"/>
  <c r="O1229" i="196"/>
  <c r="O1228" i="196"/>
  <c r="O1227" i="196"/>
  <c r="O1226" i="196"/>
  <c r="O1225" i="196"/>
  <c r="O1224" i="196"/>
  <c r="O1223" i="196"/>
  <c r="O1222" i="196"/>
  <c r="O1221" i="196"/>
  <c r="O1220" i="196"/>
  <c r="O1219" i="196"/>
  <c r="O1218" i="196"/>
  <c r="O1217" i="196"/>
  <c r="O1216" i="196"/>
  <c r="O1215" i="196"/>
  <c r="O1214" i="196"/>
  <c r="O1213" i="196"/>
  <c r="O1212" i="196"/>
  <c r="O1211" i="196"/>
  <c r="O1210" i="196"/>
  <c r="O1209" i="196"/>
  <c r="O1208" i="196"/>
  <c r="O1207" i="196"/>
  <c r="O1206" i="196"/>
  <c r="O1205" i="196"/>
  <c r="O1204" i="196"/>
  <c r="O1203" i="196"/>
  <c r="O1202" i="196"/>
  <c r="O1201" i="196"/>
  <c r="O1200" i="196"/>
  <c r="O1199" i="196"/>
  <c r="O1198" i="196"/>
  <c r="O1197" i="196"/>
  <c r="O1196" i="196"/>
  <c r="O1195" i="196"/>
  <c r="O1194" i="196"/>
  <c r="O1193" i="196"/>
  <c r="O1192" i="196"/>
  <c r="O1191" i="196"/>
  <c r="O1190" i="196"/>
  <c r="O1189" i="196"/>
  <c r="O1188" i="196"/>
  <c r="O1187" i="196"/>
  <c r="O1186" i="196"/>
  <c r="O1185" i="196"/>
  <c r="O1184" i="196"/>
  <c r="O1183" i="196"/>
  <c r="O1182" i="196"/>
  <c r="O1181" i="196"/>
  <c r="O1180" i="196"/>
  <c r="O1179" i="196"/>
  <c r="O1178" i="196"/>
  <c r="O1177" i="196"/>
  <c r="O1176" i="196"/>
  <c r="O1175" i="196"/>
  <c r="O1174" i="196"/>
  <c r="O1173" i="196"/>
  <c r="O1172" i="196"/>
  <c r="O1171" i="196"/>
  <c r="O1170" i="196"/>
  <c r="O1169" i="196"/>
  <c r="O1168" i="196"/>
  <c r="O1167" i="196"/>
  <c r="O1166" i="196"/>
  <c r="O1165" i="196"/>
  <c r="O1164" i="196"/>
  <c r="O1163" i="196"/>
  <c r="O1162" i="196"/>
  <c r="O1161" i="196"/>
  <c r="O1160" i="196"/>
  <c r="O1159" i="196"/>
  <c r="O1158" i="196"/>
  <c r="O1157" i="196"/>
  <c r="O1156" i="196"/>
  <c r="O1155" i="196"/>
  <c r="O1154" i="196"/>
  <c r="O1153" i="196"/>
  <c r="O1152" i="196"/>
  <c r="O1151" i="196"/>
  <c r="O1150" i="196"/>
  <c r="O1149" i="196"/>
  <c r="O1148" i="196"/>
  <c r="O1147" i="196"/>
  <c r="O1146" i="196"/>
  <c r="O1145" i="196"/>
  <c r="O1144" i="196"/>
  <c r="O1143" i="196"/>
  <c r="O1142" i="196"/>
  <c r="O1141" i="196"/>
  <c r="O1140" i="196"/>
  <c r="O1139" i="196"/>
  <c r="O1138" i="196"/>
  <c r="O1137" i="196"/>
  <c r="O1136" i="196"/>
  <c r="O1135" i="196"/>
  <c r="O1134" i="196"/>
  <c r="O1133" i="196"/>
  <c r="O1132" i="196"/>
  <c r="O1131" i="196"/>
  <c r="O1130" i="196"/>
  <c r="O1129" i="196"/>
  <c r="O1128" i="196"/>
  <c r="O1127" i="196"/>
  <c r="O1126" i="196"/>
  <c r="O1125" i="196"/>
  <c r="O1124" i="196"/>
  <c r="O1123" i="196"/>
  <c r="O1122" i="196"/>
  <c r="O1121" i="196"/>
  <c r="O1120" i="196"/>
  <c r="O1119" i="196"/>
  <c r="O1118" i="196"/>
  <c r="O1117" i="196"/>
  <c r="O1116" i="196"/>
  <c r="O1115" i="196"/>
  <c r="O1114" i="196"/>
  <c r="O1113" i="196"/>
  <c r="O1112" i="196"/>
  <c r="O1111" i="196"/>
  <c r="O1110" i="196"/>
  <c r="O1109" i="196"/>
  <c r="O1108" i="196"/>
  <c r="O1107" i="196"/>
  <c r="O1106" i="196"/>
  <c r="O1105" i="196"/>
  <c r="O1104" i="196"/>
  <c r="O1103" i="196"/>
  <c r="O1102" i="196"/>
  <c r="O1101" i="196"/>
  <c r="O1100" i="196"/>
  <c r="O1099" i="196"/>
  <c r="O1098" i="196"/>
  <c r="O1097" i="196"/>
  <c r="O1096" i="196"/>
  <c r="O1095" i="196"/>
  <c r="O1094" i="196"/>
  <c r="O1093" i="196"/>
  <c r="O1092" i="196"/>
  <c r="O1091" i="196"/>
  <c r="O1090" i="196"/>
  <c r="O1089" i="196"/>
  <c r="O1088" i="196"/>
  <c r="O1087" i="196"/>
  <c r="O1086" i="196"/>
  <c r="O1085" i="196"/>
  <c r="O1084" i="196"/>
  <c r="O1082" i="196"/>
  <c r="O1081" i="196"/>
  <c r="O1080" i="196"/>
  <c r="O1079" i="196"/>
  <c r="O1078" i="196"/>
  <c r="O1077" i="196"/>
  <c r="O1076" i="196"/>
  <c r="O1075" i="196"/>
  <c r="O1074" i="196"/>
  <c r="O1073" i="196"/>
  <c r="O1072" i="196"/>
  <c r="O1071" i="196"/>
  <c r="O1070" i="196"/>
  <c r="O1069" i="196"/>
  <c r="O1068" i="196"/>
  <c r="O1067" i="196"/>
  <c r="O1066" i="196"/>
  <c r="O1065" i="196"/>
  <c r="O1064" i="196"/>
  <c r="O1063" i="196"/>
  <c r="O1062" i="196"/>
  <c r="O1061" i="196"/>
  <c r="O1060" i="196"/>
  <c r="O1059" i="196"/>
  <c r="O1058" i="196"/>
  <c r="O1057" i="196"/>
  <c r="O1056" i="196"/>
  <c r="O1055" i="196"/>
  <c r="O1054" i="196"/>
  <c r="O1053" i="196"/>
  <c r="O1052" i="196"/>
  <c r="O1051" i="196"/>
  <c r="O1050" i="196"/>
  <c r="O1049" i="196"/>
  <c r="O1048" i="196"/>
  <c r="O1047" i="196"/>
  <c r="O1046" i="196"/>
  <c r="O1045" i="196"/>
  <c r="O1044" i="196"/>
  <c r="O1043" i="196"/>
  <c r="O1042" i="196"/>
  <c r="O1041" i="196"/>
  <c r="O1040" i="196"/>
  <c r="O1039" i="196"/>
  <c r="O1038" i="196"/>
  <c r="O1037" i="196"/>
  <c r="O1036" i="196"/>
  <c r="O1035" i="196"/>
  <c r="O1034" i="196"/>
  <c r="O1033" i="196"/>
  <c r="O1032" i="196"/>
  <c r="O1031" i="196"/>
  <c r="O1030" i="196"/>
  <c r="O1029" i="196"/>
  <c r="O1028" i="196"/>
  <c r="O1027" i="196"/>
  <c r="O1026" i="196"/>
  <c r="O1025" i="196"/>
  <c r="O1024" i="196"/>
  <c r="O1023" i="196"/>
  <c r="O1022" i="196"/>
  <c r="O1021" i="196"/>
  <c r="O1020" i="196"/>
  <c r="O1019" i="196"/>
  <c r="O1018" i="196"/>
  <c r="O1017" i="196"/>
  <c r="O1016" i="196"/>
  <c r="O1015" i="196"/>
  <c r="O1014" i="196"/>
  <c r="O1013" i="196"/>
  <c r="O1012" i="196"/>
  <c r="O1011" i="196"/>
  <c r="O1010" i="196"/>
  <c r="O1009" i="196"/>
  <c r="O1008" i="196"/>
  <c r="O1007" i="196"/>
  <c r="O1006" i="196"/>
  <c r="O1005" i="196"/>
  <c r="O1004" i="196"/>
  <c r="O1003" i="196"/>
  <c r="O1002" i="196"/>
  <c r="O1001" i="196"/>
  <c r="O1000" i="196"/>
  <c r="O999" i="196"/>
  <c r="O998" i="196"/>
  <c r="O997" i="196"/>
  <c r="O996" i="196"/>
  <c r="O995" i="196"/>
  <c r="O994" i="196"/>
  <c r="O993" i="196"/>
  <c r="O992" i="196"/>
  <c r="O991" i="196"/>
  <c r="O990" i="196"/>
  <c r="O989" i="196"/>
  <c r="O988" i="196"/>
  <c r="O987" i="196"/>
  <c r="O986" i="196"/>
  <c r="O985" i="196"/>
  <c r="O984" i="196"/>
  <c r="O983" i="196"/>
  <c r="O982" i="196"/>
  <c r="O981" i="196"/>
  <c r="O980" i="196"/>
  <c r="O979" i="196"/>
  <c r="O978" i="196"/>
  <c r="O977" i="196"/>
  <c r="O976" i="196"/>
  <c r="O975" i="196"/>
  <c r="O974" i="196"/>
  <c r="O973" i="196"/>
  <c r="O972" i="196"/>
  <c r="O971" i="196"/>
  <c r="O970" i="196"/>
  <c r="O969" i="196"/>
  <c r="O968" i="196"/>
  <c r="O967" i="196"/>
  <c r="O966" i="196"/>
  <c r="O965" i="196"/>
  <c r="O964" i="196"/>
  <c r="O963" i="196"/>
  <c r="O962" i="196"/>
  <c r="O341" i="196"/>
  <c r="O960" i="196"/>
  <c r="O959" i="196"/>
  <c r="O958" i="196"/>
  <c r="O957" i="196"/>
  <c r="O956" i="196"/>
  <c r="O955" i="196"/>
  <c r="O954" i="196"/>
  <c r="O953" i="196"/>
  <c r="O952" i="196"/>
  <c r="O951" i="196"/>
  <c r="O950" i="196"/>
  <c r="O949" i="196"/>
  <c r="O948" i="196"/>
  <c r="O947" i="196"/>
  <c r="O946" i="196"/>
  <c r="O945" i="196"/>
  <c r="O944" i="196"/>
  <c r="O943" i="196"/>
  <c r="O942" i="196"/>
  <c r="O941" i="196"/>
  <c r="O940" i="196"/>
  <c r="O939" i="196"/>
  <c r="O938" i="196"/>
  <c r="O937" i="196"/>
  <c r="O936" i="196"/>
  <c r="O935" i="196"/>
  <c r="O663" i="196"/>
  <c r="O934" i="196"/>
  <c r="O933" i="196"/>
  <c r="O245" i="196"/>
  <c r="O931" i="196"/>
  <c r="O930" i="196"/>
  <c r="O929" i="196"/>
  <c r="O928" i="196"/>
  <c r="O927" i="196"/>
  <c r="O932" i="196"/>
  <c r="O926" i="196"/>
  <c r="O924" i="196"/>
  <c r="O923" i="196"/>
  <c r="O922" i="196"/>
  <c r="O921" i="196"/>
  <c r="O925" i="196"/>
  <c r="O243" i="196"/>
  <c r="O920" i="196"/>
  <c r="O917" i="196"/>
  <c r="O242" i="196"/>
  <c r="O919" i="196"/>
  <c r="O914" i="196"/>
  <c r="O913" i="196"/>
  <c r="O912" i="196"/>
  <c r="O322" i="196"/>
  <c r="O910" i="196"/>
  <c r="O658" i="196"/>
  <c r="O656" i="196"/>
  <c r="O655" i="196"/>
  <c r="O321" i="196"/>
  <c r="O905" i="196"/>
  <c r="O904" i="196"/>
  <c r="O903" i="196"/>
  <c r="O902" i="196"/>
  <c r="O901" i="196"/>
  <c r="O900" i="196"/>
  <c r="O899" i="196"/>
  <c r="O1083" i="196"/>
  <c r="O897" i="196"/>
  <c r="O896" i="196"/>
  <c r="O895" i="196"/>
  <c r="O894" i="196"/>
  <c r="O893" i="196"/>
  <c r="O892" i="196"/>
  <c r="O918" i="196"/>
  <c r="O890" i="196"/>
  <c r="O651" i="196"/>
  <c r="O319" i="196"/>
  <c r="O887" i="196"/>
  <c r="O190" i="196"/>
  <c r="O885" i="196"/>
  <c r="O237" i="196"/>
  <c r="O883" i="196"/>
  <c r="O882" i="196"/>
  <c r="O881" i="196"/>
  <c r="O916" i="196"/>
  <c r="O879" i="196"/>
  <c r="O878" i="196"/>
  <c r="O877" i="196"/>
  <c r="O876" i="196"/>
  <c r="O875" i="196"/>
  <c r="O874" i="196"/>
  <c r="O873" i="196"/>
  <c r="O872" i="196"/>
  <c r="O871" i="196"/>
  <c r="O870" i="196"/>
  <c r="O869" i="196"/>
  <c r="O868" i="196"/>
  <c r="O867" i="196"/>
  <c r="O866" i="196"/>
  <c r="O865" i="196"/>
  <c r="O864" i="196"/>
  <c r="O863" i="196"/>
  <c r="O862" i="196"/>
  <c r="O861" i="196"/>
  <c r="O236" i="196"/>
  <c r="O859" i="196"/>
  <c r="O858" i="196"/>
  <c r="O857" i="196"/>
  <c r="O650" i="196"/>
  <c r="O915" i="196"/>
  <c r="O235" i="196"/>
  <c r="O646" i="196"/>
  <c r="O852" i="196"/>
  <c r="O851" i="196"/>
  <c r="O911" i="196"/>
  <c r="O909" i="196"/>
  <c r="O318" i="196"/>
  <c r="O303" i="196"/>
  <c r="O846" i="196"/>
  <c r="O845" i="196"/>
  <c r="O844" i="196"/>
  <c r="O843" i="196"/>
  <c r="O636" i="196"/>
  <c r="O908" i="196"/>
  <c r="O840" i="196"/>
  <c r="O907" i="196"/>
  <c r="O838" i="196"/>
  <c r="O837" i="196"/>
  <c r="O233" i="196"/>
  <c r="O835" i="196"/>
  <c r="O834" i="196"/>
  <c r="O833" i="196"/>
  <c r="O832" i="196"/>
  <c r="O831" i="196"/>
  <c r="O830" i="196"/>
  <c r="O829" i="196"/>
  <c r="O828" i="196"/>
  <c r="O827" i="196"/>
  <c r="O826" i="196"/>
  <c r="O825" i="196"/>
  <c r="O824" i="196"/>
  <c r="O823" i="196"/>
  <c r="O906" i="196"/>
  <c r="O232" i="196"/>
  <c r="O820" i="196"/>
  <c r="O819" i="196"/>
  <c r="O898" i="196"/>
  <c r="O817" i="196"/>
  <c r="O816" i="196"/>
  <c r="O891" i="196"/>
  <c r="O814" i="196"/>
  <c r="O813" i="196"/>
  <c r="O812" i="196"/>
  <c r="O811" i="196"/>
  <c r="O889" i="196"/>
  <c r="O809" i="196"/>
  <c r="O808" i="196"/>
  <c r="O807" i="196"/>
  <c r="O806" i="196"/>
  <c r="O805" i="196"/>
  <c r="O804" i="196"/>
  <c r="O803" i="196"/>
  <c r="O802" i="196"/>
  <c r="O302" i="196"/>
  <c r="O800" i="196"/>
  <c r="O888" i="196"/>
  <c r="O798" i="196"/>
  <c r="O886" i="196"/>
  <c r="O796" i="196"/>
  <c r="O795" i="196"/>
  <c r="O635" i="196"/>
  <c r="O793" i="196"/>
  <c r="O792" i="196"/>
  <c r="O791" i="196"/>
  <c r="O629" i="196"/>
  <c r="O789" i="196"/>
  <c r="O884" i="196"/>
  <c r="O787" i="196"/>
  <c r="O295" i="196"/>
  <c r="O880" i="196"/>
  <c r="O784" i="196"/>
  <c r="O783" i="196"/>
  <c r="O782" i="196"/>
  <c r="O781" i="196"/>
  <c r="O860" i="196"/>
  <c r="O293" i="196"/>
  <c r="O292" i="196"/>
  <c r="O229" i="196"/>
  <c r="O776" i="196"/>
  <c r="O856" i="196"/>
  <c r="O628" i="196"/>
  <c r="O773" i="196"/>
  <c r="O772" i="196"/>
  <c r="O771" i="196"/>
  <c r="O770" i="196"/>
  <c r="O769" i="196"/>
  <c r="O768" i="196"/>
  <c r="O767" i="196"/>
  <c r="O627" i="196"/>
  <c r="O765" i="196"/>
  <c r="O764" i="196"/>
  <c r="O763" i="196"/>
  <c r="O762" i="196"/>
  <c r="O761" i="196"/>
  <c r="O760" i="196"/>
  <c r="O228" i="196"/>
  <c r="O758" i="196"/>
  <c r="O757" i="196"/>
  <c r="O756" i="196"/>
  <c r="O755" i="196"/>
  <c r="O754" i="196"/>
  <c r="O753" i="196"/>
  <c r="O752" i="196"/>
  <c r="O751" i="196"/>
  <c r="O750" i="196"/>
  <c r="O749" i="196"/>
  <c r="O748" i="196"/>
  <c r="O747" i="196"/>
  <c r="O746" i="196"/>
  <c r="O745" i="196"/>
  <c r="O744" i="196"/>
  <c r="O743" i="196"/>
  <c r="O742" i="196"/>
  <c r="O741" i="196"/>
  <c r="O740" i="196"/>
  <c r="O739" i="196"/>
  <c r="O738" i="196"/>
  <c r="O737" i="196"/>
  <c r="O736" i="196"/>
  <c r="O735" i="196"/>
  <c r="O734" i="196"/>
  <c r="O733" i="196"/>
  <c r="O732" i="196"/>
  <c r="O731" i="196"/>
  <c r="O730" i="196"/>
  <c r="O729" i="196"/>
  <c r="O728" i="196"/>
  <c r="O727" i="196"/>
  <c r="O726" i="196"/>
  <c r="O625" i="196"/>
  <c r="O724" i="196"/>
  <c r="O855" i="196"/>
  <c r="O722" i="196"/>
  <c r="O721" i="196"/>
  <c r="O720" i="196"/>
  <c r="O719" i="196"/>
  <c r="O718" i="196"/>
  <c r="O717" i="196"/>
  <c r="O716" i="196"/>
  <c r="O715" i="196"/>
  <c r="O714" i="196"/>
  <c r="O713" i="196"/>
  <c r="O712" i="196"/>
  <c r="O711" i="196"/>
  <c r="O710" i="196"/>
  <c r="O961" i="196"/>
  <c r="O854" i="196"/>
  <c r="O853" i="196"/>
  <c r="O706" i="196"/>
  <c r="O705" i="196"/>
  <c r="O704" i="196"/>
  <c r="O703" i="196"/>
  <c r="O702" i="196"/>
  <c r="O621" i="196"/>
  <c r="O850" i="196"/>
  <c r="O849" i="196"/>
  <c r="O620" i="196"/>
  <c r="O697" i="196"/>
  <c r="O696" i="196"/>
  <c r="O695" i="196"/>
  <c r="O694" i="196"/>
  <c r="O848" i="196"/>
  <c r="O692" i="196"/>
  <c r="O691" i="196"/>
  <c r="O619" i="196"/>
  <c r="O689" i="196"/>
  <c r="O688" i="196"/>
  <c r="O847" i="196"/>
  <c r="O842" i="196"/>
  <c r="O685" i="196"/>
  <c r="O684" i="196"/>
  <c r="O683" i="196"/>
  <c r="O841" i="196"/>
  <c r="O839" i="196"/>
  <c r="O680" i="196"/>
  <c r="O836" i="196"/>
  <c r="O678" i="196"/>
  <c r="O617" i="196"/>
  <c r="O227" i="196"/>
  <c r="O616" i="196"/>
  <c r="O226" i="196"/>
  <c r="O822" i="196"/>
  <c r="O672" i="196"/>
  <c r="O671" i="196"/>
  <c r="O670" i="196"/>
  <c r="O669" i="196"/>
  <c r="O668" i="196"/>
  <c r="O667" i="196"/>
  <c r="O666" i="196"/>
  <c r="O615" i="196"/>
  <c r="O187" i="196"/>
  <c r="O821" i="196"/>
  <c r="O662" i="196"/>
  <c r="O661" i="196"/>
  <c r="O660" i="196"/>
  <c r="O659" i="196"/>
  <c r="O614" i="196"/>
  <c r="O657" i="196"/>
  <c r="O818" i="196"/>
  <c r="O186" i="196"/>
  <c r="O654" i="196"/>
  <c r="O653" i="196"/>
  <c r="O652" i="196"/>
  <c r="O815" i="196"/>
  <c r="O600" i="196"/>
  <c r="O649" i="196"/>
  <c r="O648" i="196"/>
  <c r="O647" i="196"/>
  <c r="O225" i="196"/>
  <c r="O645" i="196"/>
  <c r="O644" i="196"/>
  <c r="O643" i="196"/>
  <c r="O642" i="196"/>
  <c r="O641" i="196"/>
  <c r="O640" i="196"/>
  <c r="O639" i="196"/>
  <c r="O638" i="196"/>
  <c r="O637" i="196"/>
  <c r="O101" i="196"/>
  <c r="O810" i="196"/>
  <c r="O634" i="196"/>
  <c r="O633" i="196"/>
  <c r="O632" i="196"/>
  <c r="O631" i="196"/>
  <c r="O630" i="196"/>
  <c r="O597" i="196"/>
  <c r="O291" i="196"/>
  <c r="O594" i="196"/>
  <c r="O626" i="196"/>
  <c r="O170" i="196"/>
  <c r="O624" i="196"/>
  <c r="O623" i="196"/>
  <c r="O622" i="196"/>
  <c r="O121" i="196"/>
  <c r="O99" i="196"/>
  <c r="O95" i="196"/>
  <c r="O618" i="196"/>
  <c r="O109" i="196"/>
  <c r="O290" i="196"/>
  <c r="O801" i="196"/>
  <c r="O182" i="196"/>
  <c r="O613" i="196"/>
  <c r="O612" i="196"/>
  <c r="O611" i="196"/>
  <c r="O610" i="196"/>
  <c r="O609" i="196"/>
  <c r="O608" i="196"/>
  <c r="O607" i="196"/>
  <c r="O606" i="196"/>
  <c r="O605" i="196"/>
  <c r="O604" i="196"/>
  <c r="O603" i="196"/>
  <c r="O602" i="196"/>
  <c r="O601" i="196"/>
  <c r="O28" i="196"/>
  <c r="O599" i="196"/>
  <c r="O598" i="196"/>
  <c r="O89" i="196"/>
  <c r="O596" i="196"/>
  <c r="O595" i="196"/>
  <c r="O88" i="196"/>
  <c r="O593" i="196"/>
  <c r="O592" i="196"/>
  <c r="O289" i="196"/>
  <c r="O591" i="196"/>
  <c r="O128" i="196"/>
  <c r="O153" i="196"/>
  <c r="O587" i="196"/>
  <c r="O152" i="196"/>
  <c r="O585" i="196"/>
  <c r="O584" i="196"/>
  <c r="O583" i="196"/>
  <c r="O582" i="196"/>
  <c r="O581" i="196"/>
  <c r="O580" i="196"/>
  <c r="O579" i="196"/>
  <c r="O578" i="196"/>
  <c r="O577" i="196"/>
  <c r="O576" i="196"/>
  <c r="O575" i="196"/>
  <c r="O574" i="196"/>
  <c r="O573" i="196"/>
  <c r="O572" i="196"/>
  <c r="O571" i="196"/>
  <c r="O570" i="196"/>
  <c r="O569" i="196"/>
  <c r="O568" i="196"/>
  <c r="O799" i="196"/>
  <c r="O566" i="196"/>
  <c r="O565" i="196"/>
  <c r="O564" i="196"/>
  <c r="O563" i="196"/>
  <c r="O562" i="196"/>
  <c r="O561" i="196"/>
  <c r="O87" i="196"/>
  <c r="O559" i="196"/>
  <c r="O558" i="196"/>
  <c r="O557" i="196"/>
  <c r="O556" i="196"/>
  <c r="O555" i="196"/>
  <c r="O554" i="196"/>
  <c r="O553" i="196"/>
  <c r="O552" i="196"/>
  <c r="O551" i="196"/>
  <c r="O797" i="196"/>
  <c r="O549" i="196"/>
  <c r="O794" i="196"/>
  <c r="O547" i="196"/>
  <c r="O546" i="196"/>
  <c r="O545" i="196"/>
  <c r="O544" i="196"/>
  <c r="O543" i="196"/>
  <c r="O542" i="196"/>
  <c r="O790" i="196"/>
  <c r="O151" i="196"/>
  <c r="O169" i="196"/>
  <c r="O538" i="196"/>
  <c r="O537" i="196"/>
  <c r="O536" i="196"/>
  <c r="O535" i="196"/>
  <c r="O534" i="196"/>
  <c r="O533" i="196"/>
  <c r="O532" i="196"/>
  <c r="O531" i="196"/>
  <c r="O530" i="196"/>
  <c r="O529" i="196"/>
  <c r="O528" i="196"/>
  <c r="O527" i="196"/>
  <c r="O526" i="196"/>
  <c r="O525" i="196"/>
  <c r="O524" i="196"/>
  <c r="O523" i="196"/>
  <c r="O522" i="196"/>
  <c r="O521" i="196"/>
  <c r="O520" i="196"/>
  <c r="O519" i="196"/>
  <c r="O518" i="196"/>
  <c r="O517" i="196"/>
  <c r="O516" i="196"/>
  <c r="O515" i="196"/>
  <c r="O514" i="196"/>
  <c r="O513" i="196"/>
  <c r="O512" i="196"/>
  <c r="O511" i="196"/>
  <c r="O510" i="196"/>
  <c r="O509" i="196"/>
  <c r="O508" i="196"/>
  <c r="O507" i="196"/>
  <c r="O506" i="196"/>
  <c r="O505" i="196"/>
  <c r="O504" i="196"/>
  <c r="O503" i="196"/>
  <c r="O502" i="196"/>
  <c r="O501" i="196"/>
  <c r="O500" i="196"/>
  <c r="O499" i="196"/>
  <c r="O498" i="196"/>
  <c r="O497" i="196"/>
  <c r="O496" i="196"/>
  <c r="O495" i="196"/>
  <c r="O288" i="196"/>
  <c r="O493" i="196"/>
  <c r="O492" i="196"/>
  <c r="O491" i="196"/>
  <c r="O490" i="196"/>
  <c r="O489" i="196"/>
  <c r="O488" i="196"/>
  <c r="O487" i="196"/>
  <c r="O486" i="196"/>
  <c r="O485" i="196"/>
  <c r="O484" i="196"/>
  <c r="O483" i="196"/>
  <c r="O482" i="196"/>
  <c r="O481" i="196"/>
  <c r="O480" i="196"/>
  <c r="O479" i="196"/>
  <c r="O478" i="196"/>
  <c r="O477" i="196"/>
  <c r="O476" i="196"/>
  <c r="O475" i="196"/>
  <c r="O474" i="196"/>
  <c r="O473" i="196"/>
  <c r="O472" i="196"/>
  <c r="O471" i="196"/>
  <c r="O470" i="196"/>
  <c r="O469" i="196"/>
  <c r="O468" i="196"/>
  <c r="O467" i="196"/>
  <c r="O466" i="196"/>
  <c r="O465" i="196"/>
  <c r="O464" i="196"/>
  <c r="O463" i="196"/>
  <c r="O462" i="196"/>
  <c r="O461" i="196"/>
  <c r="O460" i="196"/>
  <c r="O459" i="196"/>
  <c r="O458" i="196"/>
  <c r="O457" i="196"/>
  <c r="O456" i="196"/>
  <c r="O455" i="196"/>
  <c r="O454" i="196"/>
  <c r="O453" i="196"/>
  <c r="O452" i="196"/>
  <c r="O451" i="196"/>
  <c r="O450" i="196"/>
  <c r="O449" i="196"/>
  <c r="O448" i="196"/>
  <c r="O447" i="196"/>
  <c r="O446" i="196"/>
  <c r="O445" i="196"/>
  <c r="O444" i="196"/>
  <c r="O443" i="196"/>
  <c r="O442" i="196"/>
  <c r="O441" i="196"/>
  <c r="O440" i="196"/>
  <c r="O439" i="196"/>
  <c r="O438" i="196"/>
  <c r="O437" i="196"/>
  <c r="O436" i="196"/>
  <c r="O435" i="196"/>
  <c r="O434" i="196"/>
  <c r="O433" i="196"/>
  <c r="O432" i="196"/>
  <c r="O431" i="196"/>
  <c r="O430" i="196"/>
  <c r="O429" i="196"/>
  <c r="O428" i="196"/>
  <c r="O427" i="196"/>
  <c r="O426" i="196"/>
  <c r="O590" i="196"/>
  <c r="O424" i="196"/>
  <c r="O163" i="196"/>
  <c r="O422" i="196"/>
  <c r="O788" i="196"/>
  <c r="O420" i="196"/>
  <c r="O419" i="196"/>
  <c r="O418" i="196"/>
  <c r="O417" i="196"/>
  <c r="O416" i="196"/>
  <c r="O415" i="196"/>
  <c r="O414" i="196"/>
  <c r="O413" i="196"/>
  <c r="O412" i="196"/>
  <c r="O411" i="196"/>
  <c r="O410" i="196"/>
  <c r="O409" i="196"/>
  <c r="O408" i="196"/>
  <c r="O406" i="196"/>
  <c r="O786" i="196"/>
  <c r="O404" i="196"/>
  <c r="O588" i="196"/>
  <c r="O402" i="196"/>
  <c r="O401" i="196"/>
  <c r="O400" i="196"/>
  <c r="O586" i="196"/>
  <c r="O785" i="196"/>
  <c r="O397" i="196"/>
  <c r="O396" i="196"/>
  <c r="O395" i="196"/>
  <c r="O394" i="196"/>
  <c r="O393" i="196"/>
  <c r="O392" i="196"/>
  <c r="O391" i="196"/>
  <c r="O390" i="196"/>
  <c r="O389" i="196"/>
  <c r="O388" i="196"/>
  <c r="O387" i="196"/>
  <c r="O386" i="196"/>
  <c r="O385" i="196"/>
  <c r="O384" i="196"/>
  <c r="O383" i="196"/>
  <c r="O382" i="196"/>
  <c r="O780" i="196"/>
  <c r="O84" i="196"/>
  <c r="O379" i="196"/>
  <c r="O378" i="196"/>
  <c r="O377" i="196"/>
  <c r="O376" i="196"/>
  <c r="O375" i="196"/>
  <c r="O374" i="196"/>
  <c r="O373" i="196"/>
  <c r="O372" i="196"/>
  <c r="O371" i="196"/>
  <c r="O370" i="196"/>
  <c r="O369" i="196"/>
  <c r="O368" i="196"/>
  <c r="O367" i="196"/>
  <c r="O366" i="196"/>
  <c r="O365" i="196"/>
  <c r="O364" i="196"/>
  <c r="O363" i="196"/>
  <c r="O362" i="196"/>
  <c r="O361" i="196"/>
  <c r="O360" i="196"/>
  <c r="O359" i="196"/>
  <c r="O358" i="196"/>
  <c r="O357" i="196"/>
  <c r="O356" i="196"/>
  <c r="O355" i="196"/>
  <c r="O354" i="196"/>
  <c r="O353" i="196"/>
  <c r="O352" i="196"/>
  <c r="O351" i="196"/>
  <c r="O350" i="196"/>
  <c r="O349" i="196"/>
  <c r="O348" i="196"/>
  <c r="O347" i="196"/>
  <c r="O346" i="196"/>
  <c r="O345" i="196"/>
  <c r="O344" i="196"/>
  <c r="O285" i="196"/>
  <c r="O342" i="196"/>
  <c r="O127" i="196"/>
  <c r="O340" i="196"/>
  <c r="O339" i="196"/>
  <c r="O338" i="196"/>
  <c r="O337" i="196"/>
  <c r="O336" i="196"/>
  <c r="O335" i="196"/>
  <c r="O334" i="196"/>
  <c r="O333" i="196"/>
  <c r="O332" i="196"/>
  <c r="O331" i="196"/>
  <c r="O330" i="196"/>
  <c r="O329" i="196"/>
  <c r="O328" i="196"/>
  <c r="O327" i="196"/>
  <c r="O326" i="196"/>
  <c r="O325" i="196"/>
  <c r="O324" i="196"/>
  <c r="O323" i="196"/>
  <c r="O218" i="196"/>
  <c r="O567" i="196"/>
  <c r="O320" i="196"/>
  <c r="O168" i="196"/>
  <c r="O83" i="196"/>
  <c r="O317" i="196"/>
  <c r="O316" i="196"/>
  <c r="O315" i="196"/>
  <c r="O314" i="196"/>
  <c r="O313" i="196"/>
  <c r="O312" i="196"/>
  <c r="O311" i="196"/>
  <c r="O310" i="196"/>
  <c r="O309" i="196"/>
  <c r="O308" i="196"/>
  <c r="O307" i="196"/>
  <c r="O306" i="196"/>
  <c r="O305" i="196"/>
  <c r="O304" i="196"/>
  <c r="O217" i="196"/>
  <c r="O3" i="196"/>
  <c r="O301" i="196"/>
  <c r="O300" i="196"/>
  <c r="O299" i="196"/>
  <c r="O298" i="196"/>
  <c r="O297" i="196"/>
  <c r="O296" i="196"/>
  <c r="O779" i="196"/>
  <c r="O294" i="196"/>
  <c r="O82" i="196"/>
  <c r="O147" i="196"/>
  <c r="O120" i="196"/>
  <c r="O283" i="196"/>
  <c r="O79" i="196"/>
  <c r="O167" i="196"/>
  <c r="O287" i="196"/>
  <c r="O286" i="196"/>
  <c r="O78" i="196"/>
  <c r="O284" i="196"/>
  <c r="O276" i="196"/>
  <c r="O282" i="196"/>
  <c r="O281" i="196"/>
  <c r="O280" i="196"/>
  <c r="O279" i="196"/>
  <c r="O278" i="196"/>
  <c r="O277" i="196"/>
  <c r="O778" i="196"/>
  <c r="O275" i="196"/>
  <c r="O274" i="196"/>
  <c r="O12" i="196"/>
  <c r="O65" i="196"/>
  <c r="O273" i="196"/>
  <c r="O137" i="196"/>
  <c r="O216" i="196"/>
  <c r="O215" i="196"/>
  <c r="O560" i="196"/>
  <c r="O266" i="196"/>
  <c r="O265" i="196"/>
  <c r="O264" i="196"/>
  <c r="O263" i="196"/>
  <c r="O262" i="196"/>
  <c r="O261" i="196"/>
  <c r="O260" i="196"/>
  <c r="O259" i="196"/>
  <c r="O777" i="196"/>
  <c r="O257" i="196"/>
  <c r="O256" i="196"/>
  <c r="O255" i="196"/>
  <c r="O254" i="196"/>
  <c r="O119" i="196"/>
  <c r="O108" i="196"/>
  <c r="O251" i="196"/>
  <c r="O250" i="196"/>
  <c r="O249" i="196"/>
  <c r="O550" i="196"/>
  <c r="O214" i="196"/>
  <c r="O775" i="196"/>
  <c r="O548" i="196"/>
  <c r="O244" i="196"/>
  <c r="O212" i="196"/>
  <c r="O209" i="196"/>
  <c r="O241" i="196"/>
  <c r="O240" i="196"/>
  <c r="O239" i="196"/>
  <c r="O238" i="196"/>
  <c r="O774" i="196"/>
  <c r="O766" i="196"/>
  <c r="O64" i="196"/>
  <c r="O234" i="196"/>
  <c r="O63" i="196"/>
  <c r="O181" i="196"/>
  <c r="O231" i="196"/>
  <c r="O230" i="196"/>
  <c r="O541" i="196"/>
  <c r="O208" i="196"/>
  <c r="O759" i="196"/>
  <c r="O540" i="196"/>
  <c r="O126" i="196"/>
  <c r="O224" i="196"/>
  <c r="O223" i="196"/>
  <c r="O222" i="196"/>
  <c r="O221" i="196"/>
  <c r="O220" i="196"/>
  <c r="O219" i="196"/>
  <c r="O272" i="196"/>
  <c r="O271" i="196"/>
  <c r="O539" i="196"/>
  <c r="O725" i="196"/>
  <c r="O494" i="196"/>
  <c r="O213" i="196"/>
  <c r="O723" i="196"/>
  <c r="O211" i="196"/>
  <c r="O210" i="196"/>
  <c r="O158" i="196"/>
  <c r="O179" i="196"/>
  <c r="O270" i="196"/>
  <c r="O206" i="196"/>
  <c r="O205" i="196"/>
  <c r="O204" i="196"/>
  <c r="O203" i="196"/>
  <c r="O202" i="196"/>
  <c r="O201" i="196"/>
  <c r="O200" i="196"/>
  <c r="O199" i="196"/>
  <c r="O198" i="196"/>
  <c r="O178" i="196"/>
  <c r="O269" i="196"/>
  <c r="O157" i="196"/>
  <c r="O103" i="196"/>
  <c r="O135" i="196"/>
  <c r="O177" i="196"/>
  <c r="O191" i="196"/>
  <c r="O709" i="196"/>
  <c r="O189" i="196"/>
  <c r="O188" i="196"/>
  <c r="O146" i="196"/>
  <c r="O125" i="196"/>
  <c r="O185" i="196"/>
  <c r="O184" i="196"/>
  <c r="O183" i="196"/>
  <c r="O166" i="196"/>
  <c r="O124" i="196"/>
  <c r="O180" i="196"/>
  <c r="O425" i="196"/>
  <c r="O176" i="196"/>
  <c r="O145" i="196"/>
  <c r="O102" i="196"/>
  <c r="O62" i="196"/>
  <c r="O423" i="196"/>
  <c r="O173" i="196"/>
  <c r="O708" i="196"/>
  <c r="O171" i="196"/>
  <c r="O207" i="196"/>
  <c r="O44" i="196"/>
  <c r="O197" i="196"/>
  <c r="O707" i="196"/>
  <c r="O421" i="196"/>
  <c r="O42" i="196"/>
  <c r="O24" i="196"/>
  <c r="O156" i="196"/>
  <c r="O162" i="196"/>
  <c r="O161" i="196"/>
  <c r="O160" i="196"/>
  <c r="O159" i="196"/>
  <c r="O139" i="196"/>
  <c r="O115" i="196"/>
  <c r="O196" i="196"/>
  <c r="O407" i="196"/>
  <c r="O154" i="196"/>
  <c r="O701" i="196"/>
  <c r="O268" i="196"/>
  <c r="O267" i="196"/>
  <c r="O150" i="196"/>
  <c r="O149" i="196"/>
  <c r="O148" i="196"/>
  <c r="O700" i="196"/>
  <c r="O39" i="196"/>
  <c r="O195" i="196"/>
  <c r="O144" i="196"/>
  <c r="O143" i="196"/>
  <c r="O142" i="196"/>
  <c r="O141" i="196"/>
  <c r="O140" i="196"/>
  <c r="O38" i="196"/>
  <c r="O123" i="196"/>
  <c r="O165" i="196"/>
  <c r="O136" i="196"/>
  <c r="O699" i="196"/>
  <c r="O134" i="196"/>
  <c r="O133" i="196"/>
  <c r="O132" i="196"/>
  <c r="O131" i="196"/>
  <c r="O130" i="196"/>
  <c r="O129" i="196"/>
  <c r="O19" i="196"/>
  <c r="O698" i="196"/>
  <c r="O122" i="196"/>
  <c r="O30" i="196"/>
  <c r="O18" i="196"/>
  <c r="O16" i="196"/>
  <c r="O5" i="196"/>
  <c r="O15" i="196"/>
  <c r="O11" i="196"/>
  <c r="O405" i="196"/>
  <c r="O118" i="196"/>
  <c r="O117" i="196"/>
  <c r="O116" i="196"/>
  <c r="O693" i="196"/>
  <c r="O114" i="196"/>
  <c r="O113" i="196"/>
  <c r="O112" i="196"/>
  <c r="O111" i="196"/>
  <c r="O690" i="196"/>
  <c r="O258" i="196"/>
  <c r="O403" i="196"/>
  <c r="O107" i="196"/>
  <c r="O106" i="196"/>
  <c r="O105" i="196"/>
  <c r="O104" i="196"/>
  <c r="O687" i="196"/>
  <c r="O686" i="196"/>
  <c r="O399" i="196"/>
  <c r="O100" i="196"/>
  <c r="O682" i="196"/>
  <c r="O98" i="196"/>
  <c r="O97" i="196"/>
  <c r="O96" i="196"/>
  <c r="O681" i="196"/>
  <c r="O94" i="196"/>
  <c r="O93" i="196"/>
  <c r="O92" i="196"/>
  <c r="O91" i="196"/>
  <c r="O90" i="196"/>
  <c r="O194" i="196"/>
  <c r="O398" i="196"/>
  <c r="O253" i="196"/>
  <c r="O86" i="196"/>
  <c r="O85" i="196"/>
  <c r="O679" i="196"/>
  <c r="O677" i="196"/>
  <c r="O381" i="196"/>
  <c r="O81" i="196"/>
  <c r="O80" i="196"/>
  <c r="O676" i="196"/>
  <c r="O252" i="196"/>
  <c r="O77" i="196"/>
  <c r="O76" i="196"/>
  <c r="O75" i="196"/>
  <c r="O74" i="196"/>
  <c r="O73" i="196"/>
  <c r="O72" i="196"/>
  <c r="O71" i="196"/>
  <c r="O70" i="196"/>
  <c r="O69" i="196"/>
  <c r="O68" i="196"/>
  <c r="O67" i="196"/>
  <c r="O66" i="196"/>
  <c r="O675" i="196"/>
  <c r="O674" i="196"/>
  <c r="O110" i="196"/>
  <c r="O29" i="196"/>
  <c r="O61" i="196"/>
  <c r="O60" i="196"/>
  <c r="O59" i="196"/>
  <c r="O58" i="196"/>
  <c r="O57" i="196"/>
  <c r="O56" i="196"/>
  <c r="O55" i="196"/>
  <c r="O54" i="196"/>
  <c r="O53" i="196"/>
  <c r="O52" i="196"/>
  <c r="O51" i="196"/>
  <c r="O50" i="196"/>
  <c r="O49" i="196"/>
  <c r="O48" i="196"/>
  <c r="O47" i="196"/>
  <c r="O46" i="196"/>
  <c r="O45" i="196"/>
  <c r="O248" i="196"/>
  <c r="O43" i="196"/>
  <c r="O380" i="196"/>
  <c r="O41" i="196"/>
  <c r="O40" i="196"/>
  <c r="O193" i="196"/>
  <c r="O673" i="196"/>
  <c r="O37" i="196"/>
  <c r="O36" i="196"/>
  <c r="O35" i="196"/>
  <c r="O34" i="196"/>
  <c r="O33" i="196"/>
  <c r="O32" i="196"/>
  <c r="O31" i="196"/>
  <c r="O665" i="196"/>
  <c r="O343" i="196"/>
  <c r="O192" i="196"/>
  <c r="O27" i="196"/>
  <c r="O26" i="196"/>
  <c r="O25" i="196"/>
  <c r="O175" i="196"/>
  <c r="O23" i="196"/>
  <c r="O22" i="196"/>
  <c r="O21" i="196"/>
  <c r="O20" i="196"/>
  <c r="O138" i="196"/>
  <c r="O155" i="196"/>
  <c r="O17" i="196"/>
  <c r="O247" i="196"/>
  <c r="O164" i="196"/>
  <c r="O246" i="196"/>
  <c r="O13" i="196"/>
  <c r="O664" i="196"/>
  <c r="O174" i="196"/>
  <c r="O10" i="196"/>
  <c r="O9" i="196"/>
  <c r="O8" i="196"/>
  <c r="O7" i="196"/>
  <c r="O6" i="196"/>
  <c r="O172" i="196"/>
  <c r="O4" i="196"/>
  <c r="O14" i="196"/>
  <c r="O2" i="196"/>
  <c r="N1276" i="196"/>
  <c r="N1275" i="196"/>
  <c r="N1274" i="196"/>
  <c r="N1273" i="196"/>
  <c r="N1272" i="196"/>
  <c r="N1271" i="196"/>
  <c r="N1270" i="196"/>
  <c r="N1269" i="196"/>
  <c r="N1268" i="196"/>
  <c r="N1267" i="196"/>
  <c r="N1266" i="196"/>
  <c r="N1265" i="196"/>
  <c r="N1264" i="196"/>
  <c r="N1263" i="196"/>
  <c r="N1262" i="196"/>
  <c r="N1261" i="196"/>
  <c r="N1260" i="196"/>
  <c r="N1259" i="196"/>
  <c r="N1258" i="196"/>
  <c r="N1257" i="196"/>
  <c r="N1256" i="196"/>
  <c r="N1255" i="196"/>
  <c r="N1254" i="196"/>
  <c r="N1253" i="196"/>
  <c r="N1252" i="196"/>
  <c r="N1251" i="196"/>
  <c r="N1250" i="196"/>
  <c r="N1249" i="196"/>
  <c r="N1248" i="196"/>
  <c r="N1247" i="196"/>
  <c r="N1246" i="196"/>
  <c r="N1245" i="196"/>
  <c r="N1244" i="196"/>
  <c r="N1243" i="196"/>
  <c r="N1242" i="196"/>
  <c r="N1241" i="196"/>
  <c r="N1240" i="196"/>
  <c r="N1239" i="196"/>
  <c r="N1238" i="196"/>
  <c r="N1237" i="196"/>
  <c r="N1236" i="196"/>
  <c r="N1235" i="196"/>
  <c r="N1234" i="196"/>
  <c r="N1233" i="196"/>
  <c r="N1232" i="196"/>
  <c r="N1231" i="196"/>
  <c r="N1230" i="196"/>
  <c r="N1229" i="196"/>
  <c r="N1228" i="196"/>
  <c r="N1227" i="196"/>
  <c r="N1226" i="196"/>
  <c r="N1225" i="196"/>
  <c r="N1224" i="196"/>
  <c r="N1223" i="196"/>
  <c r="N1222" i="196"/>
  <c r="N1221" i="196"/>
  <c r="N1220" i="196"/>
  <c r="N1219" i="196"/>
  <c r="N1218" i="196"/>
  <c r="N1217" i="196"/>
  <c r="N1216" i="196"/>
  <c r="N1215" i="196"/>
  <c r="N1214" i="196"/>
  <c r="N1213" i="196"/>
  <c r="N1212" i="196"/>
  <c r="N1211" i="196"/>
  <c r="N1210" i="196"/>
  <c r="N1209" i="196"/>
  <c r="N1208" i="196"/>
  <c r="N1207" i="196"/>
  <c r="N1206" i="196"/>
  <c r="N1205" i="196"/>
  <c r="N1204" i="196"/>
  <c r="N1203" i="196"/>
  <c r="N1202" i="196"/>
  <c r="N1201" i="196"/>
  <c r="N1200" i="196"/>
  <c r="N1199" i="196"/>
  <c r="N1198" i="196"/>
  <c r="N1197" i="196"/>
  <c r="N1196" i="196"/>
  <c r="N1195" i="196"/>
  <c r="N1194" i="196"/>
  <c r="N1193" i="196"/>
  <c r="N1192" i="196"/>
  <c r="N1191" i="196"/>
  <c r="N1190" i="196"/>
  <c r="N1189" i="196"/>
  <c r="N1188" i="196"/>
  <c r="N1187" i="196"/>
  <c r="N1186" i="196"/>
  <c r="N1185" i="196"/>
  <c r="N1184" i="196"/>
  <c r="N1183" i="196"/>
  <c r="N1182" i="196"/>
  <c r="N1181" i="196"/>
  <c r="N1180" i="196"/>
  <c r="N1179" i="196"/>
  <c r="N1178" i="196"/>
  <c r="N1177" i="196"/>
  <c r="N1176" i="196"/>
  <c r="N1175" i="196"/>
  <c r="N1174" i="196"/>
  <c r="N1173" i="196"/>
  <c r="N1172" i="196"/>
  <c r="N1171" i="196"/>
  <c r="N1170" i="196"/>
  <c r="N1169" i="196"/>
  <c r="N1168" i="196"/>
  <c r="N1167" i="196"/>
  <c r="N1166" i="196"/>
  <c r="N1165" i="196"/>
  <c r="N1164" i="196"/>
  <c r="N1163" i="196"/>
  <c r="N1162" i="196"/>
  <c r="N1161" i="196"/>
  <c r="N1160" i="196"/>
  <c r="N1159" i="196"/>
  <c r="N1158" i="196"/>
  <c r="N1157" i="196"/>
  <c r="N1156" i="196"/>
  <c r="N1155" i="196"/>
  <c r="N1154" i="196"/>
  <c r="N1153" i="196"/>
  <c r="N1152" i="196"/>
  <c r="N1151" i="196"/>
  <c r="N1150" i="196"/>
  <c r="N1149" i="196"/>
  <c r="N1148" i="196"/>
  <c r="N1147" i="196"/>
  <c r="N1146" i="196"/>
  <c r="N1145" i="196"/>
  <c r="N1144" i="196"/>
  <c r="N1143" i="196"/>
  <c r="N1142" i="196"/>
  <c r="N1141" i="196"/>
  <c r="N1140" i="196"/>
  <c r="N1139" i="196"/>
  <c r="N1138" i="196"/>
  <c r="N1137" i="196"/>
  <c r="N1136" i="196"/>
  <c r="N1135" i="196"/>
  <c r="N1134" i="196"/>
  <c r="N1133" i="196"/>
  <c r="N1132" i="196"/>
  <c r="N1131" i="196"/>
  <c r="N1130" i="196"/>
  <c r="N1129" i="196"/>
  <c r="N1128" i="196"/>
  <c r="N1127" i="196"/>
  <c r="N1126" i="196"/>
  <c r="N1125" i="196"/>
  <c r="N1124" i="196"/>
  <c r="N1123" i="196"/>
  <c r="N1122" i="196"/>
  <c r="N1121" i="196"/>
  <c r="N1120" i="196"/>
  <c r="N1119" i="196"/>
  <c r="N1118" i="196"/>
  <c r="N1117" i="196"/>
  <c r="N1116" i="196"/>
  <c r="N1115" i="196"/>
  <c r="N1114" i="196"/>
  <c r="N1113" i="196"/>
  <c r="N1112" i="196"/>
  <c r="N1111" i="196"/>
  <c r="N1110" i="196"/>
  <c r="N1109" i="196"/>
  <c r="N1108" i="196"/>
  <c r="N1107" i="196"/>
  <c r="N1106" i="196"/>
  <c r="N1105" i="196"/>
  <c r="N1104" i="196"/>
  <c r="N1103" i="196"/>
  <c r="N1102" i="196"/>
  <c r="N1101" i="196"/>
  <c r="N1100" i="196"/>
  <c r="N1099" i="196"/>
  <c r="N1098" i="196"/>
  <c r="N1097" i="196"/>
  <c r="N1096" i="196"/>
  <c r="N1095" i="196"/>
  <c r="N1094" i="196"/>
  <c r="N1093" i="196"/>
  <c r="N1092" i="196"/>
  <c r="N1091" i="196"/>
  <c r="N1090" i="196"/>
  <c r="N1089" i="196"/>
  <c r="N1088" i="196"/>
  <c r="N1087" i="196"/>
  <c r="N1086" i="196"/>
  <c r="N1085" i="196"/>
  <c r="N1084" i="196"/>
  <c r="N1082" i="196"/>
  <c r="N1081" i="196"/>
  <c r="N1080" i="196"/>
  <c r="N1079" i="196"/>
  <c r="N1078" i="196"/>
  <c r="N1077" i="196"/>
  <c r="N1076" i="196"/>
  <c r="N1075" i="196"/>
  <c r="N1074" i="196"/>
  <c r="N1073" i="196"/>
  <c r="N1072" i="196"/>
  <c r="N1071" i="196"/>
  <c r="N1070" i="196"/>
  <c r="N1069" i="196"/>
  <c r="N1068" i="196"/>
  <c r="N1067" i="196"/>
  <c r="N1066" i="196"/>
  <c r="N1065" i="196"/>
  <c r="N1064" i="196"/>
  <c r="N1063" i="196"/>
  <c r="N1062" i="196"/>
  <c r="N1061" i="196"/>
  <c r="N1060" i="196"/>
  <c r="N1059" i="196"/>
  <c r="N1058" i="196"/>
  <c r="N1057" i="196"/>
  <c r="N1056" i="196"/>
  <c r="N1055" i="196"/>
  <c r="N1054" i="196"/>
  <c r="N1053" i="196"/>
  <c r="N1052" i="196"/>
  <c r="N1051" i="196"/>
  <c r="N1050" i="196"/>
  <c r="N1049" i="196"/>
  <c r="N1048" i="196"/>
  <c r="N1047" i="196"/>
  <c r="N1046" i="196"/>
  <c r="N1045" i="196"/>
  <c r="N1044" i="196"/>
  <c r="N1043" i="196"/>
  <c r="N1042" i="196"/>
  <c r="N1041" i="196"/>
  <c r="N1040" i="196"/>
  <c r="N1039" i="196"/>
  <c r="N1038" i="196"/>
  <c r="N1037" i="196"/>
  <c r="N1036" i="196"/>
  <c r="N1035" i="196"/>
  <c r="N1034" i="196"/>
  <c r="N1033" i="196"/>
  <c r="N1032" i="196"/>
  <c r="N1031" i="196"/>
  <c r="N1030" i="196"/>
  <c r="N1029" i="196"/>
  <c r="N1028" i="196"/>
  <c r="N1027" i="196"/>
  <c r="N1026" i="196"/>
  <c r="N1025" i="196"/>
  <c r="N1024" i="196"/>
  <c r="N1023" i="196"/>
  <c r="N1022" i="196"/>
  <c r="N1021" i="196"/>
  <c r="N1020" i="196"/>
  <c r="N1019" i="196"/>
  <c r="N1018" i="196"/>
  <c r="N1017" i="196"/>
  <c r="N1016" i="196"/>
  <c r="N1015" i="196"/>
  <c r="N1014" i="196"/>
  <c r="N1013" i="196"/>
  <c r="N1012" i="196"/>
  <c r="N1011" i="196"/>
  <c r="N1010" i="196"/>
  <c r="N1009" i="196"/>
  <c r="N1008" i="196"/>
  <c r="N1007" i="196"/>
  <c r="N1006" i="196"/>
  <c r="N1005" i="196"/>
  <c r="N1004" i="196"/>
  <c r="N1003" i="196"/>
  <c r="N1002" i="196"/>
  <c r="N1001" i="196"/>
  <c r="N1000" i="196"/>
  <c r="N999" i="196"/>
  <c r="N998" i="196"/>
  <c r="N997" i="196"/>
  <c r="N996" i="196"/>
  <c r="N995" i="196"/>
  <c r="N994" i="196"/>
  <c r="N993" i="196"/>
  <c r="N992" i="196"/>
  <c r="N991" i="196"/>
  <c r="N990" i="196"/>
  <c r="N989" i="196"/>
  <c r="N988" i="196"/>
  <c r="N987" i="196"/>
  <c r="N986" i="196"/>
  <c r="N985" i="196"/>
  <c r="N984" i="196"/>
  <c r="N983" i="196"/>
  <c r="N982" i="196"/>
  <c r="N981" i="196"/>
  <c r="N980" i="196"/>
  <c r="N979" i="196"/>
  <c r="N978" i="196"/>
  <c r="N977" i="196"/>
  <c r="N976" i="196"/>
  <c r="N975" i="196"/>
  <c r="N974" i="196"/>
  <c r="N973" i="196"/>
  <c r="N972" i="196"/>
  <c r="N971" i="196"/>
  <c r="N970" i="196"/>
  <c r="N969" i="196"/>
  <c r="N968" i="196"/>
  <c r="N967" i="196"/>
  <c r="N966" i="196"/>
  <c r="N965" i="196"/>
  <c r="N964" i="196"/>
  <c r="N963" i="196"/>
  <c r="N962" i="196"/>
  <c r="N341" i="196"/>
  <c r="N960" i="196"/>
  <c r="N959" i="196"/>
  <c r="N958" i="196"/>
  <c r="N957" i="196"/>
  <c r="N956" i="196"/>
  <c r="N955" i="196"/>
  <c r="N954" i="196"/>
  <c r="N953" i="196"/>
  <c r="N952" i="196"/>
  <c r="N951" i="196"/>
  <c r="N950" i="196"/>
  <c r="N949" i="196"/>
  <c r="N948" i="196"/>
  <c r="N947" i="196"/>
  <c r="N946" i="196"/>
  <c r="N945" i="196"/>
  <c r="N944" i="196"/>
  <c r="N943" i="196"/>
  <c r="N942" i="196"/>
  <c r="N941" i="196"/>
  <c r="N940" i="196"/>
  <c r="N939" i="196"/>
  <c r="N938" i="196"/>
  <c r="N937" i="196"/>
  <c r="N936" i="196"/>
  <c r="N935" i="196"/>
  <c r="N663" i="196"/>
  <c r="N934" i="196"/>
  <c r="N933" i="196"/>
  <c r="N245" i="196"/>
  <c r="N931" i="196"/>
  <c r="N930" i="196"/>
  <c r="N929" i="196"/>
  <c r="N928" i="196"/>
  <c r="N927" i="196"/>
  <c r="N932" i="196"/>
  <c r="N926" i="196"/>
  <c r="N924" i="196"/>
  <c r="N923" i="196"/>
  <c r="N922" i="196"/>
  <c r="N921" i="196"/>
  <c r="N925" i="196"/>
  <c r="N243" i="196"/>
  <c r="N920" i="196"/>
  <c r="N917" i="196"/>
  <c r="N242" i="196"/>
  <c r="N919" i="196"/>
  <c r="N914" i="196"/>
  <c r="N913" i="196"/>
  <c r="N912" i="196"/>
  <c r="N322" i="196"/>
  <c r="N910" i="196"/>
  <c r="N658" i="196"/>
  <c r="N656" i="196"/>
  <c r="N655" i="196"/>
  <c r="N321" i="196"/>
  <c r="N905" i="196"/>
  <c r="N904" i="196"/>
  <c r="N903" i="196"/>
  <c r="N902" i="196"/>
  <c r="N901" i="196"/>
  <c r="N900" i="196"/>
  <c r="N899" i="196"/>
  <c r="N1083" i="196"/>
  <c r="N897" i="196"/>
  <c r="N896" i="196"/>
  <c r="N895" i="196"/>
  <c r="N894" i="196"/>
  <c r="N893" i="196"/>
  <c r="N892" i="196"/>
  <c r="N918" i="196"/>
  <c r="N890" i="196"/>
  <c r="N651" i="196"/>
  <c r="N319" i="196"/>
  <c r="N887" i="196"/>
  <c r="N190" i="196"/>
  <c r="N885" i="196"/>
  <c r="N237" i="196"/>
  <c r="N883" i="196"/>
  <c r="N882" i="196"/>
  <c r="N881" i="196"/>
  <c r="N916" i="196"/>
  <c r="N879" i="196"/>
  <c r="N878" i="196"/>
  <c r="N877" i="196"/>
  <c r="N876" i="196"/>
  <c r="N875" i="196"/>
  <c r="N874" i="196"/>
  <c r="N873" i="196"/>
  <c r="N872" i="196"/>
  <c r="N871" i="196"/>
  <c r="N870" i="196"/>
  <c r="N869" i="196"/>
  <c r="N868" i="196"/>
  <c r="N867" i="196"/>
  <c r="N866" i="196"/>
  <c r="N865" i="196"/>
  <c r="N864" i="196"/>
  <c r="N863" i="196"/>
  <c r="N862" i="196"/>
  <c r="N861" i="196"/>
  <c r="N236" i="196"/>
  <c r="N859" i="196"/>
  <c r="N858" i="196"/>
  <c r="N857" i="196"/>
  <c r="N650" i="196"/>
  <c r="N915" i="196"/>
  <c r="N235" i="196"/>
  <c r="N646" i="196"/>
  <c r="N852" i="196"/>
  <c r="N851" i="196"/>
  <c r="N911" i="196"/>
  <c r="N909" i="196"/>
  <c r="N318" i="196"/>
  <c r="N303" i="196"/>
  <c r="N846" i="196"/>
  <c r="N845" i="196"/>
  <c r="N844" i="196"/>
  <c r="N843" i="196"/>
  <c r="N636" i="196"/>
  <c r="N908" i="196"/>
  <c r="N840" i="196"/>
  <c r="N907" i="196"/>
  <c r="N838" i="196"/>
  <c r="N837" i="196"/>
  <c r="N233" i="196"/>
  <c r="N835" i="196"/>
  <c r="N834" i="196"/>
  <c r="N833" i="196"/>
  <c r="N832" i="196"/>
  <c r="N831" i="196"/>
  <c r="N830" i="196"/>
  <c r="N829" i="196"/>
  <c r="N828" i="196"/>
  <c r="N827" i="196"/>
  <c r="N826" i="196"/>
  <c r="N825" i="196"/>
  <c r="N824" i="196"/>
  <c r="N823" i="196"/>
  <c r="N906" i="196"/>
  <c r="N232" i="196"/>
  <c r="N820" i="196"/>
  <c r="N819" i="196"/>
  <c r="N898" i="196"/>
  <c r="N817" i="196"/>
  <c r="N816" i="196"/>
  <c r="N891" i="196"/>
  <c r="N814" i="196"/>
  <c r="N813" i="196"/>
  <c r="N812" i="196"/>
  <c r="N811" i="196"/>
  <c r="N889" i="196"/>
  <c r="N809" i="196"/>
  <c r="N808" i="196"/>
  <c r="N807" i="196"/>
  <c r="N806" i="196"/>
  <c r="N805" i="196"/>
  <c r="N804" i="196"/>
  <c r="N803" i="196"/>
  <c r="N802" i="196"/>
  <c r="N302" i="196"/>
  <c r="N800" i="196"/>
  <c r="N888" i="196"/>
  <c r="N798" i="196"/>
  <c r="N886" i="196"/>
  <c r="N796" i="196"/>
  <c r="N795" i="196"/>
  <c r="N635" i="196"/>
  <c r="N793" i="196"/>
  <c r="N792" i="196"/>
  <c r="N791" i="196"/>
  <c r="N629" i="196"/>
  <c r="N789" i="196"/>
  <c r="N884" i="196"/>
  <c r="N787" i="196"/>
  <c r="N295" i="196"/>
  <c r="N880" i="196"/>
  <c r="N784" i="196"/>
  <c r="N783" i="196"/>
  <c r="N782" i="196"/>
  <c r="N781" i="196"/>
  <c r="N860" i="196"/>
  <c r="N293" i="196"/>
  <c r="N292" i="196"/>
  <c r="N229" i="196"/>
  <c r="N776" i="196"/>
  <c r="N856" i="196"/>
  <c r="N628" i="196"/>
  <c r="N773" i="196"/>
  <c r="N772" i="196"/>
  <c r="N771" i="196"/>
  <c r="N770" i="196"/>
  <c r="N769" i="196"/>
  <c r="N768" i="196"/>
  <c r="N767" i="196"/>
  <c r="N627" i="196"/>
  <c r="N765" i="196"/>
  <c r="N764" i="196"/>
  <c r="N763" i="196"/>
  <c r="N762" i="196"/>
  <c r="N761" i="196"/>
  <c r="N760" i="196"/>
  <c r="N228" i="196"/>
  <c r="N758" i="196"/>
  <c r="N757" i="196"/>
  <c r="N756" i="196"/>
  <c r="N755" i="196"/>
  <c r="N754" i="196"/>
  <c r="N753" i="196"/>
  <c r="N752" i="196"/>
  <c r="N751" i="196"/>
  <c r="N750" i="196"/>
  <c r="N749" i="196"/>
  <c r="N748" i="196"/>
  <c r="N747" i="196"/>
  <c r="N746" i="196"/>
  <c r="N745" i="196"/>
  <c r="N744" i="196"/>
  <c r="N743" i="196"/>
  <c r="N742" i="196"/>
  <c r="N741" i="196"/>
  <c r="N740" i="196"/>
  <c r="N739" i="196"/>
  <c r="N738" i="196"/>
  <c r="N737" i="196"/>
  <c r="N736" i="196"/>
  <c r="N735" i="196"/>
  <c r="N734" i="196"/>
  <c r="N733" i="196"/>
  <c r="N732" i="196"/>
  <c r="N731" i="196"/>
  <c r="N730" i="196"/>
  <c r="N729" i="196"/>
  <c r="N728" i="196"/>
  <c r="N727" i="196"/>
  <c r="N726" i="196"/>
  <c r="N625" i="196"/>
  <c r="N724" i="196"/>
  <c r="N855" i="196"/>
  <c r="N722" i="196"/>
  <c r="N721" i="196"/>
  <c r="N720" i="196"/>
  <c r="N719" i="196"/>
  <c r="N718" i="196"/>
  <c r="N717" i="196"/>
  <c r="N716" i="196"/>
  <c r="N715" i="196"/>
  <c r="N714" i="196"/>
  <c r="N713" i="196"/>
  <c r="N712" i="196"/>
  <c r="N711" i="196"/>
  <c r="N710" i="196"/>
  <c r="N961" i="196"/>
  <c r="N854" i="196"/>
  <c r="N853" i="196"/>
  <c r="N706" i="196"/>
  <c r="N705" i="196"/>
  <c r="N704" i="196"/>
  <c r="N703" i="196"/>
  <c r="N702" i="196"/>
  <c r="N621" i="196"/>
  <c r="N850" i="196"/>
  <c r="N849" i="196"/>
  <c r="N620" i="196"/>
  <c r="N697" i="196"/>
  <c r="N696" i="196"/>
  <c r="N695" i="196"/>
  <c r="N694" i="196"/>
  <c r="N848" i="196"/>
  <c r="N692" i="196"/>
  <c r="N691" i="196"/>
  <c r="N619" i="196"/>
  <c r="N689" i="196"/>
  <c r="N688" i="196"/>
  <c r="N847" i="196"/>
  <c r="N842" i="196"/>
  <c r="N685" i="196"/>
  <c r="N684" i="196"/>
  <c r="N683" i="196"/>
  <c r="N841" i="196"/>
  <c r="N839" i="196"/>
  <c r="N680" i="196"/>
  <c r="N836" i="196"/>
  <c r="N678" i="196"/>
  <c r="N617" i="196"/>
  <c r="N227" i="196"/>
  <c r="N616" i="196"/>
  <c r="N226" i="196"/>
  <c r="N822" i="196"/>
  <c r="N672" i="196"/>
  <c r="N671" i="196"/>
  <c r="N670" i="196"/>
  <c r="N669" i="196"/>
  <c r="N668" i="196"/>
  <c r="N667" i="196"/>
  <c r="N666" i="196"/>
  <c r="N615" i="196"/>
  <c r="N187" i="196"/>
  <c r="N821" i="196"/>
  <c r="N662" i="196"/>
  <c r="N661" i="196"/>
  <c r="N660" i="196"/>
  <c r="N659" i="196"/>
  <c r="N614" i="196"/>
  <c r="N657" i="196"/>
  <c r="N818" i="196"/>
  <c r="N186" i="196"/>
  <c r="N654" i="196"/>
  <c r="N653" i="196"/>
  <c r="N652" i="196"/>
  <c r="N815" i="196"/>
  <c r="N600" i="196"/>
  <c r="N649" i="196"/>
  <c r="N648" i="196"/>
  <c r="N647" i="196"/>
  <c r="N225" i="196"/>
  <c r="N645" i="196"/>
  <c r="N644" i="196"/>
  <c r="N643" i="196"/>
  <c r="N642" i="196"/>
  <c r="N641" i="196"/>
  <c r="N640" i="196"/>
  <c r="N639" i="196"/>
  <c r="N638" i="196"/>
  <c r="N637" i="196"/>
  <c r="N101" i="196"/>
  <c r="N810" i="196"/>
  <c r="N634" i="196"/>
  <c r="N633" i="196"/>
  <c r="N632" i="196"/>
  <c r="N631" i="196"/>
  <c r="N630" i="196"/>
  <c r="N597" i="196"/>
  <c r="N291" i="196"/>
  <c r="N594" i="196"/>
  <c r="N626" i="196"/>
  <c r="N170" i="196"/>
  <c r="N624" i="196"/>
  <c r="N623" i="196"/>
  <c r="N622" i="196"/>
  <c r="N121" i="196"/>
  <c r="N99" i="196"/>
  <c r="N95" i="196"/>
  <c r="N618" i="196"/>
  <c r="N109" i="196"/>
  <c r="N290" i="196"/>
  <c r="N801" i="196"/>
  <c r="N182" i="196"/>
  <c r="N613" i="196"/>
  <c r="N612" i="196"/>
  <c r="N611" i="196"/>
  <c r="N610" i="196"/>
  <c r="N609" i="196"/>
  <c r="N608" i="196"/>
  <c r="N607" i="196"/>
  <c r="N606" i="196"/>
  <c r="N605" i="196"/>
  <c r="N604" i="196"/>
  <c r="N603" i="196"/>
  <c r="N602" i="196"/>
  <c r="N601" i="196"/>
  <c r="N28" i="196"/>
  <c r="N599" i="196"/>
  <c r="N598" i="196"/>
  <c r="N89" i="196"/>
  <c r="N596" i="196"/>
  <c r="N595" i="196"/>
  <c r="N88" i="196"/>
  <c r="N593" i="196"/>
  <c r="N592" i="196"/>
  <c r="N289" i="196"/>
  <c r="N591" i="196"/>
  <c r="N128" i="196"/>
  <c r="N153" i="196"/>
  <c r="N587" i="196"/>
  <c r="N152" i="196"/>
  <c r="N585" i="196"/>
  <c r="N584" i="196"/>
  <c r="N583" i="196"/>
  <c r="N582" i="196"/>
  <c r="N581" i="196"/>
  <c r="N580" i="196"/>
  <c r="N579" i="196"/>
  <c r="N578" i="196"/>
  <c r="N577" i="196"/>
  <c r="N576" i="196"/>
  <c r="N575" i="196"/>
  <c r="N574" i="196"/>
  <c r="N573" i="196"/>
  <c r="N572" i="196"/>
  <c r="N571" i="196"/>
  <c r="N570" i="196"/>
  <c r="N569" i="196"/>
  <c r="N568" i="196"/>
  <c r="N799" i="196"/>
  <c r="N566" i="196"/>
  <c r="N565" i="196"/>
  <c r="N564" i="196"/>
  <c r="N563" i="196"/>
  <c r="N562" i="196"/>
  <c r="N561" i="196"/>
  <c r="N87" i="196"/>
  <c r="N559" i="196"/>
  <c r="N558" i="196"/>
  <c r="N557" i="196"/>
  <c r="N556" i="196"/>
  <c r="N555" i="196"/>
  <c r="N554" i="196"/>
  <c r="N553" i="196"/>
  <c r="N552" i="196"/>
  <c r="N551" i="196"/>
  <c r="N797" i="196"/>
  <c r="N549" i="196"/>
  <c r="N794" i="196"/>
  <c r="N547" i="196"/>
  <c r="N546" i="196"/>
  <c r="N545" i="196"/>
  <c r="N544" i="196"/>
  <c r="N543" i="196"/>
  <c r="N542" i="196"/>
  <c r="N790" i="196"/>
  <c r="N151" i="196"/>
  <c r="N169" i="196"/>
  <c r="N538" i="196"/>
  <c r="N537" i="196"/>
  <c r="N536" i="196"/>
  <c r="N535" i="196"/>
  <c r="N534" i="196"/>
  <c r="N533" i="196"/>
  <c r="N532" i="196"/>
  <c r="N531" i="196"/>
  <c r="N530" i="196"/>
  <c r="N529" i="196"/>
  <c r="N528" i="196"/>
  <c r="N527" i="196"/>
  <c r="N526" i="196"/>
  <c r="N525" i="196"/>
  <c r="N524" i="196"/>
  <c r="N523" i="196"/>
  <c r="N522" i="196"/>
  <c r="N521" i="196"/>
  <c r="N520" i="196"/>
  <c r="N519" i="196"/>
  <c r="N518" i="196"/>
  <c r="N517" i="196"/>
  <c r="N516" i="196"/>
  <c r="N515" i="196"/>
  <c r="N514" i="196"/>
  <c r="N513" i="196"/>
  <c r="N512" i="196"/>
  <c r="N511" i="196"/>
  <c r="N510" i="196"/>
  <c r="N509" i="196"/>
  <c r="N508" i="196"/>
  <c r="N507" i="196"/>
  <c r="N506" i="196"/>
  <c r="N505" i="196"/>
  <c r="N504" i="196"/>
  <c r="N503" i="196"/>
  <c r="N502" i="196"/>
  <c r="N501" i="196"/>
  <c r="N500" i="196"/>
  <c r="N499" i="196"/>
  <c r="N498" i="196"/>
  <c r="N497" i="196"/>
  <c r="N496" i="196"/>
  <c r="N495" i="196"/>
  <c r="N288" i="196"/>
  <c r="N493" i="196"/>
  <c r="N492" i="196"/>
  <c r="N491" i="196"/>
  <c r="N490" i="196"/>
  <c r="N489" i="196"/>
  <c r="N488" i="196"/>
  <c r="N487" i="196"/>
  <c r="N486" i="196"/>
  <c r="N485" i="196"/>
  <c r="N484" i="196"/>
  <c r="N483" i="196"/>
  <c r="N482" i="196"/>
  <c r="N481" i="196"/>
  <c r="N480" i="196"/>
  <c r="N479" i="196"/>
  <c r="N478" i="196"/>
  <c r="N477" i="196"/>
  <c r="N476" i="196"/>
  <c r="N475" i="196"/>
  <c r="N474" i="196"/>
  <c r="N473" i="196"/>
  <c r="N472" i="196"/>
  <c r="N471" i="196"/>
  <c r="N470" i="196"/>
  <c r="N469" i="196"/>
  <c r="N468" i="196"/>
  <c r="N467" i="196"/>
  <c r="N466" i="196"/>
  <c r="N465" i="196"/>
  <c r="N464" i="196"/>
  <c r="N463" i="196"/>
  <c r="N462" i="196"/>
  <c r="N461" i="196"/>
  <c r="N460" i="196"/>
  <c r="N459" i="196"/>
  <c r="N458" i="196"/>
  <c r="N457" i="196"/>
  <c r="N456" i="196"/>
  <c r="N455" i="196"/>
  <c r="N454" i="196"/>
  <c r="N453" i="196"/>
  <c r="N452" i="196"/>
  <c r="N451" i="196"/>
  <c r="N450" i="196"/>
  <c r="N449" i="196"/>
  <c r="N448" i="196"/>
  <c r="N447" i="196"/>
  <c r="N446" i="196"/>
  <c r="N445" i="196"/>
  <c r="N444" i="196"/>
  <c r="N443" i="196"/>
  <c r="N442" i="196"/>
  <c r="N441" i="196"/>
  <c r="N440" i="196"/>
  <c r="N439" i="196"/>
  <c r="N438" i="196"/>
  <c r="N437" i="196"/>
  <c r="N436" i="196"/>
  <c r="N435" i="196"/>
  <c r="N434" i="196"/>
  <c r="N433" i="196"/>
  <c r="N432" i="196"/>
  <c r="N431" i="196"/>
  <c r="N430" i="196"/>
  <c r="N429" i="196"/>
  <c r="N428" i="196"/>
  <c r="N427" i="196"/>
  <c r="N426" i="196"/>
  <c r="N590" i="196"/>
  <c r="N424" i="196"/>
  <c r="N163" i="196"/>
  <c r="N422" i="196"/>
  <c r="N788" i="196"/>
  <c r="N420" i="196"/>
  <c r="N419" i="196"/>
  <c r="N418" i="196"/>
  <c r="N417" i="196"/>
  <c r="N416" i="196"/>
  <c r="N415" i="196"/>
  <c r="N414" i="196"/>
  <c r="N413" i="196"/>
  <c r="N412" i="196"/>
  <c r="N411" i="196"/>
  <c r="N410" i="196"/>
  <c r="N409" i="196"/>
  <c r="N408" i="196"/>
  <c r="N406" i="196"/>
  <c r="N786" i="196"/>
  <c r="N404" i="196"/>
  <c r="N588" i="196"/>
  <c r="N402" i="196"/>
  <c r="N401" i="196"/>
  <c r="N400" i="196"/>
  <c r="N586" i="196"/>
  <c r="N785" i="196"/>
  <c r="N397" i="196"/>
  <c r="N396" i="196"/>
  <c r="N395" i="196"/>
  <c r="N394" i="196"/>
  <c r="N393" i="196"/>
  <c r="N392" i="196"/>
  <c r="N391" i="196"/>
  <c r="N390" i="196"/>
  <c r="N389" i="196"/>
  <c r="N388" i="196"/>
  <c r="N387" i="196"/>
  <c r="N386" i="196"/>
  <c r="N385" i="196"/>
  <c r="N384" i="196"/>
  <c r="N383" i="196"/>
  <c r="N382" i="196"/>
  <c r="N780" i="196"/>
  <c r="N84" i="196"/>
  <c r="N379" i="196"/>
  <c r="N378" i="196"/>
  <c r="N377" i="196"/>
  <c r="N376" i="196"/>
  <c r="N375" i="196"/>
  <c r="N374" i="196"/>
  <c r="N373" i="196"/>
  <c r="N372" i="196"/>
  <c r="N371" i="196"/>
  <c r="N370" i="196"/>
  <c r="N369" i="196"/>
  <c r="N368" i="196"/>
  <c r="N367" i="196"/>
  <c r="N366" i="196"/>
  <c r="N365" i="196"/>
  <c r="N364" i="196"/>
  <c r="N363" i="196"/>
  <c r="N362" i="196"/>
  <c r="N361" i="196"/>
  <c r="N360" i="196"/>
  <c r="N359" i="196"/>
  <c r="N358" i="196"/>
  <c r="N357" i="196"/>
  <c r="N356" i="196"/>
  <c r="N355" i="196"/>
  <c r="N354" i="196"/>
  <c r="N353" i="196"/>
  <c r="N352" i="196"/>
  <c r="N351" i="196"/>
  <c r="N350" i="196"/>
  <c r="N349" i="196"/>
  <c r="N348" i="196"/>
  <c r="N347" i="196"/>
  <c r="N346" i="196"/>
  <c r="N345" i="196"/>
  <c r="N344" i="196"/>
  <c r="N285" i="196"/>
  <c r="N342" i="196"/>
  <c r="N127" i="196"/>
  <c r="N340" i="196"/>
  <c r="N339" i="196"/>
  <c r="N338" i="196"/>
  <c r="N337" i="196"/>
  <c r="N336" i="196"/>
  <c r="N335" i="196"/>
  <c r="N334" i="196"/>
  <c r="N333" i="196"/>
  <c r="N332" i="196"/>
  <c r="N331" i="196"/>
  <c r="N330" i="196"/>
  <c r="N329" i="196"/>
  <c r="N328" i="196"/>
  <c r="N327" i="196"/>
  <c r="N326" i="196"/>
  <c r="N325" i="196"/>
  <c r="N324" i="196"/>
  <c r="N323" i="196"/>
  <c r="N218" i="196"/>
  <c r="N567" i="196"/>
  <c r="N320" i="196"/>
  <c r="N168" i="196"/>
  <c r="N83" i="196"/>
  <c r="N317" i="196"/>
  <c r="N316" i="196"/>
  <c r="N315" i="196"/>
  <c r="N314" i="196"/>
  <c r="N313" i="196"/>
  <c r="N312" i="196"/>
  <c r="N311" i="196"/>
  <c r="N310" i="196"/>
  <c r="N309" i="196"/>
  <c r="N308" i="196"/>
  <c r="N307" i="196"/>
  <c r="N306" i="196"/>
  <c r="N305" i="196"/>
  <c r="N304" i="196"/>
  <c r="N217" i="196"/>
  <c r="N3" i="196"/>
  <c r="N301" i="196"/>
  <c r="N300" i="196"/>
  <c r="N299" i="196"/>
  <c r="N298" i="196"/>
  <c r="N297" i="196"/>
  <c r="N296" i="196"/>
  <c r="N779" i="196"/>
  <c r="N294" i="196"/>
  <c r="N82" i="196"/>
  <c r="N147" i="196"/>
  <c r="N120" i="196"/>
  <c r="N283" i="196"/>
  <c r="N79" i="196"/>
  <c r="N167" i="196"/>
  <c r="N287" i="196"/>
  <c r="N286" i="196"/>
  <c r="N78" i="196"/>
  <c r="N284" i="196"/>
  <c r="N276" i="196"/>
  <c r="N282" i="196"/>
  <c r="N281" i="196"/>
  <c r="N280" i="196"/>
  <c r="N279" i="196"/>
  <c r="N278" i="196"/>
  <c r="N277" i="196"/>
  <c r="N778" i="196"/>
  <c r="N275" i="196"/>
  <c r="N274" i="196"/>
  <c r="N12" i="196"/>
  <c r="N65" i="196"/>
  <c r="N273" i="196"/>
  <c r="N137" i="196"/>
  <c r="N216" i="196"/>
  <c r="N215" i="196"/>
  <c r="N560" i="196"/>
  <c r="N266" i="196"/>
  <c r="N265" i="196"/>
  <c r="N264" i="196"/>
  <c r="N263" i="196"/>
  <c r="N262" i="196"/>
  <c r="N261" i="196"/>
  <c r="N260" i="196"/>
  <c r="N259" i="196"/>
  <c r="N777" i="196"/>
  <c r="N257" i="196"/>
  <c r="N256" i="196"/>
  <c r="N255" i="196"/>
  <c r="N254" i="196"/>
  <c r="N119" i="196"/>
  <c r="N108" i="196"/>
  <c r="N251" i="196"/>
  <c r="N250" i="196"/>
  <c r="N249" i="196"/>
  <c r="N550" i="196"/>
  <c r="N214" i="196"/>
  <c r="N775" i="196"/>
  <c r="N548" i="196"/>
  <c r="N244" i="196"/>
  <c r="N212" i="196"/>
  <c r="N209" i="196"/>
  <c r="N241" i="196"/>
  <c r="N240" i="196"/>
  <c r="N239" i="196"/>
  <c r="N238" i="196"/>
  <c r="N774" i="196"/>
  <c r="N766" i="196"/>
  <c r="N64" i="196"/>
  <c r="N234" i="196"/>
  <c r="N63" i="196"/>
  <c r="N181" i="196"/>
  <c r="N231" i="196"/>
  <c r="N230" i="196"/>
  <c r="N541" i="196"/>
  <c r="N208" i="196"/>
  <c r="N759" i="196"/>
  <c r="N540" i="196"/>
  <c r="N126" i="196"/>
  <c r="N224" i="196"/>
  <c r="N223" i="196"/>
  <c r="N222" i="196"/>
  <c r="N221" i="196"/>
  <c r="N220" i="196"/>
  <c r="N219" i="196"/>
  <c r="N272" i="196"/>
  <c r="N271" i="196"/>
  <c r="N539" i="196"/>
  <c r="N725" i="196"/>
  <c r="N494" i="196"/>
  <c r="N213" i="196"/>
  <c r="N723" i="196"/>
  <c r="N211" i="196"/>
  <c r="N210" i="196"/>
  <c r="N158" i="196"/>
  <c r="N179" i="196"/>
  <c r="N270" i="196"/>
  <c r="N206" i="196"/>
  <c r="N205" i="196"/>
  <c r="N204" i="196"/>
  <c r="N203" i="196"/>
  <c r="N202" i="196"/>
  <c r="N201" i="196"/>
  <c r="N200" i="196"/>
  <c r="N199" i="196"/>
  <c r="N198" i="196"/>
  <c r="N178" i="196"/>
  <c r="N269" i="196"/>
  <c r="N157" i="196"/>
  <c r="N103" i="196"/>
  <c r="N135" i="196"/>
  <c r="N177" i="196"/>
  <c r="N191" i="196"/>
  <c r="N709" i="196"/>
  <c r="N189" i="196"/>
  <c r="N188" i="196"/>
  <c r="N146" i="196"/>
  <c r="N125" i="196"/>
  <c r="N185" i="196"/>
  <c r="N184" i="196"/>
  <c r="N183" i="196"/>
  <c r="N166" i="196"/>
  <c r="N124" i="196"/>
  <c r="N180" i="196"/>
  <c r="N425" i="196"/>
  <c r="N176" i="196"/>
  <c r="N145" i="196"/>
  <c r="N102" i="196"/>
  <c r="N62" i="196"/>
  <c r="N423" i="196"/>
  <c r="N173" i="196"/>
  <c r="N708" i="196"/>
  <c r="N171" i="196"/>
  <c r="N207" i="196"/>
  <c r="N44" i="196"/>
  <c r="N197" i="196"/>
  <c r="N707" i="196"/>
  <c r="N421" i="196"/>
  <c r="N42" i="196"/>
  <c r="N24" i="196"/>
  <c r="N156" i="196"/>
  <c r="N162" i="196"/>
  <c r="N161" i="196"/>
  <c r="N160" i="196"/>
  <c r="N159" i="196"/>
  <c r="N139" i="196"/>
  <c r="N115" i="196"/>
  <c r="N196" i="196"/>
  <c r="N407" i="196"/>
  <c r="N154" i="196"/>
  <c r="N701" i="196"/>
  <c r="N268" i="196"/>
  <c r="N267" i="196"/>
  <c r="N150" i="196"/>
  <c r="N149" i="196"/>
  <c r="N148" i="196"/>
  <c r="N700" i="196"/>
  <c r="N39" i="196"/>
  <c r="N195" i="196"/>
  <c r="N144" i="196"/>
  <c r="N143" i="196"/>
  <c r="N142" i="196"/>
  <c r="N141" i="196"/>
  <c r="N140" i="196"/>
  <c r="N38" i="196"/>
  <c r="N123" i="196"/>
  <c r="N165" i="196"/>
  <c r="N136" i="196"/>
  <c r="N699" i="196"/>
  <c r="N134" i="196"/>
  <c r="N133" i="196"/>
  <c r="N132" i="196"/>
  <c r="N131" i="196"/>
  <c r="N130" i="196"/>
  <c r="N129" i="196"/>
  <c r="N19" i="196"/>
  <c r="N698" i="196"/>
  <c r="N122" i="196"/>
  <c r="N30" i="196"/>
  <c r="N18" i="196"/>
  <c r="N16" i="196"/>
  <c r="N5" i="196"/>
  <c r="N15" i="196"/>
  <c r="N11" i="196"/>
  <c r="N405" i="196"/>
  <c r="N118" i="196"/>
  <c r="N117" i="196"/>
  <c r="N116" i="196"/>
  <c r="N693" i="196"/>
  <c r="N114" i="196"/>
  <c r="N113" i="196"/>
  <c r="N112" i="196"/>
  <c r="N111" i="196"/>
  <c r="N690" i="196"/>
  <c r="N258" i="196"/>
  <c r="N403" i="196"/>
  <c r="N107" i="196"/>
  <c r="N106" i="196"/>
  <c r="N105" i="196"/>
  <c r="N104" i="196"/>
  <c r="N687" i="196"/>
  <c r="N686" i="196"/>
  <c r="N399" i="196"/>
  <c r="N100" i="196"/>
  <c r="N682" i="196"/>
  <c r="N98" i="196"/>
  <c r="N97" i="196"/>
  <c r="N96" i="196"/>
  <c r="N681" i="196"/>
  <c r="N94" i="196"/>
  <c r="N93" i="196"/>
  <c r="N92" i="196"/>
  <c r="N91" i="196"/>
  <c r="N90" i="196"/>
  <c r="N194" i="196"/>
  <c r="N398" i="196"/>
  <c r="N253" i="196"/>
  <c r="N86" i="196"/>
  <c r="N85" i="196"/>
  <c r="N679" i="196"/>
  <c r="N677" i="196"/>
  <c r="N381" i="196"/>
  <c r="N81" i="196"/>
  <c r="N80" i="196"/>
  <c r="N676" i="196"/>
  <c r="N252" i="196"/>
  <c r="N77" i="196"/>
  <c r="N76" i="196"/>
  <c r="N75" i="196"/>
  <c r="N74" i="196"/>
  <c r="N73" i="196"/>
  <c r="N72" i="196"/>
  <c r="N71" i="196"/>
  <c r="N70" i="196"/>
  <c r="N69" i="196"/>
  <c r="N68" i="196"/>
  <c r="N67" i="196"/>
  <c r="N66" i="196"/>
  <c r="N675" i="196"/>
  <c r="N674" i="196"/>
  <c r="N110" i="196"/>
  <c r="N29" i="196"/>
  <c r="N61" i="196"/>
  <c r="N60" i="196"/>
  <c r="N59" i="196"/>
  <c r="N58" i="196"/>
  <c r="N57" i="196"/>
  <c r="N56" i="196"/>
  <c r="N55" i="196"/>
  <c r="N54" i="196"/>
  <c r="N53" i="196"/>
  <c r="N52" i="196"/>
  <c r="N51" i="196"/>
  <c r="N50" i="196"/>
  <c r="N49" i="196"/>
  <c r="N48" i="196"/>
  <c r="N47" i="196"/>
  <c r="N46" i="196"/>
  <c r="N45" i="196"/>
  <c r="N248" i="196"/>
  <c r="N43" i="196"/>
  <c r="N380" i="196"/>
  <c r="N41" i="196"/>
  <c r="N40" i="196"/>
  <c r="N193" i="196"/>
  <c r="N673" i="196"/>
  <c r="N37" i="196"/>
  <c r="N36" i="196"/>
  <c r="N35" i="196"/>
  <c r="N34" i="196"/>
  <c r="N33" i="196"/>
  <c r="N32" i="196"/>
  <c r="N31" i="196"/>
  <c r="N665" i="196"/>
  <c r="N343" i="196"/>
  <c r="N192" i="196"/>
  <c r="N27" i="196"/>
  <c r="N26" i="196"/>
  <c r="N25" i="196"/>
  <c r="N175" i="196"/>
  <c r="N23" i="196"/>
  <c r="N22" i="196"/>
  <c r="N21" i="196"/>
  <c r="N20" i="196"/>
  <c r="N138" i="196"/>
  <c r="N155" i="196"/>
  <c r="N17" i="196"/>
  <c r="N247" i="196"/>
  <c r="N164" i="196"/>
  <c r="N246" i="196"/>
  <c r="N13" i="196"/>
  <c r="N664" i="196"/>
  <c r="N174" i="196"/>
  <c r="N10" i="196"/>
  <c r="N9" i="196"/>
  <c r="N8" i="196"/>
  <c r="N7" i="196"/>
  <c r="N6" i="196"/>
  <c r="N172" i="196"/>
  <c r="N4" i="196"/>
  <c r="N14" i="196"/>
  <c r="M1276" i="196"/>
  <c r="M1275" i="196"/>
  <c r="M1274" i="196"/>
  <c r="M1273" i="196"/>
  <c r="M1272" i="196"/>
  <c r="M1271" i="196"/>
  <c r="M1270" i="196"/>
  <c r="M1269" i="196"/>
  <c r="M1268" i="196"/>
  <c r="M1267" i="196"/>
  <c r="M1266" i="196"/>
  <c r="M1265" i="196"/>
  <c r="M1264" i="196"/>
  <c r="M1263" i="196"/>
  <c r="M1262" i="196"/>
  <c r="M1261" i="196"/>
  <c r="M1260" i="196"/>
  <c r="M1259" i="196"/>
  <c r="M1258" i="196"/>
  <c r="M1257" i="196"/>
  <c r="M1256" i="196"/>
  <c r="M1255" i="196"/>
  <c r="M1254" i="196"/>
  <c r="M1253" i="196"/>
  <c r="M1252" i="196"/>
  <c r="M1251" i="196"/>
  <c r="M1250" i="196"/>
  <c r="M1249" i="196"/>
  <c r="M1248" i="196"/>
  <c r="M1247" i="196"/>
  <c r="M1246" i="196"/>
  <c r="M1245" i="196"/>
  <c r="M1244" i="196"/>
  <c r="M1243" i="196"/>
  <c r="M1242" i="196"/>
  <c r="M1241" i="196"/>
  <c r="M1240" i="196"/>
  <c r="M1239" i="196"/>
  <c r="M1238" i="196"/>
  <c r="M1237" i="196"/>
  <c r="M1236" i="196"/>
  <c r="M1235" i="196"/>
  <c r="M1234" i="196"/>
  <c r="M1233" i="196"/>
  <c r="M1232" i="196"/>
  <c r="M1231" i="196"/>
  <c r="M1230" i="196"/>
  <c r="M1229" i="196"/>
  <c r="M1228" i="196"/>
  <c r="M1227" i="196"/>
  <c r="M1226" i="196"/>
  <c r="M1225" i="196"/>
  <c r="M1224" i="196"/>
  <c r="M1223" i="196"/>
  <c r="M1222" i="196"/>
  <c r="M1221" i="196"/>
  <c r="M1220" i="196"/>
  <c r="M1219" i="196"/>
  <c r="M1218" i="196"/>
  <c r="M1217" i="196"/>
  <c r="M1216" i="196"/>
  <c r="M1215" i="196"/>
  <c r="M1214" i="196"/>
  <c r="M1213" i="196"/>
  <c r="M1212" i="196"/>
  <c r="M1211" i="196"/>
  <c r="M1210" i="196"/>
  <c r="M1209" i="196"/>
  <c r="M1208" i="196"/>
  <c r="M1207" i="196"/>
  <c r="M1206" i="196"/>
  <c r="M1205" i="196"/>
  <c r="M1204" i="196"/>
  <c r="M1203" i="196"/>
  <c r="M1202" i="196"/>
  <c r="M1201" i="196"/>
  <c r="M1200" i="196"/>
  <c r="M1199" i="196"/>
  <c r="M1198" i="196"/>
  <c r="M1197" i="196"/>
  <c r="M1196" i="196"/>
  <c r="M1195" i="196"/>
  <c r="M1194" i="196"/>
  <c r="M1193" i="196"/>
  <c r="M1192" i="196"/>
  <c r="M1191" i="196"/>
  <c r="M1190" i="196"/>
  <c r="M1189" i="196"/>
  <c r="M1188" i="196"/>
  <c r="M1187" i="196"/>
  <c r="M1186" i="196"/>
  <c r="M1185" i="196"/>
  <c r="M1184" i="196"/>
  <c r="M1183" i="196"/>
  <c r="M1182" i="196"/>
  <c r="M1181" i="196"/>
  <c r="M1180" i="196"/>
  <c r="M1179" i="196"/>
  <c r="M1178" i="196"/>
  <c r="M1177" i="196"/>
  <c r="M1176" i="196"/>
  <c r="M1175" i="196"/>
  <c r="M1174" i="196"/>
  <c r="M1173" i="196"/>
  <c r="M1172" i="196"/>
  <c r="M1171" i="196"/>
  <c r="M1170" i="196"/>
  <c r="M1169" i="196"/>
  <c r="M1168" i="196"/>
  <c r="M1167" i="196"/>
  <c r="M1166" i="196"/>
  <c r="M1165" i="196"/>
  <c r="M1164" i="196"/>
  <c r="M1163" i="196"/>
  <c r="M1162" i="196"/>
  <c r="M1161" i="196"/>
  <c r="M1160" i="196"/>
  <c r="M1159" i="196"/>
  <c r="M1158" i="196"/>
  <c r="M1157" i="196"/>
  <c r="M1156" i="196"/>
  <c r="M1155" i="196"/>
  <c r="M1154" i="196"/>
  <c r="M1153" i="196"/>
  <c r="M1152" i="196"/>
  <c r="M1151" i="196"/>
  <c r="M1150" i="196"/>
  <c r="M1149" i="196"/>
  <c r="M1148" i="196"/>
  <c r="M1147" i="196"/>
  <c r="M1146" i="196"/>
  <c r="M1145" i="196"/>
  <c r="M1144" i="196"/>
  <c r="M1143" i="196"/>
  <c r="M1142" i="196"/>
  <c r="M1141" i="196"/>
  <c r="M1140" i="196"/>
  <c r="M1139" i="196"/>
  <c r="M1138" i="196"/>
  <c r="M1137" i="196"/>
  <c r="M1136" i="196"/>
  <c r="M1135" i="196"/>
  <c r="M1134" i="196"/>
  <c r="M1133" i="196"/>
  <c r="M1132" i="196"/>
  <c r="M1131" i="196"/>
  <c r="M1130" i="196"/>
  <c r="M1129" i="196"/>
  <c r="M1128" i="196"/>
  <c r="M1127" i="196"/>
  <c r="M1126" i="196"/>
  <c r="M1125" i="196"/>
  <c r="M1124" i="196"/>
  <c r="M1123" i="196"/>
  <c r="M1122" i="196"/>
  <c r="M1121" i="196"/>
  <c r="M1120" i="196"/>
  <c r="M1119" i="196"/>
  <c r="M1118" i="196"/>
  <c r="M1117" i="196"/>
  <c r="M1116" i="196"/>
  <c r="M1115" i="196"/>
  <c r="M1114" i="196"/>
  <c r="M1113" i="196"/>
  <c r="M1112" i="196"/>
  <c r="M1111" i="196"/>
  <c r="M1110" i="196"/>
  <c r="M1109" i="196"/>
  <c r="M1108" i="196"/>
  <c r="M1107" i="196"/>
  <c r="M1106" i="196"/>
  <c r="M1105" i="196"/>
  <c r="M1104" i="196"/>
  <c r="M1103" i="196"/>
  <c r="M1102" i="196"/>
  <c r="M1101" i="196"/>
  <c r="M1100" i="196"/>
  <c r="M1099" i="196"/>
  <c r="M1098" i="196"/>
  <c r="M1097" i="196"/>
  <c r="M1096" i="196"/>
  <c r="M1095" i="196"/>
  <c r="M1094" i="196"/>
  <c r="M1093" i="196"/>
  <c r="M1092" i="196"/>
  <c r="M1091" i="196"/>
  <c r="M1090" i="196"/>
  <c r="M1089" i="196"/>
  <c r="M1088" i="196"/>
  <c r="M1087" i="196"/>
  <c r="M1086" i="196"/>
  <c r="M1085" i="196"/>
  <c r="M1084" i="196"/>
  <c r="M1082" i="196"/>
  <c r="M1081" i="196"/>
  <c r="M1080" i="196"/>
  <c r="M1079" i="196"/>
  <c r="M1078" i="196"/>
  <c r="M1077" i="196"/>
  <c r="M1076" i="196"/>
  <c r="M1075" i="196"/>
  <c r="M1074" i="196"/>
  <c r="M1073" i="196"/>
  <c r="M1072" i="196"/>
  <c r="M1071" i="196"/>
  <c r="M1070" i="196"/>
  <c r="M1069" i="196"/>
  <c r="M1068" i="196"/>
  <c r="M1067" i="196"/>
  <c r="M1066" i="196"/>
  <c r="M1065" i="196"/>
  <c r="M1064" i="196"/>
  <c r="M1063" i="196"/>
  <c r="M1062" i="196"/>
  <c r="M1061" i="196"/>
  <c r="M1060" i="196"/>
  <c r="M1059" i="196"/>
  <c r="M1058" i="196"/>
  <c r="M1057" i="196"/>
  <c r="M1056" i="196"/>
  <c r="M1055" i="196"/>
  <c r="M1054" i="196"/>
  <c r="M1053" i="196"/>
  <c r="M1052" i="196"/>
  <c r="M1051" i="196"/>
  <c r="M1050" i="196"/>
  <c r="M1049" i="196"/>
  <c r="M1048" i="196"/>
  <c r="M1047" i="196"/>
  <c r="M1046" i="196"/>
  <c r="M1045" i="196"/>
  <c r="M1044" i="196"/>
  <c r="M1043" i="196"/>
  <c r="M1042" i="196"/>
  <c r="M1041" i="196"/>
  <c r="M1040" i="196"/>
  <c r="M1039" i="196"/>
  <c r="M1038" i="196"/>
  <c r="M1037" i="196"/>
  <c r="M1036" i="196"/>
  <c r="M1035" i="196"/>
  <c r="M1034" i="196"/>
  <c r="M1033" i="196"/>
  <c r="M1032" i="196"/>
  <c r="M1031" i="196"/>
  <c r="M1030" i="196"/>
  <c r="M1029" i="196"/>
  <c r="M1028" i="196"/>
  <c r="M1027" i="196"/>
  <c r="M1026" i="196"/>
  <c r="M1025" i="196"/>
  <c r="M1024" i="196"/>
  <c r="M1023" i="196"/>
  <c r="M1022" i="196"/>
  <c r="M1021" i="196"/>
  <c r="M1020" i="196"/>
  <c r="M1019" i="196"/>
  <c r="M1018" i="196"/>
  <c r="M1017" i="196"/>
  <c r="M1016" i="196"/>
  <c r="M1015" i="196"/>
  <c r="M1014" i="196"/>
  <c r="M1013" i="196"/>
  <c r="M1012" i="196"/>
  <c r="M1011" i="196"/>
  <c r="M1010" i="196"/>
  <c r="M1009" i="196"/>
  <c r="M1008" i="196"/>
  <c r="M1007" i="196"/>
  <c r="M1006" i="196"/>
  <c r="M1005" i="196"/>
  <c r="M1004" i="196"/>
  <c r="M1003" i="196"/>
  <c r="M1002" i="196"/>
  <c r="M1001" i="196"/>
  <c r="M1000" i="196"/>
  <c r="M999" i="196"/>
  <c r="M998" i="196"/>
  <c r="M997" i="196"/>
  <c r="M996" i="196"/>
  <c r="M995" i="196"/>
  <c r="M994" i="196"/>
  <c r="M993" i="196"/>
  <c r="M992" i="196"/>
  <c r="M991" i="196"/>
  <c r="M990" i="196"/>
  <c r="M965" i="196"/>
  <c r="M964" i="196"/>
  <c r="M963" i="196"/>
  <c r="M962" i="196"/>
  <c r="M341" i="196"/>
  <c r="M960" i="196"/>
  <c r="M959" i="196"/>
  <c r="M958" i="196"/>
  <c r="M957" i="196"/>
  <c r="M956" i="196"/>
  <c r="M955" i="196"/>
  <c r="M954" i="196"/>
  <c r="M953" i="196"/>
  <c r="M952" i="196"/>
  <c r="M951" i="196"/>
  <c r="M950" i="196"/>
  <c r="M949" i="196"/>
  <c r="M948" i="196"/>
  <c r="M947" i="196"/>
  <c r="M946" i="196"/>
  <c r="M945" i="196"/>
  <c r="M944" i="196"/>
  <c r="M943" i="196"/>
  <c r="M942" i="196"/>
  <c r="M941" i="196"/>
  <c r="M940" i="196"/>
  <c r="M939" i="196"/>
  <c r="M938" i="196"/>
  <c r="M937" i="196"/>
  <c r="M936" i="196"/>
  <c r="M935" i="196"/>
  <c r="M663" i="196"/>
  <c r="M934" i="196"/>
  <c r="M933" i="196"/>
  <c r="M245" i="196"/>
  <c r="M931" i="196"/>
  <c r="M930" i="196"/>
  <c r="M929" i="196"/>
  <c r="M928" i="196"/>
  <c r="M927" i="196"/>
  <c r="M932" i="196"/>
  <c r="M926" i="196"/>
  <c r="M924" i="196"/>
  <c r="M923" i="196"/>
  <c r="M922" i="196"/>
  <c r="M921" i="196"/>
  <c r="M925" i="196"/>
  <c r="M243" i="196"/>
  <c r="M920" i="196"/>
  <c r="M917" i="196"/>
  <c r="M242" i="196"/>
  <c r="M919" i="196"/>
  <c r="M914" i="196"/>
  <c r="M913" i="196"/>
  <c r="M912" i="196"/>
  <c r="M322" i="196"/>
  <c r="M910" i="196"/>
  <c r="M658" i="196"/>
  <c r="M656" i="196"/>
  <c r="M655" i="196"/>
  <c r="M321" i="196"/>
  <c r="M905" i="196"/>
  <c r="M904" i="196"/>
  <c r="M903" i="196"/>
  <c r="M902" i="196"/>
  <c r="M901" i="196"/>
  <c r="M900" i="196"/>
  <c r="M899" i="196"/>
  <c r="M1083" i="196"/>
  <c r="M897" i="196"/>
  <c r="M896" i="196"/>
  <c r="M895" i="196"/>
  <c r="M894" i="196"/>
  <c r="M893" i="196"/>
  <c r="M892" i="196"/>
  <c r="M918" i="196"/>
  <c r="M890" i="196"/>
  <c r="M651" i="196"/>
  <c r="M319" i="196"/>
  <c r="M887" i="196"/>
  <c r="M190" i="196"/>
  <c r="M885" i="196"/>
  <c r="M237" i="196"/>
  <c r="M883" i="196"/>
  <c r="M882" i="196"/>
  <c r="M881" i="196"/>
  <c r="M916" i="196"/>
  <c r="M879" i="196"/>
  <c r="M878" i="196"/>
  <c r="M877" i="196"/>
  <c r="M876" i="196"/>
  <c r="M875" i="196"/>
  <c r="M874" i="196"/>
  <c r="M873" i="196"/>
  <c r="M872" i="196"/>
  <c r="M871" i="196"/>
  <c r="M870" i="196"/>
  <c r="M869" i="196"/>
  <c r="M868" i="196"/>
  <c r="M867" i="196"/>
  <c r="M866" i="196"/>
  <c r="M865" i="196"/>
  <c r="M864" i="196"/>
  <c r="M863" i="196"/>
  <c r="M862" i="196"/>
  <c r="M861" i="196"/>
  <c r="M236" i="196"/>
  <c r="M859" i="196"/>
  <c r="M858" i="196"/>
  <c r="M857" i="196"/>
  <c r="M650" i="196"/>
  <c r="M915" i="196"/>
  <c r="M235" i="196"/>
  <c r="M646" i="196"/>
  <c r="M852" i="196"/>
  <c r="M851" i="196"/>
  <c r="M911" i="196"/>
  <c r="M909" i="196"/>
  <c r="M318" i="196"/>
  <c r="M303" i="196"/>
  <c r="M846" i="196"/>
  <c r="M845" i="196"/>
  <c r="M844" i="196"/>
  <c r="M843" i="196"/>
  <c r="M636" i="196"/>
  <c r="M908" i="196"/>
  <c r="M840" i="196"/>
  <c r="M907" i="196"/>
  <c r="M838" i="196"/>
  <c r="M837" i="196"/>
  <c r="M233" i="196"/>
  <c r="M835" i="196"/>
  <c r="M834" i="196"/>
  <c r="M833" i="196"/>
  <c r="M832" i="196"/>
  <c r="M831" i="196"/>
  <c r="M830" i="196"/>
  <c r="M829" i="196"/>
  <c r="M828" i="196"/>
  <c r="M827" i="196"/>
  <c r="M826" i="196"/>
  <c r="M825" i="196"/>
  <c r="M824" i="196"/>
  <c r="M823" i="196"/>
  <c r="M906" i="196"/>
  <c r="M232" i="196"/>
  <c r="M820" i="196"/>
  <c r="M819" i="196"/>
  <c r="M898" i="196"/>
  <c r="M817" i="196"/>
  <c r="M816" i="196"/>
  <c r="M891" i="196"/>
  <c r="M814" i="196"/>
  <c r="M813" i="196"/>
  <c r="M812" i="196"/>
  <c r="M811" i="196"/>
  <c r="M889" i="196"/>
  <c r="M809" i="196"/>
  <c r="M808" i="196"/>
  <c r="M807" i="196"/>
  <c r="M806" i="196"/>
  <c r="M805" i="196"/>
  <c r="M804" i="196"/>
  <c r="M803" i="196"/>
  <c r="M802" i="196"/>
  <c r="M302" i="196"/>
  <c r="M800" i="196"/>
  <c r="M888" i="196"/>
  <c r="M798" i="196"/>
  <c r="M886" i="196"/>
  <c r="M796" i="196"/>
  <c r="M795" i="196"/>
  <c r="M635" i="196"/>
  <c r="M793" i="196"/>
  <c r="M792" i="196"/>
  <c r="M791" i="196"/>
  <c r="M629" i="196"/>
  <c r="M789" i="196"/>
  <c r="M884" i="196"/>
  <c r="M787" i="196"/>
  <c r="M295" i="196"/>
  <c r="M880" i="196"/>
  <c r="M784" i="196"/>
  <c r="M783" i="196"/>
  <c r="M782" i="196"/>
  <c r="M781" i="196"/>
  <c r="M860" i="196"/>
  <c r="M293" i="196"/>
  <c r="M292" i="196"/>
  <c r="M229" i="196"/>
  <c r="M776" i="196"/>
  <c r="M856" i="196"/>
  <c r="M628" i="196"/>
  <c r="M773" i="196"/>
  <c r="M772" i="196"/>
  <c r="M771" i="196"/>
  <c r="M770" i="196"/>
  <c r="M769" i="196"/>
  <c r="M768" i="196"/>
  <c r="M767" i="196"/>
  <c r="M627" i="196"/>
  <c r="M765" i="196"/>
  <c r="M764" i="196"/>
  <c r="M763" i="196"/>
  <c r="M762" i="196"/>
  <c r="M761" i="196"/>
  <c r="M760" i="196"/>
  <c r="M228" i="196"/>
  <c r="M758" i="196"/>
  <c r="M757" i="196"/>
  <c r="M756" i="196"/>
  <c r="M755" i="196"/>
  <c r="M754" i="196"/>
  <c r="M753" i="196"/>
  <c r="M752" i="196"/>
  <c r="M751" i="196"/>
  <c r="M750" i="196"/>
  <c r="M749" i="196"/>
  <c r="M748" i="196"/>
  <c r="M747" i="196"/>
  <c r="M746" i="196"/>
  <c r="M745" i="196"/>
  <c r="M744" i="196"/>
  <c r="M743" i="196"/>
  <c r="M742" i="196"/>
  <c r="M741" i="196"/>
  <c r="M740" i="196"/>
  <c r="M739" i="196"/>
  <c r="M738" i="196"/>
  <c r="M737" i="196"/>
  <c r="M736" i="196"/>
  <c r="M735" i="196"/>
  <c r="M734" i="196"/>
  <c r="M733" i="196"/>
  <c r="M732" i="196"/>
  <c r="M731" i="196"/>
  <c r="M730" i="196"/>
  <c r="M729" i="196"/>
  <c r="M728" i="196"/>
  <c r="M727" i="196"/>
  <c r="M726" i="196"/>
  <c r="M625" i="196"/>
  <c r="M724" i="196"/>
  <c r="M855" i="196"/>
  <c r="M722" i="196"/>
  <c r="M721" i="196"/>
  <c r="M720" i="196"/>
  <c r="M719" i="196"/>
  <c r="M718" i="196"/>
  <c r="M717" i="196"/>
  <c r="M716" i="196"/>
  <c r="M715" i="196"/>
  <c r="M714" i="196"/>
  <c r="M713" i="196"/>
  <c r="M712" i="196"/>
  <c r="M711" i="196"/>
  <c r="M710" i="196"/>
  <c r="M961" i="196"/>
  <c r="M854" i="196"/>
  <c r="M853" i="196"/>
  <c r="M706" i="196"/>
  <c r="M705" i="196"/>
  <c r="M704" i="196"/>
  <c r="M703" i="196"/>
  <c r="M702" i="196"/>
  <c r="M621" i="196"/>
  <c r="M850" i="196"/>
  <c r="M849" i="196"/>
  <c r="M620" i="196"/>
  <c r="M697" i="196"/>
  <c r="M696" i="196"/>
  <c r="M695" i="196"/>
  <c r="M694" i="196"/>
  <c r="M848" i="196"/>
  <c r="M692" i="196"/>
  <c r="M691" i="196"/>
  <c r="M619" i="196"/>
  <c r="M689" i="196"/>
  <c r="M688" i="196"/>
  <c r="M847" i="196"/>
  <c r="M842" i="196"/>
  <c r="M685" i="196"/>
  <c r="M684" i="196"/>
  <c r="M683" i="196"/>
  <c r="M841" i="196"/>
  <c r="M839" i="196"/>
  <c r="M680" i="196"/>
  <c r="M836" i="196"/>
  <c r="M678" i="196"/>
  <c r="M617" i="196"/>
  <c r="M227" i="196"/>
  <c r="M616" i="196"/>
  <c r="M226" i="196"/>
  <c r="M822" i="196"/>
  <c r="M672" i="196"/>
  <c r="M671" i="196"/>
  <c r="M670" i="196"/>
  <c r="M669" i="196"/>
  <c r="M668" i="196"/>
  <c r="M667" i="196"/>
  <c r="M666" i="196"/>
  <c r="M615" i="196"/>
  <c r="M187" i="196"/>
  <c r="M821" i="196"/>
  <c r="M662" i="196"/>
  <c r="M661" i="196"/>
  <c r="M660" i="196"/>
  <c r="M659" i="196"/>
  <c r="M614" i="196"/>
  <c r="M657" i="196"/>
  <c r="M818" i="196"/>
  <c r="M186" i="196"/>
  <c r="M654" i="196"/>
  <c r="M653" i="196"/>
  <c r="M652" i="196"/>
  <c r="M815" i="196"/>
  <c r="M600" i="196"/>
  <c r="M649" i="196"/>
  <c r="M648" i="196"/>
  <c r="M647" i="196"/>
  <c r="M225" i="196"/>
  <c r="M645" i="196"/>
  <c r="M644" i="196"/>
  <c r="M643" i="196"/>
  <c r="M642" i="196"/>
  <c r="M641" i="196"/>
  <c r="M640" i="196"/>
  <c r="M639" i="196"/>
  <c r="M638" i="196"/>
  <c r="M637" i="196"/>
  <c r="M101" i="196"/>
  <c r="M810" i="196"/>
  <c r="M634" i="196"/>
  <c r="M633" i="196"/>
  <c r="M632" i="196"/>
  <c r="M631" i="196"/>
  <c r="M630" i="196"/>
  <c r="M597" i="196"/>
  <c r="M291" i="196"/>
  <c r="M594" i="196"/>
  <c r="M626" i="196"/>
  <c r="M170" i="196"/>
  <c r="M624" i="196"/>
  <c r="M623" i="196"/>
  <c r="M622" i="196"/>
  <c r="M121" i="196"/>
  <c r="M99" i="196"/>
  <c r="M95" i="196"/>
  <c r="M618" i="196"/>
  <c r="M109" i="196"/>
  <c r="M290" i="196"/>
  <c r="M801" i="196"/>
  <c r="M182" i="196"/>
  <c r="M613" i="196"/>
  <c r="M612" i="196"/>
  <c r="M611" i="196"/>
  <c r="M610" i="196"/>
  <c r="M609" i="196"/>
  <c r="M608" i="196"/>
  <c r="M607" i="196"/>
  <c r="M606" i="196"/>
  <c r="M605" i="196"/>
  <c r="M604" i="196"/>
  <c r="M603" i="196"/>
  <c r="M602" i="196"/>
  <c r="M601" i="196"/>
  <c r="M28" i="196"/>
  <c r="M599" i="196"/>
  <c r="M598" i="196"/>
  <c r="M89" i="196"/>
  <c r="M596" i="196"/>
  <c r="M595" i="196"/>
  <c r="M88" i="196"/>
  <c r="M593" i="196"/>
  <c r="M592" i="196"/>
  <c r="M289" i="196"/>
  <c r="M591" i="196"/>
  <c r="M128" i="196"/>
  <c r="M153" i="196"/>
  <c r="M587" i="196"/>
  <c r="M152" i="196"/>
  <c r="M585" i="196"/>
  <c r="M584" i="196"/>
  <c r="M583" i="196"/>
  <c r="M582" i="196"/>
  <c r="M581" i="196"/>
  <c r="M580" i="196"/>
  <c r="M579" i="196"/>
  <c r="M578" i="196"/>
  <c r="M577" i="196"/>
  <c r="M576" i="196"/>
  <c r="M575" i="196"/>
  <c r="M574" i="196"/>
  <c r="M573" i="196"/>
  <c r="M572" i="196"/>
  <c r="M571" i="196"/>
  <c r="M570" i="196"/>
  <c r="M569" i="196"/>
  <c r="M568" i="196"/>
  <c r="M799" i="196"/>
  <c r="M566" i="196"/>
  <c r="M565" i="196"/>
  <c r="M564" i="196"/>
  <c r="M563" i="196"/>
  <c r="M562" i="196"/>
  <c r="M561" i="196"/>
  <c r="M87" i="196"/>
  <c r="M559" i="196"/>
  <c r="M558" i="196"/>
  <c r="M557" i="196"/>
  <c r="M556" i="196"/>
  <c r="M555" i="196"/>
  <c r="M554" i="196"/>
  <c r="M553" i="196"/>
  <c r="M552" i="196"/>
  <c r="M551" i="196"/>
  <c r="M797" i="196"/>
  <c r="M549" i="196"/>
  <c r="M794" i="196"/>
  <c r="M547" i="196"/>
  <c r="M546" i="196"/>
  <c r="M545" i="196"/>
  <c r="M544" i="196"/>
  <c r="M543" i="196"/>
  <c r="M542" i="196"/>
  <c r="M790" i="196"/>
  <c r="M151" i="196"/>
  <c r="M169" i="196"/>
  <c r="M538" i="196"/>
  <c r="M537" i="196"/>
  <c r="M536" i="196"/>
  <c r="M535" i="196"/>
  <c r="M534" i="196"/>
  <c r="M533" i="196"/>
  <c r="M532" i="196"/>
  <c r="M531" i="196"/>
  <c r="M530" i="196"/>
  <c r="M529" i="196"/>
  <c r="M528" i="196"/>
  <c r="M527" i="196"/>
  <c r="M526" i="196"/>
  <c r="M525" i="196"/>
  <c r="M524" i="196"/>
  <c r="M523" i="196"/>
  <c r="M522" i="196"/>
  <c r="M521" i="196"/>
  <c r="M520" i="196"/>
  <c r="M519" i="196"/>
  <c r="M518" i="196"/>
  <c r="M517" i="196"/>
  <c r="M516" i="196"/>
  <c r="M515" i="196"/>
  <c r="M514" i="196"/>
  <c r="M513" i="196"/>
  <c r="M512" i="196"/>
  <c r="M511" i="196"/>
  <c r="M510" i="196"/>
  <c r="M509" i="196"/>
  <c r="M508" i="196"/>
  <c r="M507" i="196"/>
  <c r="M506" i="196"/>
  <c r="M505" i="196"/>
  <c r="M504" i="196"/>
  <c r="M503" i="196"/>
  <c r="M502" i="196"/>
  <c r="M501" i="196"/>
  <c r="M500" i="196"/>
  <c r="M499" i="196"/>
  <c r="M498" i="196"/>
  <c r="M497" i="196"/>
  <c r="M496" i="196"/>
  <c r="M495" i="196"/>
  <c r="M288" i="196"/>
  <c r="M493" i="196"/>
  <c r="M492" i="196"/>
  <c r="M491" i="196"/>
  <c r="M490" i="196"/>
  <c r="M489" i="196"/>
  <c r="M488" i="196"/>
  <c r="M487" i="196"/>
  <c r="M486" i="196"/>
  <c r="M485" i="196"/>
  <c r="M484" i="196"/>
  <c r="M483" i="196"/>
  <c r="M482" i="196"/>
  <c r="M481" i="196"/>
  <c r="M480" i="196"/>
  <c r="M479" i="196"/>
  <c r="M478" i="196"/>
  <c r="M477" i="196"/>
  <c r="M476" i="196"/>
  <c r="M475" i="196"/>
  <c r="M474" i="196"/>
  <c r="M473" i="196"/>
  <c r="M472" i="196"/>
  <c r="M471" i="196"/>
  <c r="M470" i="196"/>
  <c r="M469" i="196"/>
  <c r="M468" i="196"/>
  <c r="M467" i="196"/>
  <c r="M466" i="196"/>
  <c r="M465" i="196"/>
  <c r="M464" i="196"/>
  <c r="M463" i="196"/>
  <c r="M462" i="196"/>
  <c r="M461" i="196"/>
  <c r="M460" i="196"/>
  <c r="M459" i="196"/>
  <c r="M458" i="196"/>
  <c r="M457" i="196"/>
  <c r="M456" i="196"/>
  <c r="M455" i="196"/>
  <c r="M454" i="196"/>
  <c r="M453" i="196"/>
  <c r="M452" i="196"/>
  <c r="M451" i="196"/>
  <c r="M450" i="196"/>
  <c r="M449" i="196"/>
  <c r="M448" i="196"/>
  <c r="M447" i="196"/>
  <c r="M446" i="196"/>
  <c r="M445" i="196"/>
  <c r="M444" i="196"/>
  <c r="M443" i="196"/>
  <c r="M442" i="196"/>
  <c r="M441" i="196"/>
  <c r="M440" i="196"/>
  <c r="M439" i="196"/>
  <c r="M438" i="196"/>
  <c r="M437" i="196"/>
  <c r="M436" i="196"/>
  <c r="M435" i="196"/>
  <c r="M434" i="196"/>
  <c r="M433" i="196"/>
  <c r="M432" i="196"/>
  <c r="M431" i="196"/>
  <c r="M430" i="196"/>
  <c r="M429" i="196"/>
  <c r="M428" i="196"/>
  <c r="M427" i="196"/>
  <c r="M426" i="196"/>
  <c r="M590" i="196"/>
  <c r="M424" i="196"/>
  <c r="M163" i="196"/>
  <c r="M422" i="196"/>
  <c r="M788" i="196"/>
  <c r="M420" i="196"/>
  <c r="M419" i="196"/>
  <c r="M418" i="196"/>
  <c r="M417" i="196"/>
  <c r="M416" i="196"/>
  <c r="M415" i="196"/>
  <c r="M414" i="196"/>
  <c r="M413" i="196"/>
  <c r="M412" i="196"/>
  <c r="M411" i="196"/>
  <c r="M410" i="196"/>
  <c r="M409" i="196"/>
  <c r="M589" i="196"/>
  <c r="M406" i="196"/>
  <c r="M786" i="196"/>
  <c r="M404" i="196"/>
  <c r="M588" i="196"/>
  <c r="M402" i="196"/>
  <c r="M401" i="196"/>
  <c r="M400" i="196"/>
  <c r="M586" i="196"/>
  <c r="M785" i="196"/>
  <c r="M397" i="196"/>
  <c r="M396" i="196"/>
  <c r="M395" i="196"/>
  <c r="M394" i="196"/>
  <c r="M393" i="196"/>
  <c r="M392" i="196"/>
  <c r="M391" i="196"/>
  <c r="M390" i="196"/>
  <c r="M389" i="196"/>
  <c r="M388" i="196"/>
  <c r="M387" i="196"/>
  <c r="M386" i="196"/>
  <c r="M385" i="196"/>
  <c r="M384" i="196"/>
  <c r="M383" i="196"/>
  <c r="M382" i="196"/>
  <c r="M780" i="196"/>
  <c r="M84" i="196"/>
  <c r="M379" i="196"/>
  <c r="M378" i="196"/>
  <c r="M377" i="196"/>
  <c r="M376" i="196"/>
  <c r="M375" i="196"/>
  <c r="M374" i="196"/>
  <c r="M373" i="196"/>
  <c r="M372" i="196"/>
  <c r="M371" i="196"/>
  <c r="M370" i="196"/>
  <c r="M369" i="196"/>
  <c r="M368" i="196"/>
  <c r="M367" i="196"/>
  <c r="M366" i="196"/>
  <c r="M365" i="196"/>
  <c r="M364" i="196"/>
  <c r="M363" i="196"/>
  <c r="M362" i="196"/>
  <c r="M361" i="196"/>
  <c r="M360" i="196"/>
  <c r="M359" i="196"/>
  <c r="M358" i="196"/>
  <c r="M357" i="196"/>
  <c r="M356" i="196"/>
  <c r="M355" i="196"/>
  <c r="M354" i="196"/>
  <c r="M353" i="196"/>
  <c r="M352" i="196"/>
  <c r="M351" i="196"/>
  <c r="M350" i="196"/>
  <c r="M349" i="196"/>
  <c r="M348" i="196"/>
  <c r="M347" i="196"/>
  <c r="M346" i="196"/>
  <c r="M345" i="196"/>
  <c r="M344" i="196"/>
  <c r="M285" i="196"/>
  <c r="M342" i="196"/>
  <c r="M127" i="196"/>
  <c r="M340" i="196"/>
  <c r="M339" i="196"/>
  <c r="M338" i="196"/>
  <c r="M337" i="196"/>
  <c r="M336" i="196"/>
  <c r="M335" i="196"/>
  <c r="M334" i="196"/>
  <c r="M333" i="196"/>
  <c r="M332" i="196"/>
  <c r="M331" i="196"/>
  <c r="M330" i="196"/>
  <c r="M329" i="196"/>
  <c r="M328" i="196"/>
  <c r="M327" i="196"/>
  <c r="M326" i="196"/>
  <c r="M325" i="196"/>
  <c r="M324" i="196"/>
  <c r="M323" i="196"/>
  <c r="M218" i="196"/>
  <c r="M567" i="196"/>
  <c r="M320" i="196"/>
  <c r="M168" i="196"/>
  <c r="M83" i="196"/>
  <c r="M317" i="196"/>
  <c r="M316" i="196"/>
  <c r="M315" i="196"/>
  <c r="M314" i="196"/>
  <c r="M313" i="196"/>
  <c r="M312" i="196"/>
  <c r="M311" i="196"/>
  <c r="M310" i="196"/>
  <c r="M309" i="196"/>
  <c r="M308" i="196"/>
  <c r="M307" i="196"/>
  <c r="M306" i="196"/>
  <c r="M305" i="196"/>
  <c r="M304" i="196"/>
  <c r="M217" i="196"/>
  <c r="M3" i="196"/>
  <c r="M301" i="196"/>
  <c r="M300" i="196"/>
  <c r="M299" i="196"/>
  <c r="M298" i="196"/>
  <c r="M297" i="196"/>
  <c r="M296" i="196"/>
  <c r="M779" i="196"/>
  <c r="M294" i="196"/>
  <c r="M82" i="196"/>
  <c r="M147" i="196"/>
  <c r="M120" i="196"/>
  <c r="M283" i="196"/>
  <c r="M79" i="196"/>
  <c r="M167" i="196"/>
  <c r="M287" i="196"/>
  <c r="M286" i="196"/>
  <c r="M78" i="196"/>
  <c r="M284" i="196"/>
  <c r="M276" i="196"/>
  <c r="M282" i="196"/>
  <c r="M281" i="196"/>
  <c r="M280" i="196"/>
  <c r="M279" i="196"/>
  <c r="M278" i="196"/>
  <c r="M277" i="196"/>
  <c r="M778" i="196"/>
  <c r="M275" i="196"/>
  <c r="M274" i="196"/>
  <c r="M12" i="196"/>
  <c r="M65" i="196"/>
  <c r="M273" i="196"/>
  <c r="M137" i="196"/>
  <c r="M216" i="196"/>
  <c r="M215" i="196"/>
  <c r="M560" i="196"/>
  <c r="M266" i="196"/>
  <c r="M265" i="196"/>
  <c r="M264" i="196"/>
  <c r="M263" i="196"/>
  <c r="M262" i="196"/>
  <c r="M261" i="196"/>
  <c r="M260" i="196"/>
  <c r="M259" i="196"/>
  <c r="M777" i="196"/>
  <c r="M257" i="196"/>
  <c r="M256" i="196"/>
  <c r="M255" i="196"/>
  <c r="M254" i="196"/>
  <c r="M119" i="196"/>
  <c r="M108" i="196"/>
  <c r="M251" i="196"/>
  <c r="M250" i="196"/>
  <c r="M249" i="196"/>
  <c r="M550" i="196"/>
  <c r="M214" i="196"/>
  <c r="M775" i="196"/>
  <c r="M548" i="196"/>
  <c r="M244" i="196"/>
  <c r="M212" i="196"/>
  <c r="M209" i="196"/>
  <c r="M241" i="196"/>
  <c r="M240" i="196"/>
  <c r="M239" i="196"/>
  <c r="M238" i="196"/>
  <c r="M774" i="196"/>
  <c r="M766" i="196"/>
  <c r="M64" i="196"/>
  <c r="M234" i="196"/>
  <c r="M63" i="196"/>
  <c r="M181" i="196"/>
  <c r="M231" i="196"/>
  <c r="M230" i="196"/>
  <c r="M541" i="196"/>
  <c r="M208" i="196"/>
  <c r="M759" i="196"/>
  <c r="M540" i="196"/>
  <c r="M126" i="196"/>
  <c r="M224" i="196"/>
  <c r="M223" i="196"/>
  <c r="M222" i="196"/>
  <c r="M221" i="196"/>
  <c r="M220" i="196"/>
  <c r="M219" i="196"/>
  <c r="M272" i="196"/>
  <c r="M271" i="196"/>
  <c r="M539" i="196"/>
  <c r="M725" i="196"/>
  <c r="M494" i="196"/>
  <c r="M213" i="196"/>
  <c r="M723" i="196"/>
  <c r="M211" i="196"/>
  <c r="M210" i="196"/>
  <c r="M158" i="196"/>
  <c r="M179" i="196"/>
  <c r="M270" i="196"/>
  <c r="M206" i="196"/>
  <c r="M205" i="196"/>
  <c r="M204" i="196"/>
  <c r="M203" i="196"/>
  <c r="M202" i="196"/>
  <c r="M201" i="196"/>
  <c r="M200" i="196"/>
  <c r="M199" i="196"/>
  <c r="M198" i="196"/>
  <c r="M178" i="196"/>
  <c r="M269" i="196"/>
  <c r="M157" i="196"/>
  <c r="M103" i="196"/>
  <c r="M135" i="196"/>
  <c r="M177" i="196"/>
  <c r="M191" i="196"/>
  <c r="M709" i="196"/>
  <c r="M189" i="196"/>
  <c r="M188" i="196"/>
  <c r="M146" i="196"/>
  <c r="M125" i="196"/>
  <c r="M185" i="196"/>
  <c r="M184" i="196"/>
  <c r="M183" i="196"/>
  <c r="M166" i="196"/>
  <c r="M124" i="196"/>
  <c r="M180" i="196"/>
  <c r="M425" i="196"/>
  <c r="M176" i="196"/>
  <c r="M145" i="196"/>
  <c r="M102" i="196"/>
  <c r="M62" i="196"/>
  <c r="M423" i="196"/>
  <c r="M173" i="196"/>
  <c r="M708" i="196"/>
  <c r="M171" i="196"/>
  <c r="M207" i="196"/>
  <c r="M44" i="196"/>
  <c r="M197" i="196"/>
  <c r="M707" i="196"/>
  <c r="M421" i="196"/>
  <c r="M42" i="196"/>
  <c r="M24" i="196"/>
  <c r="M156" i="196"/>
  <c r="M162" i="196"/>
  <c r="M161" i="196"/>
  <c r="M160" i="196"/>
  <c r="M159" i="196"/>
  <c r="M139" i="196"/>
  <c r="M115" i="196"/>
  <c r="M196" i="196"/>
  <c r="M407" i="196"/>
  <c r="M154" i="196"/>
  <c r="M701" i="196"/>
  <c r="M268" i="196"/>
  <c r="M267" i="196"/>
  <c r="M150" i="196"/>
  <c r="M149" i="196"/>
  <c r="M148" i="196"/>
  <c r="M700" i="196"/>
  <c r="M39" i="196"/>
  <c r="M195" i="196"/>
  <c r="M144" i="196"/>
  <c r="M143" i="196"/>
  <c r="M142" i="196"/>
  <c r="M141" i="196"/>
  <c r="M140" i="196"/>
  <c r="M38" i="196"/>
  <c r="M123" i="196"/>
  <c r="M165" i="196"/>
  <c r="M136" i="196"/>
  <c r="M699" i="196"/>
  <c r="M134" i="196"/>
  <c r="M133" i="196"/>
  <c r="M132" i="196"/>
  <c r="M131" i="196"/>
  <c r="M130" i="196"/>
  <c r="M129" i="196"/>
  <c r="M19" i="196"/>
  <c r="M698" i="196"/>
  <c r="M122" i="196"/>
  <c r="M30" i="196"/>
  <c r="M18" i="196"/>
  <c r="M16" i="196"/>
  <c r="M5" i="196"/>
  <c r="M15" i="196"/>
  <c r="M11" i="196"/>
  <c r="M405" i="196"/>
  <c r="M118" i="196"/>
  <c r="M117" i="196"/>
  <c r="M116" i="196"/>
  <c r="M693" i="196"/>
  <c r="M114" i="196"/>
  <c r="M113" i="196"/>
  <c r="M112" i="196"/>
  <c r="M111" i="196"/>
  <c r="M690" i="196"/>
  <c r="M258" i="196"/>
  <c r="M403" i="196"/>
  <c r="M107" i="196"/>
  <c r="M106" i="196"/>
  <c r="M105" i="196"/>
  <c r="M104" i="196"/>
  <c r="M687" i="196"/>
  <c r="M686" i="196"/>
  <c r="M399" i="196"/>
  <c r="M100" i="196"/>
  <c r="M682" i="196"/>
  <c r="M98" i="196"/>
  <c r="M97" i="196"/>
  <c r="M96" i="196"/>
  <c r="M681" i="196"/>
  <c r="M94" i="196"/>
  <c r="M93" i="196"/>
  <c r="M92" i="196"/>
  <c r="M91" i="196"/>
  <c r="M90" i="196"/>
  <c r="M194" i="196"/>
  <c r="M398" i="196"/>
  <c r="M253" i="196"/>
  <c r="M86" i="196"/>
  <c r="M85" i="196"/>
  <c r="M679" i="196"/>
  <c r="M677" i="196"/>
  <c r="M381" i="196"/>
  <c r="M81" i="196"/>
  <c r="M80" i="196"/>
  <c r="M676" i="196"/>
  <c r="M252" i="196"/>
  <c r="M77" i="196"/>
  <c r="M76" i="196"/>
  <c r="M75" i="196"/>
  <c r="M74" i="196"/>
  <c r="M73" i="196"/>
  <c r="M72" i="196"/>
  <c r="M71" i="196"/>
  <c r="M70" i="196"/>
  <c r="M69" i="196"/>
  <c r="M68" i="196"/>
  <c r="M67" i="196"/>
  <c r="M66" i="196"/>
  <c r="M675" i="196"/>
  <c r="M674" i="196"/>
  <c r="M110" i="196"/>
  <c r="M29" i="196"/>
  <c r="M61" i="196"/>
  <c r="M60" i="196"/>
  <c r="M59" i="196"/>
  <c r="M58" i="196"/>
  <c r="M57" i="196"/>
  <c r="M56" i="196"/>
  <c r="M55" i="196"/>
  <c r="M54" i="196"/>
  <c r="M53" i="196"/>
  <c r="M52" i="196"/>
  <c r="M51" i="196"/>
  <c r="M50" i="196"/>
  <c r="M49" i="196"/>
  <c r="M48" i="196"/>
  <c r="M47" i="196"/>
  <c r="M46" i="196"/>
  <c r="M45" i="196"/>
  <c r="M248" i="196"/>
  <c r="M43" i="196"/>
  <c r="M380" i="196"/>
  <c r="M41" i="196"/>
  <c r="M40" i="196"/>
  <c r="M193" i="196"/>
  <c r="M673" i="196"/>
  <c r="M37" i="196"/>
  <c r="M36" i="196"/>
  <c r="M35" i="196"/>
  <c r="M34" i="196"/>
  <c r="M33" i="196"/>
  <c r="M32" i="196"/>
  <c r="M31" i="196"/>
  <c r="M665" i="196"/>
  <c r="M343" i="196"/>
  <c r="M192" i="196"/>
  <c r="M27" i="196"/>
  <c r="M26" i="196"/>
  <c r="M25" i="196"/>
  <c r="M175" i="196"/>
  <c r="M23" i="196"/>
  <c r="M22" i="196"/>
  <c r="M21" i="196"/>
  <c r="M20" i="196"/>
  <c r="M138" i="196"/>
  <c r="M155" i="196"/>
  <c r="M17" i="196"/>
  <c r="M247" i="196"/>
  <c r="M164" i="196"/>
  <c r="M246" i="196"/>
  <c r="M13" i="196"/>
  <c r="M664" i="196"/>
  <c r="M174" i="196"/>
  <c r="M10" i="196"/>
  <c r="M9" i="196"/>
  <c r="M8" i="196"/>
  <c r="M7" i="196"/>
  <c r="M6" i="196"/>
  <c r="M172" i="196"/>
  <c r="M4" i="196"/>
  <c r="M14" i="196"/>
  <c r="M2" i="196"/>
  <c r="M408" i="196"/>
  <c r="R2" i="196" l="1"/>
  <c r="Y2" i="196" s="1"/>
  <c r="R14" i="196"/>
  <c r="Y14" i="196" s="1"/>
  <c r="R4" i="196"/>
  <c r="Y4" i="196" s="1"/>
  <c r="R172" i="196"/>
  <c r="Y172" i="196" s="1"/>
  <c r="R6" i="196"/>
  <c r="Y6" i="196" s="1"/>
  <c r="R7" i="196"/>
  <c r="Y7" i="196" s="1"/>
  <c r="R8" i="196"/>
  <c r="Y8" i="196" s="1"/>
  <c r="R9" i="196"/>
  <c r="Y9" i="196" s="1"/>
  <c r="R10" i="196"/>
  <c r="Y10" i="196" s="1"/>
  <c r="R174" i="196"/>
  <c r="Y174" i="196" s="1"/>
  <c r="R664" i="196"/>
  <c r="Y664" i="196" s="1"/>
  <c r="R13" i="196"/>
  <c r="Y13" i="196" s="1"/>
  <c r="R246" i="196"/>
  <c r="Y246" i="196" s="1"/>
  <c r="R164" i="196"/>
  <c r="Y164" i="196" s="1"/>
  <c r="R247" i="196"/>
  <c r="Y247" i="196" s="1"/>
  <c r="R17" i="196"/>
  <c r="Y17" i="196" s="1"/>
  <c r="R155" i="196"/>
  <c r="Y155" i="196" s="1"/>
  <c r="R138" i="196"/>
  <c r="Y138" i="196" s="1"/>
  <c r="R20" i="196"/>
  <c r="Y20" i="196" s="1"/>
  <c r="R21" i="196"/>
  <c r="Y21" i="196" s="1"/>
  <c r="R22" i="196"/>
  <c r="Y22" i="196" s="1"/>
  <c r="R23" i="196"/>
  <c r="Y23" i="196" s="1"/>
  <c r="R175" i="196"/>
  <c r="Y175" i="196" s="1"/>
  <c r="R25" i="196"/>
  <c r="Y25" i="196" s="1"/>
  <c r="R26" i="196"/>
  <c r="Y26" i="196" s="1"/>
  <c r="R27" i="196"/>
  <c r="Y27" i="196" s="1"/>
  <c r="R192" i="196"/>
  <c r="Y192" i="196" s="1"/>
  <c r="R343" i="196"/>
  <c r="Y343" i="196" s="1"/>
  <c r="R665" i="196"/>
  <c r="Y665" i="196" s="1"/>
  <c r="R31" i="196"/>
  <c r="Y31" i="196" s="1"/>
  <c r="R32" i="196"/>
  <c r="Y32" i="196" s="1"/>
  <c r="R33" i="196"/>
  <c r="Y33" i="196" s="1"/>
  <c r="R34" i="196"/>
  <c r="Y34" i="196" s="1"/>
  <c r="R35" i="196"/>
  <c r="Y35" i="196" s="1"/>
  <c r="R36" i="196"/>
  <c r="Y36" i="196" s="1"/>
  <c r="R37" i="196"/>
  <c r="Y37" i="196" s="1"/>
  <c r="R673" i="196"/>
  <c r="Y673" i="196" s="1"/>
  <c r="R193" i="196"/>
  <c r="Y193" i="196" s="1"/>
  <c r="R40" i="196"/>
  <c r="Y40" i="196" s="1"/>
  <c r="R41" i="196"/>
  <c r="Y41" i="196" s="1"/>
  <c r="R380" i="196"/>
  <c r="Y380" i="196" s="1"/>
  <c r="R43" i="196"/>
  <c r="Y43" i="196" s="1"/>
  <c r="R248" i="196"/>
  <c r="Y248" i="196" s="1"/>
  <c r="R45" i="196"/>
  <c r="Y45" i="196" s="1"/>
  <c r="R46" i="196"/>
  <c r="Y46" i="196" s="1"/>
  <c r="R47" i="196"/>
  <c r="Y47" i="196" s="1"/>
  <c r="R48" i="196"/>
  <c r="Y48" i="196" s="1"/>
  <c r="R49" i="196"/>
  <c r="Y49" i="196" s="1"/>
  <c r="R50" i="196"/>
  <c r="Y50" i="196" s="1"/>
  <c r="R51" i="196"/>
  <c r="Y51" i="196" s="1"/>
  <c r="R52" i="196"/>
  <c r="Y52" i="196" s="1"/>
  <c r="R53" i="196"/>
  <c r="Y53" i="196" s="1"/>
  <c r="R54" i="196"/>
  <c r="Y54" i="196" s="1"/>
  <c r="R55" i="196"/>
  <c r="Y55" i="196" s="1"/>
  <c r="R56" i="196"/>
  <c r="Y56" i="196" s="1"/>
  <c r="R57" i="196"/>
  <c r="Y57" i="196" s="1"/>
  <c r="R58" i="196"/>
  <c r="Y58" i="196" s="1"/>
  <c r="R59" i="196"/>
  <c r="Y59" i="196" s="1"/>
  <c r="R60" i="196"/>
  <c r="Y60" i="196" s="1"/>
  <c r="R61" i="196"/>
  <c r="Y61" i="196" s="1"/>
  <c r="R29" i="196"/>
  <c r="Y29" i="196" s="1"/>
  <c r="R110" i="196"/>
  <c r="Y110" i="196" s="1"/>
  <c r="R674" i="196"/>
  <c r="Y674" i="196" s="1"/>
  <c r="R675" i="196"/>
  <c r="Y675" i="196" s="1"/>
  <c r="R66" i="196"/>
  <c r="Y66" i="196" s="1"/>
  <c r="R67" i="196"/>
  <c r="Y67" i="196" s="1"/>
  <c r="R68" i="196"/>
  <c r="Y68" i="196" s="1"/>
  <c r="R69" i="196"/>
  <c r="Y69" i="196" s="1"/>
  <c r="R70" i="196"/>
  <c r="Y70" i="196" s="1"/>
  <c r="R71" i="196"/>
  <c r="Y71" i="196" s="1"/>
  <c r="R72" i="196"/>
  <c r="Y72" i="196" s="1"/>
  <c r="R73" i="196"/>
  <c r="Y73" i="196" s="1"/>
  <c r="R74" i="196"/>
  <c r="Y74" i="196" s="1"/>
  <c r="R75" i="196"/>
  <c r="Y75" i="196" s="1"/>
  <c r="R76" i="196"/>
  <c r="Y76" i="196" s="1"/>
  <c r="R77" i="196"/>
  <c r="Y77" i="196" s="1"/>
  <c r="R252" i="196"/>
  <c r="Y252" i="196" s="1"/>
  <c r="R676" i="196"/>
  <c r="Y676" i="196" s="1"/>
  <c r="R80" i="196"/>
  <c r="Y80" i="196" s="1"/>
  <c r="R81" i="196"/>
  <c r="Y81" i="196" s="1"/>
  <c r="R381" i="196"/>
  <c r="Y381" i="196" s="1"/>
  <c r="R677" i="196"/>
  <c r="Y677" i="196" s="1"/>
  <c r="R679" i="196"/>
  <c r="Y679" i="196" s="1"/>
  <c r="R85" i="196"/>
  <c r="Y85" i="196" s="1"/>
  <c r="R86" i="196"/>
  <c r="Y86" i="196" s="1"/>
  <c r="R253" i="196"/>
  <c r="Y253" i="196" s="1"/>
  <c r="R398" i="196"/>
  <c r="Y398" i="196" s="1"/>
  <c r="R194" i="196"/>
  <c r="Y194" i="196" s="1"/>
  <c r="R90" i="196"/>
  <c r="Y90" i="196" s="1"/>
  <c r="R91" i="196"/>
  <c r="Y91" i="196" s="1"/>
  <c r="R92" i="196"/>
  <c r="Y92" i="196" s="1"/>
  <c r="R93" i="196"/>
  <c r="Y93" i="196" s="1"/>
  <c r="R94" i="196"/>
  <c r="Y94" i="196" s="1"/>
  <c r="R681" i="196"/>
  <c r="Y681" i="196" s="1"/>
  <c r="R96" i="196"/>
  <c r="Y96" i="196" s="1"/>
  <c r="R97" i="196"/>
  <c r="Y97" i="196" s="1"/>
  <c r="R98" i="196"/>
  <c r="Y98" i="196" s="1"/>
  <c r="R682" i="196"/>
  <c r="Y682" i="196" s="1"/>
  <c r="R100" i="196"/>
  <c r="Y100" i="196" s="1"/>
  <c r="R399" i="196"/>
  <c r="Y399" i="196" s="1"/>
  <c r="R686" i="196"/>
  <c r="Y686" i="196" s="1"/>
  <c r="R687" i="196"/>
  <c r="Y687" i="196" s="1"/>
  <c r="R104" i="196"/>
  <c r="Y104" i="196" s="1"/>
  <c r="R105" i="196"/>
  <c r="Y105" i="196" s="1"/>
  <c r="R106" i="196"/>
  <c r="Y106" i="196" s="1"/>
  <c r="R107" i="196"/>
  <c r="Y107" i="196" s="1"/>
  <c r="R403" i="196"/>
  <c r="Y403" i="196" s="1"/>
  <c r="R258" i="196"/>
  <c r="Y258" i="196" s="1"/>
  <c r="R690" i="196"/>
  <c r="Y690" i="196" s="1"/>
  <c r="R111" i="196"/>
  <c r="Y111" i="196" s="1"/>
  <c r="R112" i="196"/>
  <c r="Y112" i="196" s="1"/>
  <c r="R113" i="196"/>
  <c r="Y113" i="196" s="1"/>
  <c r="R114" i="196"/>
  <c r="Y114" i="196" s="1"/>
  <c r="R693" i="196"/>
  <c r="Y693" i="196" s="1"/>
  <c r="R116" i="196"/>
  <c r="Y116" i="196" s="1"/>
  <c r="R117" i="196"/>
  <c r="Y117" i="196" s="1"/>
  <c r="R118" i="196"/>
  <c r="Y118" i="196" s="1"/>
  <c r="R405" i="196"/>
  <c r="Y405" i="196" s="1"/>
  <c r="R11" i="196"/>
  <c r="Y11" i="196" s="1"/>
  <c r="R15" i="196"/>
  <c r="Y15" i="196" s="1"/>
  <c r="R5" i="196"/>
  <c r="Y5" i="196" s="1"/>
  <c r="R16" i="196"/>
  <c r="Y16" i="196" s="1"/>
  <c r="R18" i="196"/>
  <c r="Y18" i="196" s="1"/>
  <c r="R30" i="196"/>
  <c r="Y30" i="196" s="1"/>
  <c r="R122" i="196"/>
  <c r="Y122" i="196" s="1"/>
  <c r="R698" i="196"/>
  <c r="Y698" i="196" s="1"/>
  <c r="R19" i="196"/>
  <c r="Y19" i="196" s="1"/>
  <c r="R129" i="196"/>
  <c r="Y129" i="196" s="1"/>
  <c r="R130" i="196"/>
  <c r="Y130" i="196" s="1"/>
  <c r="R131" i="196"/>
  <c r="Y131" i="196" s="1"/>
  <c r="R132" i="196"/>
  <c r="Y132" i="196" s="1"/>
  <c r="R133" i="196"/>
  <c r="Y133" i="196" s="1"/>
  <c r="R134" i="196"/>
  <c r="Y134" i="196" s="1"/>
  <c r="R699" i="196"/>
  <c r="Y699" i="196" s="1"/>
  <c r="R136" i="196"/>
  <c r="Y136" i="196" s="1"/>
  <c r="R165" i="196"/>
  <c r="Y165" i="196" s="1"/>
  <c r="R123" i="196"/>
  <c r="Y123" i="196" s="1"/>
  <c r="R38" i="196"/>
  <c r="Y38" i="196" s="1"/>
  <c r="R140" i="196"/>
  <c r="Y140" i="196" s="1"/>
  <c r="R141" i="196"/>
  <c r="Y141" i="196" s="1"/>
  <c r="R142" i="196"/>
  <c r="Y142" i="196" s="1"/>
  <c r="R143" i="196"/>
  <c r="Y143" i="196" s="1"/>
  <c r="R144" i="196"/>
  <c r="Y144" i="196" s="1"/>
  <c r="R195" i="196"/>
  <c r="Y195" i="196" s="1"/>
  <c r="R39" i="196"/>
  <c r="Y39" i="196" s="1"/>
  <c r="R700" i="196"/>
  <c r="Y700" i="196" s="1"/>
  <c r="R148" i="196"/>
  <c r="Y148" i="196" s="1"/>
  <c r="R149" i="196"/>
  <c r="Y149" i="196" s="1"/>
  <c r="R150" i="196"/>
  <c r="Y150" i="196" s="1"/>
  <c r="R267" i="196"/>
  <c r="Y267" i="196" s="1"/>
  <c r="R268" i="196"/>
  <c r="Y268" i="196" s="1"/>
  <c r="R701" i="196"/>
  <c r="Y701" i="196" s="1"/>
  <c r="R154" i="196"/>
  <c r="Y154" i="196" s="1"/>
  <c r="R407" i="196"/>
  <c r="Y407" i="196" s="1"/>
  <c r="R196" i="196"/>
  <c r="Y196" i="196" s="1"/>
  <c r="R115" i="196"/>
  <c r="Y115" i="196" s="1"/>
  <c r="R139" i="196"/>
  <c r="Y139" i="196" s="1"/>
  <c r="R159" i="196"/>
  <c r="Y159" i="196" s="1"/>
  <c r="R160" i="196"/>
  <c r="Y160" i="196" s="1"/>
  <c r="R161" i="196"/>
  <c r="Y161" i="196" s="1"/>
  <c r="R162" i="196"/>
  <c r="Y162" i="196" s="1"/>
  <c r="R156" i="196"/>
  <c r="Y156" i="196" s="1"/>
  <c r="R24" i="196"/>
  <c r="Y24" i="196" s="1"/>
  <c r="R42" i="196"/>
  <c r="Y42" i="196" s="1"/>
  <c r="R421" i="196"/>
  <c r="Y421" i="196" s="1"/>
  <c r="R707" i="196"/>
  <c r="Y707" i="196" s="1"/>
  <c r="R197" i="196"/>
  <c r="Y197" i="196" s="1"/>
  <c r="R44" i="196"/>
  <c r="Y44" i="196" s="1"/>
  <c r="R207" i="196"/>
  <c r="Y207" i="196" s="1"/>
  <c r="R171" i="196"/>
  <c r="Y171" i="196" s="1"/>
  <c r="R708" i="196"/>
  <c r="Y708" i="196" s="1"/>
  <c r="R173" i="196"/>
  <c r="Y173" i="196" s="1"/>
  <c r="R423" i="196"/>
  <c r="Y423" i="196" s="1"/>
  <c r="R62" i="196"/>
  <c r="Y62" i="196" s="1"/>
  <c r="R102" i="196"/>
  <c r="Y102" i="196" s="1"/>
  <c r="R145" i="196"/>
  <c r="Y145" i="196" s="1"/>
  <c r="R176" i="196"/>
  <c r="Y176" i="196" s="1"/>
  <c r="R425" i="196"/>
  <c r="Y425" i="196" s="1"/>
  <c r="R180" i="196"/>
  <c r="Y180" i="196" s="1"/>
  <c r="R124" i="196"/>
  <c r="Y124" i="196" s="1"/>
  <c r="R166" i="196"/>
  <c r="Y166" i="196" s="1"/>
  <c r="R183" i="196"/>
  <c r="Y183" i="196" s="1"/>
  <c r="R184" i="196"/>
  <c r="Y184" i="196" s="1"/>
  <c r="R185" i="196"/>
  <c r="Y185" i="196" s="1"/>
  <c r="R125" i="196"/>
  <c r="Y125" i="196" s="1"/>
  <c r="R146" i="196"/>
  <c r="Y146" i="196" s="1"/>
  <c r="R188" i="196"/>
  <c r="Y188" i="196" s="1"/>
  <c r="R189" i="196"/>
  <c r="Y189" i="196" s="1"/>
  <c r="R709" i="196"/>
  <c r="Y709" i="196" s="1"/>
  <c r="R191" i="196"/>
  <c r="Y191" i="196" s="1"/>
  <c r="R177" i="196"/>
  <c r="Y177" i="196" s="1"/>
  <c r="R135" i="196"/>
  <c r="Y135" i="196" s="1"/>
  <c r="R103" i="196"/>
  <c r="Y103" i="196" s="1"/>
  <c r="R157" i="196"/>
  <c r="Y157" i="196" s="1"/>
  <c r="R269" i="196"/>
  <c r="Y269" i="196" s="1"/>
  <c r="R178" i="196"/>
  <c r="Y178" i="196" s="1"/>
  <c r="R198" i="196"/>
  <c r="Y198" i="196" s="1"/>
  <c r="R199" i="196"/>
  <c r="Y199" i="196" s="1"/>
  <c r="R200" i="196"/>
  <c r="Y200" i="196" s="1"/>
  <c r="R201" i="196"/>
  <c r="Y201" i="196" s="1"/>
  <c r="R202" i="196"/>
  <c r="Y202" i="196" s="1"/>
  <c r="R203" i="196"/>
  <c r="Y203" i="196" s="1"/>
  <c r="R204" i="196"/>
  <c r="Y204" i="196" s="1"/>
  <c r="R205" i="196"/>
  <c r="Y205" i="196" s="1"/>
  <c r="R206" i="196"/>
  <c r="Y206" i="196" s="1"/>
  <c r="R270" i="196"/>
  <c r="Y270" i="196" s="1"/>
  <c r="R179" i="196"/>
  <c r="Y179" i="196" s="1"/>
  <c r="R158" i="196"/>
  <c r="Y158" i="196" s="1"/>
  <c r="R210" i="196"/>
  <c r="Y210" i="196" s="1"/>
  <c r="R211" i="196"/>
  <c r="Y211" i="196" s="1"/>
  <c r="R723" i="196"/>
  <c r="Y723" i="196" s="1"/>
  <c r="R213" i="196"/>
  <c r="Y213" i="196" s="1"/>
  <c r="R494" i="196"/>
  <c r="Y494" i="196" s="1"/>
  <c r="R725" i="196"/>
  <c r="Y725" i="196" s="1"/>
  <c r="R539" i="196"/>
  <c r="Y539" i="196" s="1"/>
  <c r="R271" i="196"/>
  <c r="Y271" i="196" s="1"/>
  <c r="R272" i="196"/>
  <c r="Y272" i="196" s="1"/>
  <c r="R219" i="196"/>
  <c r="Y219" i="196" s="1"/>
  <c r="R220" i="196"/>
  <c r="Y220" i="196" s="1"/>
  <c r="R221" i="196"/>
  <c r="Y221" i="196" s="1"/>
  <c r="R222" i="196"/>
  <c r="Y222" i="196" s="1"/>
  <c r="R223" i="196"/>
  <c r="Y223" i="196" s="1"/>
  <c r="R224" i="196"/>
  <c r="Y224" i="196" s="1"/>
  <c r="R126" i="196"/>
  <c r="Y126" i="196" s="1"/>
  <c r="R540" i="196"/>
  <c r="Y540" i="196" s="1"/>
  <c r="R759" i="196"/>
  <c r="Y759" i="196" s="1"/>
  <c r="R208" i="196"/>
  <c r="Y208" i="196" s="1"/>
  <c r="R541" i="196"/>
  <c r="Y541" i="196" s="1"/>
  <c r="R230" i="196"/>
  <c r="Y230" i="196" s="1"/>
  <c r="R231" i="196"/>
  <c r="Y231" i="196" s="1"/>
  <c r="R181" i="196"/>
  <c r="Y181" i="196" s="1"/>
  <c r="R63" i="196"/>
  <c r="Y63" i="196" s="1"/>
  <c r="R234" i="196"/>
  <c r="Y234" i="196" s="1"/>
  <c r="R64" i="196"/>
  <c r="Y64" i="196" s="1"/>
  <c r="R766" i="196"/>
  <c r="Y766" i="196" s="1"/>
  <c r="R774" i="196"/>
  <c r="Y774" i="196" s="1"/>
  <c r="R238" i="196"/>
  <c r="Y238" i="196" s="1"/>
  <c r="R239" i="196"/>
  <c r="Y239" i="196" s="1"/>
  <c r="R240" i="196"/>
  <c r="Y240" i="196" s="1"/>
  <c r="R241" i="196"/>
  <c r="Y241" i="196" s="1"/>
  <c r="R209" i="196"/>
  <c r="Y209" i="196" s="1"/>
  <c r="R212" i="196"/>
  <c r="Y212" i="196" s="1"/>
  <c r="R244" i="196"/>
  <c r="Y244" i="196" s="1"/>
  <c r="R548" i="196"/>
  <c r="Y548" i="196" s="1"/>
  <c r="R775" i="196"/>
  <c r="Y775" i="196" s="1"/>
  <c r="R214" i="196"/>
  <c r="Y214" i="196" s="1"/>
  <c r="R550" i="196"/>
  <c r="Y550" i="196" s="1"/>
  <c r="R249" i="196"/>
  <c r="Y249" i="196" s="1"/>
  <c r="R250" i="196"/>
  <c r="Y250" i="196" s="1"/>
  <c r="R251" i="196"/>
  <c r="Y251" i="196" s="1"/>
  <c r="R108" i="196"/>
  <c r="Y108" i="196" s="1"/>
  <c r="R119" i="196"/>
  <c r="Y119" i="196" s="1"/>
  <c r="R254" i="196"/>
  <c r="Y254" i="196" s="1"/>
  <c r="R255" i="196"/>
  <c r="Y255" i="196" s="1"/>
  <c r="R256" i="196"/>
  <c r="Y256" i="196" s="1"/>
  <c r="R257" i="196"/>
  <c r="Y257" i="196" s="1"/>
  <c r="R777" i="196"/>
  <c r="Y777" i="196" s="1"/>
  <c r="R259" i="196"/>
  <c r="Y259" i="196" s="1"/>
  <c r="R260" i="196"/>
  <c r="Y260" i="196" s="1"/>
  <c r="R261" i="196"/>
  <c r="Y261" i="196" s="1"/>
  <c r="R262" i="196"/>
  <c r="Y262" i="196" s="1"/>
  <c r="R263" i="196"/>
  <c r="Y263" i="196" s="1"/>
  <c r="R264" i="196"/>
  <c r="Y264" i="196" s="1"/>
  <c r="R265" i="196"/>
  <c r="Y265" i="196" s="1"/>
  <c r="R266" i="196"/>
  <c r="Y266" i="196" s="1"/>
  <c r="R560" i="196"/>
  <c r="Y560" i="196" s="1"/>
  <c r="R215" i="196"/>
  <c r="Y215" i="196" s="1"/>
  <c r="R216" i="196"/>
  <c r="Y216" i="196" s="1"/>
  <c r="R137" i="196"/>
  <c r="Y137" i="196" s="1"/>
  <c r="R273" i="196"/>
  <c r="Y273" i="196" s="1"/>
  <c r="R65" i="196"/>
  <c r="Y65" i="196" s="1"/>
  <c r="R12" i="196"/>
  <c r="Y12" i="196" s="1"/>
  <c r="R274" i="196"/>
  <c r="Y274" i="196" s="1"/>
  <c r="R275" i="196"/>
  <c r="Y275" i="196" s="1"/>
  <c r="R778" i="196"/>
  <c r="Y778" i="196" s="1"/>
  <c r="R277" i="196"/>
  <c r="Y277" i="196" s="1"/>
  <c r="R278" i="196"/>
  <c r="Y278" i="196" s="1"/>
  <c r="R279" i="196"/>
  <c r="Y279" i="196" s="1"/>
  <c r="R280" i="196"/>
  <c r="Y280" i="196" s="1"/>
  <c r="R281" i="196"/>
  <c r="Y281" i="196" s="1"/>
  <c r="R282" i="196"/>
  <c r="Y282" i="196" s="1"/>
  <c r="R276" i="196"/>
  <c r="Y276" i="196" s="1"/>
  <c r="R284" i="196"/>
  <c r="Y284" i="196" s="1"/>
  <c r="R78" i="196"/>
  <c r="Y78" i="196" s="1"/>
  <c r="R286" i="196"/>
  <c r="Y286" i="196" s="1"/>
  <c r="R287" i="196"/>
  <c r="Y287" i="196" s="1"/>
  <c r="R167" i="196"/>
  <c r="Y167" i="196" s="1"/>
  <c r="R79" i="196"/>
  <c r="Y79" i="196" s="1"/>
  <c r="R283" i="196"/>
  <c r="Y283" i="196" s="1"/>
  <c r="R120" i="196"/>
  <c r="Y120" i="196" s="1"/>
  <c r="R147" i="196"/>
  <c r="Y147" i="196" s="1"/>
  <c r="R82" i="196"/>
  <c r="Y82" i="196" s="1"/>
  <c r="R294" i="196"/>
  <c r="Y294" i="196" s="1"/>
  <c r="R779" i="196"/>
  <c r="Y779" i="196" s="1"/>
  <c r="R296" i="196"/>
  <c r="Y296" i="196" s="1"/>
  <c r="R297" i="196"/>
  <c r="Y297" i="196" s="1"/>
  <c r="R298" i="196"/>
  <c r="Y298" i="196" s="1"/>
  <c r="R299" i="196"/>
  <c r="Y299" i="196" s="1"/>
  <c r="R300" i="196"/>
  <c r="Y300" i="196" s="1"/>
  <c r="R301" i="196"/>
  <c r="Y301" i="196" s="1"/>
  <c r="R3" i="196"/>
  <c r="Y3" i="196" s="1"/>
  <c r="R217" i="196"/>
  <c r="Y217" i="196" s="1"/>
  <c r="R304" i="196"/>
  <c r="Y304" i="196" s="1"/>
  <c r="R305" i="196"/>
  <c r="Y305" i="196" s="1"/>
  <c r="R306" i="196"/>
  <c r="Y306" i="196" s="1"/>
  <c r="R307" i="196"/>
  <c r="Y307" i="196" s="1"/>
  <c r="R308" i="196"/>
  <c r="Y308" i="196" s="1"/>
  <c r="R309" i="196"/>
  <c r="Y309" i="196" s="1"/>
  <c r="R310" i="196"/>
  <c r="Y310" i="196" s="1"/>
  <c r="R311" i="196"/>
  <c r="Y311" i="196" s="1"/>
  <c r="R312" i="196"/>
  <c r="Y312" i="196" s="1"/>
  <c r="R313" i="196"/>
  <c r="Y313" i="196" s="1"/>
  <c r="R314" i="196"/>
  <c r="Y314" i="196" s="1"/>
  <c r="R315" i="196"/>
  <c r="Y315" i="196" s="1"/>
  <c r="R316" i="196"/>
  <c r="Y316" i="196" s="1"/>
  <c r="R317" i="196"/>
  <c r="Y317" i="196" s="1"/>
  <c r="R83" i="196"/>
  <c r="Y83" i="196" s="1"/>
  <c r="R168" i="196"/>
  <c r="Y168" i="196" s="1"/>
  <c r="R320" i="196"/>
  <c r="Y320" i="196" s="1"/>
  <c r="R567" i="196"/>
  <c r="Y567" i="196" s="1"/>
  <c r="R218" i="196"/>
  <c r="Y218" i="196" s="1"/>
  <c r="R323" i="196"/>
  <c r="Y323" i="196" s="1"/>
  <c r="R324" i="196"/>
  <c r="Y324" i="196" s="1"/>
  <c r="R325" i="196"/>
  <c r="Y325" i="196" s="1"/>
  <c r="R326" i="196"/>
  <c r="Y326" i="196" s="1"/>
  <c r="R327" i="196"/>
  <c r="Y327" i="196" s="1"/>
  <c r="R328" i="196"/>
  <c r="Y328" i="196" s="1"/>
  <c r="R329" i="196"/>
  <c r="Y329" i="196" s="1"/>
  <c r="R330" i="196"/>
  <c r="Y330" i="196" s="1"/>
  <c r="R331" i="196"/>
  <c r="Y331" i="196" s="1"/>
  <c r="R332" i="196"/>
  <c r="Y332" i="196" s="1"/>
  <c r="R333" i="196"/>
  <c r="Y333" i="196" s="1"/>
  <c r="R334" i="196"/>
  <c r="Y334" i="196" s="1"/>
  <c r="R335" i="196"/>
  <c r="Y335" i="196" s="1"/>
  <c r="R336" i="196"/>
  <c r="Y336" i="196" s="1"/>
  <c r="R337" i="196"/>
  <c r="Y337" i="196" s="1"/>
  <c r="R338" i="196"/>
  <c r="Y338" i="196" s="1"/>
  <c r="R339" i="196"/>
  <c r="Y339" i="196" s="1"/>
  <c r="R340" i="196"/>
  <c r="Y340" i="196" s="1"/>
  <c r="R127" i="196"/>
  <c r="Y127" i="196" s="1"/>
  <c r="R342" i="196"/>
  <c r="Y342" i="196" s="1"/>
  <c r="R285" i="196"/>
  <c r="Y285" i="196" s="1"/>
  <c r="R344" i="196"/>
  <c r="Y344" i="196" s="1"/>
  <c r="R345" i="196"/>
  <c r="Y345" i="196" s="1"/>
  <c r="R346" i="196"/>
  <c r="Y346" i="196" s="1"/>
  <c r="R347" i="196"/>
  <c r="Y347" i="196" s="1"/>
  <c r="R348" i="196"/>
  <c r="Y348" i="196" s="1"/>
  <c r="R349" i="196"/>
  <c r="Y349" i="196" s="1"/>
  <c r="R350" i="196"/>
  <c r="Y350" i="196" s="1"/>
  <c r="R351" i="196"/>
  <c r="Y351" i="196" s="1"/>
  <c r="R352" i="196"/>
  <c r="Y352" i="196" s="1"/>
  <c r="R353" i="196"/>
  <c r="Y353" i="196" s="1"/>
  <c r="R354" i="196"/>
  <c r="Y354" i="196" s="1"/>
  <c r="R355" i="196"/>
  <c r="Y355" i="196" s="1"/>
  <c r="R356" i="196"/>
  <c r="Y356" i="196" s="1"/>
  <c r="R357" i="196"/>
  <c r="Y357" i="196" s="1"/>
  <c r="R358" i="196"/>
  <c r="Y358" i="196" s="1"/>
  <c r="R359" i="196"/>
  <c r="Y359" i="196" s="1"/>
  <c r="R360" i="196"/>
  <c r="Y360" i="196" s="1"/>
  <c r="R361" i="196"/>
  <c r="Y361" i="196" s="1"/>
  <c r="R362" i="196"/>
  <c r="Y362" i="196" s="1"/>
  <c r="R363" i="196"/>
  <c r="Y363" i="196" s="1"/>
  <c r="R364" i="196"/>
  <c r="Y364" i="196" s="1"/>
  <c r="R365" i="196"/>
  <c r="Y365" i="196" s="1"/>
  <c r="R366" i="196"/>
  <c r="Y366" i="196" s="1"/>
  <c r="R367" i="196"/>
  <c r="Y367" i="196" s="1"/>
  <c r="R368" i="196"/>
  <c r="Y368" i="196" s="1"/>
  <c r="R369" i="196"/>
  <c r="Y369" i="196" s="1"/>
  <c r="R370" i="196"/>
  <c r="Y370" i="196" s="1"/>
  <c r="R371" i="196"/>
  <c r="Y371" i="196" s="1"/>
  <c r="R372" i="196"/>
  <c r="Y372" i="196" s="1"/>
  <c r="R373" i="196"/>
  <c r="Y373" i="196" s="1"/>
  <c r="R374" i="196"/>
  <c r="Y374" i="196" s="1"/>
  <c r="R375" i="196"/>
  <c r="Y375" i="196" s="1"/>
  <c r="R376" i="196"/>
  <c r="Y376" i="196" s="1"/>
  <c r="R377" i="196"/>
  <c r="Y377" i="196" s="1"/>
  <c r="R378" i="196"/>
  <c r="Y378" i="196" s="1"/>
  <c r="R379" i="196"/>
  <c r="Y379" i="196" s="1"/>
  <c r="R84" i="196"/>
  <c r="Y84" i="196" s="1"/>
  <c r="R780" i="196"/>
  <c r="Y780" i="196" s="1"/>
  <c r="R382" i="196"/>
  <c r="Y382" i="196" s="1"/>
  <c r="R383" i="196"/>
  <c r="Y383" i="196" s="1"/>
  <c r="R384" i="196"/>
  <c r="Y384" i="196" s="1"/>
  <c r="R385" i="196"/>
  <c r="Y385" i="196" s="1"/>
  <c r="R386" i="196"/>
  <c r="Y386" i="196" s="1"/>
  <c r="R387" i="196"/>
  <c r="Y387" i="196" s="1"/>
  <c r="R388" i="196"/>
  <c r="Y388" i="196" s="1"/>
  <c r="R389" i="196"/>
  <c r="Y389" i="196" s="1"/>
  <c r="R390" i="196"/>
  <c r="Y390" i="196" s="1"/>
  <c r="R391" i="196"/>
  <c r="Y391" i="196" s="1"/>
  <c r="R392" i="196"/>
  <c r="Y392" i="196" s="1"/>
  <c r="R393" i="196"/>
  <c r="Y393" i="196" s="1"/>
  <c r="R394" i="196"/>
  <c r="Y394" i="196" s="1"/>
  <c r="R395" i="196"/>
  <c r="Y395" i="196" s="1"/>
  <c r="R396" i="196"/>
  <c r="Y396" i="196" s="1"/>
  <c r="R397" i="196"/>
  <c r="Y397" i="196" s="1"/>
  <c r="R785" i="196"/>
  <c r="Y785" i="196" s="1"/>
  <c r="R586" i="196"/>
  <c r="Y586" i="196" s="1"/>
  <c r="R400" i="196"/>
  <c r="Y400" i="196" s="1"/>
  <c r="R401" i="196"/>
  <c r="Y401" i="196" s="1"/>
  <c r="R402" i="196"/>
  <c r="Y402" i="196" s="1"/>
  <c r="R588" i="196"/>
  <c r="Y588" i="196" s="1"/>
  <c r="R404" i="196"/>
  <c r="Y404" i="196" s="1"/>
  <c r="R786" i="196"/>
  <c r="Y786" i="196" s="1"/>
  <c r="R406" i="196"/>
  <c r="Y406" i="196" s="1"/>
  <c r="R589" i="196"/>
  <c r="Y589" i="196" s="1"/>
  <c r="R408" i="196"/>
  <c r="Y408" i="196" s="1"/>
  <c r="R409" i="196"/>
  <c r="Y409" i="196" s="1"/>
  <c r="R410" i="196"/>
  <c r="Y410" i="196" s="1"/>
  <c r="R411" i="196"/>
  <c r="Y411" i="196" s="1"/>
  <c r="R412" i="196"/>
  <c r="Y412" i="196" s="1"/>
  <c r="R413" i="196"/>
  <c r="Y413" i="196" s="1"/>
  <c r="R414" i="196"/>
  <c r="Y414" i="196" s="1"/>
  <c r="R415" i="196"/>
  <c r="Y415" i="196" s="1"/>
  <c r="R416" i="196"/>
  <c r="Y416" i="196" s="1"/>
  <c r="R417" i="196"/>
  <c r="Y417" i="196" s="1"/>
  <c r="R418" i="196"/>
  <c r="Y418" i="196" s="1"/>
  <c r="R419" i="196"/>
  <c r="Y419" i="196" s="1"/>
  <c r="R420" i="196"/>
  <c r="Y420" i="196" s="1"/>
  <c r="R788" i="196"/>
  <c r="Y788" i="196" s="1"/>
  <c r="R422" i="196"/>
  <c r="Y422" i="196" s="1"/>
  <c r="R163" i="196"/>
  <c r="Y163" i="196" s="1"/>
  <c r="R424" i="196"/>
  <c r="Y424" i="196" s="1"/>
  <c r="R590" i="196"/>
  <c r="Y590" i="196" s="1"/>
  <c r="R426" i="196"/>
  <c r="Y426" i="196" s="1"/>
  <c r="R427" i="196"/>
  <c r="Y427" i="196" s="1"/>
  <c r="R428" i="196"/>
  <c r="Y428" i="196" s="1"/>
  <c r="R429" i="196"/>
  <c r="Y429" i="196" s="1"/>
  <c r="R430" i="196"/>
  <c r="Y430" i="196" s="1"/>
  <c r="R431" i="196"/>
  <c r="Y431" i="196" s="1"/>
  <c r="R432" i="196"/>
  <c r="Y432" i="196" s="1"/>
  <c r="R433" i="196"/>
  <c r="Y433" i="196" s="1"/>
  <c r="R434" i="196"/>
  <c r="Y434" i="196" s="1"/>
  <c r="R435" i="196"/>
  <c r="Y435" i="196" s="1"/>
  <c r="R436" i="196"/>
  <c r="Y436" i="196" s="1"/>
  <c r="R437" i="196"/>
  <c r="Y437" i="196" s="1"/>
  <c r="R438" i="196"/>
  <c r="Y438" i="196" s="1"/>
  <c r="R439" i="196"/>
  <c r="Y439" i="196" s="1"/>
  <c r="R440" i="196"/>
  <c r="Y440" i="196" s="1"/>
  <c r="R441" i="196"/>
  <c r="Y441" i="196" s="1"/>
  <c r="R442" i="196"/>
  <c r="Y442" i="196" s="1"/>
  <c r="R443" i="196"/>
  <c r="Y443" i="196" s="1"/>
  <c r="R444" i="196"/>
  <c r="Y444" i="196" s="1"/>
  <c r="R445" i="196"/>
  <c r="Y445" i="196" s="1"/>
  <c r="R446" i="196"/>
  <c r="Y446" i="196" s="1"/>
  <c r="R447" i="196"/>
  <c r="Y447" i="196" s="1"/>
  <c r="R448" i="196"/>
  <c r="Y448" i="196" s="1"/>
  <c r="R449" i="196"/>
  <c r="Y449" i="196" s="1"/>
  <c r="R450" i="196"/>
  <c r="Y450" i="196" s="1"/>
  <c r="R451" i="196"/>
  <c r="Y451" i="196" s="1"/>
  <c r="R452" i="196"/>
  <c r="Y452" i="196" s="1"/>
  <c r="R453" i="196"/>
  <c r="Y453" i="196" s="1"/>
  <c r="R454" i="196"/>
  <c r="Y454" i="196" s="1"/>
  <c r="R455" i="196"/>
  <c r="Y455" i="196" s="1"/>
  <c r="R456" i="196"/>
  <c r="Y456" i="196" s="1"/>
  <c r="R457" i="196"/>
  <c r="Y457" i="196" s="1"/>
  <c r="R458" i="196"/>
  <c r="Y458" i="196" s="1"/>
  <c r="R459" i="196"/>
  <c r="Y459" i="196" s="1"/>
  <c r="R460" i="196"/>
  <c r="Y460" i="196" s="1"/>
  <c r="R461" i="196"/>
  <c r="Y461" i="196" s="1"/>
  <c r="R462" i="196"/>
  <c r="Y462" i="196" s="1"/>
  <c r="R463" i="196"/>
  <c r="Y463" i="196" s="1"/>
  <c r="R464" i="196"/>
  <c r="Y464" i="196" s="1"/>
  <c r="R465" i="196"/>
  <c r="Y465" i="196" s="1"/>
  <c r="R466" i="196"/>
  <c r="Y466" i="196" s="1"/>
  <c r="R467" i="196"/>
  <c r="Y467" i="196" s="1"/>
  <c r="R468" i="196"/>
  <c r="Y468" i="196" s="1"/>
  <c r="R469" i="196"/>
  <c r="Y469" i="196" s="1"/>
  <c r="R470" i="196"/>
  <c r="Y470" i="196" s="1"/>
  <c r="R471" i="196"/>
  <c r="Y471" i="196" s="1"/>
  <c r="R472" i="196"/>
  <c r="Y472" i="196" s="1"/>
  <c r="R473" i="196"/>
  <c r="Y473" i="196" s="1"/>
  <c r="R474" i="196"/>
  <c r="Y474" i="196" s="1"/>
  <c r="R475" i="196"/>
  <c r="Y475" i="196" s="1"/>
  <c r="R476" i="196"/>
  <c r="Y476" i="196" s="1"/>
  <c r="R477" i="196"/>
  <c r="Y477" i="196" s="1"/>
  <c r="R478" i="196"/>
  <c r="Y478" i="196" s="1"/>
  <c r="R479" i="196"/>
  <c r="Y479" i="196" s="1"/>
  <c r="R480" i="196"/>
  <c r="Y480" i="196" s="1"/>
  <c r="R481" i="196"/>
  <c r="Y481" i="196" s="1"/>
  <c r="R482" i="196"/>
  <c r="Y482" i="196" s="1"/>
  <c r="R483" i="196"/>
  <c r="Y483" i="196" s="1"/>
  <c r="R484" i="196"/>
  <c r="Y484" i="196" s="1"/>
  <c r="R485" i="196"/>
  <c r="Y485" i="196" s="1"/>
  <c r="R486" i="196"/>
  <c r="Y486" i="196" s="1"/>
  <c r="R487" i="196"/>
  <c r="Y487" i="196" s="1"/>
  <c r="R488" i="196"/>
  <c r="Y488" i="196" s="1"/>
  <c r="R489" i="196"/>
  <c r="Y489" i="196" s="1"/>
  <c r="R490" i="196"/>
  <c r="Y490" i="196" s="1"/>
  <c r="R491" i="196"/>
  <c r="Y491" i="196" s="1"/>
  <c r="R492" i="196"/>
  <c r="Y492" i="196" s="1"/>
  <c r="R493" i="196"/>
  <c r="Y493" i="196" s="1"/>
  <c r="R288" i="196"/>
  <c r="Y288" i="196" s="1"/>
  <c r="R495" i="196"/>
  <c r="Y495" i="196" s="1"/>
  <c r="R496" i="196"/>
  <c r="Y496" i="196" s="1"/>
  <c r="R497" i="196"/>
  <c r="Y497" i="196" s="1"/>
  <c r="R498" i="196"/>
  <c r="Y498" i="196" s="1"/>
  <c r="R499" i="196"/>
  <c r="Y499" i="196" s="1"/>
  <c r="R500" i="196"/>
  <c r="Y500" i="196" s="1"/>
  <c r="R501" i="196"/>
  <c r="Y501" i="196" s="1"/>
  <c r="R502" i="196"/>
  <c r="Y502" i="196" s="1"/>
  <c r="R503" i="196"/>
  <c r="Y503" i="196" s="1"/>
  <c r="R504" i="196"/>
  <c r="Y504" i="196" s="1"/>
  <c r="R505" i="196"/>
  <c r="Y505" i="196" s="1"/>
  <c r="R506" i="196"/>
  <c r="Y506" i="196" s="1"/>
  <c r="R507" i="196"/>
  <c r="Y507" i="196" s="1"/>
  <c r="R508" i="196"/>
  <c r="Y508" i="196" s="1"/>
  <c r="R509" i="196"/>
  <c r="Y509" i="196" s="1"/>
  <c r="R510" i="196"/>
  <c r="Y510" i="196" s="1"/>
  <c r="R511" i="196"/>
  <c r="Y511" i="196" s="1"/>
  <c r="R512" i="196"/>
  <c r="Y512" i="196" s="1"/>
  <c r="R513" i="196"/>
  <c r="Y513" i="196" s="1"/>
  <c r="R514" i="196"/>
  <c r="Y514" i="196" s="1"/>
  <c r="R515" i="196"/>
  <c r="Y515" i="196" s="1"/>
  <c r="R516" i="196"/>
  <c r="Y516" i="196" s="1"/>
  <c r="R517" i="196"/>
  <c r="Y517" i="196" s="1"/>
  <c r="R518" i="196"/>
  <c r="Y518" i="196" s="1"/>
  <c r="R519" i="196"/>
  <c r="Y519" i="196" s="1"/>
  <c r="R520" i="196"/>
  <c r="Y520" i="196" s="1"/>
  <c r="R521" i="196"/>
  <c r="Y521" i="196" s="1"/>
  <c r="R522" i="196"/>
  <c r="Y522" i="196" s="1"/>
  <c r="R523" i="196"/>
  <c r="Y523" i="196" s="1"/>
  <c r="R524" i="196"/>
  <c r="Y524" i="196" s="1"/>
  <c r="R525" i="196"/>
  <c r="Y525" i="196" s="1"/>
  <c r="R526" i="196"/>
  <c r="Y526" i="196" s="1"/>
  <c r="R527" i="196"/>
  <c r="Y527" i="196" s="1"/>
  <c r="R528" i="196"/>
  <c r="Y528" i="196" s="1"/>
  <c r="R529" i="196"/>
  <c r="Y529" i="196" s="1"/>
  <c r="R530" i="196"/>
  <c r="Y530" i="196" s="1"/>
  <c r="R531" i="196"/>
  <c r="Y531" i="196" s="1"/>
  <c r="R532" i="196"/>
  <c r="Y532" i="196" s="1"/>
  <c r="R533" i="196"/>
  <c r="Y533" i="196" s="1"/>
  <c r="R534" i="196"/>
  <c r="Y534" i="196" s="1"/>
  <c r="R535" i="196"/>
  <c r="Y535" i="196" s="1"/>
  <c r="R536" i="196"/>
  <c r="Y536" i="196" s="1"/>
  <c r="R537" i="196"/>
  <c r="Y537" i="196" s="1"/>
  <c r="R538" i="196"/>
  <c r="Y538" i="196" s="1"/>
  <c r="R169" i="196"/>
  <c r="Y169" i="196" s="1"/>
  <c r="R151" i="196"/>
  <c r="Y151" i="196" s="1"/>
  <c r="R790" i="196"/>
  <c r="Y790" i="196" s="1"/>
  <c r="R542" i="196"/>
  <c r="Y542" i="196" s="1"/>
  <c r="R543" i="196"/>
  <c r="Y543" i="196" s="1"/>
  <c r="R544" i="196"/>
  <c r="Y544" i="196" s="1"/>
  <c r="R545" i="196"/>
  <c r="Y545" i="196" s="1"/>
  <c r="R546" i="196"/>
  <c r="Y546" i="196" s="1"/>
  <c r="R547" i="196"/>
  <c r="Y547" i="196" s="1"/>
  <c r="R794" i="196"/>
  <c r="Y794" i="196" s="1"/>
  <c r="R549" i="196"/>
  <c r="Y549" i="196" s="1"/>
  <c r="R797" i="196"/>
  <c r="Y797" i="196" s="1"/>
  <c r="R551" i="196"/>
  <c r="Y551" i="196" s="1"/>
  <c r="R552" i="196"/>
  <c r="Y552" i="196" s="1"/>
  <c r="R553" i="196"/>
  <c r="Y553" i="196" s="1"/>
  <c r="R554" i="196"/>
  <c r="Y554" i="196" s="1"/>
  <c r="R555" i="196"/>
  <c r="Y555" i="196" s="1"/>
  <c r="R556" i="196"/>
  <c r="Y556" i="196" s="1"/>
  <c r="R557" i="196"/>
  <c r="Y557" i="196" s="1"/>
  <c r="R558" i="196"/>
  <c r="Y558" i="196" s="1"/>
  <c r="R559" i="196"/>
  <c r="Y559" i="196" s="1"/>
  <c r="R87" i="196"/>
  <c r="Y87" i="196" s="1"/>
  <c r="R561" i="196"/>
  <c r="Y561" i="196" s="1"/>
  <c r="R562" i="196"/>
  <c r="Y562" i="196" s="1"/>
  <c r="R563" i="196"/>
  <c r="Y563" i="196" s="1"/>
  <c r="R564" i="196"/>
  <c r="Y564" i="196" s="1"/>
  <c r="R565" i="196"/>
  <c r="Y565" i="196" s="1"/>
  <c r="R566" i="196"/>
  <c r="Y566" i="196" s="1"/>
  <c r="R799" i="196"/>
  <c r="Y799" i="196" s="1"/>
  <c r="R568" i="196"/>
  <c r="Y568" i="196" s="1"/>
  <c r="R569" i="196"/>
  <c r="Y569" i="196" s="1"/>
  <c r="R570" i="196"/>
  <c r="Y570" i="196" s="1"/>
  <c r="R571" i="196"/>
  <c r="Y571" i="196" s="1"/>
  <c r="R572" i="196"/>
  <c r="Y572" i="196" s="1"/>
  <c r="R573" i="196"/>
  <c r="Y573" i="196" s="1"/>
  <c r="R574" i="196"/>
  <c r="Y574" i="196" s="1"/>
  <c r="R575" i="196"/>
  <c r="Y575" i="196" s="1"/>
  <c r="R576" i="196"/>
  <c r="Y576" i="196" s="1"/>
  <c r="R577" i="196"/>
  <c r="Y577" i="196" s="1"/>
  <c r="R578" i="196"/>
  <c r="Y578" i="196" s="1"/>
  <c r="R579" i="196"/>
  <c r="Y579" i="196" s="1"/>
  <c r="R580" i="196"/>
  <c r="Y580" i="196" s="1"/>
  <c r="R581" i="196"/>
  <c r="Y581" i="196" s="1"/>
  <c r="R582" i="196"/>
  <c r="Y582" i="196" s="1"/>
  <c r="R583" i="196"/>
  <c r="Y583" i="196" s="1"/>
  <c r="R584" i="196"/>
  <c r="Y584" i="196" s="1"/>
  <c r="R585" i="196"/>
  <c r="Y585" i="196" s="1"/>
  <c r="R152" i="196"/>
  <c r="Y152" i="196" s="1"/>
  <c r="R587" i="196"/>
  <c r="Y587" i="196" s="1"/>
  <c r="R153" i="196"/>
  <c r="Y153" i="196" s="1"/>
  <c r="R128" i="196"/>
  <c r="Y128" i="196" s="1"/>
  <c r="R591" i="196"/>
  <c r="Y591" i="196" s="1"/>
  <c r="R289" i="196"/>
  <c r="Y289" i="196" s="1"/>
  <c r="R592" i="196"/>
  <c r="Y592" i="196" s="1"/>
  <c r="R593" i="196"/>
  <c r="Y593" i="196" s="1"/>
  <c r="R88" i="196"/>
  <c r="Y88" i="196" s="1"/>
  <c r="R595" i="196"/>
  <c r="Y595" i="196" s="1"/>
  <c r="R596" i="196"/>
  <c r="Y596" i="196" s="1"/>
  <c r="R89" i="196"/>
  <c r="Y89" i="196" s="1"/>
  <c r="R598" i="196"/>
  <c r="Y598" i="196" s="1"/>
  <c r="R599" i="196"/>
  <c r="Y599" i="196" s="1"/>
  <c r="R28" i="196"/>
  <c r="Y28" i="196" s="1"/>
  <c r="R601" i="196"/>
  <c r="Y601" i="196" s="1"/>
  <c r="R602" i="196"/>
  <c r="Y602" i="196" s="1"/>
  <c r="R603" i="196"/>
  <c r="Y603" i="196" s="1"/>
  <c r="R604" i="196"/>
  <c r="Y604" i="196" s="1"/>
  <c r="R605" i="196"/>
  <c r="Y605" i="196" s="1"/>
  <c r="R606" i="196"/>
  <c r="Y606" i="196" s="1"/>
  <c r="R607" i="196"/>
  <c r="Y607" i="196" s="1"/>
  <c r="R608" i="196"/>
  <c r="Y608" i="196" s="1"/>
  <c r="R609" i="196"/>
  <c r="Y609" i="196" s="1"/>
  <c r="R610" i="196"/>
  <c r="Y610" i="196" s="1"/>
  <c r="R611" i="196"/>
  <c r="Y611" i="196" s="1"/>
  <c r="R612" i="196"/>
  <c r="Y612" i="196" s="1"/>
  <c r="R613" i="196"/>
  <c r="Y613" i="196" s="1"/>
  <c r="R182" i="196"/>
  <c r="Y182" i="196" s="1"/>
  <c r="R801" i="196"/>
  <c r="Y801" i="196" s="1"/>
  <c r="R290" i="196"/>
  <c r="Y290" i="196" s="1"/>
  <c r="R109" i="196"/>
  <c r="Y109" i="196" s="1"/>
  <c r="R618" i="196"/>
  <c r="Y618" i="196" s="1"/>
  <c r="R95" i="196"/>
  <c r="Y95" i="196" s="1"/>
  <c r="R99" i="196"/>
  <c r="Y99" i="196" s="1"/>
  <c r="R121" i="196"/>
  <c r="Y121" i="196" s="1"/>
  <c r="R622" i="196"/>
  <c r="Y622" i="196" s="1"/>
  <c r="R623" i="196"/>
  <c r="Y623" i="196" s="1"/>
  <c r="R624" i="196"/>
  <c r="Y624" i="196" s="1"/>
  <c r="R170" i="196"/>
  <c r="Y170" i="196" s="1"/>
  <c r="R626" i="196"/>
  <c r="Y626" i="196" s="1"/>
  <c r="R594" i="196"/>
  <c r="Y594" i="196" s="1"/>
  <c r="R291" i="196"/>
  <c r="Y291" i="196" s="1"/>
  <c r="R597" i="196"/>
  <c r="Y597" i="196" s="1"/>
  <c r="R630" i="196"/>
  <c r="Y630" i="196" s="1"/>
  <c r="R631" i="196"/>
  <c r="Y631" i="196" s="1"/>
  <c r="R632" i="196"/>
  <c r="Y632" i="196" s="1"/>
  <c r="R633" i="196"/>
  <c r="Y633" i="196" s="1"/>
  <c r="R634" i="196"/>
  <c r="Y634" i="196" s="1"/>
  <c r="R810" i="196"/>
  <c r="Y810" i="196" s="1"/>
  <c r="R101" i="196"/>
  <c r="Y101" i="196" s="1"/>
  <c r="R637" i="196"/>
  <c r="Y637" i="196" s="1"/>
  <c r="R638" i="196"/>
  <c r="Y638" i="196" s="1"/>
  <c r="R639" i="196"/>
  <c r="Y639" i="196" s="1"/>
  <c r="R640" i="196"/>
  <c r="Y640" i="196" s="1"/>
  <c r="R641" i="196"/>
  <c r="Y641" i="196" s="1"/>
  <c r="R642" i="196"/>
  <c r="Y642" i="196" s="1"/>
  <c r="R643" i="196"/>
  <c r="Y643" i="196" s="1"/>
  <c r="R644" i="196"/>
  <c r="Y644" i="196" s="1"/>
  <c r="R645" i="196"/>
  <c r="Y645" i="196" s="1"/>
  <c r="R225" i="196"/>
  <c r="Y225" i="196" s="1"/>
  <c r="R647" i="196"/>
  <c r="Y647" i="196" s="1"/>
  <c r="R648" i="196"/>
  <c r="Y648" i="196" s="1"/>
  <c r="R649" i="196"/>
  <c r="Y649" i="196" s="1"/>
  <c r="R600" i="196"/>
  <c r="Y600" i="196" s="1"/>
  <c r="R815" i="196"/>
  <c r="Y815" i="196" s="1"/>
  <c r="R652" i="196"/>
  <c r="Y652" i="196" s="1"/>
  <c r="R653" i="196"/>
  <c r="Y653" i="196" s="1"/>
  <c r="R654" i="196"/>
  <c r="Y654" i="196" s="1"/>
  <c r="R186" i="196"/>
  <c r="Y186" i="196" s="1"/>
  <c r="R818" i="196"/>
  <c r="Y818" i="196" s="1"/>
  <c r="R657" i="196"/>
  <c r="Y657" i="196" s="1"/>
  <c r="R614" i="196"/>
  <c r="Y614" i="196" s="1"/>
  <c r="R659" i="196"/>
  <c r="Y659" i="196" s="1"/>
  <c r="R660" i="196"/>
  <c r="Y660" i="196" s="1"/>
  <c r="R661" i="196"/>
  <c r="Y661" i="196" s="1"/>
  <c r="R662" i="196"/>
  <c r="Y662" i="196" s="1"/>
  <c r="R821" i="196"/>
  <c r="Y821" i="196" s="1"/>
  <c r="R187" i="196"/>
  <c r="Y187" i="196" s="1"/>
  <c r="R615" i="196"/>
  <c r="Y615" i="196" s="1"/>
  <c r="R666" i="196"/>
  <c r="Y666" i="196" s="1"/>
  <c r="R667" i="196"/>
  <c r="Y667" i="196" s="1"/>
  <c r="R668" i="196"/>
  <c r="Y668" i="196" s="1"/>
  <c r="R669" i="196"/>
  <c r="Y669" i="196" s="1"/>
  <c r="R670" i="196"/>
  <c r="Y670" i="196" s="1"/>
  <c r="R671" i="196"/>
  <c r="Y671" i="196" s="1"/>
  <c r="R672" i="196"/>
  <c r="Y672" i="196" s="1"/>
  <c r="R822" i="196"/>
  <c r="Y822" i="196" s="1"/>
  <c r="R226" i="196"/>
  <c r="Y226" i="196" s="1"/>
  <c r="R616" i="196"/>
  <c r="Y616" i="196" s="1"/>
  <c r="R227" i="196"/>
  <c r="Y227" i="196" s="1"/>
  <c r="R617" i="196"/>
  <c r="Y617" i="196" s="1"/>
  <c r="R678" i="196"/>
  <c r="Y678" i="196" s="1"/>
  <c r="R836" i="196"/>
  <c r="Y836" i="196" s="1"/>
  <c r="R680" i="196"/>
  <c r="Y680" i="196" s="1"/>
  <c r="R839" i="196"/>
  <c r="Y839" i="196" s="1"/>
  <c r="R841" i="196"/>
  <c r="Y841" i="196" s="1"/>
  <c r="R683" i="196"/>
  <c r="Y683" i="196" s="1"/>
  <c r="R684" i="196"/>
  <c r="Y684" i="196" s="1"/>
  <c r="R685" i="196"/>
  <c r="Y685" i="196" s="1"/>
  <c r="R842" i="196"/>
  <c r="Y842" i="196" s="1"/>
  <c r="R847" i="196"/>
  <c r="Y847" i="196" s="1"/>
  <c r="R688" i="196"/>
  <c r="Y688" i="196" s="1"/>
  <c r="R689" i="196"/>
  <c r="Y689" i="196" s="1"/>
  <c r="R619" i="196"/>
  <c r="Y619" i="196" s="1"/>
  <c r="R691" i="196"/>
  <c r="Y691" i="196" s="1"/>
  <c r="R692" i="196"/>
  <c r="Y692" i="196" s="1"/>
  <c r="R848" i="196"/>
  <c r="Y848" i="196" s="1"/>
  <c r="R694" i="196"/>
  <c r="Y694" i="196" s="1"/>
  <c r="R695" i="196"/>
  <c r="Y695" i="196" s="1"/>
  <c r="R696" i="196"/>
  <c r="Y696" i="196" s="1"/>
  <c r="R697" i="196"/>
  <c r="Y697" i="196" s="1"/>
  <c r="R620" i="196"/>
  <c r="Y620" i="196" s="1"/>
  <c r="R849" i="196"/>
  <c r="Y849" i="196" s="1"/>
  <c r="R850" i="196"/>
  <c r="Y850" i="196" s="1"/>
  <c r="R621" i="196"/>
  <c r="Y621" i="196" s="1"/>
  <c r="R702" i="196"/>
  <c r="Y702" i="196" s="1"/>
  <c r="R703" i="196"/>
  <c r="Y703" i="196" s="1"/>
  <c r="R704" i="196"/>
  <c r="Y704" i="196" s="1"/>
  <c r="R705" i="196"/>
  <c r="Y705" i="196" s="1"/>
  <c r="R706" i="196"/>
  <c r="Y706" i="196" s="1"/>
  <c r="R853" i="196"/>
  <c r="Y853" i="196" s="1"/>
  <c r="R854" i="196"/>
  <c r="Y854" i="196" s="1"/>
  <c r="R961" i="196"/>
  <c r="Y961" i="196" s="1"/>
  <c r="R710" i="196"/>
  <c r="Y710" i="196" s="1"/>
  <c r="R711" i="196"/>
  <c r="Y711" i="196" s="1"/>
  <c r="R712" i="196"/>
  <c r="Y712" i="196" s="1"/>
  <c r="R713" i="196"/>
  <c r="Y713" i="196" s="1"/>
  <c r="R714" i="196"/>
  <c r="Y714" i="196" s="1"/>
  <c r="R715" i="196"/>
  <c r="Y715" i="196" s="1"/>
  <c r="R716" i="196"/>
  <c r="Y716" i="196" s="1"/>
  <c r="R717" i="196"/>
  <c r="Y717" i="196" s="1"/>
  <c r="R718" i="196"/>
  <c r="Y718" i="196" s="1"/>
  <c r="R719" i="196"/>
  <c r="Y719" i="196" s="1"/>
  <c r="R720" i="196"/>
  <c r="Y720" i="196" s="1"/>
  <c r="R721" i="196"/>
  <c r="Y721" i="196" s="1"/>
  <c r="R722" i="196"/>
  <c r="Y722" i="196" s="1"/>
  <c r="R855" i="196"/>
  <c r="Y855" i="196" s="1"/>
  <c r="R724" i="196"/>
  <c r="Y724" i="196" s="1"/>
  <c r="R625" i="196"/>
  <c r="Y625" i="196" s="1"/>
  <c r="R726" i="196"/>
  <c r="Y726" i="196" s="1"/>
  <c r="R727" i="196"/>
  <c r="Y727" i="196" s="1"/>
  <c r="R728" i="196"/>
  <c r="Y728" i="196" s="1"/>
  <c r="R729" i="196"/>
  <c r="Y729" i="196" s="1"/>
  <c r="R730" i="196"/>
  <c r="Y730" i="196" s="1"/>
  <c r="R731" i="196"/>
  <c r="Y731" i="196" s="1"/>
  <c r="R732" i="196"/>
  <c r="Y732" i="196" s="1"/>
  <c r="R733" i="196"/>
  <c r="Y733" i="196" s="1"/>
  <c r="R734" i="196"/>
  <c r="Y734" i="196" s="1"/>
  <c r="R735" i="196"/>
  <c r="Y735" i="196" s="1"/>
  <c r="R736" i="196"/>
  <c r="Y736" i="196" s="1"/>
  <c r="R737" i="196"/>
  <c r="Y737" i="196" s="1"/>
  <c r="R738" i="196"/>
  <c r="Y738" i="196" s="1"/>
  <c r="R739" i="196"/>
  <c r="Y739" i="196" s="1"/>
  <c r="R740" i="196"/>
  <c r="Y740" i="196" s="1"/>
  <c r="R741" i="196"/>
  <c r="Y741" i="196" s="1"/>
  <c r="R742" i="196"/>
  <c r="Y742" i="196" s="1"/>
  <c r="R743" i="196"/>
  <c r="Y743" i="196" s="1"/>
  <c r="R744" i="196"/>
  <c r="Y744" i="196" s="1"/>
  <c r="R745" i="196"/>
  <c r="Y745" i="196" s="1"/>
  <c r="R746" i="196"/>
  <c r="Y746" i="196" s="1"/>
  <c r="R747" i="196"/>
  <c r="Y747" i="196" s="1"/>
  <c r="R748" i="196"/>
  <c r="Y748" i="196" s="1"/>
  <c r="R749" i="196"/>
  <c r="Y749" i="196" s="1"/>
  <c r="R750" i="196"/>
  <c r="Y750" i="196" s="1"/>
  <c r="R751" i="196"/>
  <c r="Y751" i="196" s="1"/>
  <c r="R752" i="196"/>
  <c r="Y752" i="196" s="1"/>
  <c r="R753" i="196"/>
  <c r="Y753" i="196" s="1"/>
  <c r="R754" i="196"/>
  <c r="Y754" i="196" s="1"/>
  <c r="R755" i="196"/>
  <c r="Y755" i="196" s="1"/>
  <c r="R756" i="196"/>
  <c r="Y756" i="196" s="1"/>
  <c r="R757" i="196"/>
  <c r="Y757" i="196" s="1"/>
  <c r="R758" i="196"/>
  <c r="Y758" i="196" s="1"/>
  <c r="R228" i="196"/>
  <c r="Y228" i="196" s="1"/>
  <c r="R760" i="196"/>
  <c r="Y760" i="196" s="1"/>
  <c r="R761" i="196"/>
  <c r="Y761" i="196" s="1"/>
  <c r="R762" i="196"/>
  <c r="Y762" i="196" s="1"/>
  <c r="R763" i="196"/>
  <c r="Y763" i="196" s="1"/>
  <c r="R764" i="196"/>
  <c r="Y764" i="196" s="1"/>
  <c r="R765" i="196"/>
  <c r="Y765" i="196" s="1"/>
  <c r="R627" i="196"/>
  <c r="Y627" i="196" s="1"/>
  <c r="R767" i="196"/>
  <c r="Y767" i="196" s="1"/>
  <c r="R768" i="196"/>
  <c r="Y768" i="196" s="1"/>
  <c r="R769" i="196"/>
  <c r="Y769" i="196" s="1"/>
  <c r="R770" i="196"/>
  <c r="Y770" i="196" s="1"/>
  <c r="R771" i="196"/>
  <c r="Y771" i="196" s="1"/>
  <c r="R772" i="196"/>
  <c r="Y772" i="196" s="1"/>
  <c r="R773" i="196"/>
  <c r="Y773" i="196" s="1"/>
  <c r="R628" i="196"/>
  <c r="Y628" i="196" s="1"/>
  <c r="R856" i="196"/>
  <c r="Y856" i="196" s="1"/>
  <c r="R776" i="196"/>
  <c r="Y776" i="196" s="1"/>
  <c r="R229" i="196"/>
  <c r="Y229" i="196" s="1"/>
  <c r="R292" i="196"/>
  <c r="Y292" i="196" s="1"/>
  <c r="R293" i="196"/>
  <c r="Y293" i="196" s="1"/>
  <c r="R860" i="196"/>
  <c r="Y860" i="196" s="1"/>
  <c r="R781" i="196"/>
  <c r="Y781" i="196" s="1"/>
  <c r="R782" i="196"/>
  <c r="Y782" i="196" s="1"/>
  <c r="R783" i="196"/>
  <c r="Y783" i="196" s="1"/>
  <c r="R784" i="196"/>
  <c r="Y784" i="196" s="1"/>
  <c r="R880" i="196"/>
  <c r="Y880" i="196" s="1"/>
  <c r="R295" i="196"/>
  <c r="Y295" i="196" s="1"/>
  <c r="R787" i="196"/>
  <c r="Y787" i="196" s="1"/>
  <c r="R884" i="196"/>
  <c r="Y884" i="196" s="1"/>
  <c r="R789" i="196"/>
  <c r="Y789" i="196" s="1"/>
  <c r="R629" i="196"/>
  <c r="Y629" i="196" s="1"/>
  <c r="R791" i="196"/>
  <c r="Y791" i="196" s="1"/>
  <c r="R792" i="196"/>
  <c r="Y792" i="196" s="1"/>
  <c r="R793" i="196"/>
  <c r="Y793" i="196" s="1"/>
  <c r="R635" i="196"/>
  <c r="Y635" i="196" s="1"/>
  <c r="R795" i="196"/>
  <c r="Y795" i="196" s="1"/>
  <c r="R796" i="196"/>
  <c r="Y796" i="196" s="1"/>
  <c r="R886" i="196"/>
  <c r="Y886" i="196" s="1"/>
  <c r="R798" i="196"/>
  <c r="Y798" i="196" s="1"/>
  <c r="R888" i="196"/>
  <c r="Y888" i="196" s="1"/>
  <c r="R800" i="196"/>
  <c r="Y800" i="196" s="1"/>
  <c r="R302" i="196"/>
  <c r="Y302" i="196" s="1"/>
  <c r="R802" i="196"/>
  <c r="Y802" i="196" s="1"/>
  <c r="R803" i="196"/>
  <c r="Y803" i="196" s="1"/>
  <c r="R804" i="196"/>
  <c r="Y804" i="196" s="1"/>
  <c r="R805" i="196"/>
  <c r="Y805" i="196" s="1"/>
  <c r="R806" i="196"/>
  <c r="Y806" i="196" s="1"/>
  <c r="R807" i="196"/>
  <c r="Y807" i="196" s="1"/>
  <c r="R808" i="196"/>
  <c r="Y808" i="196" s="1"/>
  <c r="R809" i="196"/>
  <c r="Y809" i="196" s="1"/>
  <c r="R889" i="196"/>
  <c r="Y889" i="196" s="1"/>
  <c r="R811" i="196"/>
  <c r="Y811" i="196" s="1"/>
  <c r="R812" i="196"/>
  <c r="Y812" i="196" s="1"/>
  <c r="R813" i="196"/>
  <c r="Y813" i="196" s="1"/>
  <c r="R814" i="196"/>
  <c r="Y814" i="196" s="1"/>
  <c r="R891" i="196"/>
  <c r="Y891" i="196" s="1"/>
  <c r="R816" i="196"/>
  <c r="Y816" i="196" s="1"/>
  <c r="R817" i="196"/>
  <c r="Y817" i="196" s="1"/>
  <c r="R898" i="196"/>
  <c r="Y898" i="196" s="1"/>
  <c r="R819" i="196"/>
  <c r="Y819" i="196" s="1"/>
  <c r="R820" i="196"/>
  <c r="Y820" i="196" s="1"/>
  <c r="R232" i="196"/>
  <c r="Y232" i="196" s="1"/>
  <c r="R906" i="196"/>
  <c r="Y906" i="196" s="1"/>
  <c r="R823" i="196"/>
  <c r="Y823" i="196" s="1"/>
  <c r="R824" i="196"/>
  <c r="Y824" i="196" s="1"/>
  <c r="R825" i="196"/>
  <c r="Y825" i="196" s="1"/>
  <c r="R826" i="196"/>
  <c r="Y826" i="196" s="1"/>
  <c r="R827" i="196"/>
  <c r="Y827" i="196" s="1"/>
  <c r="R828" i="196"/>
  <c r="Y828" i="196" s="1"/>
  <c r="R829" i="196"/>
  <c r="Y829" i="196" s="1"/>
  <c r="R830" i="196"/>
  <c r="Y830" i="196" s="1"/>
  <c r="R831" i="196"/>
  <c r="Y831" i="196" s="1"/>
  <c r="R832" i="196"/>
  <c r="Y832" i="196" s="1"/>
  <c r="R833" i="196"/>
  <c r="Y833" i="196" s="1"/>
  <c r="R834" i="196"/>
  <c r="Y834" i="196" s="1"/>
  <c r="R835" i="196"/>
  <c r="Y835" i="196" s="1"/>
  <c r="R233" i="196"/>
  <c r="Y233" i="196" s="1"/>
  <c r="R837" i="196"/>
  <c r="Y837" i="196" s="1"/>
  <c r="R838" i="196"/>
  <c r="Y838" i="196" s="1"/>
  <c r="R907" i="196"/>
  <c r="Y907" i="196" s="1"/>
  <c r="R840" i="196"/>
  <c r="Y840" i="196" s="1"/>
  <c r="R908" i="196"/>
  <c r="Y908" i="196" s="1"/>
  <c r="R636" i="196"/>
  <c r="Y636" i="196" s="1"/>
  <c r="R843" i="196"/>
  <c r="Y843" i="196" s="1"/>
  <c r="R844" i="196"/>
  <c r="Y844" i="196" s="1"/>
  <c r="R845" i="196"/>
  <c r="Y845" i="196" s="1"/>
  <c r="R846" i="196"/>
  <c r="Y846" i="196" s="1"/>
  <c r="R303" i="196"/>
  <c r="Y303" i="196" s="1"/>
  <c r="R318" i="196"/>
  <c r="Y318" i="196" s="1"/>
  <c r="R909" i="196"/>
  <c r="Y909" i="196" s="1"/>
  <c r="R911" i="196"/>
  <c r="Y911" i="196" s="1"/>
  <c r="R851" i="196"/>
  <c r="Y851" i="196" s="1"/>
  <c r="R852" i="196"/>
  <c r="Y852" i="196" s="1"/>
  <c r="R646" i="196"/>
  <c r="Y646" i="196" s="1"/>
  <c r="R235" i="196"/>
  <c r="Y235" i="196" s="1"/>
  <c r="R915" i="196"/>
  <c r="Y915" i="196" s="1"/>
  <c r="R650" i="196"/>
  <c r="Y650" i="196" s="1"/>
  <c r="R857" i="196"/>
  <c r="Y857" i="196" s="1"/>
  <c r="R858" i="196"/>
  <c r="Y858" i="196" s="1"/>
  <c r="R859" i="196"/>
  <c r="Y859" i="196" s="1"/>
  <c r="R236" i="196"/>
  <c r="Y236" i="196" s="1"/>
  <c r="R861" i="196"/>
  <c r="Y861" i="196" s="1"/>
  <c r="R862" i="196"/>
  <c r="Y862" i="196" s="1"/>
  <c r="R863" i="196"/>
  <c r="Y863" i="196" s="1"/>
  <c r="R864" i="196"/>
  <c r="Y864" i="196" s="1"/>
  <c r="R865" i="196"/>
  <c r="Y865" i="196" s="1"/>
  <c r="R866" i="196"/>
  <c r="Y866" i="196" s="1"/>
  <c r="R867" i="196"/>
  <c r="Y867" i="196" s="1"/>
  <c r="R868" i="196"/>
  <c r="Y868" i="196" s="1"/>
  <c r="R869" i="196"/>
  <c r="Y869" i="196" s="1"/>
  <c r="R870" i="196"/>
  <c r="Y870" i="196" s="1"/>
  <c r="R871" i="196"/>
  <c r="Y871" i="196" s="1"/>
  <c r="R872" i="196"/>
  <c r="Y872" i="196" s="1"/>
  <c r="R873" i="196"/>
  <c r="Y873" i="196" s="1"/>
  <c r="R874" i="196"/>
  <c r="Y874" i="196" s="1"/>
  <c r="R875" i="196"/>
  <c r="Y875" i="196" s="1"/>
  <c r="R876" i="196"/>
  <c r="Y876" i="196" s="1"/>
  <c r="R877" i="196"/>
  <c r="Y877" i="196" s="1"/>
  <c r="R878" i="196"/>
  <c r="Y878" i="196" s="1"/>
  <c r="R879" i="196"/>
  <c r="Y879" i="196" s="1"/>
  <c r="R916" i="196"/>
  <c r="Y916" i="196" s="1"/>
  <c r="R881" i="196"/>
  <c r="Y881" i="196" s="1"/>
  <c r="R882" i="196"/>
  <c r="Y882" i="196" s="1"/>
  <c r="R883" i="196"/>
  <c r="Y883" i="196" s="1"/>
  <c r="R237" i="196"/>
  <c r="Y237" i="196" s="1"/>
  <c r="R885" i="196"/>
  <c r="Y885" i="196" s="1"/>
  <c r="R190" i="196"/>
  <c r="Y190" i="196" s="1"/>
  <c r="R887" i="196"/>
  <c r="Y887" i="196" s="1"/>
  <c r="R319" i="196"/>
  <c r="Y319" i="196" s="1"/>
  <c r="R651" i="196"/>
  <c r="Y651" i="196" s="1"/>
  <c r="R890" i="196"/>
  <c r="Y890" i="196" s="1"/>
  <c r="R918" i="196"/>
  <c r="Y918" i="196" s="1"/>
  <c r="R892" i="196"/>
  <c r="Y892" i="196" s="1"/>
  <c r="R893" i="196"/>
  <c r="Y893" i="196" s="1"/>
  <c r="R894" i="196"/>
  <c r="Y894" i="196" s="1"/>
  <c r="R895" i="196"/>
  <c r="Y895" i="196" s="1"/>
  <c r="R896" i="196"/>
  <c r="Y896" i="196" s="1"/>
  <c r="R897" i="196"/>
  <c r="Y897" i="196" s="1"/>
  <c r="R1083" i="196"/>
  <c r="Y1083" i="196" s="1"/>
  <c r="R899" i="196"/>
  <c r="Y899" i="196" s="1"/>
  <c r="R900" i="196"/>
  <c r="Y900" i="196" s="1"/>
  <c r="R901" i="196"/>
  <c r="Y901" i="196" s="1"/>
  <c r="R902" i="196"/>
  <c r="Y902" i="196" s="1"/>
  <c r="R903" i="196"/>
  <c r="Y903" i="196" s="1"/>
  <c r="R904" i="196"/>
  <c r="Y904" i="196" s="1"/>
  <c r="R905" i="196"/>
  <c r="Y905" i="196" s="1"/>
  <c r="R321" i="196"/>
  <c r="Y321" i="196" s="1"/>
  <c r="R655" i="196"/>
  <c r="Y655" i="196" s="1"/>
  <c r="R656" i="196"/>
  <c r="Y656" i="196" s="1"/>
  <c r="R658" i="196"/>
  <c r="Y658" i="196" s="1"/>
  <c r="R910" i="196"/>
  <c r="Y910" i="196" s="1"/>
  <c r="R322" i="196"/>
  <c r="Y322" i="196" s="1"/>
  <c r="R912" i="196"/>
  <c r="Y912" i="196" s="1"/>
  <c r="R913" i="196"/>
  <c r="Y913" i="196" s="1"/>
  <c r="R914" i="196"/>
  <c r="Y914" i="196" s="1"/>
  <c r="R919" i="196"/>
  <c r="Y919" i="196" s="1"/>
  <c r="R242" i="196"/>
  <c r="Y242" i="196" s="1"/>
  <c r="R917" i="196"/>
  <c r="Y917" i="196" s="1"/>
  <c r="R920" i="196"/>
  <c r="Y920" i="196" s="1"/>
  <c r="R243" i="196"/>
  <c r="Y243" i="196" s="1"/>
  <c r="R925" i="196"/>
  <c r="Y925" i="196" s="1"/>
  <c r="R921" i="196"/>
  <c r="Y921" i="196" s="1"/>
  <c r="R922" i="196"/>
  <c r="Y922" i="196" s="1"/>
  <c r="R923" i="196"/>
  <c r="Y923" i="196" s="1"/>
  <c r="R924" i="196"/>
  <c r="Y924" i="196" s="1"/>
  <c r="R926" i="196"/>
  <c r="Y926" i="196" s="1"/>
  <c r="R932" i="196"/>
  <c r="Y932" i="196" s="1"/>
  <c r="R927" i="196"/>
  <c r="Y927" i="196" s="1"/>
  <c r="R928" i="196"/>
  <c r="Y928" i="196" s="1"/>
  <c r="R929" i="196"/>
  <c r="Y929" i="196" s="1"/>
  <c r="R930" i="196"/>
  <c r="Y930" i="196" s="1"/>
  <c r="R931" i="196"/>
  <c r="Y931" i="196" s="1"/>
  <c r="R245" i="196"/>
  <c r="Y245" i="196" s="1"/>
  <c r="R933" i="196"/>
  <c r="Y933" i="196" s="1"/>
  <c r="R934" i="196"/>
  <c r="Y934" i="196" s="1"/>
  <c r="R663" i="196"/>
  <c r="Y663" i="196" s="1"/>
  <c r="R935" i="196"/>
  <c r="Y935" i="196" s="1"/>
  <c r="R936" i="196"/>
  <c r="Y936" i="196" s="1"/>
  <c r="R937" i="196"/>
  <c r="Y937" i="196" s="1"/>
  <c r="R938" i="196"/>
  <c r="Y938" i="196" s="1"/>
  <c r="R939" i="196"/>
  <c r="Y939" i="196" s="1"/>
  <c r="R940" i="196"/>
  <c r="Y940" i="196" s="1"/>
  <c r="R941" i="196"/>
  <c r="Y941" i="196" s="1"/>
  <c r="R942" i="196"/>
  <c r="Y942" i="196" s="1"/>
  <c r="R943" i="196"/>
  <c r="Y943" i="196" s="1"/>
  <c r="R944" i="196"/>
  <c r="Y944" i="196" s="1"/>
  <c r="R945" i="196"/>
  <c r="Y945" i="196" s="1"/>
  <c r="R946" i="196"/>
  <c r="Y946" i="196" s="1"/>
  <c r="R947" i="196"/>
  <c r="Y947" i="196" s="1"/>
  <c r="R948" i="196"/>
  <c r="Y948" i="196" s="1"/>
  <c r="R949" i="196"/>
  <c r="Y949" i="196" s="1"/>
  <c r="R950" i="196"/>
  <c r="Y950" i="196" s="1"/>
  <c r="R951" i="196"/>
  <c r="Y951" i="196" s="1"/>
  <c r="R952" i="196"/>
  <c r="Y952" i="196" s="1"/>
  <c r="R953" i="196"/>
  <c r="Y953" i="196" s="1"/>
  <c r="R954" i="196"/>
  <c r="Y954" i="196" s="1"/>
  <c r="R955" i="196"/>
  <c r="Y955" i="196" s="1"/>
  <c r="R956" i="196"/>
  <c r="Y956" i="196" s="1"/>
  <c r="R957" i="196"/>
  <c r="Y957" i="196" s="1"/>
  <c r="R958" i="196"/>
  <c r="Y958" i="196" s="1"/>
  <c r="R959" i="196"/>
  <c r="Y959" i="196" s="1"/>
  <c r="R960" i="196"/>
  <c r="Y960" i="196" s="1"/>
  <c r="R341" i="196"/>
  <c r="Y341" i="196" s="1"/>
  <c r="R962" i="196"/>
  <c r="Y962" i="196" s="1"/>
  <c r="R963" i="196"/>
  <c r="Y963" i="196" s="1"/>
  <c r="R964" i="196"/>
  <c r="Y964" i="196" s="1"/>
  <c r="R965" i="196"/>
  <c r="Y965" i="196" s="1"/>
  <c r="R966" i="196"/>
  <c r="Y966" i="196" s="1"/>
  <c r="R967" i="196"/>
  <c r="Y967" i="196" s="1"/>
  <c r="R968" i="196"/>
  <c r="Y968" i="196" s="1"/>
  <c r="R969" i="196"/>
  <c r="Y969" i="196" s="1"/>
  <c r="R970" i="196"/>
  <c r="Y970" i="196" s="1"/>
  <c r="R971" i="196"/>
  <c r="Y971" i="196" s="1"/>
  <c r="R972" i="196"/>
  <c r="Y972" i="196" s="1"/>
  <c r="R973" i="196"/>
  <c r="Y973" i="196" s="1"/>
  <c r="R974" i="196"/>
  <c r="Y974" i="196" s="1"/>
  <c r="R975" i="196"/>
  <c r="Y975" i="196" s="1"/>
  <c r="R976" i="196"/>
  <c r="Y976" i="196" s="1"/>
  <c r="R977" i="196"/>
  <c r="Y977" i="196" s="1"/>
  <c r="R978" i="196"/>
  <c r="Y978" i="196" s="1"/>
  <c r="R979" i="196"/>
  <c r="Y979" i="196" s="1"/>
  <c r="R980" i="196"/>
  <c r="Y980" i="196" s="1"/>
  <c r="R981" i="196"/>
  <c r="Y981" i="196" s="1"/>
  <c r="R982" i="196"/>
  <c r="Y982" i="196" s="1"/>
  <c r="R983" i="196"/>
  <c r="Y983" i="196" s="1"/>
  <c r="R984" i="196"/>
  <c r="Y984" i="196" s="1"/>
  <c r="R985" i="196"/>
  <c r="Y985" i="196" s="1"/>
  <c r="R986" i="196"/>
  <c r="Y986" i="196" s="1"/>
  <c r="R987" i="196"/>
  <c r="Y987" i="196" s="1"/>
  <c r="R988" i="196"/>
  <c r="Y988" i="196" s="1"/>
  <c r="R989" i="196"/>
  <c r="Y989" i="196" s="1"/>
  <c r="R990" i="196"/>
  <c r="Y990" i="196" s="1"/>
  <c r="R991" i="196"/>
  <c r="Y991" i="196" s="1"/>
  <c r="R992" i="196"/>
  <c r="Y992" i="196" s="1"/>
  <c r="R993" i="196"/>
  <c r="Y993" i="196" s="1"/>
  <c r="R994" i="196"/>
  <c r="Y994" i="196" s="1"/>
  <c r="R995" i="196"/>
  <c r="Y995" i="196" s="1"/>
  <c r="R996" i="196"/>
  <c r="Y996" i="196" s="1"/>
  <c r="R997" i="196"/>
  <c r="Y997" i="196" s="1"/>
  <c r="R998" i="196"/>
  <c r="Y998" i="196" s="1"/>
  <c r="R999" i="196"/>
  <c r="Y999" i="196" s="1"/>
  <c r="R1000" i="196"/>
  <c r="Y1000" i="196" s="1"/>
  <c r="R1001" i="196"/>
  <c r="Y1001" i="196" s="1"/>
  <c r="R1002" i="196"/>
  <c r="Y1002" i="196" s="1"/>
  <c r="R1003" i="196"/>
  <c r="Y1003" i="196" s="1"/>
  <c r="R1004" i="196"/>
  <c r="Y1004" i="196" s="1"/>
  <c r="R1005" i="196"/>
  <c r="Y1005" i="196" s="1"/>
  <c r="R1006" i="196"/>
  <c r="Y1006" i="196" s="1"/>
  <c r="R1007" i="196"/>
  <c r="Y1007" i="196" s="1"/>
  <c r="R1008" i="196"/>
  <c r="Y1008" i="196" s="1"/>
  <c r="R1009" i="196"/>
  <c r="Y1009" i="196" s="1"/>
  <c r="R1010" i="196"/>
  <c r="Y1010" i="196" s="1"/>
  <c r="R1011" i="196"/>
  <c r="Y1011" i="196" s="1"/>
  <c r="R1012" i="196"/>
  <c r="Y1012" i="196" s="1"/>
  <c r="R1013" i="196"/>
  <c r="Y1013" i="196" s="1"/>
  <c r="R1014" i="196"/>
  <c r="Y1014" i="196" s="1"/>
  <c r="R1015" i="196"/>
  <c r="Y1015" i="196" s="1"/>
  <c r="R1016" i="196"/>
  <c r="Y1016" i="196" s="1"/>
  <c r="R1017" i="196"/>
  <c r="Y1017" i="196" s="1"/>
  <c r="R1018" i="196"/>
  <c r="Y1018" i="196" s="1"/>
  <c r="R1019" i="196"/>
  <c r="Y1019" i="196" s="1"/>
  <c r="R1020" i="196"/>
  <c r="Y1020" i="196" s="1"/>
  <c r="R1021" i="196"/>
  <c r="Y1021" i="196" s="1"/>
  <c r="R1022" i="196"/>
  <c r="Y1022" i="196" s="1"/>
  <c r="R1023" i="196"/>
  <c r="Y1023" i="196" s="1"/>
  <c r="R1024" i="196"/>
  <c r="Y1024" i="196" s="1"/>
  <c r="R1025" i="196"/>
  <c r="Y1025" i="196" s="1"/>
  <c r="R1026" i="196"/>
  <c r="Y1026" i="196" s="1"/>
  <c r="R1027" i="196"/>
  <c r="Y1027" i="196" s="1"/>
  <c r="R1028" i="196"/>
  <c r="Y1028" i="196" s="1"/>
  <c r="R1029" i="196"/>
  <c r="Y1029" i="196" s="1"/>
  <c r="R1030" i="196"/>
  <c r="Y1030" i="196" s="1"/>
  <c r="R1031" i="196"/>
  <c r="Y1031" i="196" s="1"/>
  <c r="R1032" i="196"/>
  <c r="Y1032" i="196" s="1"/>
  <c r="R1033" i="196"/>
  <c r="Y1033" i="196" s="1"/>
  <c r="R1034" i="196"/>
  <c r="Y1034" i="196" s="1"/>
  <c r="R1035" i="196"/>
  <c r="Y1035" i="196" s="1"/>
  <c r="R1036" i="196"/>
  <c r="Y1036" i="196" s="1"/>
  <c r="R1037" i="196"/>
  <c r="Y1037" i="196" s="1"/>
  <c r="R1038" i="196"/>
  <c r="Y1038" i="196" s="1"/>
  <c r="R1039" i="196"/>
  <c r="Y1039" i="196" s="1"/>
  <c r="R1040" i="196"/>
  <c r="Y1040" i="196" s="1"/>
  <c r="R1041" i="196"/>
  <c r="Y1041" i="196" s="1"/>
  <c r="R1042" i="196"/>
  <c r="Y1042" i="196" s="1"/>
  <c r="R1043" i="196"/>
  <c r="Y1043" i="196" s="1"/>
  <c r="R1044" i="196"/>
  <c r="Y1044" i="196" s="1"/>
  <c r="R1045" i="196"/>
  <c r="Y1045" i="196" s="1"/>
  <c r="R1046" i="196"/>
  <c r="Y1046" i="196" s="1"/>
  <c r="R1047" i="196"/>
  <c r="Y1047" i="196" s="1"/>
  <c r="R1048" i="196"/>
  <c r="Y1048" i="196" s="1"/>
  <c r="R1049" i="196"/>
  <c r="Y1049" i="196" s="1"/>
  <c r="R1050" i="196"/>
  <c r="Y1050" i="196" s="1"/>
  <c r="R1051" i="196"/>
  <c r="Y1051" i="196" s="1"/>
  <c r="R1052" i="196"/>
  <c r="Y1052" i="196" s="1"/>
  <c r="R1053" i="196"/>
  <c r="Y1053" i="196" s="1"/>
  <c r="R1054" i="196"/>
  <c r="Y1054" i="196" s="1"/>
  <c r="R1055" i="196"/>
  <c r="Y1055" i="196" s="1"/>
  <c r="R1056" i="196"/>
  <c r="Y1056" i="196" s="1"/>
  <c r="R1057" i="196"/>
  <c r="Y1057" i="196" s="1"/>
  <c r="R1058" i="196"/>
  <c r="Y1058" i="196" s="1"/>
  <c r="R1059" i="196"/>
  <c r="Y1059" i="196" s="1"/>
  <c r="R1060" i="196"/>
  <c r="Y1060" i="196" s="1"/>
  <c r="R1061" i="196"/>
  <c r="Y1061" i="196" s="1"/>
  <c r="R1062" i="196"/>
  <c r="Y1062" i="196" s="1"/>
  <c r="R1063" i="196"/>
  <c r="Y1063" i="196" s="1"/>
  <c r="R1064" i="196"/>
  <c r="Y1064" i="196" s="1"/>
  <c r="R1065" i="196"/>
  <c r="Y1065" i="196" s="1"/>
  <c r="R1066" i="196"/>
  <c r="Y1066" i="196" s="1"/>
  <c r="R1067" i="196"/>
  <c r="Y1067" i="196" s="1"/>
  <c r="R1068" i="196"/>
  <c r="Y1068" i="196" s="1"/>
  <c r="R1069" i="196"/>
  <c r="Y1069" i="196" s="1"/>
  <c r="R1070" i="196"/>
  <c r="Y1070" i="196" s="1"/>
  <c r="R1071" i="196"/>
  <c r="Y1071" i="196" s="1"/>
  <c r="R1072" i="196"/>
  <c r="Y1072" i="196" s="1"/>
  <c r="R1073" i="196"/>
  <c r="Y1073" i="196" s="1"/>
  <c r="R1074" i="196"/>
  <c r="Y1074" i="196" s="1"/>
  <c r="R1075" i="196"/>
  <c r="Y1075" i="196" s="1"/>
  <c r="R1076" i="196"/>
  <c r="Y1076" i="196" s="1"/>
  <c r="R1077" i="196"/>
  <c r="Y1077" i="196" s="1"/>
  <c r="R1078" i="196"/>
  <c r="Y1078" i="196" s="1"/>
  <c r="R1079" i="196"/>
  <c r="Y1079" i="196" s="1"/>
  <c r="R1080" i="196"/>
  <c r="Y1080" i="196" s="1"/>
  <c r="R1081" i="196"/>
  <c r="Y1081" i="196" s="1"/>
  <c r="R1082" i="196"/>
  <c r="Y1082" i="196" s="1"/>
  <c r="R1084" i="196"/>
  <c r="Y1084" i="196" s="1"/>
  <c r="R1085" i="196"/>
  <c r="Y1085" i="196" s="1"/>
  <c r="R1086" i="196"/>
  <c r="Y1086" i="196" s="1"/>
  <c r="R1087" i="196"/>
  <c r="Y1087" i="196" s="1"/>
  <c r="R1088" i="196"/>
  <c r="Y1088" i="196" s="1"/>
  <c r="R1089" i="196"/>
  <c r="Y1089" i="196" s="1"/>
  <c r="R1090" i="196"/>
  <c r="Y1090" i="196" s="1"/>
  <c r="R1091" i="196"/>
  <c r="Y1091" i="196" s="1"/>
  <c r="R1092" i="196"/>
  <c r="Y1092" i="196" s="1"/>
  <c r="R1093" i="196"/>
  <c r="Y1093" i="196" s="1"/>
  <c r="R1094" i="196"/>
  <c r="Y1094" i="196" s="1"/>
  <c r="R1095" i="196"/>
  <c r="Y1095" i="196" s="1"/>
  <c r="R1096" i="196"/>
  <c r="Y1096" i="196" s="1"/>
  <c r="R1097" i="196"/>
  <c r="Y1097" i="196" s="1"/>
  <c r="R1098" i="196"/>
  <c r="Y1098" i="196" s="1"/>
  <c r="R1099" i="196"/>
  <c r="Y1099" i="196" s="1"/>
  <c r="R1100" i="196"/>
  <c r="Y1100" i="196" s="1"/>
  <c r="R1101" i="196"/>
  <c r="Y1101" i="196" s="1"/>
  <c r="R1102" i="196"/>
  <c r="Y1102" i="196" s="1"/>
  <c r="R1103" i="196"/>
  <c r="Y1103" i="196" s="1"/>
  <c r="R1104" i="196"/>
  <c r="Y1104" i="196" s="1"/>
  <c r="R1105" i="196"/>
  <c r="Y1105" i="196" s="1"/>
  <c r="R1106" i="196"/>
  <c r="Y1106" i="196" s="1"/>
  <c r="R1107" i="196"/>
  <c r="Y1107" i="196" s="1"/>
  <c r="R1108" i="196"/>
  <c r="Y1108" i="196" s="1"/>
  <c r="R1109" i="196"/>
  <c r="Y1109" i="196" s="1"/>
  <c r="R1110" i="196"/>
  <c r="Y1110" i="196" s="1"/>
  <c r="R1111" i="196"/>
  <c r="Y1111" i="196" s="1"/>
  <c r="R1112" i="196"/>
  <c r="Y1112" i="196" s="1"/>
  <c r="R1113" i="196"/>
  <c r="Y1113" i="196" s="1"/>
  <c r="R1114" i="196"/>
  <c r="Y1114" i="196" s="1"/>
  <c r="R1115" i="196"/>
  <c r="Y1115" i="196" s="1"/>
  <c r="R1116" i="196"/>
  <c r="Y1116" i="196" s="1"/>
  <c r="R1117" i="196"/>
  <c r="Y1117" i="196" s="1"/>
  <c r="R1118" i="196"/>
  <c r="Y1118" i="196" s="1"/>
  <c r="R1119" i="196"/>
  <c r="Y1119" i="196" s="1"/>
  <c r="R1120" i="196"/>
  <c r="Y1120" i="196" s="1"/>
  <c r="R1121" i="196"/>
  <c r="Y1121" i="196" s="1"/>
  <c r="R1122" i="196"/>
  <c r="Y1122" i="196" s="1"/>
  <c r="R1123" i="196"/>
  <c r="Y1123" i="196" s="1"/>
  <c r="R1124" i="196"/>
  <c r="Y1124" i="196" s="1"/>
  <c r="R1125" i="196"/>
  <c r="Y1125" i="196" s="1"/>
  <c r="R1126" i="196"/>
  <c r="Y1126" i="196" s="1"/>
  <c r="R1127" i="196"/>
  <c r="Y1127" i="196" s="1"/>
  <c r="R1128" i="196"/>
  <c r="Y1128" i="196" s="1"/>
  <c r="R1129" i="196"/>
  <c r="Y1129" i="196" s="1"/>
  <c r="R1130" i="196"/>
  <c r="Y1130" i="196" s="1"/>
  <c r="R1131" i="196"/>
  <c r="Y1131" i="196" s="1"/>
  <c r="R1132" i="196"/>
  <c r="Y1132" i="196" s="1"/>
  <c r="R1133" i="196"/>
  <c r="Y1133" i="196" s="1"/>
  <c r="R1134" i="196"/>
  <c r="Y1134" i="196" s="1"/>
  <c r="R1135" i="196"/>
  <c r="Y1135" i="196" s="1"/>
  <c r="R1136" i="196"/>
  <c r="Y1136" i="196" s="1"/>
  <c r="R1137" i="196"/>
  <c r="Y1137" i="196" s="1"/>
  <c r="R1138" i="196"/>
  <c r="Y1138" i="196" s="1"/>
  <c r="R1139" i="196"/>
  <c r="Y1139" i="196" s="1"/>
  <c r="R1140" i="196"/>
  <c r="Y1140" i="196" s="1"/>
  <c r="R1141" i="196"/>
  <c r="Y1141" i="196" s="1"/>
  <c r="R1142" i="196"/>
  <c r="Y1142" i="196" s="1"/>
  <c r="R1143" i="196"/>
  <c r="Y1143" i="196" s="1"/>
  <c r="R1144" i="196"/>
  <c r="Y1144" i="196" s="1"/>
  <c r="R1145" i="196"/>
  <c r="Y1145" i="196" s="1"/>
  <c r="R1146" i="196"/>
  <c r="Y1146" i="196" s="1"/>
  <c r="R1147" i="196"/>
  <c r="Y1147" i="196" s="1"/>
  <c r="R1148" i="196"/>
  <c r="Y1148" i="196" s="1"/>
  <c r="R1149" i="196"/>
  <c r="Y1149" i="196" s="1"/>
  <c r="R1150" i="196"/>
  <c r="Y1150" i="196" s="1"/>
  <c r="R1151" i="196"/>
  <c r="Y1151" i="196" s="1"/>
  <c r="R1152" i="196"/>
  <c r="Y1152" i="196" s="1"/>
  <c r="R1153" i="196"/>
  <c r="Y1153" i="196" s="1"/>
  <c r="R1154" i="196"/>
  <c r="Y1154" i="196" s="1"/>
  <c r="R1155" i="196"/>
  <c r="Y1155" i="196" s="1"/>
  <c r="R1156" i="196"/>
  <c r="Y1156" i="196" s="1"/>
  <c r="R1157" i="196"/>
  <c r="Y1157" i="196" s="1"/>
  <c r="R1158" i="196"/>
  <c r="Y1158" i="196" s="1"/>
  <c r="R1159" i="196"/>
  <c r="Y1159" i="196" s="1"/>
  <c r="R1160" i="196"/>
  <c r="Y1160" i="196" s="1"/>
  <c r="R1161" i="196"/>
  <c r="Y1161" i="196" s="1"/>
  <c r="R1162" i="196"/>
  <c r="Y1162" i="196" s="1"/>
  <c r="R1163" i="196"/>
  <c r="Y1163" i="196" s="1"/>
  <c r="R1164" i="196"/>
  <c r="Y1164" i="196" s="1"/>
  <c r="R1165" i="196"/>
  <c r="Y1165" i="196" s="1"/>
  <c r="R1166" i="196"/>
  <c r="Y1166" i="196" s="1"/>
  <c r="R1167" i="196"/>
  <c r="Y1167" i="196" s="1"/>
  <c r="R1168" i="196"/>
  <c r="Y1168" i="196" s="1"/>
  <c r="R1169" i="196"/>
  <c r="Y1169" i="196" s="1"/>
  <c r="R1170" i="196"/>
  <c r="Y1170" i="196" s="1"/>
  <c r="R1171" i="196"/>
  <c r="Y1171" i="196" s="1"/>
  <c r="R1172" i="196"/>
  <c r="Y1172" i="196" s="1"/>
  <c r="R1173" i="196"/>
  <c r="Y1173" i="196" s="1"/>
  <c r="R1174" i="196"/>
  <c r="Y1174" i="196" s="1"/>
  <c r="R1175" i="196"/>
  <c r="Y1175" i="196" s="1"/>
  <c r="R1176" i="196"/>
  <c r="Y1176" i="196" s="1"/>
  <c r="R1177" i="196"/>
  <c r="Y1177" i="196" s="1"/>
  <c r="R1178" i="196"/>
  <c r="Y1178" i="196" s="1"/>
  <c r="R1179" i="196"/>
  <c r="Y1179" i="196" s="1"/>
  <c r="R1180" i="196"/>
  <c r="Y1180" i="196" s="1"/>
  <c r="R1181" i="196"/>
  <c r="Y1181" i="196" s="1"/>
  <c r="R1182" i="196"/>
  <c r="Y1182" i="196" s="1"/>
  <c r="R1183" i="196"/>
  <c r="Y1183" i="196" s="1"/>
  <c r="R1184" i="196"/>
  <c r="Y1184" i="196" s="1"/>
  <c r="R1185" i="196"/>
  <c r="Y1185" i="196" s="1"/>
  <c r="R1186" i="196"/>
  <c r="Y1186" i="196" s="1"/>
  <c r="R1187" i="196"/>
  <c r="Y1187" i="196" s="1"/>
  <c r="R1188" i="196"/>
  <c r="Y1188" i="196" s="1"/>
  <c r="R1189" i="196"/>
  <c r="Y1189" i="196" s="1"/>
  <c r="R1190" i="196"/>
  <c r="Y1190" i="196" s="1"/>
  <c r="R1191" i="196"/>
  <c r="Y1191" i="196" s="1"/>
  <c r="R1192" i="196"/>
  <c r="Y1192" i="196" s="1"/>
  <c r="R1193" i="196"/>
  <c r="Y1193" i="196" s="1"/>
  <c r="R1194" i="196"/>
  <c r="Y1194" i="196" s="1"/>
  <c r="R1195" i="196"/>
  <c r="Y1195" i="196" s="1"/>
  <c r="R1196" i="196"/>
  <c r="Y1196" i="196" s="1"/>
  <c r="R1197" i="196"/>
  <c r="Y1197" i="196" s="1"/>
  <c r="R1198" i="196"/>
  <c r="Y1198" i="196" s="1"/>
  <c r="R1199" i="196"/>
  <c r="Y1199" i="196" s="1"/>
  <c r="R1200" i="196"/>
  <c r="Y1200" i="196" s="1"/>
  <c r="R1201" i="196"/>
  <c r="Y1201" i="196" s="1"/>
  <c r="R1202" i="196"/>
  <c r="Y1202" i="196" s="1"/>
  <c r="R1203" i="196"/>
  <c r="Y1203" i="196" s="1"/>
  <c r="R1204" i="196"/>
  <c r="Y1204" i="196" s="1"/>
  <c r="R1205" i="196"/>
  <c r="Y1205" i="196" s="1"/>
  <c r="R1206" i="196"/>
  <c r="Y1206" i="196" s="1"/>
  <c r="R1207" i="196"/>
  <c r="Y1207" i="196" s="1"/>
  <c r="R1208" i="196"/>
  <c r="Y1208" i="196" s="1"/>
  <c r="R1209" i="196"/>
  <c r="Y1209" i="196" s="1"/>
  <c r="R1210" i="196"/>
  <c r="Y1210" i="196" s="1"/>
  <c r="R1211" i="196"/>
  <c r="Y1211" i="196" s="1"/>
  <c r="R1212" i="196"/>
  <c r="Y1212" i="196" s="1"/>
  <c r="R1213" i="196"/>
  <c r="Y1213" i="196" s="1"/>
  <c r="R1214" i="196"/>
  <c r="Y1214" i="196" s="1"/>
  <c r="R1215" i="196"/>
  <c r="Y1215" i="196" s="1"/>
  <c r="R1216" i="196"/>
  <c r="Y1216" i="196" s="1"/>
  <c r="R1217" i="196"/>
  <c r="Y1217" i="196" s="1"/>
  <c r="R1218" i="196"/>
  <c r="Y1218" i="196" s="1"/>
  <c r="R1219" i="196"/>
  <c r="Y1219" i="196" s="1"/>
  <c r="R1220" i="196"/>
  <c r="Y1220" i="196" s="1"/>
  <c r="R1221" i="196"/>
  <c r="Y1221" i="196" s="1"/>
  <c r="R1222" i="196"/>
  <c r="Y1222" i="196" s="1"/>
  <c r="R1223" i="196"/>
  <c r="Y1223" i="196" s="1"/>
  <c r="R1224" i="196"/>
  <c r="Y1224" i="196" s="1"/>
  <c r="R1225" i="196"/>
  <c r="Y1225" i="196" s="1"/>
  <c r="R1226" i="196"/>
  <c r="Y1226" i="196" s="1"/>
  <c r="R1227" i="196"/>
  <c r="Y1227" i="196" s="1"/>
  <c r="R1228" i="196"/>
  <c r="Y1228" i="196" s="1"/>
  <c r="R1229" i="196"/>
  <c r="Y1229" i="196" s="1"/>
  <c r="R1230" i="196"/>
  <c r="Y1230" i="196" s="1"/>
  <c r="R1231" i="196"/>
  <c r="Y1231" i="196" s="1"/>
  <c r="R1232" i="196"/>
  <c r="Y1232" i="196" s="1"/>
  <c r="R1233" i="196"/>
  <c r="Y1233" i="196" s="1"/>
  <c r="R1234" i="196"/>
  <c r="Y1234" i="196" s="1"/>
  <c r="R1235" i="196"/>
  <c r="Y1235" i="196" s="1"/>
  <c r="R1236" i="196"/>
  <c r="Y1236" i="196" s="1"/>
  <c r="R1237" i="196"/>
  <c r="Y1237" i="196" s="1"/>
  <c r="R1238" i="196"/>
  <c r="Y1238" i="196" s="1"/>
  <c r="R1239" i="196"/>
  <c r="Y1239" i="196" s="1"/>
  <c r="R1240" i="196"/>
  <c r="Y1240" i="196" s="1"/>
  <c r="R1241" i="196"/>
  <c r="Y1241" i="196" s="1"/>
  <c r="R1242" i="196"/>
  <c r="Y1242" i="196" s="1"/>
  <c r="R1243" i="196"/>
  <c r="Y1243" i="196" s="1"/>
  <c r="R1244" i="196"/>
  <c r="Y1244" i="196" s="1"/>
  <c r="R1245" i="196"/>
  <c r="Y1245" i="196" s="1"/>
  <c r="R1246" i="196"/>
  <c r="Y1246" i="196" s="1"/>
  <c r="R1247" i="196"/>
  <c r="Y1247" i="196" s="1"/>
  <c r="R1248" i="196"/>
  <c r="Y1248" i="196" s="1"/>
  <c r="R1249" i="196"/>
  <c r="Y1249" i="196" s="1"/>
  <c r="R1250" i="196"/>
  <c r="Y1250" i="196" s="1"/>
  <c r="R1251" i="196"/>
  <c r="Y1251" i="196" s="1"/>
  <c r="R1252" i="196"/>
  <c r="Y1252" i="196" s="1"/>
  <c r="R1253" i="196"/>
  <c r="Y1253" i="196" s="1"/>
  <c r="R1254" i="196"/>
  <c r="Y1254" i="196" s="1"/>
  <c r="R1255" i="196"/>
  <c r="Y1255" i="196" s="1"/>
  <c r="R1256" i="196"/>
  <c r="Y1256" i="196" s="1"/>
  <c r="R1257" i="196"/>
  <c r="Y1257" i="196" s="1"/>
  <c r="R1258" i="196"/>
  <c r="Y1258" i="196" s="1"/>
  <c r="R1259" i="196"/>
  <c r="Y1259" i="196" s="1"/>
  <c r="R1260" i="196"/>
  <c r="Y1260" i="196" s="1"/>
  <c r="R1261" i="196"/>
  <c r="Y1261" i="196" s="1"/>
  <c r="R1262" i="196"/>
  <c r="Y1262" i="196" s="1"/>
  <c r="R1263" i="196"/>
  <c r="Y1263" i="196" s="1"/>
  <c r="R1264" i="196"/>
  <c r="Y1264" i="196" s="1"/>
  <c r="R1265" i="196"/>
  <c r="Y1265" i="196" s="1"/>
  <c r="R1266" i="196"/>
  <c r="Y1266" i="196" s="1"/>
  <c r="R1267" i="196"/>
  <c r="Y1267" i="196" s="1"/>
  <c r="R1268" i="196"/>
  <c r="Y1268" i="196" s="1"/>
  <c r="R1269" i="196"/>
  <c r="Y1269" i="196" s="1"/>
  <c r="R1270" i="196"/>
  <c r="Y1270" i="196" s="1"/>
  <c r="R1271" i="196"/>
  <c r="Y1271" i="196" s="1"/>
  <c r="R1272" i="196"/>
  <c r="Y1272" i="196" s="1"/>
  <c r="R1273" i="196"/>
  <c r="Y1273" i="196" s="1"/>
  <c r="R1274" i="196"/>
  <c r="Y1274" i="196" s="1"/>
  <c r="R1275" i="196"/>
  <c r="Y1275" i="196" s="1"/>
  <c r="R1276" i="196"/>
  <c r="Y1276" i="196" s="1"/>
  <c r="P2" i="196"/>
  <c r="P14" i="196"/>
  <c r="P4" i="196"/>
  <c r="P172" i="196"/>
  <c r="P6" i="196"/>
  <c r="P7" i="196"/>
  <c r="P8" i="196"/>
  <c r="P9" i="196"/>
  <c r="P10" i="196"/>
  <c r="P174" i="196"/>
  <c r="P664" i="196"/>
  <c r="P13" i="196"/>
  <c r="P246" i="196"/>
  <c r="P164" i="196"/>
  <c r="P247" i="196"/>
  <c r="P17" i="196"/>
  <c r="P155" i="196"/>
  <c r="P138" i="196"/>
  <c r="P20" i="196"/>
  <c r="P21" i="196"/>
  <c r="P22" i="196"/>
  <c r="P23" i="196"/>
  <c r="P175" i="196"/>
  <c r="P25" i="196"/>
  <c r="P26" i="196"/>
  <c r="P27" i="196"/>
  <c r="P192" i="196"/>
  <c r="P343" i="196"/>
  <c r="P665" i="196"/>
  <c r="P31" i="196"/>
  <c r="P32" i="196"/>
  <c r="P33" i="196"/>
  <c r="P34" i="196"/>
  <c r="P35" i="196"/>
  <c r="P36" i="196"/>
  <c r="P37" i="196"/>
  <c r="P673" i="196"/>
  <c r="P193" i="196"/>
  <c r="P40" i="196"/>
  <c r="P41" i="196"/>
  <c r="P380" i="196"/>
  <c r="P43" i="196"/>
  <c r="P248" i="196"/>
  <c r="P45" i="196"/>
  <c r="P46" i="196"/>
  <c r="P47" i="196"/>
  <c r="P48" i="196"/>
  <c r="P49" i="196"/>
  <c r="P50" i="196"/>
  <c r="P51" i="196"/>
  <c r="P52" i="196"/>
  <c r="P53" i="196"/>
  <c r="P54" i="196"/>
  <c r="P55" i="196"/>
  <c r="P56" i="196"/>
  <c r="P57" i="196"/>
  <c r="P58" i="196"/>
  <c r="P59" i="196"/>
  <c r="P60" i="196"/>
  <c r="P61" i="196"/>
  <c r="P29" i="196"/>
  <c r="P110" i="196"/>
  <c r="P674" i="196"/>
  <c r="P675" i="196"/>
  <c r="P66" i="196"/>
  <c r="P67" i="196"/>
  <c r="P68" i="196"/>
  <c r="P69" i="196"/>
  <c r="P70" i="196"/>
  <c r="P71" i="196"/>
  <c r="P72" i="196"/>
  <c r="P73" i="196"/>
  <c r="P74" i="196"/>
  <c r="P75" i="196"/>
  <c r="P76" i="196"/>
  <c r="P77" i="196"/>
  <c r="P252" i="196"/>
  <c r="P676" i="196"/>
  <c r="P80" i="196"/>
  <c r="P81" i="196"/>
  <c r="P381" i="196"/>
  <c r="P677" i="196"/>
  <c r="P679" i="196"/>
  <c r="P85" i="196"/>
  <c r="P86" i="196"/>
  <c r="P253" i="196"/>
  <c r="P398" i="196"/>
  <c r="P194" i="196"/>
  <c r="P90" i="196"/>
  <c r="P91" i="196"/>
  <c r="P92" i="196"/>
  <c r="P93" i="196"/>
  <c r="P94" i="196"/>
  <c r="P681" i="196"/>
  <c r="P96" i="196"/>
  <c r="P97" i="196"/>
  <c r="P98" i="196"/>
  <c r="P682" i="196"/>
  <c r="P100" i="196"/>
  <c r="P399" i="196"/>
  <c r="P686" i="196"/>
  <c r="P687" i="196"/>
  <c r="P104" i="196"/>
  <c r="P105" i="196"/>
  <c r="P106" i="196"/>
  <c r="P107" i="196"/>
  <c r="P403" i="196"/>
  <c r="P258" i="196"/>
  <c r="P690" i="196"/>
  <c r="P111" i="196"/>
  <c r="P112" i="196"/>
  <c r="P113" i="196"/>
  <c r="P114" i="196"/>
  <c r="P693" i="196"/>
  <c r="P116" i="196"/>
  <c r="P117" i="196"/>
  <c r="P118" i="196"/>
  <c r="P405" i="196"/>
  <c r="P11" i="196"/>
  <c r="P15" i="196"/>
  <c r="P5" i="196"/>
  <c r="P16" i="196"/>
  <c r="P18" i="196"/>
  <c r="P30" i="196"/>
  <c r="P122" i="196"/>
  <c r="P698" i="196"/>
  <c r="P19" i="196"/>
  <c r="P129" i="196"/>
  <c r="P130" i="196"/>
  <c r="P131" i="196"/>
  <c r="P132" i="196"/>
  <c r="P133" i="196"/>
  <c r="P134" i="196"/>
  <c r="P699" i="196"/>
  <c r="P136" i="196"/>
  <c r="P165" i="196"/>
  <c r="P123" i="196"/>
  <c r="P38" i="196"/>
  <c r="P140" i="196"/>
  <c r="P141" i="196"/>
  <c r="P142" i="196"/>
  <c r="P143" i="196"/>
  <c r="P144" i="196"/>
  <c r="P195" i="196"/>
  <c r="P39" i="196"/>
  <c r="P700" i="196"/>
  <c r="P148" i="196"/>
  <c r="P149" i="196"/>
  <c r="P150" i="196"/>
  <c r="P267" i="196"/>
  <c r="P268" i="196"/>
  <c r="P701" i="196"/>
  <c r="P154" i="196"/>
  <c r="P407" i="196"/>
  <c r="P196" i="196"/>
  <c r="P115" i="196"/>
  <c r="P139" i="196"/>
  <c r="P159" i="196"/>
  <c r="P160" i="196"/>
  <c r="P161" i="196"/>
  <c r="P162" i="196"/>
  <c r="P156" i="196"/>
  <c r="P24" i="196"/>
  <c r="P42" i="196"/>
  <c r="P421" i="196"/>
  <c r="P707" i="196"/>
  <c r="P197" i="196"/>
  <c r="P44" i="196"/>
  <c r="P207" i="196"/>
  <c r="P171" i="196"/>
  <c r="P708" i="196"/>
  <c r="P173" i="196"/>
  <c r="P423" i="196"/>
  <c r="P62" i="196"/>
  <c r="P102" i="196"/>
  <c r="P145" i="196"/>
  <c r="P176" i="196"/>
  <c r="P425" i="196"/>
  <c r="P180" i="196"/>
  <c r="P124" i="196"/>
  <c r="P166" i="196"/>
  <c r="P183" i="196"/>
  <c r="P184" i="196"/>
  <c r="P185" i="196"/>
  <c r="P125" i="196"/>
  <c r="P146" i="196"/>
  <c r="P188" i="196"/>
  <c r="P189" i="196"/>
  <c r="P709" i="196"/>
  <c r="P191" i="196"/>
  <c r="P177" i="196"/>
  <c r="P135" i="196"/>
  <c r="P103" i="196"/>
  <c r="P157" i="196"/>
  <c r="P269" i="196"/>
  <c r="P178" i="196"/>
  <c r="P198" i="196"/>
  <c r="P199" i="196"/>
  <c r="P200" i="196"/>
  <c r="P201" i="196"/>
  <c r="P202" i="196"/>
  <c r="P203" i="196"/>
  <c r="P204" i="196"/>
  <c r="P205" i="196"/>
  <c r="P206" i="196"/>
  <c r="P270" i="196"/>
  <c r="P179" i="196"/>
  <c r="P158" i="196"/>
  <c r="P210" i="196"/>
  <c r="P211" i="196"/>
  <c r="P723" i="196"/>
  <c r="P213" i="196"/>
  <c r="P494" i="196"/>
  <c r="P725" i="196"/>
  <c r="P539" i="196"/>
  <c r="P271" i="196"/>
  <c r="P272" i="196"/>
  <c r="P219" i="196"/>
  <c r="P220" i="196"/>
  <c r="P221" i="196"/>
  <c r="P222" i="196"/>
  <c r="P223" i="196"/>
  <c r="P224" i="196"/>
  <c r="P126" i="196"/>
  <c r="P540" i="196"/>
  <c r="P759" i="196"/>
  <c r="P208" i="196"/>
  <c r="P541" i="196"/>
  <c r="P230" i="196"/>
  <c r="P231" i="196"/>
  <c r="P181" i="196"/>
  <c r="P63" i="196"/>
  <c r="P234" i="196"/>
  <c r="P64" i="196"/>
  <c r="P766" i="196"/>
  <c r="P774" i="196"/>
  <c r="P238" i="196"/>
  <c r="P239" i="196"/>
  <c r="P240" i="196"/>
  <c r="P241" i="196"/>
  <c r="P209" i="196"/>
  <c r="P212" i="196"/>
  <c r="P244" i="196"/>
  <c r="P548" i="196"/>
  <c r="P775" i="196"/>
  <c r="P214" i="196"/>
  <c r="P550" i="196"/>
  <c r="P249" i="196"/>
  <c r="P250" i="196"/>
  <c r="P251" i="196"/>
  <c r="P108" i="196"/>
  <c r="P119" i="196"/>
  <c r="P254" i="196"/>
  <c r="P255" i="196"/>
  <c r="P256" i="196"/>
  <c r="P257" i="196"/>
  <c r="P777" i="196"/>
  <c r="P259" i="196"/>
  <c r="P260" i="196"/>
  <c r="P261" i="196"/>
  <c r="P262" i="196"/>
  <c r="P263" i="196"/>
  <c r="P264" i="196"/>
  <c r="P265" i="196"/>
  <c r="P266" i="196"/>
  <c r="P560" i="196"/>
  <c r="P215" i="196"/>
  <c r="P216" i="196"/>
  <c r="P137" i="196"/>
  <c r="P273" i="196"/>
  <c r="P65" i="196"/>
  <c r="P12" i="196"/>
  <c r="P274" i="196"/>
  <c r="P275" i="196"/>
  <c r="P778" i="196"/>
  <c r="P277" i="196"/>
  <c r="P278" i="196"/>
  <c r="P279" i="196"/>
  <c r="P280" i="196"/>
  <c r="P281" i="196"/>
  <c r="P282" i="196"/>
  <c r="P276" i="196"/>
  <c r="P284" i="196"/>
  <c r="P78" i="196"/>
  <c r="P286" i="196"/>
  <c r="P287" i="196"/>
  <c r="P167" i="196"/>
  <c r="P79" i="196"/>
  <c r="P283" i="196"/>
  <c r="P120" i="196"/>
  <c r="P147" i="196"/>
  <c r="P82" i="196"/>
  <c r="P294" i="196"/>
  <c r="P779" i="196"/>
  <c r="P296" i="196"/>
  <c r="P297" i="196"/>
  <c r="P298" i="196"/>
  <c r="P299" i="196"/>
  <c r="P300" i="196"/>
  <c r="P301" i="196"/>
  <c r="P3" i="196"/>
  <c r="P217" i="196"/>
  <c r="P304" i="196"/>
  <c r="P305" i="196"/>
  <c r="P306" i="196"/>
  <c r="P307" i="196"/>
  <c r="P308" i="196"/>
  <c r="P309" i="196"/>
  <c r="P310" i="196"/>
  <c r="P311" i="196"/>
  <c r="P312" i="196"/>
  <c r="P313" i="196"/>
  <c r="P314" i="196"/>
  <c r="P315" i="196"/>
  <c r="P316" i="196"/>
  <c r="P317" i="196"/>
  <c r="P83" i="196"/>
  <c r="P168" i="196"/>
  <c r="P320" i="196"/>
  <c r="P567" i="196"/>
  <c r="P218" i="196"/>
  <c r="P323" i="196"/>
  <c r="P324" i="196"/>
  <c r="P325" i="196"/>
  <c r="P326" i="196"/>
  <c r="P327" i="196"/>
  <c r="P328" i="196"/>
  <c r="P329" i="196"/>
  <c r="P330" i="196"/>
  <c r="P331" i="196"/>
  <c r="P332" i="196"/>
  <c r="P333" i="196"/>
  <c r="P334" i="196"/>
  <c r="P335" i="196"/>
  <c r="P336" i="196"/>
  <c r="P337" i="196"/>
  <c r="P338" i="196"/>
  <c r="P339" i="196"/>
  <c r="P340" i="196"/>
  <c r="P127" i="196"/>
  <c r="P342" i="196"/>
  <c r="P285" i="196"/>
  <c r="P344" i="196"/>
  <c r="P345" i="196"/>
  <c r="P346" i="196"/>
  <c r="P347" i="196"/>
  <c r="P348" i="196"/>
  <c r="P349" i="196"/>
  <c r="P350" i="196"/>
  <c r="P351" i="196"/>
  <c r="P352" i="196"/>
  <c r="P353" i="196"/>
  <c r="P354" i="196"/>
  <c r="P355" i="196"/>
  <c r="P356" i="196"/>
  <c r="P357" i="196"/>
  <c r="P358" i="196"/>
  <c r="P359" i="196"/>
  <c r="P360" i="196"/>
  <c r="P361" i="196"/>
  <c r="P362" i="196"/>
  <c r="P363" i="196"/>
  <c r="P364" i="196"/>
  <c r="P365" i="196"/>
  <c r="P366" i="196"/>
  <c r="P367" i="196"/>
  <c r="P368" i="196"/>
  <c r="P369" i="196"/>
  <c r="P370" i="196"/>
  <c r="P371" i="196"/>
  <c r="P372" i="196"/>
  <c r="P373" i="196"/>
  <c r="P374" i="196"/>
  <c r="P375" i="196"/>
  <c r="P376" i="196"/>
  <c r="P377" i="196"/>
  <c r="P378" i="196"/>
  <c r="P379" i="196"/>
  <c r="P84" i="196"/>
  <c r="P780" i="196"/>
  <c r="P382" i="196"/>
  <c r="P383" i="196"/>
  <c r="P384" i="196"/>
  <c r="P385" i="196"/>
  <c r="P386" i="196"/>
  <c r="P387" i="196"/>
  <c r="P388" i="196"/>
  <c r="P389" i="196"/>
  <c r="P390" i="196"/>
  <c r="P391" i="196"/>
  <c r="P392" i="196"/>
  <c r="P393" i="196"/>
  <c r="P394" i="196"/>
  <c r="P395" i="196"/>
  <c r="P396" i="196"/>
  <c r="P397" i="196"/>
  <c r="P785" i="196"/>
  <c r="P586" i="196"/>
  <c r="P400" i="196"/>
  <c r="P401" i="196"/>
  <c r="P402" i="196"/>
  <c r="P588" i="196"/>
  <c r="P404" i="196"/>
  <c r="P786" i="196"/>
  <c r="P406" i="196"/>
  <c r="P589" i="196"/>
  <c r="P408" i="196"/>
  <c r="P409" i="196"/>
  <c r="P410" i="196"/>
  <c r="P411" i="196"/>
  <c r="P412" i="196"/>
  <c r="P413" i="196"/>
  <c r="P414" i="196"/>
  <c r="P415" i="196"/>
  <c r="P416" i="196"/>
  <c r="P417" i="196"/>
  <c r="P418" i="196"/>
  <c r="P419" i="196"/>
  <c r="P420" i="196"/>
  <c r="P788" i="196"/>
  <c r="P422" i="196"/>
  <c r="P163" i="196"/>
  <c r="P424" i="196"/>
  <c r="P590" i="196"/>
  <c r="P426" i="196"/>
  <c r="P427" i="196"/>
  <c r="P428" i="196"/>
  <c r="P429" i="196"/>
  <c r="P430" i="196"/>
  <c r="P431" i="196"/>
  <c r="P432" i="196"/>
  <c r="P433" i="196"/>
  <c r="P434" i="196"/>
  <c r="P435" i="196"/>
  <c r="P436" i="196"/>
  <c r="P437" i="196"/>
  <c r="P438" i="196"/>
  <c r="P439" i="196"/>
  <c r="P440" i="196"/>
  <c r="P441" i="196"/>
  <c r="P442" i="196"/>
  <c r="P443" i="196"/>
  <c r="P444" i="196"/>
  <c r="P445" i="196"/>
  <c r="P446" i="196"/>
  <c r="P447" i="196"/>
  <c r="P448" i="196"/>
  <c r="P449" i="196"/>
  <c r="P450" i="196"/>
  <c r="P451" i="196"/>
  <c r="P452" i="196"/>
  <c r="P453" i="196"/>
  <c r="P454" i="196"/>
  <c r="P455" i="196"/>
  <c r="P456" i="196"/>
  <c r="P457" i="196"/>
  <c r="P458" i="196"/>
  <c r="P459" i="196"/>
  <c r="P460" i="196"/>
  <c r="P461" i="196"/>
  <c r="P462" i="196"/>
  <c r="P463" i="196"/>
  <c r="P464" i="196"/>
  <c r="P465" i="196"/>
  <c r="P466" i="196"/>
  <c r="P467" i="196"/>
  <c r="P468" i="196"/>
  <c r="P469" i="196"/>
  <c r="P470" i="196"/>
  <c r="P471" i="196"/>
  <c r="P472" i="196"/>
  <c r="P473" i="196"/>
  <c r="P474" i="196"/>
  <c r="P475" i="196"/>
  <c r="P476" i="196"/>
  <c r="P477" i="196"/>
  <c r="P478" i="196"/>
  <c r="P479" i="196"/>
  <c r="P480" i="196"/>
  <c r="P481" i="196"/>
  <c r="P482" i="196"/>
  <c r="P483" i="196"/>
  <c r="P484" i="196"/>
  <c r="P485" i="196"/>
  <c r="P486" i="196"/>
  <c r="P487" i="196"/>
  <c r="P488" i="196"/>
  <c r="P489" i="196"/>
  <c r="P490" i="196"/>
  <c r="P491" i="196"/>
  <c r="P492" i="196"/>
  <c r="P493" i="196"/>
  <c r="P288" i="196"/>
  <c r="P495" i="196"/>
  <c r="P496" i="196"/>
  <c r="P497" i="196"/>
  <c r="P498" i="196"/>
  <c r="P499" i="196"/>
  <c r="P500" i="196"/>
  <c r="P501" i="196"/>
  <c r="P502" i="196"/>
  <c r="P503" i="196"/>
  <c r="P504" i="196"/>
  <c r="P505" i="196"/>
  <c r="P506" i="196"/>
  <c r="P507" i="196"/>
  <c r="P508" i="196"/>
  <c r="P509" i="196"/>
  <c r="P510" i="196"/>
  <c r="P511" i="196"/>
  <c r="P512" i="196"/>
  <c r="P513" i="196"/>
  <c r="P514" i="196"/>
  <c r="P515" i="196"/>
  <c r="P516" i="196"/>
  <c r="P517" i="196"/>
  <c r="P518" i="196"/>
  <c r="P519" i="196"/>
  <c r="P520" i="196"/>
  <c r="P521" i="196"/>
  <c r="P522" i="196"/>
  <c r="P523" i="196"/>
  <c r="P524" i="196"/>
  <c r="P525" i="196"/>
  <c r="P526" i="196"/>
  <c r="P527" i="196"/>
  <c r="P528" i="196"/>
  <c r="P529" i="196"/>
  <c r="P530" i="196"/>
  <c r="P531" i="196"/>
  <c r="P532" i="196"/>
  <c r="P533" i="196"/>
  <c r="P534" i="196"/>
  <c r="P535" i="196"/>
  <c r="P536" i="196"/>
  <c r="P537" i="196"/>
  <c r="P538" i="196"/>
  <c r="P169" i="196"/>
  <c r="P151" i="196"/>
  <c r="P790" i="196"/>
  <c r="P542" i="196"/>
  <c r="P543" i="196"/>
  <c r="P544" i="196"/>
  <c r="P545" i="196"/>
  <c r="P546" i="196"/>
  <c r="P547" i="196"/>
  <c r="P794" i="196"/>
  <c r="P549" i="196"/>
  <c r="P797" i="196"/>
  <c r="P551" i="196"/>
  <c r="P552" i="196"/>
  <c r="P553" i="196"/>
  <c r="P554" i="196"/>
  <c r="P555" i="196"/>
  <c r="P556" i="196"/>
  <c r="P557" i="196"/>
  <c r="P558" i="196"/>
  <c r="P559" i="196"/>
  <c r="P87" i="196"/>
  <c r="P561" i="196"/>
  <c r="P562" i="196"/>
  <c r="P563" i="196"/>
  <c r="P564" i="196"/>
  <c r="P565" i="196"/>
  <c r="P566" i="196"/>
  <c r="P799" i="196"/>
  <c r="P568" i="196"/>
  <c r="P569" i="196"/>
  <c r="P570" i="196"/>
  <c r="P571" i="196"/>
  <c r="P572" i="196"/>
  <c r="P573" i="196"/>
  <c r="P574" i="196"/>
  <c r="P575" i="196"/>
  <c r="P576" i="196"/>
  <c r="P577" i="196"/>
  <c r="P578" i="196"/>
  <c r="P579" i="196"/>
  <c r="P580" i="196"/>
  <c r="P581" i="196"/>
  <c r="P582" i="196"/>
  <c r="P583" i="196"/>
  <c r="P584" i="196"/>
  <c r="P585" i="196"/>
  <c r="P152" i="196"/>
  <c r="P587" i="196"/>
  <c r="P153" i="196"/>
  <c r="P128" i="196"/>
  <c r="P591" i="196"/>
  <c r="P289" i="196"/>
  <c r="P592" i="196"/>
  <c r="P593" i="196"/>
  <c r="P88" i="196"/>
  <c r="P595" i="196"/>
  <c r="P596" i="196"/>
  <c r="P89" i="196"/>
  <c r="P598" i="196"/>
  <c r="P599" i="196"/>
  <c r="P28" i="196"/>
  <c r="P601" i="196"/>
  <c r="P602" i="196"/>
  <c r="P603" i="196"/>
  <c r="P604" i="196"/>
  <c r="P605" i="196"/>
  <c r="P606" i="196"/>
  <c r="P607" i="196"/>
  <c r="P608" i="196"/>
  <c r="P609" i="196"/>
  <c r="P610" i="196"/>
  <c r="P611" i="196"/>
  <c r="P612" i="196"/>
  <c r="P613" i="196"/>
  <c r="P182" i="196"/>
  <c r="P801" i="196"/>
  <c r="P290" i="196"/>
  <c r="P109" i="196"/>
  <c r="P618" i="196"/>
  <c r="P95" i="196"/>
  <c r="P99" i="196"/>
  <c r="P121" i="196"/>
  <c r="P622" i="196"/>
  <c r="P623" i="196"/>
  <c r="P624" i="196"/>
  <c r="P170" i="196"/>
  <c r="P626" i="196"/>
  <c r="P594" i="196"/>
  <c r="P291" i="196"/>
  <c r="P597" i="196"/>
  <c r="P630" i="196"/>
  <c r="P631" i="196"/>
  <c r="P632" i="196"/>
  <c r="P633" i="196"/>
  <c r="P634" i="196"/>
  <c r="P810" i="196"/>
  <c r="P101" i="196"/>
  <c r="P637" i="196"/>
  <c r="P638" i="196"/>
  <c r="P639" i="196"/>
  <c r="P640" i="196"/>
  <c r="P641" i="196"/>
  <c r="P642" i="196"/>
  <c r="P643" i="196"/>
  <c r="P644" i="196"/>
  <c r="P645" i="196"/>
  <c r="P225" i="196"/>
  <c r="P647" i="196"/>
  <c r="P648" i="196"/>
  <c r="P649" i="196"/>
  <c r="P600" i="196"/>
  <c r="P815" i="196"/>
  <c r="P652" i="196"/>
  <c r="P653" i="196"/>
  <c r="P654" i="196"/>
  <c r="P186" i="196"/>
  <c r="P818" i="196"/>
  <c r="P657" i="196"/>
  <c r="P614" i="196"/>
  <c r="P659" i="196"/>
  <c r="P660" i="196"/>
  <c r="P661" i="196"/>
  <c r="P662" i="196"/>
  <c r="P821" i="196"/>
  <c r="P187" i="196"/>
  <c r="P615" i="196"/>
  <c r="P666" i="196"/>
  <c r="P667" i="196"/>
  <c r="P668" i="196"/>
  <c r="P669" i="196"/>
  <c r="P670" i="196"/>
  <c r="P671" i="196"/>
  <c r="P672" i="196"/>
  <c r="P822" i="196"/>
  <c r="P226" i="196"/>
  <c r="P616" i="196"/>
  <c r="P227" i="196"/>
  <c r="P617" i="196"/>
  <c r="P678" i="196"/>
  <c r="P836" i="196"/>
  <c r="P680" i="196"/>
  <c r="P839" i="196"/>
  <c r="P841" i="196"/>
  <c r="P683" i="196"/>
  <c r="P684" i="196"/>
  <c r="P685" i="196"/>
  <c r="P842" i="196"/>
  <c r="P847" i="196"/>
  <c r="P688" i="196"/>
  <c r="P689" i="196"/>
  <c r="P619" i="196"/>
  <c r="P691" i="196"/>
  <c r="P692" i="196"/>
  <c r="P848" i="196"/>
  <c r="P694" i="196"/>
  <c r="P695" i="196"/>
  <c r="P696" i="196"/>
  <c r="P697" i="196"/>
  <c r="P620" i="196"/>
  <c r="P849" i="196"/>
  <c r="P850" i="196"/>
  <c r="P621" i="196"/>
  <c r="P702" i="196"/>
  <c r="P703" i="196"/>
  <c r="P704" i="196"/>
  <c r="P705" i="196"/>
  <c r="P706" i="196"/>
  <c r="P853" i="196"/>
  <c r="P854" i="196"/>
  <c r="P961" i="196"/>
  <c r="P710" i="196"/>
  <c r="P711" i="196"/>
  <c r="P712" i="196"/>
  <c r="P713" i="196"/>
  <c r="P714" i="196"/>
  <c r="P715" i="196"/>
  <c r="P716" i="196"/>
  <c r="P717" i="196"/>
  <c r="P718" i="196"/>
  <c r="P719" i="196"/>
  <c r="P720" i="196"/>
  <c r="P721" i="196"/>
  <c r="P722" i="196"/>
  <c r="P855" i="196"/>
  <c r="P724" i="196"/>
  <c r="P625" i="196"/>
  <c r="P726" i="196"/>
  <c r="P727" i="196"/>
  <c r="P728" i="196"/>
  <c r="P729" i="196"/>
  <c r="P730" i="196"/>
  <c r="P731" i="196"/>
  <c r="P732" i="196"/>
  <c r="P733" i="196"/>
  <c r="P734" i="196"/>
  <c r="P735" i="196"/>
  <c r="P736" i="196"/>
  <c r="P737" i="196"/>
  <c r="P738" i="196"/>
  <c r="P739" i="196"/>
  <c r="P740" i="196"/>
  <c r="P741" i="196"/>
  <c r="P742" i="196"/>
  <c r="P743" i="196"/>
  <c r="P744" i="196"/>
  <c r="P745" i="196"/>
  <c r="P746" i="196"/>
  <c r="P747" i="196"/>
  <c r="P748" i="196"/>
  <c r="P749" i="196"/>
  <c r="P750" i="196"/>
  <c r="P751" i="196"/>
  <c r="P752" i="196"/>
  <c r="P753" i="196"/>
  <c r="P754" i="196"/>
  <c r="P755" i="196"/>
  <c r="P756" i="196"/>
  <c r="P757" i="196"/>
  <c r="P758" i="196"/>
  <c r="P228" i="196"/>
  <c r="P760" i="196"/>
  <c r="P761" i="196"/>
  <c r="P762" i="196"/>
  <c r="P763" i="196"/>
  <c r="P764" i="196"/>
  <c r="P765" i="196"/>
  <c r="P627" i="196"/>
  <c r="P767" i="196"/>
  <c r="P768" i="196"/>
  <c r="P769" i="196"/>
  <c r="P770" i="196"/>
  <c r="P771" i="196"/>
  <c r="P772" i="196"/>
  <c r="P773" i="196"/>
  <c r="P628" i="196"/>
  <c r="P856" i="196"/>
  <c r="P776" i="196"/>
  <c r="P229" i="196"/>
  <c r="P292" i="196"/>
  <c r="P293" i="196"/>
  <c r="P860" i="196"/>
  <c r="P781" i="196"/>
  <c r="P782" i="196"/>
  <c r="P783" i="196"/>
  <c r="P784" i="196"/>
  <c r="P880" i="196"/>
  <c r="P295" i="196"/>
  <c r="P787" i="196"/>
  <c r="P884" i="196"/>
  <c r="P789" i="196"/>
  <c r="P629" i="196"/>
  <c r="P791" i="196"/>
  <c r="P792" i="196"/>
  <c r="P793" i="196"/>
  <c r="P635" i="196"/>
  <c r="P795" i="196"/>
  <c r="P796" i="196"/>
  <c r="P886" i="196"/>
  <c r="P798" i="196"/>
  <c r="P888" i="196"/>
  <c r="P800" i="196"/>
  <c r="P302" i="196"/>
  <c r="P802" i="196"/>
  <c r="P803" i="196"/>
  <c r="P804" i="196"/>
  <c r="P805" i="196"/>
  <c r="P806" i="196"/>
  <c r="P807" i="196"/>
  <c r="P808" i="196"/>
  <c r="P809" i="196"/>
  <c r="P889" i="196"/>
  <c r="P811" i="196"/>
  <c r="P812" i="196"/>
  <c r="P813" i="196"/>
  <c r="P814" i="196"/>
  <c r="P891" i="196"/>
  <c r="P816" i="196"/>
  <c r="P817" i="196"/>
  <c r="P898" i="196"/>
  <c r="P819" i="196"/>
  <c r="P820" i="196"/>
  <c r="P232" i="196"/>
  <c r="P906" i="196"/>
  <c r="P823" i="196"/>
  <c r="P824" i="196"/>
  <c r="P825" i="196"/>
  <c r="P826" i="196"/>
  <c r="P827" i="196"/>
  <c r="P828" i="196"/>
  <c r="P829" i="196"/>
  <c r="P830" i="196"/>
  <c r="P831" i="196"/>
  <c r="P832" i="196"/>
  <c r="P833" i="196"/>
  <c r="P834" i="196"/>
  <c r="P835" i="196"/>
  <c r="P233" i="196"/>
  <c r="P837" i="196"/>
  <c r="P838" i="196"/>
  <c r="P907" i="196"/>
  <c r="P840" i="196"/>
  <c r="P908" i="196"/>
  <c r="P636" i="196"/>
  <c r="P843" i="196"/>
  <c r="P844" i="196"/>
  <c r="P845" i="196"/>
  <c r="P846" i="196"/>
  <c r="P303" i="196"/>
  <c r="P318" i="196"/>
  <c r="P909" i="196"/>
  <c r="P911" i="196"/>
  <c r="P851" i="196"/>
  <c r="P852" i="196"/>
  <c r="P646" i="196"/>
  <c r="P235" i="196"/>
  <c r="P915" i="196"/>
  <c r="P650" i="196"/>
  <c r="P857" i="196"/>
  <c r="P858" i="196"/>
  <c r="P859" i="196"/>
  <c r="P236" i="196"/>
  <c r="P861" i="196"/>
  <c r="P862" i="196"/>
  <c r="P863" i="196"/>
  <c r="P864" i="196"/>
  <c r="P865" i="196"/>
  <c r="P866" i="196"/>
  <c r="P867" i="196"/>
  <c r="P868" i="196"/>
  <c r="P869" i="196"/>
  <c r="P870" i="196"/>
  <c r="P871" i="196"/>
  <c r="P872" i="196"/>
  <c r="P873" i="196"/>
  <c r="P874" i="196"/>
  <c r="P875" i="196"/>
  <c r="P876" i="196"/>
  <c r="P877" i="196"/>
  <c r="P878" i="196"/>
  <c r="P879" i="196"/>
  <c r="P916" i="196"/>
  <c r="P881" i="196"/>
  <c r="P882" i="196"/>
  <c r="P883" i="196"/>
  <c r="P237" i="196"/>
  <c r="P885" i="196"/>
  <c r="P190" i="196"/>
  <c r="P887" i="196"/>
  <c r="P319" i="196"/>
  <c r="P651" i="196"/>
  <c r="P890" i="196"/>
  <c r="P918" i="196"/>
  <c r="P892" i="196"/>
  <c r="P893" i="196"/>
  <c r="P894" i="196"/>
  <c r="P895" i="196"/>
  <c r="P896" i="196"/>
  <c r="P897" i="196"/>
  <c r="P1083" i="196"/>
  <c r="P899" i="196"/>
  <c r="P900" i="196"/>
  <c r="P901" i="196"/>
  <c r="P902" i="196"/>
  <c r="P903" i="196"/>
  <c r="P904" i="196"/>
  <c r="P905" i="196"/>
  <c r="P321" i="196"/>
  <c r="P655" i="196"/>
  <c r="P656" i="196"/>
  <c r="P658" i="196"/>
  <c r="P910" i="196"/>
  <c r="P322" i="196"/>
  <c r="P912" i="196"/>
  <c r="P913" i="196"/>
  <c r="P914" i="196"/>
  <c r="P919" i="196"/>
  <c r="P242" i="196"/>
  <c r="P917" i="196"/>
  <c r="P920" i="196"/>
  <c r="P243" i="196"/>
  <c r="P925" i="196"/>
  <c r="P921" i="196"/>
  <c r="P922" i="196"/>
  <c r="P923" i="196"/>
  <c r="P924" i="196"/>
  <c r="P926" i="196"/>
  <c r="P932" i="196"/>
  <c r="P927" i="196"/>
  <c r="P928" i="196"/>
  <c r="P929" i="196"/>
  <c r="P930" i="196"/>
  <c r="P931" i="196"/>
  <c r="P245" i="196"/>
  <c r="P933" i="196"/>
  <c r="P934" i="196"/>
  <c r="P663" i="196"/>
  <c r="P935" i="196"/>
  <c r="P936" i="196"/>
  <c r="P937" i="196"/>
  <c r="P938" i="196"/>
  <c r="P939" i="196"/>
  <c r="P940" i="196"/>
  <c r="P941" i="196"/>
  <c r="P942" i="196"/>
  <c r="P943" i="196"/>
  <c r="P944" i="196"/>
  <c r="P945" i="196"/>
  <c r="P946" i="196"/>
  <c r="P947" i="196"/>
  <c r="P948" i="196"/>
  <c r="P949" i="196"/>
  <c r="P950" i="196"/>
  <c r="P951" i="196"/>
  <c r="P952" i="196"/>
  <c r="P953" i="196"/>
  <c r="P954" i="196"/>
  <c r="P955" i="196"/>
  <c r="P956" i="196"/>
  <c r="P957" i="196"/>
  <c r="P958" i="196"/>
  <c r="P959" i="196"/>
  <c r="P960" i="196"/>
  <c r="P341" i="196"/>
  <c r="P962" i="196"/>
  <c r="P963" i="196"/>
  <c r="P964" i="196"/>
  <c r="P965" i="196"/>
  <c r="P966" i="196"/>
  <c r="P967" i="196"/>
  <c r="P968" i="196"/>
  <c r="P969" i="196"/>
  <c r="P970" i="196"/>
  <c r="P971" i="196"/>
  <c r="P972" i="196"/>
  <c r="P973" i="196"/>
  <c r="P974" i="196"/>
  <c r="P975" i="196"/>
  <c r="P976" i="196"/>
  <c r="P977" i="196"/>
  <c r="P978" i="196"/>
  <c r="P979" i="196"/>
  <c r="P980" i="196"/>
  <c r="P981" i="196"/>
  <c r="P982" i="196"/>
  <c r="P983" i="196"/>
  <c r="P984" i="196"/>
  <c r="P985" i="196"/>
  <c r="P986" i="196"/>
  <c r="P987" i="196"/>
  <c r="P988" i="196"/>
  <c r="P989" i="196"/>
  <c r="P990" i="196"/>
  <c r="P991" i="196"/>
  <c r="P992" i="196"/>
  <c r="P993" i="196"/>
  <c r="P994" i="196"/>
  <c r="P995" i="196"/>
  <c r="P996" i="196"/>
  <c r="P997" i="196"/>
  <c r="P998" i="196"/>
  <c r="P999" i="196"/>
  <c r="P1000" i="196"/>
  <c r="P1001" i="196"/>
  <c r="P1002" i="196"/>
  <c r="P1003" i="196"/>
  <c r="P1004" i="196"/>
  <c r="P1005" i="196"/>
  <c r="P1006" i="196"/>
  <c r="P1007" i="196"/>
  <c r="P1008" i="196"/>
  <c r="P1009" i="196"/>
  <c r="P1010" i="196"/>
  <c r="P1011" i="196"/>
  <c r="P1012" i="196"/>
  <c r="P1013" i="196"/>
  <c r="P1014" i="196"/>
  <c r="P1015" i="196"/>
  <c r="P1016" i="196"/>
  <c r="P1017" i="196"/>
  <c r="P1018" i="196"/>
  <c r="P1019" i="196"/>
  <c r="P1020" i="196"/>
  <c r="P1021" i="196"/>
  <c r="P1022" i="196"/>
  <c r="P1023" i="196"/>
  <c r="P1024" i="196"/>
  <c r="P1025" i="196"/>
  <c r="P1026" i="196"/>
  <c r="P1027" i="196"/>
  <c r="P1028" i="196"/>
  <c r="P1029" i="196"/>
  <c r="P1030" i="196"/>
  <c r="P1031" i="196"/>
  <c r="P1032" i="196"/>
  <c r="P1033" i="196"/>
  <c r="P1034" i="196"/>
  <c r="P1035" i="196"/>
  <c r="P1036" i="196"/>
  <c r="P1037" i="196"/>
  <c r="P1038" i="196"/>
  <c r="P1039" i="196"/>
  <c r="P1040" i="196"/>
  <c r="P1041" i="196"/>
  <c r="P1042" i="196"/>
  <c r="P1043" i="196"/>
  <c r="P1044" i="196"/>
  <c r="P1045" i="196"/>
  <c r="P1046" i="196"/>
  <c r="P1047" i="196"/>
  <c r="P1048" i="196"/>
  <c r="P1049" i="196"/>
  <c r="P1050" i="196"/>
  <c r="P1051" i="196"/>
  <c r="P1052" i="196"/>
  <c r="P1053" i="196"/>
  <c r="P1054" i="196"/>
  <c r="P1055" i="196"/>
  <c r="P1056" i="196"/>
  <c r="P1057" i="196"/>
  <c r="P1058" i="196"/>
  <c r="P1059" i="196"/>
  <c r="P1060" i="196"/>
  <c r="P1061" i="196"/>
  <c r="P1062" i="196"/>
  <c r="P1063" i="196"/>
  <c r="P1064" i="196"/>
  <c r="P1065" i="196"/>
  <c r="P1066" i="196"/>
  <c r="P1067" i="196"/>
  <c r="P1068" i="196"/>
  <c r="P1069" i="196"/>
  <c r="P1070" i="196"/>
  <c r="P1071" i="196"/>
  <c r="P1072" i="196"/>
  <c r="P1073" i="196"/>
  <c r="P1074" i="196"/>
  <c r="P1075" i="196"/>
  <c r="P1076" i="196"/>
  <c r="P1077" i="196"/>
  <c r="P1078" i="196"/>
  <c r="P1079" i="196"/>
  <c r="P1080" i="196"/>
  <c r="P1081" i="196"/>
  <c r="P1082" i="196"/>
  <c r="P1084" i="196"/>
  <c r="P1085" i="196"/>
  <c r="P1086" i="196"/>
  <c r="P1087" i="196"/>
  <c r="P1088" i="196"/>
  <c r="P1089" i="196"/>
  <c r="P1090" i="196"/>
  <c r="P1091" i="196"/>
  <c r="P1092" i="196"/>
  <c r="P1093" i="196"/>
  <c r="P1094" i="196"/>
  <c r="P1095" i="196"/>
  <c r="P1096" i="196"/>
  <c r="P1097" i="196"/>
  <c r="P1098" i="196"/>
  <c r="P1099" i="196"/>
  <c r="P1100" i="196"/>
  <c r="P1101" i="196"/>
  <c r="P1102" i="196"/>
  <c r="P1103" i="196"/>
  <c r="P1104" i="196"/>
  <c r="P1105" i="196"/>
  <c r="P1106" i="196"/>
  <c r="P1107" i="196"/>
  <c r="P1108" i="196"/>
  <c r="P1109" i="196"/>
  <c r="P1110" i="196"/>
  <c r="P1111" i="196"/>
  <c r="P1112" i="196"/>
  <c r="P1113" i="196"/>
  <c r="P1114" i="196"/>
  <c r="P1115" i="196"/>
  <c r="P1116" i="196"/>
  <c r="P1117" i="196"/>
  <c r="P1118" i="196"/>
  <c r="P1119" i="196"/>
  <c r="P1120" i="196"/>
  <c r="P1121" i="196"/>
  <c r="P1122" i="196"/>
  <c r="P1123" i="196"/>
  <c r="P1124" i="196"/>
  <c r="P1125" i="196"/>
  <c r="P1126" i="196"/>
  <c r="P1127" i="196"/>
  <c r="P1128" i="196"/>
  <c r="P1129" i="196"/>
  <c r="P1130" i="196"/>
  <c r="P1131" i="196"/>
  <c r="P1132" i="196"/>
  <c r="P1133" i="196"/>
  <c r="P1134" i="196"/>
  <c r="P1135" i="196"/>
  <c r="P1136" i="196"/>
  <c r="P1137" i="196"/>
  <c r="P1138" i="196"/>
  <c r="P1139" i="196"/>
  <c r="P1140" i="196"/>
  <c r="P1141" i="196"/>
  <c r="P1142" i="196"/>
  <c r="P1143" i="196"/>
  <c r="P1144" i="196"/>
  <c r="P1145" i="196"/>
  <c r="P1146" i="196"/>
  <c r="P1147" i="196"/>
  <c r="P1148" i="196"/>
  <c r="P1149" i="196"/>
  <c r="P1150" i="196"/>
  <c r="P1151" i="196"/>
  <c r="P1152" i="196"/>
  <c r="P1153" i="196"/>
  <c r="P1154" i="196"/>
  <c r="P1155" i="196"/>
  <c r="P1156" i="196"/>
  <c r="P1157" i="196"/>
  <c r="P1158" i="196"/>
  <c r="P1159" i="196"/>
  <c r="P1160" i="196"/>
  <c r="P1161" i="196"/>
  <c r="P1162" i="196"/>
  <c r="P1163" i="196"/>
  <c r="P1164" i="196"/>
  <c r="P1165" i="196"/>
  <c r="P1166" i="196"/>
  <c r="P1167" i="196"/>
  <c r="P1168" i="196"/>
  <c r="P1169" i="196"/>
  <c r="P1170" i="196"/>
  <c r="P1171" i="196"/>
  <c r="P1172" i="196"/>
  <c r="P1173" i="196"/>
  <c r="P1174" i="196"/>
  <c r="P1175" i="196"/>
  <c r="P1176" i="196"/>
  <c r="P1177" i="196"/>
  <c r="P1178" i="196"/>
  <c r="P1179" i="196"/>
  <c r="P1180" i="196"/>
  <c r="P1181" i="196"/>
  <c r="P1182" i="196"/>
  <c r="P1183" i="196"/>
  <c r="P1184" i="196"/>
  <c r="P1185" i="196"/>
  <c r="P1186" i="196"/>
  <c r="P1187" i="196"/>
  <c r="P1188" i="196"/>
  <c r="P1189" i="196"/>
  <c r="P1190" i="196"/>
  <c r="P1191" i="196"/>
  <c r="P1192" i="196"/>
  <c r="P1193" i="196"/>
  <c r="P1194" i="196"/>
  <c r="P1195" i="196"/>
  <c r="P1196" i="196"/>
  <c r="P1197" i="196"/>
  <c r="P1198" i="196"/>
  <c r="P1199" i="196"/>
  <c r="P1200" i="196"/>
  <c r="P1201" i="196"/>
  <c r="P1202" i="196"/>
  <c r="P1203" i="196"/>
  <c r="P1204" i="196"/>
  <c r="P1205" i="196"/>
  <c r="P1206" i="196"/>
  <c r="P1207" i="196"/>
  <c r="P1208" i="196"/>
  <c r="P1209" i="196"/>
  <c r="P1210" i="196"/>
  <c r="P1211" i="196"/>
  <c r="P1212" i="196"/>
  <c r="P1213" i="196"/>
  <c r="P1214" i="196"/>
  <c r="P1215" i="196"/>
  <c r="P1216" i="196"/>
  <c r="P1217" i="196"/>
  <c r="P1218" i="196"/>
  <c r="P1219" i="196"/>
  <c r="P1220" i="196"/>
  <c r="P1221" i="196"/>
  <c r="P1222" i="196"/>
  <c r="P1223" i="196"/>
  <c r="P1224" i="196"/>
  <c r="P1225" i="196"/>
  <c r="P1226" i="196"/>
  <c r="P1227" i="196"/>
  <c r="P1228" i="196"/>
  <c r="P1229" i="196"/>
  <c r="P1230" i="196"/>
  <c r="P1231" i="196"/>
  <c r="P1232" i="196"/>
  <c r="P1233" i="196"/>
  <c r="P1234" i="196"/>
  <c r="P1235" i="196"/>
  <c r="P1236" i="196"/>
  <c r="P1237" i="196"/>
  <c r="P1238" i="196"/>
  <c r="P1239" i="196"/>
  <c r="P1240" i="196"/>
  <c r="P1241" i="196"/>
  <c r="P1242" i="196"/>
  <c r="P1243" i="196"/>
  <c r="P1244" i="196"/>
  <c r="P1245" i="196"/>
  <c r="P1246" i="196"/>
  <c r="P1247" i="196"/>
  <c r="P1248" i="196"/>
  <c r="P1249" i="196"/>
  <c r="P1250" i="196"/>
  <c r="P1251" i="196"/>
  <c r="P1252" i="196"/>
  <c r="P1253" i="196"/>
  <c r="P1254" i="196"/>
  <c r="P1255" i="196"/>
  <c r="P1256" i="196"/>
  <c r="P1257" i="196"/>
  <c r="P1258" i="196"/>
  <c r="P1259" i="196"/>
  <c r="P1260" i="196"/>
  <c r="P1261" i="196"/>
  <c r="P1262" i="196"/>
  <c r="P1263" i="196"/>
  <c r="P1264" i="196"/>
  <c r="P1265" i="196"/>
  <c r="P1266" i="196"/>
  <c r="P1267" i="196"/>
  <c r="P1268" i="196"/>
  <c r="P1269" i="196"/>
  <c r="P1270" i="196"/>
  <c r="P1271" i="196"/>
  <c r="P1272" i="196"/>
  <c r="P1273" i="196"/>
  <c r="P1274" i="196"/>
  <c r="P1275" i="196"/>
  <c r="P1276" i="196"/>
  <c r="O589" i="196"/>
  <c r="N589" i="196"/>
  <c r="U1261" i="196" l="1"/>
  <c r="X1261" i="196" s="1"/>
  <c r="T1261" i="196"/>
  <c r="U1165" i="196"/>
  <c r="W1165" i="196" s="1"/>
  <c r="T1165" i="196"/>
  <c r="U1057" i="196"/>
  <c r="V1057" i="196" s="1"/>
  <c r="T1057" i="196"/>
  <c r="U932" i="196"/>
  <c r="X932" i="196" s="1"/>
  <c r="T932" i="196"/>
  <c r="U635" i="196"/>
  <c r="X635" i="196" s="1"/>
  <c r="T635" i="196"/>
  <c r="U710" i="196"/>
  <c r="X710" i="196" s="1"/>
  <c r="T710" i="196"/>
  <c r="U626" i="196"/>
  <c r="X626" i="196" s="1"/>
  <c r="T626" i="196"/>
  <c r="U602" i="196"/>
  <c r="X602" i="196" s="1"/>
  <c r="T602" i="196"/>
  <c r="U578" i="196"/>
  <c r="T578" i="196"/>
  <c r="U554" i="196"/>
  <c r="W554" i="196" s="1"/>
  <c r="T554" i="196"/>
  <c r="U530" i="196"/>
  <c r="X530" i="196" s="1"/>
  <c r="T530" i="196"/>
  <c r="U506" i="196"/>
  <c r="W506" i="196" s="1"/>
  <c r="T506" i="196"/>
  <c r="U482" i="196"/>
  <c r="T482" i="196"/>
  <c r="U458" i="196"/>
  <c r="T458" i="196"/>
  <c r="U362" i="196"/>
  <c r="T362" i="196"/>
  <c r="U338" i="196"/>
  <c r="X338" i="196" s="1"/>
  <c r="T338" i="196"/>
  <c r="U314" i="196"/>
  <c r="T314" i="196"/>
  <c r="U283" i="196"/>
  <c r="X283" i="196" s="1"/>
  <c r="T283" i="196"/>
  <c r="U266" i="196"/>
  <c r="X266" i="196" s="1"/>
  <c r="T266" i="196"/>
  <c r="U209" i="196"/>
  <c r="W209" i="196" s="1"/>
  <c r="T209" i="196"/>
  <c r="U272" i="196"/>
  <c r="T272" i="196"/>
  <c r="U103" i="196"/>
  <c r="X103" i="196" s="1"/>
  <c r="T103" i="196"/>
  <c r="U1272" i="196"/>
  <c r="X1272" i="196" s="1"/>
  <c r="T1272" i="196"/>
  <c r="U1248" i="196"/>
  <c r="X1248" i="196" s="1"/>
  <c r="T1248" i="196"/>
  <c r="U1224" i="196"/>
  <c r="X1224" i="196" s="1"/>
  <c r="T1224" i="196"/>
  <c r="U1200" i="196"/>
  <c r="W1200" i="196" s="1"/>
  <c r="T1200" i="196"/>
  <c r="U1176" i="196"/>
  <c r="W1176" i="196" s="1"/>
  <c r="T1176" i="196"/>
  <c r="U1152" i="196"/>
  <c r="X1152" i="196" s="1"/>
  <c r="T1152" i="196"/>
  <c r="U1128" i="196"/>
  <c r="T1128" i="196"/>
  <c r="U1104" i="196"/>
  <c r="X1104" i="196" s="1"/>
  <c r="T1104" i="196"/>
  <c r="U1080" i="196"/>
  <c r="X1080" i="196" s="1"/>
  <c r="T1080" i="196"/>
  <c r="U1056" i="196"/>
  <c r="W1056" i="196" s="1"/>
  <c r="T1056" i="196"/>
  <c r="U1032" i="196"/>
  <c r="V1032" i="196" s="1"/>
  <c r="T1032" i="196"/>
  <c r="U1008" i="196"/>
  <c r="W1008" i="196" s="1"/>
  <c r="T1008" i="196"/>
  <c r="U984" i="196"/>
  <c r="X984" i="196" s="1"/>
  <c r="T984" i="196"/>
  <c r="U960" i="196"/>
  <c r="X960" i="196" s="1"/>
  <c r="T960" i="196"/>
  <c r="U948" i="196"/>
  <c r="X948" i="196" s="1"/>
  <c r="T948" i="196"/>
  <c r="U936" i="196"/>
  <c r="W936" i="196" s="1"/>
  <c r="T936" i="196"/>
  <c r="U926" i="196"/>
  <c r="T926" i="196"/>
  <c r="U913" i="196"/>
  <c r="V913" i="196" s="1"/>
  <c r="T913" i="196"/>
  <c r="U901" i="196"/>
  <c r="X901" i="196" s="1"/>
  <c r="T901" i="196"/>
  <c r="U651" i="196"/>
  <c r="X651" i="196" s="1"/>
  <c r="T651" i="196"/>
  <c r="U877" i="196"/>
  <c r="X877" i="196" s="1"/>
  <c r="T877" i="196"/>
  <c r="U646" i="196"/>
  <c r="W646" i="196" s="1"/>
  <c r="T646" i="196"/>
  <c r="U908" i="196"/>
  <c r="T908" i="196"/>
  <c r="U829" i="196"/>
  <c r="V829" i="196" s="1"/>
  <c r="T829" i="196"/>
  <c r="U817" i="196"/>
  <c r="X817" i="196" s="1"/>
  <c r="T817" i="196"/>
  <c r="U805" i="196"/>
  <c r="X805" i="196" s="1"/>
  <c r="T805" i="196"/>
  <c r="U793" i="196"/>
  <c r="T793" i="196"/>
  <c r="U781" i="196"/>
  <c r="W781" i="196" s="1"/>
  <c r="T781" i="196"/>
  <c r="U769" i="196"/>
  <c r="W769" i="196" s="1"/>
  <c r="T769" i="196"/>
  <c r="U757" i="196"/>
  <c r="X757" i="196" s="1"/>
  <c r="T757" i="196"/>
  <c r="U745" i="196"/>
  <c r="T745" i="196"/>
  <c r="U733" i="196"/>
  <c r="W733" i="196" s="1"/>
  <c r="T733" i="196"/>
  <c r="U721" i="196"/>
  <c r="W721" i="196" s="1"/>
  <c r="T721" i="196"/>
  <c r="U961" i="196"/>
  <c r="W961" i="196" s="1"/>
  <c r="T961" i="196"/>
  <c r="U697" i="196"/>
  <c r="W697" i="196" s="1"/>
  <c r="T697" i="196"/>
  <c r="U685" i="196"/>
  <c r="V685" i="196" s="1"/>
  <c r="T685" i="196"/>
  <c r="U822" i="196"/>
  <c r="T822" i="196"/>
  <c r="U661" i="196"/>
  <c r="X661" i="196" s="1"/>
  <c r="T661" i="196"/>
  <c r="U649" i="196"/>
  <c r="T649" i="196"/>
  <c r="U637" i="196"/>
  <c r="W637" i="196" s="1"/>
  <c r="T637" i="196"/>
  <c r="U170" i="196"/>
  <c r="V170" i="196" s="1"/>
  <c r="T170" i="196"/>
  <c r="U613" i="196"/>
  <c r="X613" i="196" s="1"/>
  <c r="T613" i="196"/>
  <c r="U601" i="196"/>
  <c r="T601" i="196"/>
  <c r="U128" i="196"/>
  <c r="W128" i="196" s="1"/>
  <c r="T128" i="196"/>
  <c r="U577" i="196"/>
  <c r="T577" i="196"/>
  <c r="U565" i="196"/>
  <c r="W565" i="196" s="1"/>
  <c r="T565" i="196"/>
  <c r="U553" i="196"/>
  <c r="W553" i="196" s="1"/>
  <c r="T553" i="196"/>
  <c r="U790" i="196"/>
  <c r="W790" i="196" s="1"/>
  <c r="T790" i="196"/>
  <c r="U529" i="196"/>
  <c r="T529" i="196"/>
  <c r="U517" i="196"/>
  <c r="X517" i="196" s="1"/>
  <c r="T517" i="196"/>
  <c r="U505" i="196"/>
  <c r="X505" i="196" s="1"/>
  <c r="T505" i="196"/>
  <c r="U493" i="196"/>
  <c r="W493" i="196" s="1"/>
  <c r="T493" i="196"/>
  <c r="U481" i="196"/>
  <c r="T481" i="196"/>
  <c r="U469" i="196"/>
  <c r="X469" i="196" s="1"/>
  <c r="T469" i="196"/>
  <c r="U457" i="196"/>
  <c r="V457" i="196" s="1"/>
  <c r="T457" i="196"/>
  <c r="U445" i="196"/>
  <c r="W445" i="196" s="1"/>
  <c r="T445" i="196"/>
  <c r="U433" i="196"/>
  <c r="W433" i="196" s="1"/>
  <c r="T433" i="196"/>
  <c r="U788" i="196"/>
  <c r="W788" i="196" s="1"/>
  <c r="T788" i="196"/>
  <c r="U409" i="196"/>
  <c r="V409" i="196" s="1"/>
  <c r="T409" i="196"/>
  <c r="U397" i="196"/>
  <c r="X397" i="196" s="1"/>
  <c r="T397" i="196"/>
  <c r="U385" i="196"/>
  <c r="V385" i="196" s="1"/>
  <c r="T385" i="196"/>
  <c r="U373" i="196"/>
  <c r="X373" i="196" s="1"/>
  <c r="T373" i="196"/>
  <c r="U361" i="196"/>
  <c r="X361" i="196" s="1"/>
  <c r="T361" i="196"/>
  <c r="U349" i="196"/>
  <c r="W349" i="196" s="1"/>
  <c r="T349" i="196"/>
  <c r="U337" i="196"/>
  <c r="X337" i="196" s="1"/>
  <c r="T337" i="196"/>
  <c r="U325" i="196"/>
  <c r="W325" i="196" s="1"/>
  <c r="T325" i="196"/>
  <c r="U313" i="196"/>
  <c r="W313" i="196" s="1"/>
  <c r="T313" i="196"/>
  <c r="U301" i="196"/>
  <c r="X301" i="196" s="1"/>
  <c r="T301" i="196"/>
  <c r="U79" i="196"/>
  <c r="T79" i="196"/>
  <c r="U277" i="196"/>
  <c r="W277" i="196" s="1"/>
  <c r="T277" i="196"/>
  <c r="U265" i="196"/>
  <c r="V265" i="196" s="1"/>
  <c r="T265" i="196"/>
  <c r="U119" i="196"/>
  <c r="W119" i="196" s="1"/>
  <c r="T119" i="196"/>
  <c r="U241" i="196"/>
  <c r="X241" i="196" s="1"/>
  <c r="T241" i="196"/>
  <c r="U541" i="196"/>
  <c r="X541" i="196" s="1"/>
  <c r="T541" i="196"/>
  <c r="U271" i="196"/>
  <c r="X271" i="196" s="1"/>
  <c r="T271" i="196"/>
  <c r="U205" i="196"/>
  <c r="W205" i="196" s="1"/>
  <c r="T205" i="196"/>
  <c r="U135" i="196"/>
  <c r="W135" i="196" s="1"/>
  <c r="T135" i="196"/>
  <c r="U124" i="196"/>
  <c r="X124" i="196" s="1"/>
  <c r="T124" i="196"/>
  <c r="U44" i="196"/>
  <c r="X44" i="196" s="1"/>
  <c r="T44" i="196"/>
  <c r="U115" i="196"/>
  <c r="X115" i="196" s="1"/>
  <c r="T115" i="196"/>
  <c r="U195" i="196"/>
  <c r="W195" i="196" s="1"/>
  <c r="T195" i="196"/>
  <c r="U133" i="196"/>
  <c r="W133" i="196" s="1"/>
  <c r="T133" i="196"/>
  <c r="U15" i="196"/>
  <c r="W15" i="196" s="1"/>
  <c r="T15" i="196"/>
  <c r="U258" i="196"/>
  <c r="X258" i="196" s="1"/>
  <c r="T258" i="196"/>
  <c r="U97" i="196"/>
  <c r="W97" i="196" s="1"/>
  <c r="T97" i="196"/>
  <c r="U85" i="196"/>
  <c r="X85" i="196" s="1"/>
  <c r="T85" i="196"/>
  <c r="U73" i="196"/>
  <c r="X73" i="196" s="1"/>
  <c r="T73" i="196"/>
  <c r="U61" i="196"/>
  <c r="W61" i="196" s="1"/>
  <c r="T61" i="196"/>
  <c r="U49" i="196"/>
  <c r="W49" i="196" s="1"/>
  <c r="T49" i="196"/>
  <c r="U37" i="196"/>
  <c r="X37" i="196" s="1"/>
  <c r="T37" i="196"/>
  <c r="U25" i="196"/>
  <c r="W25" i="196" s="1"/>
  <c r="T25" i="196"/>
  <c r="U13" i="196"/>
  <c r="X13" i="196" s="1"/>
  <c r="T13" i="196"/>
  <c r="U1249" i="196"/>
  <c r="V1249" i="196" s="1"/>
  <c r="T1249" i="196"/>
  <c r="U1153" i="196"/>
  <c r="W1153" i="196" s="1"/>
  <c r="T1153" i="196"/>
  <c r="U1033" i="196"/>
  <c r="X1033" i="196" s="1"/>
  <c r="T1033" i="196"/>
  <c r="U937" i="196"/>
  <c r="X937" i="196" s="1"/>
  <c r="T937" i="196"/>
  <c r="U830" i="196"/>
  <c r="X830" i="196" s="1"/>
  <c r="T830" i="196"/>
  <c r="U722" i="196"/>
  <c r="X722" i="196" s="1"/>
  <c r="T722" i="196"/>
  <c r="U182" i="196"/>
  <c r="X182" i="196" s="1"/>
  <c r="T182" i="196"/>
  <c r="U591" i="196"/>
  <c r="X591" i="196" s="1"/>
  <c r="T591" i="196"/>
  <c r="U566" i="196"/>
  <c r="T566" i="196"/>
  <c r="U542" i="196"/>
  <c r="V542" i="196" s="1"/>
  <c r="T542" i="196"/>
  <c r="U518" i="196"/>
  <c r="X518" i="196" s="1"/>
  <c r="T518" i="196"/>
  <c r="U288" i="196"/>
  <c r="X288" i="196" s="1"/>
  <c r="T288" i="196"/>
  <c r="U470" i="196"/>
  <c r="X470" i="196" s="1"/>
  <c r="T470" i="196"/>
  <c r="U350" i="196"/>
  <c r="W350" i="196" s="1"/>
  <c r="T350" i="196"/>
  <c r="U326" i="196"/>
  <c r="V326" i="196" s="1"/>
  <c r="T326" i="196"/>
  <c r="U3" i="196"/>
  <c r="X3" i="196" s="1"/>
  <c r="T3" i="196"/>
  <c r="U278" i="196"/>
  <c r="X278" i="196" s="1"/>
  <c r="T278" i="196"/>
  <c r="U254" i="196"/>
  <c r="X254" i="196" s="1"/>
  <c r="T254" i="196"/>
  <c r="U230" i="196"/>
  <c r="W230" i="196" s="1"/>
  <c r="T230" i="196"/>
  <c r="U206" i="196"/>
  <c r="W206" i="196" s="1"/>
  <c r="T206" i="196"/>
  <c r="U1260" i="196"/>
  <c r="V1260" i="196" s="1"/>
  <c r="T1260" i="196"/>
  <c r="U1236" i="196"/>
  <c r="W1236" i="196" s="1"/>
  <c r="T1236" i="196"/>
  <c r="U1212" i="196"/>
  <c r="X1212" i="196" s="1"/>
  <c r="T1212" i="196"/>
  <c r="U1188" i="196"/>
  <c r="X1188" i="196" s="1"/>
  <c r="T1188" i="196"/>
  <c r="U1164" i="196"/>
  <c r="X1164" i="196" s="1"/>
  <c r="T1164" i="196"/>
  <c r="U1140" i="196"/>
  <c r="W1140" i="196" s="1"/>
  <c r="T1140" i="196"/>
  <c r="U1116" i="196"/>
  <c r="T1116" i="196"/>
  <c r="U1092" i="196"/>
  <c r="X1092" i="196" s="1"/>
  <c r="T1092" i="196"/>
  <c r="U1068" i="196"/>
  <c r="W1068" i="196" s="1"/>
  <c r="T1068" i="196"/>
  <c r="U1044" i="196"/>
  <c r="W1044" i="196" s="1"/>
  <c r="T1044" i="196"/>
  <c r="U1020" i="196"/>
  <c r="X1020" i="196" s="1"/>
  <c r="T1020" i="196"/>
  <c r="U996" i="196"/>
  <c r="W996" i="196" s="1"/>
  <c r="T996" i="196"/>
  <c r="U972" i="196"/>
  <c r="T972" i="196"/>
  <c r="U865" i="196"/>
  <c r="W865" i="196" s="1"/>
  <c r="T865" i="196"/>
  <c r="U1271" i="196"/>
  <c r="T1271" i="196"/>
  <c r="U1259" i="196"/>
  <c r="W1259" i="196" s="1"/>
  <c r="T1259" i="196"/>
  <c r="U1247" i="196"/>
  <c r="X1247" i="196" s="1"/>
  <c r="T1247" i="196"/>
  <c r="U1235" i="196"/>
  <c r="W1235" i="196" s="1"/>
  <c r="T1235" i="196"/>
  <c r="U1223" i="196"/>
  <c r="W1223" i="196" s="1"/>
  <c r="T1223" i="196"/>
  <c r="U1211" i="196"/>
  <c r="W1211" i="196" s="1"/>
  <c r="T1211" i="196"/>
  <c r="U1199" i="196"/>
  <c r="X1199" i="196" s="1"/>
  <c r="T1199" i="196"/>
  <c r="U1187" i="196"/>
  <c r="W1187" i="196" s="1"/>
  <c r="T1187" i="196"/>
  <c r="U1175" i="196"/>
  <c r="W1175" i="196" s="1"/>
  <c r="T1175" i="196"/>
  <c r="U1163" i="196"/>
  <c r="W1163" i="196" s="1"/>
  <c r="T1163" i="196"/>
  <c r="U1151" i="196"/>
  <c r="W1151" i="196" s="1"/>
  <c r="T1151" i="196"/>
  <c r="U1139" i="196"/>
  <c r="V1139" i="196" s="1"/>
  <c r="T1139" i="196"/>
  <c r="U1127" i="196"/>
  <c r="W1127" i="196" s="1"/>
  <c r="T1127" i="196"/>
  <c r="U1115" i="196"/>
  <c r="W1115" i="196" s="1"/>
  <c r="T1115" i="196"/>
  <c r="U1103" i="196"/>
  <c r="T1103" i="196"/>
  <c r="U1091" i="196"/>
  <c r="W1091" i="196" s="1"/>
  <c r="T1091" i="196"/>
  <c r="U1079" i="196"/>
  <c r="X1079" i="196" s="1"/>
  <c r="T1079" i="196"/>
  <c r="U1067" i="196"/>
  <c r="X1067" i="196" s="1"/>
  <c r="T1067" i="196"/>
  <c r="U1055" i="196"/>
  <c r="X1055" i="196" s="1"/>
  <c r="T1055" i="196"/>
  <c r="U1043" i="196"/>
  <c r="X1043" i="196" s="1"/>
  <c r="T1043" i="196"/>
  <c r="U1031" i="196"/>
  <c r="T1031" i="196"/>
  <c r="U1019" i="196"/>
  <c r="W1019" i="196" s="1"/>
  <c r="T1019" i="196"/>
  <c r="U1007" i="196"/>
  <c r="V1007" i="196" s="1"/>
  <c r="T1007" i="196"/>
  <c r="U995" i="196"/>
  <c r="V995" i="196" s="1"/>
  <c r="T995" i="196"/>
  <c r="U983" i="196"/>
  <c r="X983" i="196" s="1"/>
  <c r="T983" i="196"/>
  <c r="U971" i="196"/>
  <c r="X971" i="196" s="1"/>
  <c r="T971" i="196"/>
  <c r="U959" i="196"/>
  <c r="X959" i="196" s="1"/>
  <c r="T959" i="196"/>
  <c r="U947" i="196"/>
  <c r="V947" i="196" s="1"/>
  <c r="T947" i="196"/>
  <c r="U935" i="196"/>
  <c r="W935" i="196" s="1"/>
  <c r="T935" i="196"/>
  <c r="U924" i="196"/>
  <c r="W924" i="196" s="1"/>
  <c r="T924" i="196"/>
  <c r="U912" i="196"/>
  <c r="X912" i="196" s="1"/>
  <c r="T912" i="196"/>
  <c r="U900" i="196"/>
  <c r="X900" i="196" s="1"/>
  <c r="T900" i="196"/>
  <c r="U319" i="196"/>
  <c r="X319" i="196" s="1"/>
  <c r="T319" i="196"/>
  <c r="U876" i="196"/>
  <c r="W876" i="196" s="1"/>
  <c r="T876" i="196"/>
  <c r="U864" i="196"/>
  <c r="V864" i="196" s="1"/>
  <c r="T864" i="196"/>
  <c r="U852" i="196"/>
  <c r="X852" i="196" s="1"/>
  <c r="T852" i="196"/>
  <c r="U840" i="196"/>
  <c r="W840" i="196" s="1"/>
  <c r="T840" i="196"/>
  <c r="U828" i="196"/>
  <c r="W828" i="196" s="1"/>
  <c r="T828" i="196"/>
  <c r="U816" i="196"/>
  <c r="T816" i="196"/>
  <c r="U804" i="196"/>
  <c r="W804" i="196" s="1"/>
  <c r="T804" i="196"/>
  <c r="U792" i="196"/>
  <c r="V792" i="196" s="1"/>
  <c r="T792" i="196"/>
  <c r="U860" i="196"/>
  <c r="X860" i="196" s="1"/>
  <c r="T860" i="196"/>
  <c r="U768" i="196"/>
  <c r="X768" i="196" s="1"/>
  <c r="T768" i="196"/>
  <c r="U756" i="196"/>
  <c r="X756" i="196" s="1"/>
  <c r="T756" i="196"/>
  <c r="U744" i="196"/>
  <c r="X744" i="196" s="1"/>
  <c r="T744" i="196"/>
  <c r="U732" i="196"/>
  <c r="W732" i="196" s="1"/>
  <c r="T732" i="196"/>
  <c r="U720" i="196"/>
  <c r="W720" i="196" s="1"/>
  <c r="T720" i="196"/>
  <c r="U854" i="196"/>
  <c r="V854" i="196" s="1"/>
  <c r="T854" i="196"/>
  <c r="U696" i="196"/>
  <c r="X696" i="196" s="1"/>
  <c r="T696" i="196"/>
  <c r="U684" i="196"/>
  <c r="W684" i="196" s="1"/>
  <c r="T684" i="196"/>
  <c r="U672" i="196"/>
  <c r="T672" i="196"/>
  <c r="U660" i="196"/>
  <c r="W660" i="196" s="1"/>
  <c r="T660" i="196"/>
  <c r="U648" i="196"/>
  <c r="W648" i="196" s="1"/>
  <c r="T648" i="196"/>
  <c r="U101" i="196"/>
  <c r="X101" i="196" s="1"/>
  <c r="T101" i="196"/>
  <c r="U624" i="196"/>
  <c r="W624" i="196" s="1"/>
  <c r="T624" i="196"/>
  <c r="U612" i="196"/>
  <c r="X612" i="196" s="1"/>
  <c r="T612" i="196"/>
  <c r="U28" i="196"/>
  <c r="W28" i="196" s="1"/>
  <c r="T28" i="196"/>
  <c r="U153" i="196"/>
  <c r="W153" i="196" s="1"/>
  <c r="T153" i="196"/>
  <c r="U576" i="196"/>
  <c r="X576" i="196" s="1"/>
  <c r="T576" i="196"/>
  <c r="U564" i="196"/>
  <c r="W564" i="196" s="1"/>
  <c r="T564" i="196"/>
  <c r="U552" i="196"/>
  <c r="X552" i="196" s="1"/>
  <c r="T552" i="196"/>
  <c r="U151" i="196"/>
  <c r="V151" i="196" s="1"/>
  <c r="T151" i="196"/>
  <c r="U528" i="196"/>
  <c r="X528" i="196" s="1"/>
  <c r="T528" i="196"/>
  <c r="U516" i="196"/>
  <c r="W516" i="196" s="1"/>
  <c r="T516" i="196"/>
  <c r="U504" i="196"/>
  <c r="X504" i="196" s="1"/>
  <c r="T504" i="196"/>
  <c r="U492" i="196"/>
  <c r="X492" i="196" s="1"/>
  <c r="T492" i="196"/>
  <c r="U480" i="196"/>
  <c r="X480" i="196" s="1"/>
  <c r="T480" i="196"/>
  <c r="U468" i="196"/>
  <c r="X468" i="196" s="1"/>
  <c r="T468" i="196"/>
  <c r="U456" i="196"/>
  <c r="X456" i="196" s="1"/>
  <c r="T456" i="196"/>
  <c r="U444" i="196"/>
  <c r="W444" i="196" s="1"/>
  <c r="T444" i="196"/>
  <c r="U432" i="196"/>
  <c r="X432" i="196" s="1"/>
  <c r="T432" i="196"/>
  <c r="U420" i="196"/>
  <c r="X420" i="196" s="1"/>
  <c r="T420" i="196"/>
  <c r="U408" i="196"/>
  <c r="X408" i="196" s="1"/>
  <c r="T408" i="196"/>
  <c r="U396" i="196"/>
  <c r="V396" i="196" s="1"/>
  <c r="T396" i="196"/>
  <c r="U384" i="196"/>
  <c r="X384" i="196" s="1"/>
  <c r="T384" i="196"/>
  <c r="U372" i="196"/>
  <c r="W372" i="196" s="1"/>
  <c r="T372" i="196"/>
  <c r="U360" i="196"/>
  <c r="W360" i="196" s="1"/>
  <c r="T360" i="196"/>
  <c r="U348" i="196"/>
  <c r="W348" i="196" s="1"/>
  <c r="T348" i="196"/>
  <c r="U336" i="196"/>
  <c r="X336" i="196" s="1"/>
  <c r="T336" i="196"/>
  <c r="U324" i="196"/>
  <c r="X324" i="196" s="1"/>
  <c r="T324" i="196"/>
  <c r="U312" i="196"/>
  <c r="W312" i="196" s="1"/>
  <c r="T312" i="196"/>
  <c r="U300" i="196"/>
  <c r="W300" i="196" s="1"/>
  <c r="T300" i="196"/>
  <c r="U167" i="196"/>
  <c r="W167" i="196" s="1"/>
  <c r="T167" i="196"/>
  <c r="U778" i="196"/>
  <c r="X778" i="196" s="1"/>
  <c r="T778" i="196"/>
  <c r="U264" i="196"/>
  <c r="X264" i="196" s="1"/>
  <c r="T264" i="196"/>
  <c r="U108" i="196"/>
  <c r="V108" i="196" s="1"/>
  <c r="T108" i="196"/>
  <c r="U240" i="196"/>
  <c r="X240" i="196" s="1"/>
  <c r="T240" i="196"/>
  <c r="U208" i="196"/>
  <c r="W208" i="196" s="1"/>
  <c r="T208" i="196"/>
  <c r="U539" i="196"/>
  <c r="W539" i="196" s="1"/>
  <c r="T539" i="196"/>
  <c r="U204" i="196"/>
  <c r="W204" i="196" s="1"/>
  <c r="T204" i="196"/>
  <c r="U177" i="196"/>
  <c r="X177" i="196" s="1"/>
  <c r="T177" i="196"/>
  <c r="U180" i="196"/>
  <c r="X180" i="196" s="1"/>
  <c r="T180" i="196"/>
  <c r="U197" i="196"/>
  <c r="X197" i="196" s="1"/>
  <c r="T197" i="196"/>
  <c r="U196" i="196"/>
  <c r="W196" i="196" s="1"/>
  <c r="T196" i="196"/>
  <c r="U144" i="196"/>
  <c r="W144" i="196" s="1"/>
  <c r="T144" i="196"/>
  <c r="U132" i="196"/>
  <c r="X132" i="196" s="1"/>
  <c r="T132" i="196"/>
  <c r="U11" i="196"/>
  <c r="X11" i="196" s="1"/>
  <c r="T11" i="196"/>
  <c r="U403" i="196"/>
  <c r="X403" i="196" s="1"/>
  <c r="T403" i="196"/>
  <c r="U96" i="196"/>
  <c r="X96" i="196" s="1"/>
  <c r="T96" i="196"/>
  <c r="U679" i="196"/>
  <c r="W679" i="196" s="1"/>
  <c r="T679" i="196"/>
  <c r="U72" i="196"/>
  <c r="W72" i="196" s="1"/>
  <c r="T72" i="196"/>
  <c r="U60" i="196"/>
  <c r="X60" i="196" s="1"/>
  <c r="T60" i="196"/>
  <c r="U48" i="196"/>
  <c r="X48" i="196" s="1"/>
  <c r="T48" i="196"/>
  <c r="U36" i="196"/>
  <c r="X36" i="196" s="1"/>
  <c r="T36" i="196"/>
  <c r="U175" i="196"/>
  <c r="X175" i="196" s="1"/>
  <c r="T175" i="196"/>
  <c r="U664" i="196"/>
  <c r="X664" i="196" s="1"/>
  <c r="T664" i="196"/>
  <c r="U191" i="196"/>
  <c r="W191" i="196" s="1"/>
  <c r="T191" i="196"/>
  <c r="U425" i="196"/>
  <c r="X425" i="196" s="1"/>
  <c r="T425" i="196"/>
  <c r="U707" i="196"/>
  <c r="X707" i="196" s="1"/>
  <c r="T707" i="196"/>
  <c r="U407" i="196"/>
  <c r="X407" i="196" s="1"/>
  <c r="T407" i="196"/>
  <c r="U143" i="196"/>
  <c r="X143" i="196" s="1"/>
  <c r="T143" i="196"/>
  <c r="U131" i="196"/>
  <c r="W131" i="196" s="1"/>
  <c r="T131" i="196"/>
  <c r="U405" i="196"/>
  <c r="W405" i="196" s="1"/>
  <c r="T405" i="196"/>
  <c r="U107" i="196"/>
  <c r="X107" i="196" s="1"/>
  <c r="T107" i="196"/>
  <c r="U681" i="196"/>
  <c r="X681" i="196" s="1"/>
  <c r="T681" i="196"/>
  <c r="U677" i="196"/>
  <c r="V677" i="196" s="1"/>
  <c r="T677" i="196"/>
  <c r="U71" i="196"/>
  <c r="T71" i="196"/>
  <c r="U59" i="196"/>
  <c r="W59" i="196" s="1"/>
  <c r="T59" i="196"/>
  <c r="U47" i="196"/>
  <c r="W47" i="196" s="1"/>
  <c r="T47" i="196"/>
  <c r="U35" i="196"/>
  <c r="X35" i="196" s="1"/>
  <c r="T35" i="196"/>
  <c r="U23" i="196"/>
  <c r="X23" i="196" s="1"/>
  <c r="T23" i="196"/>
  <c r="U174" i="196"/>
  <c r="X174" i="196" s="1"/>
  <c r="T174" i="196"/>
  <c r="U1189" i="196"/>
  <c r="T1189" i="196"/>
  <c r="U1129" i="196"/>
  <c r="W1129" i="196" s="1"/>
  <c r="T1129" i="196"/>
  <c r="U1009" i="196"/>
  <c r="X1009" i="196" s="1"/>
  <c r="T1009" i="196"/>
  <c r="U902" i="196"/>
  <c r="X902" i="196" s="1"/>
  <c r="T902" i="196"/>
  <c r="U806" i="196"/>
  <c r="W806" i="196" s="1"/>
  <c r="T806" i="196"/>
  <c r="U620" i="196"/>
  <c r="W620" i="196" s="1"/>
  <c r="T620" i="196"/>
  <c r="U410" i="196"/>
  <c r="T410" i="196"/>
  <c r="U1246" i="196"/>
  <c r="W1246" i="196" s="1"/>
  <c r="T1246" i="196"/>
  <c r="U1162" i="196"/>
  <c r="W1162" i="196" s="1"/>
  <c r="T1162" i="196"/>
  <c r="U1066" i="196"/>
  <c r="X1066" i="196" s="1"/>
  <c r="T1066" i="196"/>
  <c r="U994" i="196"/>
  <c r="X994" i="196" s="1"/>
  <c r="T994" i="196"/>
  <c r="U899" i="196"/>
  <c r="V899" i="196" s="1"/>
  <c r="T899" i="196"/>
  <c r="U827" i="196"/>
  <c r="X827" i="196" s="1"/>
  <c r="T827" i="196"/>
  <c r="U767" i="196"/>
  <c r="W767" i="196" s="1"/>
  <c r="T767" i="196"/>
  <c r="U683" i="196"/>
  <c r="W683" i="196" s="1"/>
  <c r="T683" i="196"/>
  <c r="U599" i="196"/>
  <c r="W599" i="196" s="1"/>
  <c r="T599" i="196"/>
  <c r="U515" i="196"/>
  <c r="X515" i="196" s="1"/>
  <c r="T515" i="196"/>
  <c r="U431" i="196"/>
  <c r="X431" i="196" s="1"/>
  <c r="T431" i="196"/>
  <c r="U335" i="196"/>
  <c r="T335" i="196"/>
  <c r="U759" i="196"/>
  <c r="W759" i="196" s="1"/>
  <c r="T759" i="196"/>
  <c r="U1269" i="196"/>
  <c r="V1269" i="196" s="1"/>
  <c r="T1269" i="196"/>
  <c r="U1257" i="196"/>
  <c r="X1257" i="196" s="1"/>
  <c r="T1257" i="196"/>
  <c r="U1245" i="196"/>
  <c r="X1245" i="196" s="1"/>
  <c r="T1245" i="196"/>
  <c r="U1233" i="196"/>
  <c r="X1233" i="196" s="1"/>
  <c r="T1233" i="196"/>
  <c r="U1221" i="196"/>
  <c r="X1221" i="196" s="1"/>
  <c r="T1221" i="196"/>
  <c r="U1209" i="196"/>
  <c r="W1209" i="196" s="1"/>
  <c r="T1209" i="196"/>
  <c r="U1197" i="196"/>
  <c r="W1197" i="196" s="1"/>
  <c r="T1197" i="196"/>
  <c r="U1185" i="196"/>
  <c r="V1185" i="196" s="1"/>
  <c r="T1185" i="196"/>
  <c r="U1173" i="196"/>
  <c r="X1173" i="196" s="1"/>
  <c r="T1173" i="196"/>
  <c r="U1161" i="196"/>
  <c r="X1161" i="196" s="1"/>
  <c r="T1161" i="196"/>
  <c r="U1149" i="196"/>
  <c r="X1149" i="196" s="1"/>
  <c r="T1149" i="196"/>
  <c r="U1137" i="196"/>
  <c r="W1137" i="196" s="1"/>
  <c r="T1137" i="196"/>
  <c r="U1125" i="196"/>
  <c r="W1125" i="196" s="1"/>
  <c r="T1125" i="196"/>
  <c r="U1113" i="196"/>
  <c r="X1113" i="196" s="1"/>
  <c r="T1113" i="196"/>
  <c r="U1101" i="196"/>
  <c r="X1101" i="196" s="1"/>
  <c r="T1101" i="196"/>
  <c r="U1089" i="196"/>
  <c r="X1089" i="196" s="1"/>
  <c r="T1089" i="196"/>
  <c r="U1077" i="196"/>
  <c r="X1077" i="196" s="1"/>
  <c r="T1077" i="196"/>
  <c r="U1065" i="196"/>
  <c r="V1065" i="196" s="1"/>
  <c r="T1065" i="196"/>
  <c r="U1053" i="196"/>
  <c r="V1053" i="196" s="1"/>
  <c r="T1053" i="196"/>
  <c r="U1041" i="196"/>
  <c r="X1041" i="196" s="1"/>
  <c r="T1041" i="196"/>
  <c r="U1029" i="196"/>
  <c r="V1029" i="196" s="1"/>
  <c r="T1029" i="196"/>
  <c r="U1017" i="196"/>
  <c r="V1017" i="196" s="1"/>
  <c r="T1017" i="196"/>
  <c r="U1005" i="196"/>
  <c r="X1005" i="196" s="1"/>
  <c r="T1005" i="196"/>
  <c r="U993" i="196"/>
  <c r="W993" i="196" s="1"/>
  <c r="T993" i="196"/>
  <c r="U981" i="196"/>
  <c r="W981" i="196" s="1"/>
  <c r="T981" i="196"/>
  <c r="U969" i="196"/>
  <c r="X969" i="196" s="1"/>
  <c r="T969" i="196"/>
  <c r="U957" i="196"/>
  <c r="X957" i="196" s="1"/>
  <c r="T957" i="196"/>
  <c r="U945" i="196"/>
  <c r="W945" i="196" s="1"/>
  <c r="T945" i="196"/>
  <c r="U934" i="196"/>
  <c r="X934" i="196" s="1"/>
  <c r="T934" i="196"/>
  <c r="U922" i="196"/>
  <c r="W922" i="196" s="1"/>
  <c r="T922" i="196"/>
  <c r="U910" i="196"/>
  <c r="W910" i="196" s="1"/>
  <c r="T910" i="196"/>
  <c r="U1083" i="196"/>
  <c r="W1083" i="196" s="1"/>
  <c r="T1083" i="196"/>
  <c r="U190" i="196"/>
  <c r="X190" i="196" s="1"/>
  <c r="T190" i="196"/>
  <c r="U874" i="196"/>
  <c r="X874" i="196" s="1"/>
  <c r="T874" i="196"/>
  <c r="U862" i="196"/>
  <c r="W862" i="196" s="1"/>
  <c r="T862" i="196"/>
  <c r="U911" i="196"/>
  <c r="W911" i="196" s="1"/>
  <c r="T911" i="196"/>
  <c r="U838" i="196"/>
  <c r="W838" i="196" s="1"/>
  <c r="T838" i="196"/>
  <c r="U826" i="196"/>
  <c r="X826" i="196" s="1"/>
  <c r="T826" i="196"/>
  <c r="U814" i="196"/>
  <c r="X814" i="196" s="1"/>
  <c r="T814" i="196"/>
  <c r="U802" i="196"/>
  <c r="X802" i="196" s="1"/>
  <c r="T802" i="196"/>
  <c r="U629" i="196"/>
  <c r="V629" i="196" s="1"/>
  <c r="T629" i="196"/>
  <c r="U292" i="196"/>
  <c r="W292" i="196" s="1"/>
  <c r="T292" i="196"/>
  <c r="U627" i="196"/>
  <c r="W627" i="196" s="1"/>
  <c r="T627" i="196"/>
  <c r="U754" i="196"/>
  <c r="X754" i="196" s="1"/>
  <c r="T754" i="196"/>
  <c r="U742" i="196"/>
  <c r="X742" i="196" s="1"/>
  <c r="T742" i="196"/>
  <c r="U730" i="196"/>
  <c r="V730" i="196" s="1"/>
  <c r="T730" i="196"/>
  <c r="U718" i="196"/>
  <c r="X718" i="196" s="1"/>
  <c r="T718" i="196"/>
  <c r="U706" i="196"/>
  <c r="W706" i="196" s="1"/>
  <c r="T706" i="196"/>
  <c r="U694" i="196"/>
  <c r="X694" i="196" s="1"/>
  <c r="T694" i="196"/>
  <c r="U841" i="196"/>
  <c r="V841" i="196" s="1"/>
  <c r="T841" i="196"/>
  <c r="U670" i="196"/>
  <c r="W670" i="196" s="1"/>
  <c r="T670" i="196"/>
  <c r="U614" i="196"/>
  <c r="W614" i="196" s="1"/>
  <c r="T614" i="196"/>
  <c r="U225" i="196"/>
  <c r="W225" i="196" s="1"/>
  <c r="T225" i="196"/>
  <c r="U634" i="196"/>
  <c r="W634" i="196" s="1"/>
  <c r="T634" i="196"/>
  <c r="U622" i="196"/>
  <c r="W622" i="196" s="1"/>
  <c r="T622" i="196"/>
  <c r="U610" i="196"/>
  <c r="X610" i="196" s="1"/>
  <c r="T610" i="196"/>
  <c r="U598" i="196"/>
  <c r="V598" i="196" s="1"/>
  <c r="T598" i="196"/>
  <c r="U152" i="196"/>
  <c r="V152" i="196" s="1"/>
  <c r="T152" i="196"/>
  <c r="U574" i="196"/>
  <c r="W574" i="196" s="1"/>
  <c r="T574" i="196"/>
  <c r="U562" i="196"/>
  <c r="W562" i="196" s="1"/>
  <c r="T562" i="196"/>
  <c r="U797" i="196"/>
  <c r="X797" i="196" s="1"/>
  <c r="T797" i="196"/>
  <c r="U538" i="196"/>
  <c r="W538" i="196" s="1"/>
  <c r="T538" i="196"/>
  <c r="U526" i="196"/>
  <c r="X526" i="196" s="1"/>
  <c r="T526" i="196"/>
  <c r="U514" i="196"/>
  <c r="X514" i="196" s="1"/>
  <c r="T514" i="196"/>
  <c r="U502" i="196"/>
  <c r="V502" i="196" s="1"/>
  <c r="T502" i="196"/>
  <c r="U490" i="196"/>
  <c r="X490" i="196" s="1"/>
  <c r="T490" i="196"/>
  <c r="U478" i="196"/>
  <c r="W478" i="196" s="1"/>
  <c r="T478" i="196"/>
  <c r="U466" i="196"/>
  <c r="X466" i="196" s="1"/>
  <c r="T466" i="196"/>
  <c r="U454" i="196"/>
  <c r="W454" i="196" s="1"/>
  <c r="T454" i="196"/>
  <c r="U442" i="196"/>
  <c r="X442" i="196" s="1"/>
  <c r="T442" i="196"/>
  <c r="U430" i="196"/>
  <c r="X430" i="196" s="1"/>
  <c r="T430" i="196"/>
  <c r="U418" i="196"/>
  <c r="W418" i="196" s="1"/>
  <c r="T418" i="196"/>
  <c r="U406" i="196"/>
  <c r="W406" i="196" s="1"/>
  <c r="T406" i="196"/>
  <c r="U394" i="196"/>
  <c r="W394" i="196" s="1"/>
  <c r="T394" i="196"/>
  <c r="U382" i="196"/>
  <c r="W382" i="196" s="1"/>
  <c r="T382" i="196"/>
  <c r="U370" i="196"/>
  <c r="X370" i="196" s="1"/>
  <c r="T370" i="196"/>
  <c r="U358" i="196"/>
  <c r="X358" i="196" s="1"/>
  <c r="T358" i="196"/>
  <c r="U346" i="196"/>
  <c r="W346" i="196" s="1"/>
  <c r="T346" i="196"/>
  <c r="U334" i="196"/>
  <c r="W334" i="196" s="1"/>
  <c r="T334" i="196"/>
  <c r="U218" i="196"/>
  <c r="V218" i="196" s="1"/>
  <c r="T218" i="196"/>
  <c r="U310" i="196"/>
  <c r="X310" i="196" s="1"/>
  <c r="T310" i="196"/>
  <c r="U298" i="196"/>
  <c r="X298" i="196" s="1"/>
  <c r="T298" i="196"/>
  <c r="U286" i="196"/>
  <c r="X286" i="196" s="1"/>
  <c r="T286" i="196"/>
  <c r="U274" i="196"/>
  <c r="W274" i="196" s="1"/>
  <c r="T274" i="196"/>
  <c r="U262" i="196"/>
  <c r="X262" i="196" s="1"/>
  <c r="T262" i="196"/>
  <c r="U250" i="196"/>
  <c r="X250" i="196" s="1"/>
  <c r="T250" i="196"/>
  <c r="U238" i="196"/>
  <c r="W238" i="196" s="1"/>
  <c r="T238" i="196"/>
  <c r="U540" i="196"/>
  <c r="X540" i="196" s="1"/>
  <c r="T540" i="196"/>
  <c r="U494" i="196"/>
  <c r="X494" i="196" s="1"/>
  <c r="T494" i="196"/>
  <c r="U202" i="196"/>
  <c r="W202" i="196" s="1"/>
  <c r="T202" i="196"/>
  <c r="U709" i="196"/>
  <c r="W709" i="196" s="1"/>
  <c r="T709" i="196"/>
  <c r="U176" i="196"/>
  <c r="X176" i="196" s="1"/>
  <c r="T176" i="196"/>
  <c r="U421" i="196"/>
  <c r="W421" i="196" s="1"/>
  <c r="T421" i="196"/>
  <c r="U154" i="196"/>
  <c r="X154" i="196" s="1"/>
  <c r="T154" i="196"/>
  <c r="U142" i="196"/>
  <c r="X142" i="196" s="1"/>
  <c r="T142" i="196"/>
  <c r="U130" i="196"/>
  <c r="W130" i="196" s="1"/>
  <c r="T130" i="196"/>
  <c r="U118" i="196"/>
  <c r="W118" i="196" s="1"/>
  <c r="T118" i="196"/>
  <c r="U106" i="196"/>
  <c r="X106" i="196" s="1"/>
  <c r="T106" i="196"/>
  <c r="U94" i="196"/>
  <c r="W94" i="196" s="1"/>
  <c r="T94" i="196"/>
  <c r="U381" i="196"/>
  <c r="X381" i="196" s="1"/>
  <c r="T381" i="196"/>
  <c r="U70" i="196"/>
  <c r="X70" i="196" s="1"/>
  <c r="T70" i="196"/>
  <c r="U58" i="196"/>
  <c r="W58" i="196" s="1"/>
  <c r="T58" i="196"/>
  <c r="U46" i="196"/>
  <c r="W46" i="196" s="1"/>
  <c r="T46" i="196"/>
  <c r="U34" i="196"/>
  <c r="X34" i="196" s="1"/>
  <c r="T34" i="196"/>
  <c r="U22" i="196"/>
  <c r="W22" i="196" s="1"/>
  <c r="T22" i="196"/>
  <c r="U10" i="196"/>
  <c r="X10" i="196" s="1"/>
  <c r="T10" i="196"/>
  <c r="U1237" i="196"/>
  <c r="T1237" i="196"/>
  <c r="U1117" i="196"/>
  <c r="W1117" i="196" s="1"/>
  <c r="T1117" i="196"/>
  <c r="U985" i="196"/>
  <c r="X985" i="196" s="1"/>
  <c r="T985" i="196"/>
  <c r="U878" i="196"/>
  <c r="W878" i="196" s="1"/>
  <c r="T878" i="196"/>
  <c r="U746" i="196"/>
  <c r="W746" i="196" s="1"/>
  <c r="T746" i="196"/>
  <c r="U638" i="196"/>
  <c r="X638" i="196" s="1"/>
  <c r="T638" i="196"/>
  <c r="U785" i="196"/>
  <c r="X785" i="196" s="1"/>
  <c r="T785" i="196"/>
  <c r="U1198" i="196"/>
  <c r="W1198" i="196" s="1"/>
  <c r="T1198" i="196"/>
  <c r="U1114" i="196"/>
  <c r="W1114" i="196" s="1"/>
  <c r="T1114" i="196"/>
  <c r="U1042" i="196"/>
  <c r="X1042" i="196" s="1"/>
  <c r="T1042" i="196"/>
  <c r="U958" i="196"/>
  <c r="X958" i="196" s="1"/>
  <c r="T958" i="196"/>
  <c r="U322" i="196"/>
  <c r="X322" i="196" s="1"/>
  <c r="T322" i="196"/>
  <c r="U803" i="196"/>
  <c r="X803" i="196" s="1"/>
  <c r="T803" i="196"/>
  <c r="U731" i="196"/>
  <c r="W731" i="196" s="1"/>
  <c r="T731" i="196"/>
  <c r="U671" i="196"/>
  <c r="W671" i="196" s="1"/>
  <c r="T671" i="196"/>
  <c r="U575" i="196"/>
  <c r="X575" i="196" s="1"/>
  <c r="T575" i="196"/>
  <c r="U491" i="196"/>
  <c r="W491" i="196" s="1"/>
  <c r="T491" i="196"/>
  <c r="U589" i="196"/>
  <c r="W589" i="196" s="1"/>
  <c r="T589" i="196"/>
  <c r="U311" i="196"/>
  <c r="W311" i="196" s="1"/>
  <c r="T311" i="196"/>
  <c r="U251" i="196"/>
  <c r="W251" i="196" s="1"/>
  <c r="T251" i="196"/>
  <c r="U1208" i="196"/>
  <c r="X1208" i="196" s="1"/>
  <c r="T1208" i="196"/>
  <c r="U1196" i="196"/>
  <c r="X1196" i="196" s="1"/>
  <c r="T1196" i="196"/>
  <c r="U1184" i="196"/>
  <c r="X1184" i="196" s="1"/>
  <c r="T1184" i="196"/>
  <c r="U1172" i="196"/>
  <c r="X1172" i="196" s="1"/>
  <c r="T1172" i="196"/>
  <c r="U1160" i="196"/>
  <c r="X1160" i="196" s="1"/>
  <c r="T1160" i="196"/>
  <c r="U1148" i="196"/>
  <c r="X1148" i="196" s="1"/>
  <c r="T1148" i="196"/>
  <c r="U1136" i="196"/>
  <c r="X1136" i="196" s="1"/>
  <c r="T1136" i="196"/>
  <c r="U1124" i="196"/>
  <c r="W1124" i="196" s="1"/>
  <c r="T1124" i="196"/>
  <c r="U1112" i="196"/>
  <c r="X1112" i="196" s="1"/>
  <c r="T1112" i="196"/>
  <c r="U1100" i="196"/>
  <c r="X1100" i="196" s="1"/>
  <c r="T1100" i="196"/>
  <c r="U1088" i="196"/>
  <c r="V1088" i="196" s="1"/>
  <c r="T1088" i="196"/>
  <c r="U1076" i="196"/>
  <c r="W1076" i="196" s="1"/>
  <c r="T1076" i="196"/>
  <c r="U1064" i="196"/>
  <c r="V1064" i="196" s="1"/>
  <c r="T1064" i="196"/>
  <c r="U1052" i="196"/>
  <c r="X1052" i="196" s="1"/>
  <c r="T1052" i="196"/>
  <c r="U1040" i="196"/>
  <c r="X1040" i="196" s="1"/>
  <c r="T1040" i="196"/>
  <c r="U1028" i="196"/>
  <c r="X1028" i="196" s="1"/>
  <c r="T1028" i="196"/>
  <c r="U1016" i="196"/>
  <c r="T1016" i="196"/>
  <c r="U1004" i="196"/>
  <c r="W1004" i="196" s="1"/>
  <c r="T1004" i="196"/>
  <c r="U992" i="196"/>
  <c r="T992" i="196"/>
  <c r="U980" i="196"/>
  <c r="X980" i="196" s="1"/>
  <c r="T980" i="196"/>
  <c r="U968" i="196"/>
  <c r="W968" i="196" s="1"/>
  <c r="T968" i="196"/>
  <c r="U956" i="196"/>
  <c r="W956" i="196" s="1"/>
  <c r="T956" i="196"/>
  <c r="U944" i="196"/>
  <c r="X944" i="196" s="1"/>
  <c r="T944" i="196"/>
  <c r="U933" i="196"/>
  <c r="W933" i="196" s="1"/>
  <c r="T933" i="196"/>
  <c r="U921" i="196"/>
  <c r="W921" i="196" s="1"/>
  <c r="T921" i="196"/>
  <c r="U658" i="196"/>
  <c r="X658" i="196" s="1"/>
  <c r="T658" i="196"/>
  <c r="U897" i="196"/>
  <c r="V897" i="196" s="1"/>
  <c r="T897" i="196"/>
  <c r="U885" i="196"/>
  <c r="X885" i="196" s="1"/>
  <c r="T885" i="196"/>
  <c r="U873" i="196"/>
  <c r="X873" i="196" s="1"/>
  <c r="T873" i="196"/>
  <c r="U861" i="196"/>
  <c r="W861" i="196" s="1"/>
  <c r="T861" i="196"/>
  <c r="U909" i="196"/>
  <c r="T909" i="196"/>
  <c r="U837" i="196"/>
  <c r="V837" i="196" s="1"/>
  <c r="T837" i="196"/>
  <c r="U825" i="196"/>
  <c r="X825" i="196" s="1"/>
  <c r="T825" i="196"/>
  <c r="U813" i="196"/>
  <c r="W813" i="196" s="1"/>
  <c r="T813" i="196"/>
  <c r="U302" i="196"/>
  <c r="X302" i="196" s="1"/>
  <c r="T302" i="196"/>
  <c r="U789" i="196"/>
  <c r="W789" i="196" s="1"/>
  <c r="T789" i="196"/>
  <c r="U229" i="196"/>
  <c r="X229" i="196" s="1"/>
  <c r="T229" i="196"/>
  <c r="U765" i="196"/>
  <c r="X765" i="196" s="1"/>
  <c r="T765" i="196"/>
  <c r="U753" i="196"/>
  <c r="V753" i="196" s="1"/>
  <c r="T753" i="196"/>
  <c r="U741" i="196"/>
  <c r="V741" i="196" s="1"/>
  <c r="T741" i="196"/>
  <c r="U729" i="196"/>
  <c r="X729" i="196" s="1"/>
  <c r="T729" i="196"/>
  <c r="U717" i="196"/>
  <c r="W717" i="196" s="1"/>
  <c r="T717" i="196"/>
  <c r="U705" i="196"/>
  <c r="W705" i="196" s="1"/>
  <c r="T705" i="196"/>
  <c r="U848" i="196"/>
  <c r="W848" i="196" s="1"/>
  <c r="T848" i="196"/>
  <c r="U839" i="196"/>
  <c r="W839" i="196" s="1"/>
  <c r="T839" i="196"/>
  <c r="U669" i="196"/>
  <c r="W669" i="196" s="1"/>
  <c r="T669" i="196"/>
  <c r="U657" i="196"/>
  <c r="X657" i="196" s="1"/>
  <c r="T657" i="196"/>
  <c r="U645" i="196"/>
  <c r="X645" i="196" s="1"/>
  <c r="T645" i="196"/>
  <c r="U633" i="196"/>
  <c r="V633" i="196" s="1"/>
  <c r="T633" i="196"/>
  <c r="U121" i="196"/>
  <c r="X121" i="196" s="1"/>
  <c r="T121" i="196"/>
  <c r="U609" i="196"/>
  <c r="W609" i="196" s="1"/>
  <c r="T609" i="196"/>
  <c r="U89" i="196"/>
  <c r="X89" i="196" s="1"/>
  <c r="T89" i="196"/>
  <c r="U585" i="196"/>
  <c r="T585" i="196"/>
  <c r="U573" i="196"/>
  <c r="W573" i="196" s="1"/>
  <c r="T573" i="196"/>
  <c r="U561" i="196"/>
  <c r="T561" i="196"/>
  <c r="U549" i="196"/>
  <c r="W549" i="196" s="1"/>
  <c r="T549" i="196"/>
  <c r="U537" i="196"/>
  <c r="X537" i="196" s="1"/>
  <c r="T537" i="196"/>
  <c r="U525" i="196"/>
  <c r="X525" i="196" s="1"/>
  <c r="T525" i="196"/>
  <c r="U513" i="196"/>
  <c r="T513" i="196"/>
  <c r="U501" i="196"/>
  <c r="X501" i="196" s="1"/>
  <c r="T501" i="196"/>
  <c r="U489" i="196"/>
  <c r="W489" i="196" s="1"/>
  <c r="T489" i="196"/>
  <c r="U477" i="196"/>
  <c r="X477" i="196" s="1"/>
  <c r="T477" i="196"/>
  <c r="U465" i="196"/>
  <c r="W465" i="196" s="1"/>
  <c r="T465" i="196"/>
  <c r="U453" i="196"/>
  <c r="X453" i="196" s="1"/>
  <c r="T453" i="196"/>
  <c r="U441" i="196"/>
  <c r="X441" i="196" s="1"/>
  <c r="T441" i="196"/>
  <c r="U429" i="196"/>
  <c r="W429" i="196" s="1"/>
  <c r="T429" i="196"/>
  <c r="U417" i="196"/>
  <c r="X417" i="196" s="1"/>
  <c r="T417" i="196"/>
  <c r="U786" i="196"/>
  <c r="X786" i="196" s="1"/>
  <c r="T786" i="196"/>
  <c r="U393" i="196"/>
  <c r="W393" i="196" s="1"/>
  <c r="T393" i="196"/>
  <c r="U780" i="196"/>
  <c r="W780" i="196" s="1"/>
  <c r="T780" i="196"/>
  <c r="U369" i="196"/>
  <c r="X369" i="196" s="1"/>
  <c r="T369" i="196"/>
  <c r="U357" i="196"/>
  <c r="W357" i="196" s="1"/>
  <c r="T357" i="196"/>
  <c r="U345" i="196"/>
  <c r="T345" i="196"/>
  <c r="U333" i="196"/>
  <c r="X333" i="196" s="1"/>
  <c r="T333" i="196"/>
  <c r="U567" i="196"/>
  <c r="X567" i="196" s="1"/>
  <c r="T567" i="196"/>
  <c r="U309" i="196"/>
  <c r="X309" i="196" s="1"/>
  <c r="T309" i="196"/>
  <c r="U297" i="196"/>
  <c r="T297" i="196"/>
  <c r="U78" i="196"/>
  <c r="W78" i="196" s="1"/>
  <c r="T78" i="196"/>
  <c r="U12" i="196"/>
  <c r="W12" i="196" s="1"/>
  <c r="T12" i="196"/>
  <c r="U261" i="196"/>
  <c r="W261" i="196" s="1"/>
  <c r="T261" i="196"/>
  <c r="U249" i="196"/>
  <c r="W249" i="196" s="1"/>
  <c r="T249" i="196"/>
  <c r="U774" i="196"/>
  <c r="W774" i="196" s="1"/>
  <c r="T774" i="196"/>
  <c r="U126" i="196"/>
  <c r="T126" i="196"/>
  <c r="U213" i="196"/>
  <c r="X213" i="196" s="1"/>
  <c r="T213" i="196"/>
  <c r="U201" i="196"/>
  <c r="T201" i="196"/>
  <c r="U189" i="196"/>
  <c r="X189" i="196" s="1"/>
  <c r="T189" i="196"/>
  <c r="U145" i="196"/>
  <c r="W145" i="196" s="1"/>
  <c r="T145" i="196"/>
  <c r="U42" i="196"/>
  <c r="X42" i="196" s="1"/>
  <c r="T42" i="196"/>
  <c r="U701" i="196"/>
  <c r="X701" i="196" s="1"/>
  <c r="T701" i="196"/>
  <c r="U141" i="196"/>
  <c r="W141" i="196" s="1"/>
  <c r="T141" i="196"/>
  <c r="U129" i="196"/>
  <c r="T129" i="196"/>
  <c r="U117" i="196"/>
  <c r="X117" i="196" s="1"/>
  <c r="T117" i="196"/>
  <c r="U105" i="196"/>
  <c r="W105" i="196" s="1"/>
  <c r="T105" i="196"/>
  <c r="U93" i="196"/>
  <c r="X93" i="196" s="1"/>
  <c r="T93" i="196"/>
  <c r="U81" i="196"/>
  <c r="T81" i="196"/>
  <c r="U69" i="196"/>
  <c r="W69" i="196" s="1"/>
  <c r="T69" i="196"/>
  <c r="U57" i="196"/>
  <c r="T57" i="196"/>
  <c r="U45" i="196"/>
  <c r="X45" i="196" s="1"/>
  <c r="T45" i="196"/>
  <c r="U33" i="196"/>
  <c r="X33" i="196" s="1"/>
  <c r="T33" i="196"/>
  <c r="U21" i="196"/>
  <c r="X21" i="196" s="1"/>
  <c r="T21" i="196"/>
  <c r="U9" i="196"/>
  <c r="T9" i="196"/>
  <c r="U1201" i="196"/>
  <c r="W1201" i="196" s="1"/>
  <c r="T1201" i="196"/>
  <c r="U1093" i="196"/>
  <c r="T1093" i="196"/>
  <c r="U997" i="196"/>
  <c r="X997" i="196" s="1"/>
  <c r="T997" i="196"/>
  <c r="U890" i="196"/>
  <c r="W890" i="196" s="1"/>
  <c r="T890" i="196"/>
  <c r="U782" i="196"/>
  <c r="X782" i="196" s="1"/>
  <c r="T782" i="196"/>
  <c r="U600" i="196"/>
  <c r="X600" i="196" s="1"/>
  <c r="T600" i="196"/>
  <c r="U386" i="196"/>
  <c r="W386" i="196" s="1"/>
  <c r="T386" i="196"/>
  <c r="U1222" i="196"/>
  <c r="W1222" i="196" s="1"/>
  <c r="T1222" i="196"/>
  <c r="U1126" i="196"/>
  <c r="V1126" i="196" s="1"/>
  <c r="T1126" i="196"/>
  <c r="U1054" i="196"/>
  <c r="X1054" i="196" s="1"/>
  <c r="T1054" i="196"/>
  <c r="U970" i="196"/>
  <c r="X970" i="196" s="1"/>
  <c r="T970" i="196"/>
  <c r="U875" i="196"/>
  <c r="X875" i="196" s="1"/>
  <c r="T875" i="196"/>
  <c r="U791" i="196"/>
  <c r="T791" i="196"/>
  <c r="U853" i="196"/>
  <c r="V853" i="196" s="1"/>
  <c r="T853" i="196"/>
  <c r="U810" i="196"/>
  <c r="X810" i="196" s="1"/>
  <c r="T810" i="196"/>
  <c r="U563" i="196"/>
  <c r="W563" i="196" s="1"/>
  <c r="T563" i="196"/>
  <c r="U479" i="196"/>
  <c r="X479" i="196" s="1"/>
  <c r="T479" i="196"/>
  <c r="U395" i="196"/>
  <c r="X395" i="196" s="1"/>
  <c r="T395" i="196"/>
  <c r="U323" i="196"/>
  <c r="W323" i="196" s="1"/>
  <c r="T323" i="196"/>
  <c r="U263" i="196"/>
  <c r="T263" i="196"/>
  <c r="U1268" i="196"/>
  <c r="W1268" i="196" s="1"/>
  <c r="T1268" i="196"/>
  <c r="U1267" i="196"/>
  <c r="X1267" i="196" s="1"/>
  <c r="T1267" i="196"/>
  <c r="U1255" i="196"/>
  <c r="V1255" i="196" s="1"/>
  <c r="T1255" i="196"/>
  <c r="U1243" i="196"/>
  <c r="W1243" i="196" s="1"/>
  <c r="T1243" i="196"/>
  <c r="U1231" i="196"/>
  <c r="W1231" i="196" s="1"/>
  <c r="T1231" i="196"/>
  <c r="U1219" i="196"/>
  <c r="X1219" i="196" s="1"/>
  <c r="T1219" i="196"/>
  <c r="U1207" i="196"/>
  <c r="W1207" i="196" s="1"/>
  <c r="T1207" i="196"/>
  <c r="U1195" i="196"/>
  <c r="X1195" i="196" s="1"/>
  <c r="T1195" i="196"/>
  <c r="U1183" i="196"/>
  <c r="X1183" i="196" s="1"/>
  <c r="T1183" i="196"/>
  <c r="U1171" i="196"/>
  <c r="X1171" i="196" s="1"/>
  <c r="T1171" i="196"/>
  <c r="U1159" i="196"/>
  <c r="W1159" i="196" s="1"/>
  <c r="T1159" i="196"/>
  <c r="U1147" i="196"/>
  <c r="T1147" i="196"/>
  <c r="U1135" i="196"/>
  <c r="X1135" i="196" s="1"/>
  <c r="T1135" i="196"/>
  <c r="U1123" i="196"/>
  <c r="X1123" i="196" s="1"/>
  <c r="T1123" i="196"/>
  <c r="U1111" i="196"/>
  <c r="V1111" i="196" s="1"/>
  <c r="T1111" i="196"/>
  <c r="U1099" i="196"/>
  <c r="W1099" i="196" s="1"/>
  <c r="T1099" i="196"/>
  <c r="U1087" i="196"/>
  <c r="W1087" i="196" s="1"/>
  <c r="T1087" i="196"/>
  <c r="U1075" i="196"/>
  <c r="V1075" i="196" s="1"/>
  <c r="T1075" i="196"/>
  <c r="U1063" i="196"/>
  <c r="W1063" i="196" s="1"/>
  <c r="T1063" i="196"/>
  <c r="U1051" i="196"/>
  <c r="X1051" i="196" s="1"/>
  <c r="T1051" i="196"/>
  <c r="U1039" i="196"/>
  <c r="X1039" i="196" s="1"/>
  <c r="T1039" i="196"/>
  <c r="U1027" i="196"/>
  <c r="T1027" i="196"/>
  <c r="U1015" i="196"/>
  <c r="T1015" i="196"/>
  <c r="U1003" i="196"/>
  <c r="T1003" i="196"/>
  <c r="U991" i="196"/>
  <c r="X991" i="196" s="1"/>
  <c r="T991" i="196"/>
  <c r="U979" i="196"/>
  <c r="T979" i="196"/>
  <c r="U967" i="196"/>
  <c r="V967" i="196" s="1"/>
  <c r="T967" i="196"/>
  <c r="U955" i="196"/>
  <c r="W955" i="196" s="1"/>
  <c r="T955" i="196"/>
  <c r="U943" i="196"/>
  <c r="W943" i="196" s="1"/>
  <c r="T943" i="196"/>
  <c r="U245" i="196"/>
  <c r="X245" i="196" s="1"/>
  <c r="T245" i="196"/>
  <c r="U925" i="196"/>
  <c r="X925" i="196" s="1"/>
  <c r="T925" i="196"/>
  <c r="U656" i="196"/>
  <c r="X656" i="196" s="1"/>
  <c r="T656" i="196"/>
  <c r="U896" i="196"/>
  <c r="X896" i="196" s="1"/>
  <c r="T896" i="196"/>
  <c r="U237" i="196"/>
  <c r="X237" i="196" s="1"/>
  <c r="T237" i="196"/>
  <c r="U872" i="196"/>
  <c r="W872" i="196" s="1"/>
  <c r="T872" i="196"/>
  <c r="U236" i="196"/>
  <c r="T236" i="196"/>
  <c r="U318" i="196"/>
  <c r="X318" i="196" s="1"/>
  <c r="T318" i="196"/>
  <c r="U233" i="196"/>
  <c r="X233" i="196" s="1"/>
  <c r="T233" i="196"/>
  <c r="U824" i="196"/>
  <c r="V824" i="196" s="1"/>
  <c r="T824" i="196"/>
  <c r="U812" i="196"/>
  <c r="X812" i="196" s="1"/>
  <c r="T812" i="196"/>
  <c r="U800" i="196"/>
  <c r="W800" i="196" s="1"/>
  <c r="T800" i="196"/>
  <c r="U884" i="196"/>
  <c r="V884" i="196" s="1"/>
  <c r="T884" i="196"/>
  <c r="U776" i="196"/>
  <c r="W776" i="196" s="1"/>
  <c r="T776" i="196"/>
  <c r="U764" i="196"/>
  <c r="X764" i="196" s="1"/>
  <c r="T764" i="196"/>
  <c r="U752" i="196"/>
  <c r="X752" i="196" s="1"/>
  <c r="T752" i="196"/>
  <c r="U740" i="196"/>
  <c r="W740" i="196" s="1"/>
  <c r="T740" i="196"/>
  <c r="U728" i="196"/>
  <c r="W728" i="196" s="1"/>
  <c r="T728" i="196"/>
  <c r="U716" i="196"/>
  <c r="X716" i="196" s="1"/>
  <c r="T716" i="196"/>
  <c r="U704" i="196"/>
  <c r="X704" i="196" s="1"/>
  <c r="T704" i="196"/>
  <c r="U692" i="196"/>
  <c r="W692" i="196" s="1"/>
  <c r="T692" i="196"/>
  <c r="U680" i="196"/>
  <c r="V680" i="196" s="1"/>
  <c r="T680" i="196"/>
  <c r="U668" i="196"/>
  <c r="T668" i="196"/>
  <c r="U818" i="196"/>
  <c r="X818" i="196" s="1"/>
  <c r="T818" i="196"/>
  <c r="U644" i="196"/>
  <c r="V644" i="196" s="1"/>
  <c r="T644" i="196"/>
  <c r="U632" i="196"/>
  <c r="X632" i="196" s="1"/>
  <c r="T632" i="196"/>
  <c r="U99" i="196"/>
  <c r="V99" i="196" s="1"/>
  <c r="T99" i="196"/>
  <c r="U608" i="196"/>
  <c r="X608" i="196" s="1"/>
  <c r="T608" i="196"/>
  <c r="U596" i="196"/>
  <c r="X596" i="196" s="1"/>
  <c r="T596" i="196"/>
  <c r="U584" i="196"/>
  <c r="W584" i="196" s="1"/>
  <c r="T584" i="196"/>
  <c r="U572" i="196"/>
  <c r="W572" i="196" s="1"/>
  <c r="T572" i="196"/>
  <c r="U87" i="196"/>
  <c r="X87" i="196" s="1"/>
  <c r="T87" i="196"/>
  <c r="U794" i="196"/>
  <c r="V794" i="196" s="1"/>
  <c r="T794" i="196"/>
  <c r="U536" i="196"/>
  <c r="V536" i="196" s="1"/>
  <c r="T536" i="196"/>
  <c r="U524" i="196"/>
  <c r="W524" i="196" s="1"/>
  <c r="T524" i="196"/>
  <c r="U512" i="196"/>
  <c r="X512" i="196" s="1"/>
  <c r="T512" i="196"/>
  <c r="U500" i="196"/>
  <c r="X500" i="196" s="1"/>
  <c r="T500" i="196"/>
  <c r="U488" i="196"/>
  <c r="W488" i="196" s="1"/>
  <c r="T488" i="196"/>
  <c r="U476" i="196"/>
  <c r="V476" i="196" s="1"/>
  <c r="T476" i="196"/>
  <c r="U464" i="196"/>
  <c r="X464" i="196" s="1"/>
  <c r="T464" i="196"/>
  <c r="U452" i="196"/>
  <c r="T452" i="196"/>
  <c r="U440" i="196"/>
  <c r="W440" i="196" s="1"/>
  <c r="T440" i="196"/>
  <c r="U428" i="196"/>
  <c r="V428" i="196" s="1"/>
  <c r="T428" i="196"/>
  <c r="U416" i="196"/>
  <c r="X416" i="196" s="1"/>
  <c r="T416" i="196"/>
  <c r="U404" i="196"/>
  <c r="W404" i="196" s="1"/>
  <c r="T404" i="196"/>
  <c r="U392" i="196"/>
  <c r="V392" i="196" s="1"/>
  <c r="T392" i="196"/>
  <c r="U84" i="196"/>
  <c r="W84" i="196" s="1"/>
  <c r="T84" i="196"/>
  <c r="U368" i="196"/>
  <c r="W368" i="196" s="1"/>
  <c r="T368" i="196"/>
  <c r="U356" i="196"/>
  <c r="X356" i="196" s="1"/>
  <c r="T356" i="196"/>
  <c r="U344" i="196"/>
  <c r="X344" i="196" s="1"/>
  <c r="T344" i="196"/>
  <c r="U332" i="196"/>
  <c r="X332" i="196" s="1"/>
  <c r="T332" i="196"/>
  <c r="U320" i="196"/>
  <c r="X320" i="196" s="1"/>
  <c r="T320" i="196"/>
  <c r="U308" i="196"/>
  <c r="X308" i="196" s="1"/>
  <c r="T308" i="196"/>
  <c r="U296" i="196"/>
  <c r="W296" i="196" s="1"/>
  <c r="T296" i="196"/>
  <c r="U284" i="196"/>
  <c r="T284" i="196"/>
  <c r="U65" i="196"/>
  <c r="X65" i="196" s="1"/>
  <c r="T65" i="196"/>
  <c r="U260" i="196"/>
  <c r="X260" i="196" s="1"/>
  <c r="T260" i="196"/>
  <c r="U550" i="196"/>
  <c r="V550" i="196" s="1"/>
  <c r="T550" i="196"/>
  <c r="U766" i="196"/>
  <c r="X766" i="196" s="1"/>
  <c r="T766" i="196"/>
  <c r="U224" i="196"/>
  <c r="W224" i="196" s="1"/>
  <c r="T224" i="196"/>
  <c r="U723" i="196"/>
  <c r="V723" i="196" s="1"/>
  <c r="T723" i="196"/>
  <c r="U200" i="196"/>
  <c r="X200" i="196" s="1"/>
  <c r="T200" i="196"/>
  <c r="U188" i="196"/>
  <c r="X188" i="196" s="1"/>
  <c r="T188" i="196"/>
  <c r="U102" i="196"/>
  <c r="W102" i="196" s="1"/>
  <c r="T102" i="196"/>
  <c r="U24" i="196"/>
  <c r="X24" i="196" s="1"/>
  <c r="T24" i="196"/>
  <c r="U268" i="196"/>
  <c r="X268" i="196" s="1"/>
  <c r="T268" i="196"/>
  <c r="U140" i="196"/>
  <c r="V140" i="196" s="1"/>
  <c r="T140" i="196"/>
  <c r="U19" i="196"/>
  <c r="X19" i="196" s="1"/>
  <c r="T19" i="196"/>
  <c r="U116" i="196"/>
  <c r="X116" i="196" s="1"/>
  <c r="T116" i="196"/>
  <c r="U104" i="196"/>
  <c r="X104" i="196" s="1"/>
  <c r="T104" i="196"/>
  <c r="U92" i="196"/>
  <c r="X92" i="196" s="1"/>
  <c r="T92" i="196"/>
  <c r="U80" i="196"/>
  <c r="X80" i="196" s="1"/>
  <c r="T80" i="196"/>
  <c r="U68" i="196"/>
  <c r="V68" i="196" s="1"/>
  <c r="T68" i="196"/>
  <c r="U56" i="196"/>
  <c r="V56" i="196" s="1"/>
  <c r="T56" i="196"/>
  <c r="U248" i="196"/>
  <c r="X248" i="196" s="1"/>
  <c r="T248" i="196"/>
  <c r="U32" i="196"/>
  <c r="W32" i="196" s="1"/>
  <c r="T32" i="196"/>
  <c r="U20" i="196"/>
  <c r="W20" i="196" s="1"/>
  <c r="T20" i="196"/>
  <c r="U8" i="196"/>
  <c r="X8" i="196" s="1"/>
  <c r="T8" i="196"/>
  <c r="U1273" i="196"/>
  <c r="T1273" i="196"/>
  <c r="U1141" i="196"/>
  <c r="X1141" i="196" s="1"/>
  <c r="T1141" i="196"/>
  <c r="U1045" i="196"/>
  <c r="X1045" i="196" s="1"/>
  <c r="T1045" i="196"/>
  <c r="U949" i="196"/>
  <c r="X949" i="196" s="1"/>
  <c r="T949" i="196"/>
  <c r="U636" i="196"/>
  <c r="V636" i="196" s="1"/>
  <c r="T636" i="196"/>
  <c r="U734" i="196"/>
  <c r="X734" i="196" s="1"/>
  <c r="T734" i="196"/>
  <c r="U446" i="196"/>
  <c r="T446" i="196"/>
  <c r="U1258" i="196"/>
  <c r="W1258" i="196" s="1"/>
  <c r="T1258" i="196"/>
  <c r="U1138" i="196"/>
  <c r="T1138" i="196"/>
  <c r="U1030" i="196"/>
  <c r="X1030" i="196" s="1"/>
  <c r="T1030" i="196"/>
  <c r="U946" i="196"/>
  <c r="X946" i="196" s="1"/>
  <c r="T946" i="196"/>
  <c r="U863" i="196"/>
  <c r="W863" i="196" s="1"/>
  <c r="T863" i="196"/>
  <c r="U293" i="196"/>
  <c r="T293" i="196"/>
  <c r="U695" i="196"/>
  <c r="W695" i="196" s="1"/>
  <c r="T695" i="196"/>
  <c r="U611" i="196"/>
  <c r="W611" i="196" s="1"/>
  <c r="T611" i="196"/>
  <c r="U527" i="196"/>
  <c r="W527" i="196" s="1"/>
  <c r="T527" i="196"/>
  <c r="U443" i="196"/>
  <c r="X443" i="196" s="1"/>
  <c r="T443" i="196"/>
  <c r="U359" i="196"/>
  <c r="W359" i="196" s="1"/>
  <c r="T359" i="196"/>
  <c r="U239" i="196"/>
  <c r="T239" i="196"/>
  <c r="U1256" i="196"/>
  <c r="X1256" i="196" s="1"/>
  <c r="T1256" i="196"/>
  <c r="U1266" i="196"/>
  <c r="X1266" i="196" s="1"/>
  <c r="T1266" i="196"/>
  <c r="U1254" i="196"/>
  <c r="X1254" i="196" s="1"/>
  <c r="T1254" i="196"/>
  <c r="U1242" i="196"/>
  <c r="X1242" i="196" s="1"/>
  <c r="T1242" i="196"/>
  <c r="U1230" i="196"/>
  <c r="V1230" i="196" s="1"/>
  <c r="T1230" i="196"/>
  <c r="U1218" i="196"/>
  <c r="T1218" i="196"/>
  <c r="U1206" i="196"/>
  <c r="X1206" i="196" s="1"/>
  <c r="T1206" i="196"/>
  <c r="U1194" i="196"/>
  <c r="X1194" i="196" s="1"/>
  <c r="T1194" i="196"/>
  <c r="U1182" i="196"/>
  <c r="X1182" i="196" s="1"/>
  <c r="T1182" i="196"/>
  <c r="U1170" i="196"/>
  <c r="X1170" i="196" s="1"/>
  <c r="T1170" i="196"/>
  <c r="U1158" i="196"/>
  <c r="X1158" i="196" s="1"/>
  <c r="T1158" i="196"/>
  <c r="U1146" i="196"/>
  <c r="X1146" i="196" s="1"/>
  <c r="T1146" i="196"/>
  <c r="U1134" i="196"/>
  <c r="X1134" i="196" s="1"/>
  <c r="T1134" i="196"/>
  <c r="U1122" i="196"/>
  <c r="W1122" i="196" s="1"/>
  <c r="T1122" i="196"/>
  <c r="U1110" i="196"/>
  <c r="W1110" i="196" s="1"/>
  <c r="T1110" i="196"/>
  <c r="U1098" i="196"/>
  <c r="W1098" i="196" s="1"/>
  <c r="T1098" i="196"/>
  <c r="U1086" i="196"/>
  <c r="X1086" i="196" s="1"/>
  <c r="T1086" i="196"/>
  <c r="U1074" i="196"/>
  <c r="T1074" i="196"/>
  <c r="U1062" i="196"/>
  <c r="X1062" i="196" s="1"/>
  <c r="T1062" i="196"/>
  <c r="U1050" i="196"/>
  <c r="W1050" i="196" s="1"/>
  <c r="T1050" i="196"/>
  <c r="U1038" i="196"/>
  <c r="X1038" i="196" s="1"/>
  <c r="T1038" i="196"/>
  <c r="U1026" i="196"/>
  <c r="X1026" i="196" s="1"/>
  <c r="T1026" i="196"/>
  <c r="U1014" i="196"/>
  <c r="X1014" i="196" s="1"/>
  <c r="T1014" i="196"/>
  <c r="U1002" i="196"/>
  <c r="X1002" i="196" s="1"/>
  <c r="T1002" i="196"/>
  <c r="U990" i="196"/>
  <c r="X990" i="196" s="1"/>
  <c r="T990" i="196"/>
  <c r="U978" i="196"/>
  <c r="X978" i="196" s="1"/>
  <c r="T978" i="196"/>
  <c r="U966" i="196"/>
  <c r="X966" i="196" s="1"/>
  <c r="T966" i="196"/>
  <c r="U954" i="196"/>
  <c r="X954" i="196" s="1"/>
  <c r="T954" i="196"/>
  <c r="U942" i="196"/>
  <c r="T942" i="196"/>
  <c r="U931" i="196"/>
  <c r="T931" i="196"/>
  <c r="U243" i="196"/>
  <c r="X243" i="196" s="1"/>
  <c r="T243" i="196"/>
  <c r="U655" i="196"/>
  <c r="X655" i="196" s="1"/>
  <c r="T655" i="196"/>
  <c r="U895" i="196"/>
  <c r="X895" i="196" s="1"/>
  <c r="T895" i="196"/>
  <c r="U883" i="196"/>
  <c r="T883" i="196"/>
  <c r="U871" i="196"/>
  <c r="X871" i="196" s="1"/>
  <c r="T871" i="196"/>
  <c r="U859" i="196"/>
  <c r="X859" i="196" s="1"/>
  <c r="T859" i="196"/>
  <c r="U303" i="196"/>
  <c r="X303" i="196" s="1"/>
  <c r="T303" i="196"/>
  <c r="U835" i="196"/>
  <c r="X835" i="196" s="1"/>
  <c r="T835" i="196"/>
  <c r="U823" i="196"/>
  <c r="X823" i="196" s="1"/>
  <c r="T823" i="196"/>
  <c r="U811" i="196"/>
  <c r="X811" i="196" s="1"/>
  <c r="T811" i="196"/>
  <c r="U888" i="196"/>
  <c r="T888" i="196"/>
  <c r="U787" i="196"/>
  <c r="V787" i="196" s="1"/>
  <c r="T787" i="196"/>
  <c r="U856" i="196"/>
  <c r="X856" i="196" s="1"/>
  <c r="T856" i="196"/>
  <c r="U763" i="196"/>
  <c r="X763" i="196" s="1"/>
  <c r="T763" i="196"/>
  <c r="U751" i="196"/>
  <c r="W751" i="196" s="1"/>
  <c r="T751" i="196"/>
  <c r="U739" i="196"/>
  <c r="X739" i="196" s="1"/>
  <c r="T739" i="196"/>
  <c r="U727" i="196"/>
  <c r="T727" i="196"/>
  <c r="U715" i="196"/>
  <c r="T715" i="196"/>
  <c r="U703" i="196"/>
  <c r="X703" i="196" s="1"/>
  <c r="T703" i="196"/>
  <c r="U691" i="196"/>
  <c r="X691" i="196" s="1"/>
  <c r="T691" i="196"/>
  <c r="U836" i="196"/>
  <c r="X836" i="196" s="1"/>
  <c r="T836" i="196"/>
  <c r="U667" i="196"/>
  <c r="X667" i="196" s="1"/>
  <c r="T667" i="196"/>
  <c r="U186" i="196"/>
  <c r="X186" i="196" s="1"/>
  <c r="T186" i="196"/>
  <c r="U643" i="196"/>
  <c r="T643" i="196"/>
  <c r="U631" i="196"/>
  <c r="X631" i="196" s="1"/>
  <c r="T631" i="196"/>
  <c r="U95" i="196"/>
  <c r="X95" i="196" s="1"/>
  <c r="T95" i="196"/>
  <c r="U607" i="196"/>
  <c r="X607" i="196" s="1"/>
  <c r="T607" i="196"/>
  <c r="U595" i="196"/>
  <c r="T595" i="196"/>
  <c r="U583" i="196"/>
  <c r="X583" i="196" s="1"/>
  <c r="T583" i="196"/>
  <c r="U571" i="196"/>
  <c r="T571" i="196"/>
  <c r="U559" i="196"/>
  <c r="X559" i="196" s="1"/>
  <c r="T559" i="196"/>
  <c r="U547" i="196"/>
  <c r="X547" i="196" s="1"/>
  <c r="T547" i="196"/>
  <c r="U535" i="196"/>
  <c r="X535" i="196" s="1"/>
  <c r="T535" i="196"/>
  <c r="U523" i="196"/>
  <c r="X523" i="196" s="1"/>
  <c r="T523" i="196"/>
  <c r="U511" i="196"/>
  <c r="T511" i="196"/>
  <c r="U499" i="196"/>
  <c r="T499" i="196"/>
  <c r="U487" i="196"/>
  <c r="X487" i="196" s="1"/>
  <c r="T487" i="196"/>
  <c r="U475" i="196"/>
  <c r="X475" i="196" s="1"/>
  <c r="T475" i="196"/>
  <c r="U463" i="196"/>
  <c r="X463" i="196" s="1"/>
  <c r="T463" i="196"/>
  <c r="U451" i="196"/>
  <c r="X451" i="196" s="1"/>
  <c r="T451" i="196"/>
  <c r="U439" i="196"/>
  <c r="T439" i="196"/>
  <c r="U427" i="196"/>
  <c r="T427" i="196"/>
  <c r="U415" i="196"/>
  <c r="X415" i="196" s="1"/>
  <c r="T415" i="196"/>
  <c r="U588" i="196"/>
  <c r="X588" i="196" s="1"/>
  <c r="T588" i="196"/>
  <c r="U391" i="196"/>
  <c r="X391" i="196" s="1"/>
  <c r="T391" i="196"/>
  <c r="U379" i="196"/>
  <c r="X379" i="196" s="1"/>
  <c r="T379" i="196"/>
  <c r="U367" i="196"/>
  <c r="X367" i="196" s="1"/>
  <c r="T367" i="196"/>
  <c r="U355" i="196"/>
  <c r="W355" i="196" s="1"/>
  <c r="T355" i="196"/>
  <c r="U285" i="196"/>
  <c r="X285" i="196" s="1"/>
  <c r="T285" i="196"/>
  <c r="U331" i="196"/>
  <c r="X331" i="196" s="1"/>
  <c r="T331" i="196"/>
  <c r="U168" i="196"/>
  <c r="X168" i="196" s="1"/>
  <c r="T168" i="196"/>
  <c r="U307" i="196"/>
  <c r="T307" i="196"/>
  <c r="U779" i="196"/>
  <c r="T779" i="196"/>
  <c r="U276" i="196"/>
  <c r="V276" i="196" s="1"/>
  <c r="T276" i="196"/>
  <c r="U273" i="196"/>
  <c r="X273" i="196" s="1"/>
  <c r="T273" i="196"/>
  <c r="U259" i="196"/>
  <c r="X259" i="196" s="1"/>
  <c r="T259" i="196"/>
  <c r="U214" i="196"/>
  <c r="X214" i="196" s="1"/>
  <c r="T214" i="196"/>
  <c r="U64" i="196"/>
  <c r="X64" i="196" s="1"/>
  <c r="T64" i="196"/>
  <c r="U223" i="196"/>
  <c r="X223" i="196" s="1"/>
  <c r="T223" i="196"/>
  <c r="U211" i="196"/>
  <c r="W211" i="196" s="1"/>
  <c r="T211" i="196"/>
  <c r="U199" i="196"/>
  <c r="X199" i="196" s="1"/>
  <c r="T199" i="196"/>
  <c r="U146" i="196"/>
  <c r="X146" i="196" s="1"/>
  <c r="T146" i="196"/>
  <c r="U62" i="196"/>
  <c r="X62" i="196" s="1"/>
  <c r="T62" i="196"/>
  <c r="U156" i="196"/>
  <c r="X156" i="196" s="1"/>
  <c r="T156" i="196"/>
  <c r="U267" i="196"/>
  <c r="X267" i="196" s="1"/>
  <c r="T267" i="196"/>
  <c r="U38" i="196"/>
  <c r="T38" i="196"/>
  <c r="U698" i="196"/>
  <c r="X698" i="196" s="1"/>
  <c r="T698" i="196"/>
  <c r="U693" i="196"/>
  <c r="X693" i="196" s="1"/>
  <c r="T693" i="196"/>
  <c r="U687" i="196"/>
  <c r="X687" i="196" s="1"/>
  <c r="T687" i="196"/>
  <c r="U91" i="196"/>
  <c r="X91" i="196" s="1"/>
  <c r="T91" i="196"/>
  <c r="U676" i="196"/>
  <c r="T676" i="196"/>
  <c r="U67" i="196"/>
  <c r="X67" i="196" s="1"/>
  <c r="T67" i="196"/>
  <c r="U55" i="196"/>
  <c r="X55" i="196" s="1"/>
  <c r="T55" i="196"/>
  <c r="U43" i="196"/>
  <c r="X43" i="196" s="1"/>
  <c r="T43" i="196"/>
  <c r="U31" i="196"/>
  <c r="X31" i="196" s="1"/>
  <c r="T31" i="196"/>
  <c r="U138" i="196"/>
  <c r="X138" i="196" s="1"/>
  <c r="T138" i="196"/>
  <c r="U7" i="196"/>
  <c r="X7" i="196" s="1"/>
  <c r="T7" i="196"/>
  <c r="U125" i="196"/>
  <c r="T125" i="196"/>
  <c r="U423" i="196"/>
  <c r="X423" i="196" s="1"/>
  <c r="T423" i="196"/>
  <c r="U162" i="196"/>
  <c r="V162" i="196" s="1"/>
  <c r="T162" i="196"/>
  <c r="U150" i="196"/>
  <c r="X150" i="196" s="1"/>
  <c r="T150" i="196"/>
  <c r="U123" i="196"/>
  <c r="T123" i="196"/>
  <c r="U122" i="196"/>
  <c r="W122" i="196" s="1"/>
  <c r="T122" i="196"/>
  <c r="U114" i="196"/>
  <c r="T114" i="196"/>
  <c r="U686" i="196"/>
  <c r="V686" i="196" s="1"/>
  <c r="T686" i="196"/>
  <c r="U90" i="196"/>
  <c r="W90" i="196" s="1"/>
  <c r="T90" i="196"/>
  <c r="U252" i="196"/>
  <c r="X252" i="196" s="1"/>
  <c r="T252" i="196"/>
  <c r="U66" i="196"/>
  <c r="X66" i="196" s="1"/>
  <c r="T66" i="196"/>
  <c r="U54" i="196"/>
  <c r="W54" i="196" s="1"/>
  <c r="T54" i="196"/>
  <c r="U380" i="196"/>
  <c r="V380" i="196" s="1"/>
  <c r="T380" i="196"/>
  <c r="U665" i="196"/>
  <c r="X665" i="196" s="1"/>
  <c r="T665" i="196"/>
  <c r="U155" i="196"/>
  <c r="W155" i="196" s="1"/>
  <c r="T155" i="196"/>
  <c r="U6" i="196"/>
  <c r="X6" i="196" s="1"/>
  <c r="T6" i="196"/>
  <c r="U1177" i="196"/>
  <c r="W1177" i="196" s="1"/>
  <c r="T1177" i="196"/>
  <c r="U1081" i="196"/>
  <c r="W1081" i="196" s="1"/>
  <c r="T1081" i="196"/>
  <c r="U973" i="196"/>
  <c r="T973" i="196"/>
  <c r="U235" i="196"/>
  <c r="X235" i="196" s="1"/>
  <c r="T235" i="196"/>
  <c r="U770" i="196"/>
  <c r="X770" i="196" s="1"/>
  <c r="T770" i="196"/>
  <c r="U662" i="196"/>
  <c r="X662" i="196" s="1"/>
  <c r="T662" i="196"/>
  <c r="U374" i="196"/>
  <c r="X374" i="196" s="1"/>
  <c r="T374" i="196"/>
  <c r="U1234" i="196"/>
  <c r="W1234" i="196" s="1"/>
  <c r="T1234" i="196"/>
  <c r="U1186" i="196"/>
  <c r="T1186" i="196"/>
  <c r="U1090" i="196"/>
  <c r="V1090" i="196" s="1"/>
  <c r="T1090" i="196"/>
  <c r="U1006" i="196"/>
  <c r="X1006" i="196" s="1"/>
  <c r="T1006" i="196"/>
  <c r="U923" i="196"/>
  <c r="X923" i="196" s="1"/>
  <c r="T923" i="196"/>
  <c r="U907" i="196"/>
  <c r="T907" i="196"/>
  <c r="U755" i="196"/>
  <c r="W755" i="196" s="1"/>
  <c r="T755" i="196"/>
  <c r="U623" i="196"/>
  <c r="T623" i="196"/>
  <c r="U169" i="196"/>
  <c r="X169" i="196" s="1"/>
  <c r="T169" i="196"/>
  <c r="U455" i="196"/>
  <c r="X455" i="196" s="1"/>
  <c r="T455" i="196"/>
  <c r="U383" i="196"/>
  <c r="X383" i="196" s="1"/>
  <c r="T383" i="196"/>
  <c r="U287" i="196"/>
  <c r="X287" i="196" s="1"/>
  <c r="T287" i="196"/>
  <c r="U203" i="196"/>
  <c r="W203" i="196" s="1"/>
  <c r="T203" i="196"/>
  <c r="U1232" i="196"/>
  <c r="T1232" i="196"/>
  <c r="U1265" i="196"/>
  <c r="X1265" i="196" s="1"/>
  <c r="T1265" i="196"/>
  <c r="U1229" i="196"/>
  <c r="X1229" i="196" s="1"/>
  <c r="T1229" i="196"/>
  <c r="U1193" i="196"/>
  <c r="X1193" i="196" s="1"/>
  <c r="T1193" i="196"/>
  <c r="U1157" i="196"/>
  <c r="X1157" i="196" s="1"/>
  <c r="T1157" i="196"/>
  <c r="U1121" i="196"/>
  <c r="X1121" i="196" s="1"/>
  <c r="T1121" i="196"/>
  <c r="U1073" i="196"/>
  <c r="W1073" i="196" s="1"/>
  <c r="T1073" i="196"/>
  <c r="U1037" i="196"/>
  <c r="V1037" i="196" s="1"/>
  <c r="T1037" i="196"/>
  <c r="U1001" i="196"/>
  <c r="X1001" i="196" s="1"/>
  <c r="T1001" i="196"/>
  <c r="U965" i="196"/>
  <c r="V965" i="196" s="1"/>
  <c r="T965" i="196"/>
  <c r="U941" i="196"/>
  <c r="X941" i="196" s="1"/>
  <c r="T941" i="196"/>
  <c r="U321" i="196"/>
  <c r="V321" i="196" s="1"/>
  <c r="T321" i="196"/>
  <c r="U870" i="196"/>
  <c r="W870" i="196" s="1"/>
  <c r="T870" i="196"/>
  <c r="U834" i="196"/>
  <c r="V834" i="196" s="1"/>
  <c r="T834" i="196"/>
  <c r="U798" i="196"/>
  <c r="W798" i="196" s="1"/>
  <c r="T798" i="196"/>
  <c r="U762" i="196"/>
  <c r="W762" i="196" s="1"/>
  <c r="T762" i="196"/>
  <c r="U726" i="196"/>
  <c r="X726" i="196" s="1"/>
  <c r="T726" i="196"/>
  <c r="U619" i="196"/>
  <c r="W619" i="196" s="1"/>
  <c r="T619" i="196"/>
  <c r="U654" i="196"/>
  <c r="X654" i="196" s="1"/>
  <c r="T654" i="196"/>
  <c r="U618" i="196"/>
  <c r="W618" i="196" s="1"/>
  <c r="T618" i="196"/>
  <c r="U582" i="196"/>
  <c r="W582" i="196" s="1"/>
  <c r="T582" i="196"/>
  <c r="U546" i="196"/>
  <c r="X546" i="196" s="1"/>
  <c r="T546" i="196"/>
  <c r="U522" i="196"/>
  <c r="T522" i="196"/>
  <c r="U474" i="196"/>
  <c r="W474" i="196" s="1"/>
  <c r="T474" i="196"/>
  <c r="U450" i="196"/>
  <c r="T450" i="196"/>
  <c r="U402" i="196"/>
  <c r="W402" i="196" s="1"/>
  <c r="T402" i="196"/>
  <c r="U366" i="196"/>
  <c r="V366" i="196" s="1"/>
  <c r="T366" i="196"/>
  <c r="U330" i="196"/>
  <c r="X330" i="196" s="1"/>
  <c r="T330" i="196"/>
  <c r="U294" i="196"/>
  <c r="X294" i="196" s="1"/>
  <c r="T294" i="196"/>
  <c r="U777" i="196"/>
  <c r="X777" i="196" s="1"/>
  <c r="T777" i="196"/>
  <c r="U234" i="196"/>
  <c r="T234" i="196"/>
  <c r="U198" i="196"/>
  <c r="X198" i="196" s="1"/>
  <c r="T198" i="196"/>
  <c r="U1276" i="196"/>
  <c r="X1276" i="196" s="1"/>
  <c r="T1276" i="196"/>
  <c r="U1252" i="196"/>
  <c r="X1252" i="196" s="1"/>
  <c r="T1252" i="196"/>
  <c r="U1228" i="196"/>
  <c r="T1228" i="196"/>
  <c r="U1204" i="196"/>
  <c r="W1204" i="196" s="1"/>
  <c r="T1204" i="196"/>
  <c r="U1180" i="196"/>
  <c r="T1180" i="196"/>
  <c r="U1156" i="196"/>
  <c r="V1156" i="196" s="1"/>
  <c r="T1156" i="196"/>
  <c r="U1120" i="196"/>
  <c r="W1120" i="196" s="1"/>
  <c r="T1120" i="196"/>
  <c r="U1096" i="196"/>
  <c r="X1096" i="196" s="1"/>
  <c r="T1096" i="196"/>
  <c r="U1084" i="196"/>
  <c r="X1084" i="196" s="1"/>
  <c r="T1084" i="196"/>
  <c r="U1060" i="196"/>
  <c r="V1060" i="196" s="1"/>
  <c r="T1060" i="196"/>
  <c r="U1036" i="196"/>
  <c r="T1036" i="196"/>
  <c r="U1012" i="196"/>
  <c r="X1012" i="196" s="1"/>
  <c r="T1012" i="196"/>
  <c r="U976" i="196"/>
  <c r="X976" i="196" s="1"/>
  <c r="T976" i="196"/>
  <c r="U952" i="196"/>
  <c r="X952" i="196" s="1"/>
  <c r="T952" i="196"/>
  <c r="U929" i="196"/>
  <c r="X929" i="196" s="1"/>
  <c r="T929" i="196"/>
  <c r="U905" i="196"/>
  <c r="W905" i="196" s="1"/>
  <c r="T905" i="196"/>
  <c r="U881" i="196"/>
  <c r="W881" i="196" s="1"/>
  <c r="T881" i="196"/>
  <c r="U869" i="196"/>
  <c r="X869" i="196" s="1"/>
  <c r="T869" i="196"/>
  <c r="U845" i="196"/>
  <c r="X845" i="196" s="1"/>
  <c r="T845" i="196"/>
  <c r="U232" i="196"/>
  <c r="X232" i="196" s="1"/>
  <c r="T232" i="196"/>
  <c r="U886" i="196"/>
  <c r="T886" i="196"/>
  <c r="U773" i="196"/>
  <c r="V773" i="196" s="1"/>
  <c r="T773" i="196"/>
  <c r="U737" i="196"/>
  <c r="T737" i="196"/>
  <c r="U713" i="196"/>
  <c r="W713" i="196" s="1"/>
  <c r="T713" i="196"/>
  <c r="U689" i="196"/>
  <c r="X689" i="196" s="1"/>
  <c r="T689" i="196"/>
  <c r="U615" i="196"/>
  <c r="X615" i="196" s="1"/>
  <c r="T615" i="196"/>
  <c r="U641" i="196"/>
  <c r="W641" i="196" s="1"/>
  <c r="T641" i="196"/>
  <c r="U109" i="196"/>
  <c r="W109" i="196" s="1"/>
  <c r="T109" i="196"/>
  <c r="U593" i="196"/>
  <c r="T593" i="196"/>
  <c r="U569" i="196"/>
  <c r="X569" i="196" s="1"/>
  <c r="T569" i="196"/>
  <c r="U545" i="196"/>
  <c r="X545" i="196" s="1"/>
  <c r="T545" i="196"/>
  <c r="U521" i="196"/>
  <c r="X521" i="196" s="1"/>
  <c r="T521" i="196"/>
  <c r="U461" i="196"/>
  <c r="W461" i="196" s="1"/>
  <c r="T461" i="196"/>
  <c r="U185" i="196"/>
  <c r="W185" i="196" s="1"/>
  <c r="T185" i="196"/>
  <c r="U173" i="196"/>
  <c r="W173" i="196" s="1"/>
  <c r="T173" i="196"/>
  <c r="U161" i="196"/>
  <c r="V161" i="196" s="1"/>
  <c r="T161" i="196"/>
  <c r="U149" i="196"/>
  <c r="W149" i="196" s="1"/>
  <c r="T149" i="196"/>
  <c r="U165" i="196"/>
  <c r="X165" i="196" s="1"/>
  <c r="T165" i="196"/>
  <c r="U30" i="196"/>
  <c r="T30" i="196"/>
  <c r="U113" i="196"/>
  <c r="W113" i="196" s="1"/>
  <c r="T113" i="196"/>
  <c r="U399" i="196"/>
  <c r="T399" i="196"/>
  <c r="U194" i="196"/>
  <c r="W194" i="196" s="1"/>
  <c r="T194" i="196"/>
  <c r="U77" i="196"/>
  <c r="X77" i="196" s="1"/>
  <c r="T77" i="196"/>
  <c r="U675" i="196"/>
  <c r="V675" i="196" s="1"/>
  <c r="T675" i="196"/>
  <c r="U53" i="196"/>
  <c r="X53" i="196" s="1"/>
  <c r="T53" i="196"/>
  <c r="U41" i="196"/>
  <c r="W41" i="196" s="1"/>
  <c r="T41" i="196"/>
  <c r="U343" i="196"/>
  <c r="V343" i="196" s="1"/>
  <c r="T343" i="196"/>
  <c r="U17" i="196"/>
  <c r="X17" i="196" s="1"/>
  <c r="T17" i="196"/>
  <c r="U172" i="196"/>
  <c r="X172" i="196" s="1"/>
  <c r="T172" i="196"/>
  <c r="U1213" i="196"/>
  <c r="W1213" i="196" s="1"/>
  <c r="T1213" i="196"/>
  <c r="U1069" i="196"/>
  <c r="X1069" i="196" s="1"/>
  <c r="T1069" i="196"/>
  <c r="U341" i="196"/>
  <c r="W341" i="196" s="1"/>
  <c r="T341" i="196"/>
  <c r="U866" i="196"/>
  <c r="T866" i="196"/>
  <c r="U758" i="196"/>
  <c r="X758" i="196" s="1"/>
  <c r="T758" i="196"/>
  <c r="U226" i="196"/>
  <c r="X226" i="196" s="1"/>
  <c r="T226" i="196"/>
  <c r="U434" i="196"/>
  <c r="X434" i="196" s="1"/>
  <c r="T434" i="196"/>
  <c r="U1270" i="196"/>
  <c r="X1270" i="196" s="1"/>
  <c r="T1270" i="196"/>
  <c r="U1174" i="196"/>
  <c r="W1174" i="196" s="1"/>
  <c r="T1174" i="196"/>
  <c r="U1102" i="196"/>
  <c r="T1102" i="196"/>
  <c r="U1018" i="196"/>
  <c r="X1018" i="196" s="1"/>
  <c r="T1018" i="196"/>
  <c r="U663" i="196"/>
  <c r="X663" i="196" s="1"/>
  <c r="T663" i="196"/>
  <c r="U851" i="196"/>
  <c r="V851" i="196" s="1"/>
  <c r="T851" i="196"/>
  <c r="U743" i="196"/>
  <c r="X743" i="196" s="1"/>
  <c r="T743" i="196"/>
  <c r="U647" i="196"/>
  <c r="T647" i="196"/>
  <c r="U551" i="196"/>
  <c r="T551" i="196"/>
  <c r="U467" i="196"/>
  <c r="W467" i="196" s="1"/>
  <c r="T467" i="196"/>
  <c r="U371" i="196"/>
  <c r="X371" i="196" s="1"/>
  <c r="T371" i="196"/>
  <c r="U299" i="196"/>
  <c r="X299" i="196" s="1"/>
  <c r="T299" i="196"/>
  <c r="U275" i="196"/>
  <c r="W275" i="196" s="1"/>
  <c r="T275" i="196"/>
  <c r="U1220" i="196"/>
  <c r="W1220" i="196" s="1"/>
  <c r="T1220" i="196"/>
  <c r="U1241" i="196"/>
  <c r="V1241" i="196" s="1"/>
  <c r="T1241" i="196"/>
  <c r="U1205" i="196"/>
  <c r="X1205" i="196" s="1"/>
  <c r="T1205" i="196"/>
  <c r="U1181" i="196"/>
  <c r="X1181" i="196" s="1"/>
  <c r="T1181" i="196"/>
  <c r="U1145" i="196"/>
  <c r="X1145" i="196" s="1"/>
  <c r="T1145" i="196"/>
  <c r="U1109" i="196"/>
  <c r="T1109" i="196"/>
  <c r="U1085" i="196"/>
  <c r="V1085" i="196" s="1"/>
  <c r="T1085" i="196"/>
  <c r="U1049" i="196"/>
  <c r="V1049" i="196" s="1"/>
  <c r="T1049" i="196"/>
  <c r="U1013" i="196"/>
  <c r="X1013" i="196" s="1"/>
  <c r="T1013" i="196"/>
  <c r="U977" i="196"/>
  <c r="W977" i="196" s="1"/>
  <c r="T977" i="196"/>
  <c r="U930" i="196"/>
  <c r="W930" i="196" s="1"/>
  <c r="T930" i="196"/>
  <c r="U894" i="196"/>
  <c r="X894" i="196" s="1"/>
  <c r="T894" i="196"/>
  <c r="U858" i="196"/>
  <c r="W858" i="196" s="1"/>
  <c r="T858" i="196"/>
  <c r="U906" i="196"/>
  <c r="T906" i="196"/>
  <c r="U295" i="196"/>
  <c r="X295" i="196" s="1"/>
  <c r="T295" i="196"/>
  <c r="U750" i="196"/>
  <c r="W750" i="196" s="1"/>
  <c r="T750" i="196"/>
  <c r="U714" i="196"/>
  <c r="X714" i="196" s="1"/>
  <c r="T714" i="196"/>
  <c r="U678" i="196"/>
  <c r="X678" i="196" s="1"/>
  <c r="T678" i="196"/>
  <c r="U642" i="196"/>
  <c r="W642" i="196" s="1"/>
  <c r="T642" i="196"/>
  <c r="U606" i="196"/>
  <c r="T606" i="196"/>
  <c r="U570" i="196"/>
  <c r="X570" i="196" s="1"/>
  <c r="T570" i="196"/>
  <c r="U534" i="196"/>
  <c r="X534" i="196" s="1"/>
  <c r="T534" i="196"/>
  <c r="U498" i="196"/>
  <c r="W498" i="196" s="1"/>
  <c r="T498" i="196"/>
  <c r="U486" i="196"/>
  <c r="X486" i="196" s="1"/>
  <c r="T486" i="196"/>
  <c r="U438" i="196"/>
  <c r="X438" i="196" s="1"/>
  <c r="T438" i="196"/>
  <c r="U414" i="196"/>
  <c r="V414" i="196" s="1"/>
  <c r="T414" i="196"/>
  <c r="U378" i="196"/>
  <c r="X378" i="196" s="1"/>
  <c r="T378" i="196"/>
  <c r="U342" i="196"/>
  <c r="X342" i="196" s="1"/>
  <c r="T342" i="196"/>
  <c r="U306" i="196"/>
  <c r="W306" i="196" s="1"/>
  <c r="T306" i="196"/>
  <c r="U137" i="196"/>
  <c r="V137" i="196" s="1"/>
  <c r="T137" i="196"/>
  <c r="U775" i="196"/>
  <c r="X775" i="196" s="1"/>
  <c r="T775" i="196"/>
  <c r="U210" i="196"/>
  <c r="V210" i="196" s="1"/>
  <c r="T210" i="196"/>
  <c r="U1264" i="196"/>
  <c r="X1264" i="196" s="1"/>
  <c r="T1264" i="196"/>
  <c r="U1240" i="196"/>
  <c r="X1240" i="196" s="1"/>
  <c r="T1240" i="196"/>
  <c r="U1216" i="196"/>
  <c r="X1216" i="196" s="1"/>
  <c r="T1216" i="196"/>
  <c r="U1192" i="196"/>
  <c r="X1192" i="196" s="1"/>
  <c r="T1192" i="196"/>
  <c r="U1168" i="196"/>
  <c r="V1168" i="196" s="1"/>
  <c r="T1168" i="196"/>
  <c r="U1144" i="196"/>
  <c r="V1144" i="196" s="1"/>
  <c r="T1144" i="196"/>
  <c r="U1132" i="196"/>
  <c r="X1132" i="196" s="1"/>
  <c r="T1132" i="196"/>
  <c r="U1108" i="196"/>
  <c r="X1108" i="196" s="1"/>
  <c r="T1108" i="196"/>
  <c r="U1072" i="196"/>
  <c r="V1072" i="196" s="1"/>
  <c r="T1072" i="196"/>
  <c r="U1048" i="196"/>
  <c r="W1048" i="196" s="1"/>
  <c r="T1048" i="196"/>
  <c r="U1024" i="196"/>
  <c r="V1024" i="196" s="1"/>
  <c r="T1024" i="196"/>
  <c r="U1000" i="196"/>
  <c r="T1000" i="196"/>
  <c r="U988" i="196"/>
  <c r="W988" i="196" s="1"/>
  <c r="T988" i="196"/>
  <c r="U964" i="196"/>
  <c r="W964" i="196" s="1"/>
  <c r="T964" i="196"/>
  <c r="U940" i="196"/>
  <c r="X940" i="196" s="1"/>
  <c r="T940" i="196"/>
  <c r="U917" i="196"/>
  <c r="W917" i="196" s="1"/>
  <c r="T917" i="196"/>
  <c r="U893" i="196"/>
  <c r="V893" i="196" s="1"/>
  <c r="T893" i="196"/>
  <c r="U857" i="196"/>
  <c r="T857" i="196"/>
  <c r="U833" i="196"/>
  <c r="X833" i="196" s="1"/>
  <c r="T833" i="196"/>
  <c r="U809" i="196"/>
  <c r="V809" i="196" s="1"/>
  <c r="T809" i="196"/>
  <c r="U880" i="196"/>
  <c r="V880" i="196" s="1"/>
  <c r="T880" i="196"/>
  <c r="U761" i="196"/>
  <c r="X761" i="196" s="1"/>
  <c r="T761" i="196"/>
  <c r="U749" i="196"/>
  <c r="W749" i="196" s="1"/>
  <c r="T749" i="196"/>
  <c r="U625" i="196"/>
  <c r="T625" i="196"/>
  <c r="U621" i="196"/>
  <c r="W621" i="196" s="1"/>
  <c r="T621" i="196"/>
  <c r="U617" i="196"/>
  <c r="T617" i="196"/>
  <c r="U653" i="196"/>
  <c r="W653" i="196" s="1"/>
  <c r="T653" i="196"/>
  <c r="U597" i="196"/>
  <c r="W597" i="196" s="1"/>
  <c r="T597" i="196"/>
  <c r="U605" i="196"/>
  <c r="V605" i="196" s="1"/>
  <c r="T605" i="196"/>
  <c r="U581" i="196"/>
  <c r="X581" i="196" s="1"/>
  <c r="T581" i="196"/>
  <c r="U557" i="196"/>
  <c r="X557" i="196" s="1"/>
  <c r="T557" i="196"/>
  <c r="U533" i="196"/>
  <c r="X533" i="196" s="1"/>
  <c r="T533" i="196"/>
  <c r="U509" i="196"/>
  <c r="W509" i="196" s="1"/>
  <c r="T509" i="196"/>
  <c r="U497" i="196"/>
  <c r="W497" i="196" s="1"/>
  <c r="T497" i="196"/>
  <c r="U485" i="196"/>
  <c r="X485" i="196" s="1"/>
  <c r="T485" i="196"/>
  <c r="U473" i="196"/>
  <c r="V473" i="196" s="1"/>
  <c r="T473" i="196"/>
  <c r="U449" i="196"/>
  <c r="X449" i="196" s="1"/>
  <c r="T449" i="196"/>
  <c r="U437" i="196"/>
  <c r="X437" i="196" s="1"/>
  <c r="T437" i="196"/>
  <c r="U590" i="196"/>
  <c r="X590" i="196" s="1"/>
  <c r="T590" i="196"/>
  <c r="U413" i="196"/>
  <c r="V413" i="196" s="1"/>
  <c r="T413" i="196"/>
  <c r="U401" i="196"/>
  <c r="X401" i="196" s="1"/>
  <c r="T401" i="196"/>
  <c r="U389" i="196"/>
  <c r="T389" i="196"/>
  <c r="U377" i="196"/>
  <c r="X377" i="196" s="1"/>
  <c r="T377" i="196"/>
  <c r="U365" i="196"/>
  <c r="X365" i="196" s="1"/>
  <c r="T365" i="196"/>
  <c r="U353" i="196"/>
  <c r="V353" i="196" s="1"/>
  <c r="T353" i="196"/>
  <c r="U127" i="196"/>
  <c r="X127" i="196" s="1"/>
  <c r="T127" i="196"/>
  <c r="U329" i="196"/>
  <c r="W329" i="196" s="1"/>
  <c r="T329" i="196"/>
  <c r="U317" i="196"/>
  <c r="W317" i="196" s="1"/>
  <c r="T317" i="196"/>
  <c r="U305" i="196"/>
  <c r="X305" i="196" s="1"/>
  <c r="T305" i="196"/>
  <c r="U82" i="196"/>
  <c r="V82" i="196" s="1"/>
  <c r="T82" i="196"/>
  <c r="U281" i="196"/>
  <c r="X281" i="196" s="1"/>
  <c r="T281" i="196"/>
  <c r="U216" i="196"/>
  <c r="W216" i="196" s="1"/>
  <c r="T216" i="196"/>
  <c r="U257" i="196"/>
  <c r="X257" i="196" s="1"/>
  <c r="T257" i="196"/>
  <c r="U548" i="196"/>
  <c r="T548" i="196"/>
  <c r="U63" i="196"/>
  <c r="W63" i="196" s="1"/>
  <c r="T63" i="196"/>
  <c r="U221" i="196"/>
  <c r="W221" i="196" s="1"/>
  <c r="T221" i="196"/>
  <c r="U158" i="196"/>
  <c r="V158" i="196" s="1"/>
  <c r="T158" i="196"/>
  <c r="U178" i="196"/>
  <c r="W178" i="196" s="1"/>
  <c r="T178" i="196"/>
  <c r="U1275" i="196"/>
  <c r="X1275" i="196" s="1"/>
  <c r="T1275" i="196"/>
  <c r="U1263" i="196"/>
  <c r="X1263" i="196" s="1"/>
  <c r="T1263" i="196"/>
  <c r="U1251" i="196"/>
  <c r="W1251" i="196" s="1"/>
  <c r="T1251" i="196"/>
  <c r="U1239" i="196"/>
  <c r="X1239" i="196" s="1"/>
  <c r="T1239" i="196"/>
  <c r="U1227" i="196"/>
  <c r="X1227" i="196" s="1"/>
  <c r="T1227" i="196"/>
  <c r="U1215" i="196"/>
  <c r="X1215" i="196" s="1"/>
  <c r="T1215" i="196"/>
  <c r="U1203" i="196"/>
  <c r="W1203" i="196" s="1"/>
  <c r="T1203" i="196"/>
  <c r="U1191" i="196"/>
  <c r="X1191" i="196" s="1"/>
  <c r="T1191" i="196"/>
  <c r="U1179" i="196"/>
  <c r="X1179" i="196" s="1"/>
  <c r="T1179" i="196"/>
  <c r="U1167" i="196"/>
  <c r="X1167" i="196" s="1"/>
  <c r="T1167" i="196"/>
  <c r="U1155" i="196"/>
  <c r="X1155" i="196" s="1"/>
  <c r="T1155" i="196"/>
  <c r="U1143" i="196"/>
  <c r="W1143" i="196" s="1"/>
  <c r="T1143" i="196"/>
  <c r="U1131" i="196"/>
  <c r="X1131" i="196" s="1"/>
  <c r="T1131" i="196"/>
  <c r="U1119" i="196"/>
  <c r="X1119" i="196" s="1"/>
  <c r="T1119" i="196"/>
  <c r="U1107" i="196"/>
  <c r="V1107" i="196" s="1"/>
  <c r="T1107" i="196"/>
  <c r="U1095" i="196"/>
  <c r="W1095" i="196" s="1"/>
  <c r="T1095" i="196"/>
  <c r="U1071" i="196"/>
  <c r="V1071" i="196" s="1"/>
  <c r="T1071" i="196"/>
  <c r="U1059" i="196"/>
  <c r="X1059" i="196" s="1"/>
  <c r="T1059" i="196"/>
  <c r="U1047" i="196"/>
  <c r="X1047" i="196" s="1"/>
  <c r="T1047" i="196"/>
  <c r="U1035" i="196"/>
  <c r="X1035" i="196" s="1"/>
  <c r="T1035" i="196"/>
  <c r="U1023" i="196"/>
  <c r="X1023" i="196" s="1"/>
  <c r="T1023" i="196"/>
  <c r="U1011" i="196"/>
  <c r="X1011" i="196" s="1"/>
  <c r="T1011" i="196"/>
  <c r="U999" i="196"/>
  <c r="X999" i="196" s="1"/>
  <c r="T999" i="196"/>
  <c r="U987" i="196"/>
  <c r="W987" i="196" s="1"/>
  <c r="T987" i="196"/>
  <c r="U975" i="196"/>
  <c r="W975" i="196" s="1"/>
  <c r="T975" i="196"/>
  <c r="U963" i="196"/>
  <c r="W963" i="196" s="1"/>
  <c r="T963" i="196"/>
  <c r="U951" i="196"/>
  <c r="W951" i="196" s="1"/>
  <c r="T951" i="196"/>
  <c r="U939" i="196"/>
  <c r="X939" i="196" s="1"/>
  <c r="T939" i="196"/>
  <c r="U928" i="196"/>
  <c r="X928" i="196" s="1"/>
  <c r="T928" i="196"/>
  <c r="U242" i="196"/>
  <c r="X242" i="196" s="1"/>
  <c r="T242" i="196"/>
  <c r="U904" i="196"/>
  <c r="V904" i="196" s="1"/>
  <c r="T904" i="196"/>
  <c r="U892" i="196"/>
  <c r="X892" i="196" s="1"/>
  <c r="T892" i="196"/>
  <c r="U916" i="196"/>
  <c r="V916" i="196" s="1"/>
  <c r="T916" i="196"/>
  <c r="U868" i="196"/>
  <c r="X868" i="196" s="1"/>
  <c r="T868" i="196"/>
  <c r="U650" i="196"/>
  <c r="V650" i="196" s="1"/>
  <c r="T650" i="196"/>
  <c r="U844" i="196"/>
  <c r="X844" i="196" s="1"/>
  <c r="T844" i="196"/>
  <c r="U832" i="196"/>
  <c r="V832" i="196" s="1"/>
  <c r="T832" i="196"/>
  <c r="U820" i="196"/>
  <c r="W820" i="196" s="1"/>
  <c r="T820" i="196"/>
  <c r="U808" i="196"/>
  <c r="V808" i="196" s="1"/>
  <c r="T808" i="196"/>
  <c r="U796" i="196"/>
  <c r="X796" i="196" s="1"/>
  <c r="T796" i="196"/>
  <c r="U784" i="196"/>
  <c r="X784" i="196" s="1"/>
  <c r="T784" i="196"/>
  <c r="U772" i="196"/>
  <c r="X772" i="196" s="1"/>
  <c r="T772" i="196"/>
  <c r="U760" i="196"/>
  <c r="W760" i="196" s="1"/>
  <c r="T760" i="196"/>
  <c r="U748" i="196"/>
  <c r="X748" i="196" s="1"/>
  <c r="T748" i="196"/>
  <c r="U736" i="196"/>
  <c r="X736" i="196" s="1"/>
  <c r="T736" i="196"/>
  <c r="U724" i="196"/>
  <c r="X724" i="196" s="1"/>
  <c r="T724" i="196"/>
  <c r="U712" i="196"/>
  <c r="X712" i="196" s="1"/>
  <c r="T712" i="196"/>
  <c r="U850" i="196"/>
  <c r="X850" i="196" s="1"/>
  <c r="T850" i="196"/>
  <c r="U688" i="196"/>
  <c r="V688" i="196" s="1"/>
  <c r="T688" i="196"/>
  <c r="U227" i="196"/>
  <c r="X227" i="196" s="1"/>
  <c r="T227" i="196"/>
  <c r="U187" i="196"/>
  <c r="X187" i="196" s="1"/>
  <c r="T187" i="196"/>
  <c r="U652" i="196"/>
  <c r="V652" i="196" s="1"/>
  <c r="T652" i="196"/>
  <c r="U640" i="196"/>
  <c r="X640" i="196" s="1"/>
  <c r="T640" i="196"/>
  <c r="U291" i="196"/>
  <c r="X291" i="196" s="1"/>
  <c r="T291" i="196"/>
  <c r="U290" i="196"/>
  <c r="X290" i="196" s="1"/>
  <c r="T290" i="196"/>
  <c r="U604" i="196"/>
  <c r="X604" i="196" s="1"/>
  <c r="T604" i="196"/>
  <c r="U592" i="196"/>
  <c r="X592" i="196" s="1"/>
  <c r="T592" i="196"/>
  <c r="U580" i="196"/>
  <c r="X580" i="196" s="1"/>
  <c r="T580" i="196"/>
  <c r="U568" i="196"/>
  <c r="V568" i="196" s="1"/>
  <c r="T568" i="196"/>
  <c r="U556" i="196"/>
  <c r="W556" i="196" s="1"/>
  <c r="T556" i="196"/>
  <c r="U544" i="196"/>
  <c r="W544" i="196" s="1"/>
  <c r="T544" i="196"/>
  <c r="U532" i="196"/>
  <c r="X532" i="196" s="1"/>
  <c r="T532" i="196"/>
  <c r="U520" i="196"/>
  <c r="W520" i="196" s="1"/>
  <c r="T520" i="196"/>
  <c r="U508" i="196"/>
  <c r="X508" i="196" s="1"/>
  <c r="T508" i="196"/>
  <c r="U496" i="196"/>
  <c r="V496" i="196" s="1"/>
  <c r="T496" i="196"/>
  <c r="U484" i="196"/>
  <c r="W484" i="196" s="1"/>
  <c r="T484" i="196"/>
  <c r="U472" i="196"/>
  <c r="W472" i="196" s="1"/>
  <c r="T472" i="196"/>
  <c r="U460" i="196"/>
  <c r="X460" i="196" s="1"/>
  <c r="T460" i="196"/>
  <c r="U448" i="196"/>
  <c r="V448" i="196" s="1"/>
  <c r="T448" i="196"/>
  <c r="U436" i="196"/>
  <c r="X436" i="196" s="1"/>
  <c r="T436" i="196"/>
  <c r="U424" i="196"/>
  <c r="V424" i="196" s="1"/>
  <c r="T424" i="196"/>
  <c r="U412" i="196"/>
  <c r="W412" i="196" s="1"/>
  <c r="T412" i="196"/>
  <c r="U400" i="196"/>
  <c r="W400" i="196" s="1"/>
  <c r="T400" i="196"/>
  <c r="U388" i="196"/>
  <c r="W388" i="196" s="1"/>
  <c r="T388" i="196"/>
  <c r="U376" i="196"/>
  <c r="X376" i="196" s="1"/>
  <c r="T376" i="196"/>
  <c r="U364" i="196"/>
  <c r="X364" i="196" s="1"/>
  <c r="T364" i="196"/>
  <c r="U352" i="196"/>
  <c r="W352" i="196" s="1"/>
  <c r="T352" i="196"/>
  <c r="U340" i="196"/>
  <c r="X340" i="196" s="1"/>
  <c r="T340" i="196"/>
  <c r="U328" i="196"/>
  <c r="W328" i="196" s="1"/>
  <c r="T328" i="196"/>
  <c r="U316" i="196"/>
  <c r="X316" i="196" s="1"/>
  <c r="T316" i="196"/>
  <c r="U304" i="196"/>
  <c r="W304" i="196" s="1"/>
  <c r="T304" i="196"/>
  <c r="U147" i="196"/>
  <c r="X147" i="196" s="1"/>
  <c r="T147" i="196"/>
  <c r="U280" i="196"/>
  <c r="X280" i="196" s="1"/>
  <c r="T280" i="196"/>
  <c r="U215" i="196"/>
  <c r="W215" i="196" s="1"/>
  <c r="T215" i="196"/>
  <c r="U256" i="196"/>
  <c r="V256" i="196" s="1"/>
  <c r="T256" i="196"/>
  <c r="U244" i="196"/>
  <c r="X244" i="196" s="1"/>
  <c r="T244" i="196"/>
  <c r="U181" i="196"/>
  <c r="X181" i="196" s="1"/>
  <c r="T181" i="196"/>
  <c r="U220" i="196"/>
  <c r="X220" i="196" s="1"/>
  <c r="T220" i="196"/>
  <c r="U179" i="196"/>
  <c r="X179" i="196" s="1"/>
  <c r="T179" i="196"/>
  <c r="U269" i="196"/>
  <c r="W269" i="196" s="1"/>
  <c r="T269" i="196"/>
  <c r="U184" i="196"/>
  <c r="X184" i="196" s="1"/>
  <c r="T184" i="196"/>
  <c r="U708" i="196"/>
  <c r="X708" i="196" s="1"/>
  <c r="T708" i="196"/>
  <c r="U160" i="196"/>
  <c r="X160" i="196" s="1"/>
  <c r="T160" i="196"/>
  <c r="U148" i="196"/>
  <c r="X148" i="196" s="1"/>
  <c r="T148" i="196"/>
  <c r="U136" i="196"/>
  <c r="X136" i="196" s="1"/>
  <c r="T136" i="196"/>
  <c r="U18" i="196"/>
  <c r="X18" i="196" s="1"/>
  <c r="T18" i="196"/>
  <c r="U112" i="196"/>
  <c r="V112" i="196" s="1"/>
  <c r="T112" i="196"/>
  <c r="U100" i="196"/>
  <c r="W100" i="196" s="1"/>
  <c r="T100" i="196"/>
  <c r="U398" i="196"/>
  <c r="X398" i="196" s="1"/>
  <c r="T398" i="196"/>
  <c r="U76" i="196"/>
  <c r="X76" i="196" s="1"/>
  <c r="T76" i="196"/>
  <c r="U674" i="196"/>
  <c r="X674" i="196" s="1"/>
  <c r="T674" i="196"/>
  <c r="U52" i="196"/>
  <c r="X52" i="196" s="1"/>
  <c r="T52" i="196"/>
  <c r="U40" i="196"/>
  <c r="X40" i="196" s="1"/>
  <c r="T40" i="196"/>
  <c r="U192" i="196"/>
  <c r="X192" i="196" s="1"/>
  <c r="T192" i="196"/>
  <c r="U247" i="196"/>
  <c r="W247" i="196" s="1"/>
  <c r="T247" i="196"/>
  <c r="U4" i="196"/>
  <c r="X4" i="196" s="1"/>
  <c r="T4" i="196"/>
  <c r="U1225" i="196"/>
  <c r="X1225" i="196" s="1"/>
  <c r="T1225" i="196"/>
  <c r="U1105" i="196"/>
  <c r="X1105" i="196" s="1"/>
  <c r="T1105" i="196"/>
  <c r="U1021" i="196"/>
  <c r="T1021" i="196"/>
  <c r="U914" i="196"/>
  <c r="X914" i="196" s="1"/>
  <c r="T914" i="196"/>
  <c r="U898" i="196"/>
  <c r="X898" i="196" s="1"/>
  <c r="T898" i="196"/>
  <c r="U842" i="196"/>
  <c r="X842" i="196" s="1"/>
  <c r="T842" i="196"/>
  <c r="U422" i="196"/>
  <c r="X422" i="196" s="1"/>
  <c r="T422" i="196"/>
  <c r="U1210" i="196"/>
  <c r="X1210" i="196" s="1"/>
  <c r="T1210" i="196"/>
  <c r="U1150" i="196"/>
  <c r="T1150" i="196"/>
  <c r="U1078" i="196"/>
  <c r="X1078" i="196" s="1"/>
  <c r="T1078" i="196"/>
  <c r="U982" i="196"/>
  <c r="W982" i="196" s="1"/>
  <c r="T982" i="196"/>
  <c r="U887" i="196"/>
  <c r="X887" i="196" s="1"/>
  <c r="T887" i="196"/>
  <c r="U891" i="196"/>
  <c r="X891" i="196" s="1"/>
  <c r="T891" i="196"/>
  <c r="U719" i="196"/>
  <c r="V719" i="196" s="1"/>
  <c r="T719" i="196"/>
  <c r="U659" i="196"/>
  <c r="T659" i="196"/>
  <c r="U587" i="196"/>
  <c r="X587" i="196" s="1"/>
  <c r="T587" i="196"/>
  <c r="U503" i="196"/>
  <c r="X503" i="196" s="1"/>
  <c r="T503" i="196"/>
  <c r="U419" i="196"/>
  <c r="V419" i="196" s="1"/>
  <c r="T419" i="196"/>
  <c r="U347" i="196"/>
  <c r="X347" i="196" s="1"/>
  <c r="T347" i="196"/>
  <c r="U725" i="196"/>
  <c r="X725" i="196" s="1"/>
  <c r="T725" i="196"/>
  <c r="U1244" i="196"/>
  <c r="W1244" i="196" s="1"/>
  <c r="T1244" i="196"/>
  <c r="U1253" i="196"/>
  <c r="X1253" i="196" s="1"/>
  <c r="T1253" i="196"/>
  <c r="U1217" i="196"/>
  <c r="X1217" i="196" s="1"/>
  <c r="T1217" i="196"/>
  <c r="U1169" i="196"/>
  <c r="X1169" i="196" s="1"/>
  <c r="T1169" i="196"/>
  <c r="U1133" i="196"/>
  <c r="X1133" i="196" s="1"/>
  <c r="T1133" i="196"/>
  <c r="U1097" i="196"/>
  <c r="V1097" i="196" s="1"/>
  <c r="T1097" i="196"/>
  <c r="U1061" i="196"/>
  <c r="T1061" i="196"/>
  <c r="U1025" i="196"/>
  <c r="V1025" i="196" s="1"/>
  <c r="T1025" i="196"/>
  <c r="U989" i="196"/>
  <c r="X989" i="196" s="1"/>
  <c r="T989" i="196"/>
  <c r="U953" i="196"/>
  <c r="X953" i="196" s="1"/>
  <c r="T953" i="196"/>
  <c r="U920" i="196"/>
  <c r="V920" i="196" s="1"/>
  <c r="T920" i="196"/>
  <c r="U882" i="196"/>
  <c r="X882" i="196" s="1"/>
  <c r="T882" i="196"/>
  <c r="U846" i="196"/>
  <c r="V846" i="196" s="1"/>
  <c r="T846" i="196"/>
  <c r="U889" i="196"/>
  <c r="X889" i="196" s="1"/>
  <c r="T889" i="196"/>
  <c r="U628" i="196"/>
  <c r="X628" i="196" s="1"/>
  <c r="T628" i="196"/>
  <c r="U738" i="196"/>
  <c r="X738" i="196" s="1"/>
  <c r="T738" i="196"/>
  <c r="U702" i="196"/>
  <c r="X702" i="196" s="1"/>
  <c r="T702" i="196"/>
  <c r="U666" i="196"/>
  <c r="W666" i="196" s="1"/>
  <c r="T666" i="196"/>
  <c r="U630" i="196"/>
  <c r="X630" i="196" s="1"/>
  <c r="T630" i="196"/>
  <c r="U88" i="196"/>
  <c r="X88" i="196" s="1"/>
  <c r="T88" i="196"/>
  <c r="U558" i="196"/>
  <c r="W558" i="196" s="1"/>
  <c r="T558" i="196"/>
  <c r="U510" i="196"/>
  <c r="W510" i="196" s="1"/>
  <c r="T510" i="196"/>
  <c r="U462" i="196"/>
  <c r="X462" i="196" s="1"/>
  <c r="T462" i="196"/>
  <c r="U426" i="196"/>
  <c r="W426" i="196" s="1"/>
  <c r="T426" i="196"/>
  <c r="U390" i="196"/>
  <c r="X390" i="196" s="1"/>
  <c r="T390" i="196"/>
  <c r="U354" i="196"/>
  <c r="X354" i="196" s="1"/>
  <c r="T354" i="196"/>
  <c r="U83" i="196"/>
  <c r="X83" i="196" s="1"/>
  <c r="T83" i="196"/>
  <c r="U282" i="196"/>
  <c r="X282" i="196" s="1"/>
  <c r="T282" i="196"/>
  <c r="U222" i="196"/>
  <c r="X222" i="196" s="1"/>
  <c r="T222" i="196"/>
  <c r="U1274" i="196"/>
  <c r="V1274" i="196" s="1"/>
  <c r="T1274" i="196"/>
  <c r="U1262" i="196"/>
  <c r="V1262" i="196" s="1"/>
  <c r="T1262" i="196"/>
  <c r="U1250" i="196"/>
  <c r="X1250" i="196" s="1"/>
  <c r="T1250" i="196"/>
  <c r="U1238" i="196"/>
  <c r="X1238" i="196" s="1"/>
  <c r="T1238" i="196"/>
  <c r="U1226" i="196"/>
  <c r="X1226" i="196" s="1"/>
  <c r="T1226" i="196"/>
  <c r="U1214" i="196"/>
  <c r="V1214" i="196" s="1"/>
  <c r="T1214" i="196"/>
  <c r="U1202" i="196"/>
  <c r="X1202" i="196" s="1"/>
  <c r="T1202" i="196"/>
  <c r="U1190" i="196"/>
  <c r="X1190" i="196" s="1"/>
  <c r="T1190" i="196"/>
  <c r="U1178" i="196"/>
  <c r="X1178" i="196" s="1"/>
  <c r="T1178" i="196"/>
  <c r="U1166" i="196"/>
  <c r="X1166" i="196" s="1"/>
  <c r="T1166" i="196"/>
  <c r="U1154" i="196"/>
  <c r="X1154" i="196" s="1"/>
  <c r="T1154" i="196"/>
  <c r="U1142" i="196"/>
  <c r="W1142" i="196" s="1"/>
  <c r="T1142" i="196"/>
  <c r="U1130" i="196"/>
  <c r="X1130" i="196" s="1"/>
  <c r="T1130" i="196"/>
  <c r="U1118" i="196"/>
  <c r="V1118" i="196" s="1"/>
  <c r="T1118" i="196"/>
  <c r="U1106" i="196"/>
  <c r="X1106" i="196" s="1"/>
  <c r="T1106" i="196"/>
  <c r="U1094" i="196"/>
  <c r="X1094" i="196" s="1"/>
  <c r="T1094" i="196"/>
  <c r="U1082" i="196"/>
  <c r="X1082" i="196" s="1"/>
  <c r="T1082" i="196"/>
  <c r="U1070" i="196"/>
  <c r="W1070" i="196" s="1"/>
  <c r="T1070" i="196"/>
  <c r="U1058" i="196"/>
  <c r="X1058" i="196" s="1"/>
  <c r="T1058" i="196"/>
  <c r="U1046" i="196"/>
  <c r="X1046" i="196" s="1"/>
  <c r="T1046" i="196"/>
  <c r="U1034" i="196"/>
  <c r="X1034" i="196" s="1"/>
  <c r="T1034" i="196"/>
  <c r="U1022" i="196"/>
  <c r="W1022" i="196" s="1"/>
  <c r="T1022" i="196"/>
  <c r="U1010" i="196"/>
  <c r="X1010" i="196" s="1"/>
  <c r="T1010" i="196"/>
  <c r="U998" i="196"/>
  <c r="X998" i="196" s="1"/>
  <c r="T998" i="196"/>
  <c r="U986" i="196"/>
  <c r="X986" i="196" s="1"/>
  <c r="T986" i="196"/>
  <c r="U974" i="196"/>
  <c r="X974" i="196" s="1"/>
  <c r="T974" i="196"/>
  <c r="U962" i="196"/>
  <c r="W962" i="196" s="1"/>
  <c r="T962" i="196"/>
  <c r="U950" i="196"/>
  <c r="V950" i="196" s="1"/>
  <c r="T950" i="196"/>
  <c r="U938" i="196"/>
  <c r="X938" i="196" s="1"/>
  <c r="T938" i="196"/>
  <c r="U927" i="196"/>
  <c r="X927" i="196" s="1"/>
  <c r="T927" i="196"/>
  <c r="U919" i="196"/>
  <c r="X919" i="196" s="1"/>
  <c r="T919" i="196"/>
  <c r="U903" i="196"/>
  <c r="X903" i="196" s="1"/>
  <c r="T903" i="196"/>
  <c r="U918" i="196"/>
  <c r="X918" i="196" s="1"/>
  <c r="T918" i="196"/>
  <c r="U879" i="196"/>
  <c r="X879" i="196" s="1"/>
  <c r="T879" i="196"/>
  <c r="U867" i="196"/>
  <c r="X867" i="196" s="1"/>
  <c r="T867" i="196"/>
  <c r="U915" i="196"/>
  <c r="X915" i="196" s="1"/>
  <c r="T915" i="196"/>
  <c r="U843" i="196"/>
  <c r="X843" i="196" s="1"/>
  <c r="T843" i="196"/>
  <c r="U831" i="196"/>
  <c r="V831" i="196" s="1"/>
  <c r="T831" i="196"/>
  <c r="U819" i="196"/>
  <c r="X819" i="196" s="1"/>
  <c r="T819" i="196"/>
  <c r="U807" i="196"/>
  <c r="W807" i="196" s="1"/>
  <c r="T807" i="196"/>
  <c r="U795" i="196"/>
  <c r="X795" i="196" s="1"/>
  <c r="T795" i="196"/>
  <c r="U783" i="196"/>
  <c r="V783" i="196" s="1"/>
  <c r="T783" i="196"/>
  <c r="U771" i="196"/>
  <c r="X771" i="196" s="1"/>
  <c r="T771" i="196"/>
  <c r="U228" i="196"/>
  <c r="W228" i="196" s="1"/>
  <c r="T228" i="196"/>
  <c r="U747" i="196"/>
  <c r="W747" i="196" s="1"/>
  <c r="T747" i="196"/>
  <c r="U735" i="196"/>
  <c r="X735" i="196" s="1"/>
  <c r="T735" i="196"/>
  <c r="U855" i="196"/>
  <c r="W855" i="196" s="1"/>
  <c r="T855" i="196"/>
  <c r="U711" i="196"/>
  <c r="W711" i="196" s="1"/>
  <c r="T711" i="196"/>
  <c r="U849" i="196"/>
  <c r="X849" i="196" s="1"/>
  <c r="T849" i="196"/>
  <c r="U847" i="196"/>
  <c r="X847" i="196" s="1"/>
  <c r="T847" i="196"/>
  <c r="U616" i="196"/>
  <c r="W616" i="196" s="1"/>
  <c r="T616" i="196"/>
  <c r="U821" i="196"/>
  <c r="X821" i="196" s="1"/>
  <c r="T821" i="196"/>
  <c r="U815" i="196"/>
  <c r="X815" i="196" s="1"/>
  <c r="T815" i="196"/>
  <c r="U639" i="196"/>
  <c r="W639" i="196" s="1"/>
  <c r="T639" i="196"/>
  <c r="U594" i="196"/>
  <c r="X594" i="196" s="1"/>
  <c r="T594" i="196"/>
  <c r="U801" i="196"/>
  <c r="X801" i="196" s="1"/>
  <c r="T801" i="196"/>
  <c r="U603" i="196"/>
  <c r="W603" i="196" s="1"/>
  <c r="T603" i="196"/>
  <c r="U289" i="196"/>
  <c r="X289" i="196" s="1"/>
  <c r="T289" i="196"/>
  <c r="U579" i="196"/>
  <c r="W579" i="196" s="1"/>
  <c r="T579" i="196"/>
  <c r="U799" i="196"/>
  <c r="W799" i="196" s="1"/>
  <c r="T799" i="196"/>
  <c r="U555" i="196"/>
  <c r="X555" i="196" s="1"/>
  <c r="T555" i="196"/>
  <c r="U543" i="196"/>
  <c r="W543" i="196" s="1"/>
  <c r="T543" i="196"/>
  <c r="U531" i="196"/>
  <c r="X531" i="196" s="1"/>
  <c r="T531" i="196"/>
  <c r="U519" i="196"/>
  <c r="V519" i="196" s="1"/>
  <c r="T519" i="196"/>
  <c r="U507" i="196"/>
  <c r="X507" i="196" s="1"/>
  <c r="T507" i="196"/>
  <c r="U495" i="196"/>
  <c r="X495" i="196" s="1"/>
  <c r="T495" i="196"/>
  <c r="U483" i="196"/>
  <c r="W483" i="196" s="1"/>
  <c r="T483" i="196"/>
  <c r="U471" i="196"/>
  <c r="W471" i="196" s="1"/>
  <c r="T471" i="196"/>
  <c r="U459" i="196"/>
  <c r="W459" i="196" s="1"/>
  <c r="T459" i="196"/>
  <c r="U447" i="196"/>
  <c r="X447" i="196" s="1"/>
  <c r="T447" i="196"/>
  <c r="U435" i="196"/>
  <c r="X435" i="196" s="1"/>
  <c r="T435" i="196"/>
  <c r="U163" i="196"/>
  <c r="X163" i="196" s="1"/>
  <c r="T163" i="196"/>
  <c r="U411" i="196"/>
  <c r="X411" i="196" s="1"/>
  <c r="T411" i="196"/>
  <c r="U586" i="196"/>
  <c r="W586" i="196" s="1"/>
  <c r="T586" i="196"/>
  <c r="U387" i="196"/>
  <c r="W387" i="196" s="1"/>
  <c r="T387" i="196"/>
  <c r="U375" i="196"/>
  <c r="X375" i="196" s="1"/>
  <c r="T375" i="196"/>
  <c r="U363" i="196"/>
  <c r="X363" i="196" s="1"/>
  <c r="T363" i="196"/>
  <c r="U351" i="196"/>
  <c r="X351" i="196" s="1"/>
  <c r="T351" i="196"/>
  <c r="U339" i="196"/>
  <c r="W339" i="196" s="1"/>
  <c r="T339" i="196"/>
  <c r="U327" i="196"/>
  <c r="X327" i="196" s="1"/>
  <c r="T327" i="196"/>
  <c r="U315" i="196"/>
  <c r="X315" i="196" s="1"/>
  <c r="T315" i="196"/>
  <c r="U217" i="196"/>
  <c r="X217" i="196" s="1"/>
  <c r="T217" i="196"/>
  <c r="U120" i="196"/>
  <c r="X120" i="196" s="1"/>
  <c r="T120" i="196"/>
  <c r="U279" i="196"/>
  <c r="W279" i="196" s="1"/>
  <c r="T279" i="196"/>
  <c r="U560" i="196"/>
  <c r="W560" i="196" s="1"/>
  <c r="T560" i="196"/>
  <c r="U255" i="196"/>
  <c r="W255" i="196" s="1"/>
  <c r="T255" i="196"/>
  <c r="U212" i="196"/>
  <c r="X212" i="196" s="1"/>
  <c r="T212" i="196"/>
  <c r="U231" i="196"/>
  <c r="X231" i="196" s="1"/>
  <c r="T231" i="196"/>
  <c r="U219" i="196"/>
  <c r="X219" i="196" s="1"/>
  <c r="T219" i="196"/>
  <c r="U270" i="196"/>
  <c r="X270" i="196" s="1"/>
  <c r="T270" i="196"/>
  <c r="U157" i="196"/>
  <c r="V157" i="196" s="1"/>
  <c r="T157" i="196"/>
  <c r="U183" i="196"/>
  <c r="V183" i="196" s="1"/>
  <c r="T183" i="196"/>
  <c r="U171" i="196"/>
  <c r="X171" i="196" s="1"/>
  <c r="T171" i="196"/>
  <c r="U159" i="196"/>
  <c r="V159" i="196" s="1"/>
  <c r="T159" i="196"/>
  <c r="U700" i="196"/>
  <c r="X700" i="196" s="1"/>
  <c r="T700" i="196"/>
  <c r="U699" i="196"/>
  <c r="X699" i="196" s="1"/>
  <c r="T699" i="196"/>
  <c r="U16" i="196"/>
  <c r="W16" i="196" s="1"/>
  <c r="T16" i="196"/>
  <c r="U111" i="196"/>
  <c r="X111" i="196" s="1"/>
  <c r="T111" i="196"/>
  <c r="U682" i="196"/>
  <c r="V682" i="196" s="1"/>
  <c r="T682" i="196"/>
  <c r="U253" i="196"/>
  <c r="W253" i="196" s="1"/>
  <c r="T253" i="196"/>
  <c r="U75" i="196"/>
  <c r="X75" i="196" s="1"/>
  <c r="T75" i="196"/>
  <c r="U110" i="196"/>
  <c r="X110" i="196" s="1"/>
  <c r="T110" i="196"/>
  <c r="U51" i="196"/>
  <c r="W51" i="196" s="1"/>
  <c r="T51" i="196"/>
  <c r="U193" i="196"/>
  <c r="W193" i="196" s="1"/>
  <c r="T193" i="196"/>
  <c r="U27" i="196"/>
  <c r="X27" i="196" s="1"/>
  <c r="T27" i="196"/>
  <c r="U164" i="196"/>
  <c r="W164" i="196" s="1"/>
  <c r="T164" i="196"/>
  <c r="U14" i="196"/>
  <c r="X14" i="196" s="1"/>
  <c r="T14" i="196"/>
  <c r="U166" i="196"/>
  <c r="X166" i="196" s="1"/>
  <c r="T166" i="196"/>
  <c r="U207" i="196"/>
  <c r="X207" i="196" s="1"/>
  <c r="T207" i="196"/>
  <c r="U139" i="196"/>
  <c r="X139" i="196" s="1"/>
  <c r="T139" i="196"/>
  <c r="U39" i="196"/>
  <c r="W39" i="196" s="1"/>
  <c r="T39" i="196"/>
  <c r="U134" i="196"/>
  <c r="V134" i="196" s="1"/>
  <c r="T134" i="196"/>
  <c r="U5" i="196"/>
  <c r="X5" i="196" s="1"/>
  <c r="T5" i="196"/>
  <c r="U690" i="196"/>
  <c r="X690" i="196" s="1"/>
  <c r="T690" i="196"/>
  <c r="U98" i="196"/>
  <c r="X98" i="196" s="1"/>
  <c r="T98" i="196"/>
  <c r="U86" i="196"/>
  <c r="X86" i="196" s="1"/>
  <c r="T86" i="196"/>
  <c r="U74" i="196"/>
  <c r="X74" i="196" s="1"/>
  <c r="T74" i="196"/>
  <c r="U29" i="196"/>
  <c r="X29" i="196" s="1"/>
  <c r="T29" i="196"/>
  <c r="U50" i="196"/>
  <c r="V50" i="196" s="1"/>
  <c r="T50" i="196"/>
  <c r="U673" i="196"/>
  <c r="X673" i="196" s="1"/>
  <c r="T673" i="196"/>
  <c r="U26" i="196"/>
  <c r="W26" i="196" s="1"/>
  <c r="T26" i="196"/>
  <c r="U246" i="196"/>
  <c r="V246" i="196" s="1"/>
  <c r="T246" i="196"/>
  <c r="U2" i="196"/>
  <c r="T2" i="196"/>
  <c r="V43" i="196"/>
  <c r="W566" i="196"/>
  <c r="X458" i="196"/>
  <c r="V1116" i="196"/>
  <c r="X493" i="196"/>
  <c r="F39" i="252"/>
  <c r="E39" i="252"/>
  <c r="D39" i="252"/>
  <c r="W1148" i="196" l="1"/>
  <c r="V634" i="196"/>
  <c r="V646" i="196"/>
  <c r="X804" i="196"/>
  <c r="V602" i="196"/>
  <c r="V277" i="196"/>
  <c r="X277" i="196"/>
  <c r="X554" i="196"/>
  <c r="X131" i="196"/>
  <c r="V876" i="196"/>
  <c r="X1056" i="196"/>
  <c r="V731" i="196"/>
  <c r="X876" i="196"/>
  <c r="X1165" i="196"/>
  <c r="V637" i="196"/>
  <c r="X206" i="196"/>
  <c r="V1246" i="196"/>
  <c r="X947" i="196"/>
  <c r="V444" i="196"/>
  <c r="X153" i="196"/>
  <c r="V490" i="196"/>
  <c r="V1091" i="196"/>
  <c r="X922" i="196"/>
  <c r="V196" i="196"/>
  <c r="X1140" i="196"/>
  <c r="X646" i="196"/>
  <c r="X788" i="196"/>
  <c r="X418" i="196"/>
  <c r="V996" i="196"/>
  <c r="W948" i="196"/>
  <c r="X862" i="196"/>
  <c r="X225" i="196"/>
  <c r="V1149" i="196"/>
  <c r="W502" i="196"/>
  <c r="W268" i="196"/>
  <c r="V574" i="196"/>
  <c r="W629" i="196"/>
  <c r="X502" i="196"/>
  <c r="V286" i="196"/>
  <c r="X574" i="196"/>
  <c r="X629" i="196"/>
  <c r="W1149" i="196"/>
  <c r="V1005" i="196"/>
  <c r="W286" i="196"/>
  <c r="W1005" i="196"/>
  <c r="V225" i="196"/>
  <c r="V862" i="196"/>
  <c r="X15" i="196"/>
  <c r="V406" i="196"/>
  <c r="V15" i="196"/>
  <c r="V622" i="196"/>
  <c r="W432" i="196"/>
  <c r="X406" i="196"/>
  <c r="X46" i="196"/>
  <c r="X191" i="196"/>
  <c r="X709" i="196"/>
  <c r="V262" i="196"/>
  <c r="W262" i="196"/>
  <c r="X622" i="196"/>
  <c r="V797" i="196"/>
  <c r="X683" i="196"/>
  <c r="X1064" i="196"/>
  <c r="X1125" i="196"/>
  <c r="V1208" i="196"/>
  <c r="V838" i="196"/>
  <c r="V1162" i="196"/>
  <c r="X1008" i="196"/>
  <c r="X1073" i="196"/>
  <c r="W67" i="196"/>
  <c r="W1041" i="196"/>
  <c r="W685" i="196"/>
  <c r="X325" i="196"/>
  <c r="X1211" i="196"/>
  <c r="W1049" i="196"/>
  <c r="W1126" i="196"/>
  <c r="V1263" i="196"/>
  <c r="X1117" i="196"/>
  <c r="V501" i="196"/>
  <c r="W186" i="196"/>
  <c r="X141" i="196"/>
  <c r="W947" i="196"/>
  <c r="X1091" i="196"/>
  <c r="V1165" i="196"/>
  <c r="W602" i="196"/>
  <c r="X637" i="196"/>
  <c r="V141" i="196"/>
  <c r="V1004" i="196"/>
  <c r="W1086" i="196"/>
  <c r="X516" i="196"/>
  <c r="V206" i="196"/>
  <c r="V69" i="196"/>
  <c r="X296" i="196"/>
  <c r="V861" i="196"/>
  <c r="V922" i="196"/>
  <c r="V800" i="196"/>
  <c r="V679" i="196"/>
  <c r="V1140" i="196"/>
  <c r="V788" i="196"/>
  <c r="X996" i="196"/>
  <c r="X872" i="196"/>
  <c r="V251" i="196"/>
  <c r="W210" i="196"/>
  <c r="X1137" i="196"/>
  <c r="X196" i="196"/>
  <c r="V1129" i="196"/>
  <c r="V493" i="196"/>
  <c r="X292" i="196"/>
  <c r="X130" i="196"/>
  <c r="V804" i="196"/>
  <c r="V1056" i="196"/>
  <c r="X599" i="196"/>
  <c r="V119" i="196"/>
  <c r="X261" i="196"/>
  <c r="W1067" i="196"/>
  <c r="X1083" i="196"/>
  <c r="V124" i="196"/>
  <c r="X119" i="196"/>
  <c r="V538" i="196"/>
  <c r="X790" i="196"/>
  <c r="V338" i="196"/>
  <c r="V1211" i="196"/>
  <c r="X204" i="196"/>
  <c r="X829" i="196"/>
  <c r="X1124" i="196"/>
  <c r="V778" i="196"/>
  <c r="X1236" i="196"/>
  <c r="V258" i="196"/>
  <c r="W1152" i="196"/>
  <c r="W397" i="196"/>
  <c r="W913" i="196"/>
  <c r="W420" i="196"/>
  <c r="W613" i="196"/>
  <c r="W852" i="196"/>
  <c r="V932" i="196"/>
  <c r="X1063" i="196"/>
  <c r="V40" i="196"/>
  <c r="V1134" i="196"/>
  <c r="W1262" i="196"/>
  <c r="W490" i="196"/>
  <c r="X215" i="196"/>
  <c r="X1024" i="196"/>
  <c r="X573" i="196"/>
  <c r="W223" i="196"/>
  <c r="V619" i="196"/>
  <c r="V292" i="196"/>
  <c r="V368" i="196"/>
  <c r="V645" i="196"/>
  <c r="X444" i="196"/>
  <c r="X619" i="196"/>
  <c r="W775" i="196"/>
  <c r="W416" i="196"/>
  <c r="W645" i="196"/>
  <c r="V131" i="196"/>
  <c r="X1198" i="196"/>
  <c r="V516" i="196"/>
  <c r="V386" i="196"/>
  <c r="X440" i="196"/>
  <c r="V933" i="196"/>
  <c r="V438" i="196"/>
  <c r="V1231" i="196"/>
  <c r="X1076" i="196"/>
  <c r="V58" i="196"/>
  <c r="V474" i="196"/>
  <c r="V512" i="196"/>
  <c r="V213" i="196"/>
  <c r="V1148" i="196"/>
  <c r="X933" i="196"/>
  <c r="V130" i="196"/>
  <c r="X1246" i="196"/>
  <c r="V153" i="196"/>
  <c r="V905" i="196"/>
  <c r="W1121" i="196"/>
  <c r="W632" i="196"/>
  <c r="X1004" i="196"/>
  <c r="V303" i="196"/>
  <c r="X584" i="196"/>
  <c r="V818" i="196"/>
  <c r="V664" i="196"/>
  <c r="X321" i="196"/>
  <c r="X54" i="196"/>
  <c r="V78" i="196"/>
  <c r="V223" i="196"/>
  <c r="V1086" i="196"/>
  <c r="X728" i="196"/>
  <c r="X357" i="196"/>
  <c r="V418" i="196"/>
  <c r="W664" i="196"/>
  <c r="X1201" i="196"/>
  <c r="W583" i="196"/>
  <c r="V185" i="196"/>
  <c r="W200" i="196"/>
  <c r="W318" i="196"/>
  <c r="W477" i="196"/>
  <c r="W8" i="196"/>
  <c r="X69" i="196"/>
  <c r="X767" i="196"/>
  <c r="X679" i="196"/>
  <c r="V186" i="196"/>
  <c r="W773" i="196"/>
  <c r="V224" i="196"/>
  <c r="W80" i="196"/>
  <c r="V863" i="196"/>
  <c r="X549" i="196"/>
  <c r="V1042" i="196"/>
  <c r="W542" i="196"/>
  <c r="X1185" i="196"/>
  <c r="V243" i="196"/>
  <c r="V344" i="196"/>
  <c r="V87" i="196"/>
  <c r="V776" i="196"/>
  <c r="V991" i="196"/>
  <c r="V786" i="196"/>
  <c r="X394" i="196"/>
  <c r="X841" i="196"/>
  <c r="W837" i="196"/>
  <c r="V1052" i="196"/>
  <c r="W218" i="196"/>
  <c r="V107" i="196"/>
  <c r="V575" i="196"/>
  <c r="W1042" i="196"/>
  <c r="X1258" i="196"/>
  <c r="V564" i="196"/>
  <c r="W258" i="196"/>
  <c r="X854" i="196"/>
  <c r="V101" i="196"/>
  <c r="W995" i="196"/>
  <c r="V3" i="196"/>
  <c r="X542" i="196"/>
  <c r="W932" i="196"/>
  <c r="X685" i="196"/>
  <c r="X913" i="196"/>
  <c r="X1139" i="196"/>
  <c r="X1207" i="196"/>
  <c r="V394" i="196"/>
  <c r="V1258" i="196"/>
  <c r="X924" i="196"/>
  <c r="V1083" i="196"/>
  <c r="W344" i="196"/>
  <c r="W87" i="196"/>
  <c r="X776" i="196"/>
  <c r="W991" i="196"/>
  <c r="W786" i="196"/>
  <c r="W56" i="196"/>
  <c r="V765" i="196"/>
  <c r="W841" i="196"/>
  <c r="V117" i="196"/>
  <c r="X837" i="196"/>
  <c r="W1052" i="196"/>
  <c r="V106" i="196"/>
  <c r="X218" i="196"/>
  <c r="W107" i="196"/>
  <c r="W575" i="196"/>
  <c r="V204" i="196"/>
  <c r="V420" i="196"/>
  <c r="X564" i="196"/>
  <c r="V132" i="196"/>
  <c r="W854" i="196"/>
  <c r="W101" i="196"/>
  <c r="X995" i="196"/>
  <c r="V790" i="196"/>
  <c r="V1236" i="196"/>
  <c r="W3" i="196"/>
  <c r="V554" i="196"/>
  <c r="W829" i="196"/>
  <c r="V997" i="196"/>
  <c r="W1185" i="196"/>
  <c r="X848" i="196"/>
  <c r="X348" i="196"/>
  <c r="X865" i="196"/>
  <c r="W1139" i="196"/>
  <c r="X56" i="196"/>
  <c r="W765" i="196"/>
  <c r="V466" i="196"/>
  <c r="V754" i="196"/>
  <c r="W117" i="196"/>
  <c r="W658" i="196"/>
  <c r="V969" i="196"/>
  <c r="W106" i="196"/>
  <c r="V1066" i="196"/>
  <c r="W132" i="196"/>
  <c r="V1257" i="196"/>
  <c r="V1067" i="196"/>
  <c r="V397" i="196"/>
  <c r="W997" i="196"/>
  <c r="W557" i="196"/>
  <c r="V261" i="196"/>
  <c r="V1124" i="196"/>
  <c r="V599" i="196"/>
  <c r="V1063" i="196"/>
  <c r="W466" i="196"/>
  <c r="W754" i="196"/>
  <c r="V658" i="196"/>
  <c r="W969" i="196"/>
  <c r="W1066" i="196"/>
  <c r="W1257" i="196"/>
  <c r="V200" i="196"/>
  <c r="V416" i="196"/>
  <c r="V632" i="196"/>
  <c r="V318" i="196"/>
  <c r="V477" i="196"/>
  <c r="W19" i="196"/>
  <c r="V1041" i="196"/>
  <c r="V852" i="196"/>
  <c r="W338" i="196"/>
  <c r="V1152" i="196"/>
  <c r="V613" i="196"/>
  <c r="V1135" i="196"/>
  <c r="V121" i="196"/>
  <c r="X538" i="196"/>
  <c r="V189" i="196"/>
  <c r="V1196" i="196"/>
  <c r="V176" i="196"/>
  <c r="V425" i="196"/>
  <c r="W810" i="196"/>
  <c r="X1126" i="196"/>
  <c r="W778" i="196"/>
  <c r="V37" i="196"/>
  <c r="W124" i="196"/>
  <c r="W757" i="196"/>
  <c r="W103" i="196"/>
  <c r="V1113" i="196"/>
  <c r="W1135" i="196"/>
  <c r="W121" i="196"/>
  <c r="W1206" i="196"/>
  <c r="W189" i="196"/>
  <c r="V980" i="196"/>
  <c r="W1196" i="196"/>
  <c r="W176" i="196"/>
  <c r="W425" i="196"/>
  <c r="V492" i="196"/>
  <c r="W37" i="196"/>
  <c r="V860" i="196"/>
  <c r="V757" i="196"/>
  <c r="V103" i="196"/>
  <c r="V878" i="196"/>
  <c r="V937" i="196"/>
  <c r="V65" i="196"/>
  <c r="V333" i="196"/>
  <c r="V250" i="196"/>
  <c r="W492" i="196"/>
  <c r="V60" i="196"/>
  <c r="V1092" i="196"/>
  <c r="W860" i="196"/>
  <c r="V469" i="196"/>
  <c r="V902" i="196"/>
  <c r="X878" i="196"/>
  <c r="W937" i="196"/>
  <c r="W1113" i="196"/>
  <c r="V488" i="196"/>
  <c r="V925" i="196"/>
  <c r="V826" i="196"/>
  <c r="V610" i="196"/>
  <c r="W980" i="196"/>
  <c r="V35" i="196"/>
  <c r="W65" i="196"/>
  <c r="W704" i="196"/>
  <c r="V1207" i="196"/>
  <c r="V549" i="196"/>
  <c r="V848" i="196"/>
  <c r="W250" i="196"/>
  <c r="W45" i="196"/>
  <c r="W34" i="196"/>
  <c r="W35" i="196"/>
  <c r="V348" i="196"/>
  <c r="W1092" i="196"/>
  <c r="V325" i="196"/>
  <c r="V1008" i="196"/>
  <c r="V704" i="196"/>
  <c r="V45" i="196"/>
  <c r="V34" i="196"/>
  <c r="X488" i="196"/>
  <c r="W925" i="196"/>
  <c r="W333" i="196"/>
  <c r="W826" i="196"/>
  <c r="W610" i="196"/>
  <c r="V1268" i="196"/>
  <c r="W60" i="196"/>
  <c r="V865" i="196"/>
  <c r="V924" i="196"/>
  <c r="W469" i="196"/>
  <c r="W902" i="196"/>
  <c r="X1268" i="196"/>
  <c r="X402" i="196"/>
  <c r="V698" i="196"/>
  <c r="V269" i="196"/>
  <c r="W256" i="196"/>
  <c r="W291" i="196"/>
  <c r="V401" i="196"/>
  <c r="W844" i="196"/>
  <c r="X194" i="196"/>
  <c r="V19" i="196"/>
  <c r="X467" i="196"/>
  <c r="X713" i="196"/>
  <c r="W227" i="196"/>
  <c r="V810" i="196"/>
  <c r="V1141" i="196"/>
  <c r="V1012" i="196"/>
  <c r="W1090" i="196"/>
  <c r="W1141" i="196"/>
  <c r="W1037" i="196"/>
  <c r="W686" i="196"/>
  <c r="W199" i="196"/>
  <c r="W1156" i="196"/>
  <c r="V556" i="196"/>
  <c r="W850" i="196"/>
  <c r="W843" i="196"/>
  <c r="V987" i="196"/>
  <c r="W882" i="196"/>
  <c r="V426" i="196"/>
  <c r="V16" i="196"/>
  <c r="V543" i="196"/>
  <c r="V412" i="196"/>
  <c r="V1130" i="196"/>
  <c r="W1131" i="196"/>
  <c r="W52" i="196"/>
  <c r="W1012" i="196"/>
  <c r="V665" i="196"/>
  <c r="X1090" i="196"/>
  <c r="V990" i="196"/>
  <c r="V235" i="196"/>
  <c r="V1034" i="196"/>
  <c r="W192" i="196"/>
  <c r="V198" i="196"/>
  <c r="V569" i="196"/>
  <c r="X686" i="196"/>
  <c r="V618" i="196"/>
  <c r="W1265" i="196"/>
  <c r="X820" i="196"/>
  <c r="W1205" i="196"/>
  <c r="W161" i="196"/>
  <c r="V423" i="196"/>
  <c r="V1256" i="196"/>
  <c r="W559" i="196"/>
  <c r="W1134" i="196"/>
  <c r="V1265" i="196"/>
  <c r="W273" i="196"/>
  <c r="V17" i="196"/>
  <c r="X1156" i="196"/>
  <c r="V199" i="196"/>
  <c r="W1062" i="196"/>
  <c r="V169" i="196"/>
  <c r="V273" i="196"/>
  <c r="W834" i="196"/>
  <c r="W415" i="196"/>
  <c r="W316" i="196"/>
  <c r="W198" i="196"/>
  <c r="W17" i="196"/>
  <c r="W569" i="196"/>
  <c r="W869" i="196"/>
  <c r="W665" i="196"/>
  <c r="W703" i="196"/>
  <c r="V55" i="196"/>
  <c r="W55" i="196"/>
  <c r="W169" i="196"/>
  <c r="V695" i="196"/>
  <c r="V1018" i="196"/>
  <c r="W235" i="196"/>
  <c r="V415" i="196"/>
  <c r="V459" i="196"/>
  <c r="X618" i="196"/>
  <c r="X834" i="196"/>
  <c r="X388" i="196"/>
  <c r="X161" i="196"/>
  <c r="V869" i="196"/>
  <c r="V378" i="196"/>
  <c r="W88" i="196"/>
  <c r="V487" i="196"/>
  <c r="W423" i="196"/>
  <c r="W856" i="196"/>
  <c r="W1256" i="196"/>
  <c r="X695" i="196"/>
  <c r="W1018" i="196"/>
  <c r="W303" i="196"/>
  <c r="X1037" i="196"/>
  <c r="X100" i="196"/>
  <c r="X963" i="196"/>
  <c r="V402" i="196"/>
  <c r="V703" i="196"/>
  <c r="W285" i="196"/>
  <c r="W487" i="196"/>
  <c r="V631" i="196"/>
  <c r="V194" i="196"/>
  <c r="V713" i="196"/>
  <c r="W1132" i="196"/>
  <c r="W243" i="196"/>
  <c r="V285" i="196"/>
  <c r="V467" i="196"/>
  <c r="W990" i="196"/>
  <c r="V1062" i="196"/>
  <c r="W555" i="196"/>
  <c r="W631" i="196"/>
  <c r="W1013" i="196"/>
  <c r="V856" i="196"/>
  <c r="W698" i="196"/>
  <c r="V1206" i="196"/>
  <c r="V559" i="196"/>
  <c r="W207" i="196"/>
  <c r="W849" i="196"/>
  <c r="X666" i="196"/>
  <c r="X560" i="196"/>
  <c r="V986" i="196"/>
  <c r="V771" i="196"/>
  <c r="W1274" i="196"/>
  <c r="X556" i="196"/>
  <c r="X113" i="196"/>
  <c r="X1060" i="196"/>
  <c r="V98" i="196"/>
  <c r="V367" i="196"/>
  <c r="W157" i="196"/>
  <c r="V411" i="196"/>
  <c r="X483" i="196"/>
  <c r="W594" i="196"/>
  <c r="W771" i="196"/>
  <c r="W919" i="196"/>
  <c r="V1058" i="196"/>
  <c r="V1202" i="196"/>
  <c r="X1274" i="196"/>
  <c r="V777" i="196"/>
  <c r="W1097" i="196"/>
  <c r="W367" i="196"/>
  <c r="V18" i="196"/>
  <c r="W340" i="196"/>
  <c r="V484" i="196"/>
  <c r="W772" i="196"/>
  <c r="W242" i="196"/>
  <c r="V1059" i="196"/>
  <c r="V1275" i="196"/>
  <c r="X642" i="196"/>
  <c r="X41" i="196"/>
  <c r="W257" i="196"/>
  <c r="W485" i="196"/>
  <c r="W605" i="196"/>
  <c r="V749" i="196"/>
  <c r="X1168" i="196"/>
  <c r="X474" i="196"/>
  <c r="W871" i="196"/>
  <c r="V440" i="196"/>
  <c r="W512" i="196"/>
  <c r="V872" i="196"/>
  <c r="X1231" i="196"/>
  <c r="V357" i="196"/>
  <c r="W501" i="196"/>
  <c r="V8" i="196"/>
  <c r="V80" i="196"/>
  <c r="V268" i="196"/>
  <c r="V1220" i="196"/>
  <c r="X58" i="196"/>
  <c r="V359" i="196"/>
  <c r="X731" i="196"/>
  <c r="X863" i="196"/>
  <c r="V1198" i="196"/>
  <c r="X1081" i="196"/>
  <c r="X386" i="196"/>
  <c r="X339" i="196"/>
  <c r="V919" i="196"/>
  <c r="X269" i="196"/>
  <c r="X412" i="196"/>
  <c r="X987" i="196"/>
  <c r="V642" i="196"/>
  <c r="V257" i="196"/>
  <c r="X605" i="196"/>
  <c r="W1168" i="196"/>
  <c r="W98" i="196"/>
  <c r="V51" i="196"/>
  <c r="W1058" i="196"/>
  <c r="W777" i="196"/>
  <c r="V215" i="196"/>
  <c r="X484" i="196"/>
  <c r="W1275" i="196"/>
  <c r="V109" i="196"/>
  <c r="W893" i="196"/>
  <c r="V122" i="196"/>
  <c r="X359" i="196"/>
  <c r="X26" i="196"/>
  <c r="X16" i="196"/>
  <c r="V594" i="196"/>
  <c r="X426" i="196"/>
  <c r="V340" i="196"/>
  <c r="V242" i="196"/>
  <c r="X1203" i="196"/>
  <c r="V41" i="196"/>
  <c r="X157" i="196"/>
  <c r="W411" i="196"/>
  <c r="W1202" i="196"/>
  <c r="V291" i="196"/>
  <c r="X1097" i="196"/>
  <c r="W18" i="196"/>
  <c r="V850" i="196"/>
  <c r="W1059" i="196"/>
  <c r="V858" i="196"/>
  <c r="W1085" i="196"/>
  <c r="V329" i="196"/>
  <c r="X749" i="196"/>
  <c r="X1220" i="196"/>
  <c r="V725" i="196"/>
  <c r="V207" i="196"/>
  <c r="V583" i="196"/>
  <c r="X51" i="196"/>
  <c r="V560" i="196"/>
  <c r="V555" i="196"/>
  <c r="V849" i="196"/>
  <c r="V843" i="196"/>
  <c r="W986" i="196"/>
  <c r="V1121" i="196"/>
  <c r="V52" i="196"/>
  <c r="V844" i="196"/>
  <c r="V1131" i="196"/>
  <c r="X858" i="196"/>
  <c r="X1085" i="196"/>
  <c r="X329" i="196"/>
  <c r="X109" i="196"/>
  <c r="X773" i="196"/>
  <c r="X893" i="196"/>
  <c r="W1024" i="196"/>
  <c r="V775" i="196"/>
  <c r="V666" i="196"/>
  <c r="V871" i="196"/>
  <c r="V54" i="196"/>
  <c r="X122" i="196"/>
  <c r="W7" i="196"/>
  <c r="W1014" i="196"/>
  <c r="V296" i="196"/>
  <c r="X368" i="196"/>
  <c r="V728" i="196"/>
  <c r="X800" i="196"/>
  <c r="W213" i="196"/>
  <c r="X78" i="196"/>
  <c r="V1076" i="196"/>
  <c r="X634" i="196"/>
  <c r="V1137" i="196"/>
  <c r="V767" i="196"/>
  <c r="W1158" i="196"/>
  <c r="X1129" i="196"/>
  <c r="V1117" i="196"/>
  <c r="X1204" i="196"/>
  <c r="V1204" i="196"/>
  <c r="X755" i="196"/>
  <c r="V755" i="196"/>
  <c r="X676" i="196"/>
  <c r="V676" i="196"/>
  <c r="W676" i="196"/>
  <c r="X779" i="196"/>
  <c r="V779" i="196"/>
  <c r="W779" i="196"/>
  <c r="X942" i="196"/>
  <c r="W942" i="196"/>
  <c r="V942" i="196"/>
  <c r="X1230" i="196"/>
  <c r="W1230" i="196"/>
  <c r="V734" i="196"/>
  <c r="W734" i="196"/>
  <c r="X943" i="196"/>
  <c r="V943" i="196"/>
  <c r="X1015" i="196"/>
  <c r="V1015" i="196"/>
  <c r="X1087" i="196"/>
  <c r="V1087" i="196"/>
  <c r="X1159" i="196"/>
  <c r="V1159" i="196"/>
  <c r="V323" i="196"/>
  <c r="X323" i="196"/>
  <c r="X791" i="196"/>
  <c r="V791" i="196"/>
  <c r="X429" i="196"/>
  <c r="V429" i="196"/>
  <c r="X717" i="196"/>
  <c r="V717" i="196"/>
  <c r="X789" i="196"/>
  <c r="V789" i="196"/>
  <c r="X202" i="196"/>
  <c r="V202" i="196"/>
  <c r="X274" i="196"/>
  <c r="V274" i="196"/>
  <c r="X346" i="196"/>
  <c r="V346" i="196"/>
  <c r="X562" i="196"/>
  <c r="V562" i="196"/>
  <c r="X706" i="196"/>
  <c r="V706" i="196"/>
  <c r="X911" i="196"/>
  <c r="V911" i="196"/>
  <c r="X993" i="196"/>
  <c r="V993" i="196"/>
  <c r="W1065" i="196"/>
  <c r="X1065" i="196"/>
  <c r="V1209" i="196"/>
  <c r="X1209" i="196"/>
  <c r="V759" i="196"/>
  <c r="X759" i="196"/>
  <c r="V59" i="196"/>
  <c r="X59" i="196"/>
  <c r="X208" i="196"/>
  <c r="V208" i="196"/>
  <c r="X300" i="196"/>
  <c r="V300" i="196"/>
  <c r="X372" i="196"/>
  <c r="V372" i="196"/>
  <c r="X660" i="196"/>
  <c r="V660" i="196"/>
  <c r="V732" i="196"/>
  <c r="X732" i="196"/>
  <c r="V1019" i="196"/>
  <c r="X1019" i="196"/>
  <c r="X1163" i="196"/>
  <c r="V1163" i="196"/>
  <c r="V1235" i="196"/>
  <c r="X1235" i="196"/>
  <c r="X350" i="196"/>
  <c r="V350" i="196"/>
  <c r="V591" i="196"/>
  <c r="W591" i="196"/>
  <c r="X1153" i="196"/>
  <c r="V1153" i="196"/>
  <c r="V61" i="196"/>
  <c r="X61" i="196"/>
  <c r="X133" i="196"/>
  <c r="V133" i="196"/>
  <c r="X205" i="196"/>
  <c r="V205" i="196"/>
  <c r="X349" i="196"/>
  <c r="V349" i="196"/>
  <c r="V565" i="196"/>
  <c r="X565" i="196"/>
  <c r="X961" i="196"/>
  <c r="V961" i="196"/>
  <c r="X781" i="196"/>
  <c r="V781" i="196"/>
  <c r="X936" i="196"/>
  <c r="V936" i="196"/>
  <c r="X1200" i="196"/>
  <c r="V1200" i="196"/>
  <c r="X209" i="196"/>
  <c r="V209" i="196"/>
  <c r="W458" i="196"/>
  <c r="V458" i="196"/>
  <c r="V1210" i="196"/>
  <c r="W1210" i="196"/>
  <c r="X647" i="196"/>
  <c r="W647" i="196"/>
  <c r="X203" i="196"/>
  <c r="V203" i="196"/>
  <c r="X1234" i="196"/>
  <c r="V1234" i="196"/>
  <c r="X439" i="196"/>
  <c r="V439" i="196"/>
  <c r="W439" i="196"/>
  <c r="X511" i="196"/>
  <c r="W511" i="196"/>
  <c r="V511" i="196"/>
  <c r="X727" i="196"/>
  <c r="W727" i="196"/>
  <c r="V727" i="196"/>
  <c r="W888" i="196"/>
  <c r="V888" i="196"/>
  <c r="X888" i="196"/>
  <c r="V26" i="196"/>
  <c r="V339" i="196"/>
  <c r="V483" i="196"/>
  <c r="W1130" i="196"/>
  <c r="V772" i="196"/>
  <c r="V1203" i="196"/>
  <c r="V113" i="196"/>
  <c r="X185" i="196"/>
  <c r="W401" i="196"/>
  <c r="X905" i="196"/>
  <c r="W1060" i="196"/>
  <c r="W438" i="196"/>
  <c r="W321" i="196"/>
  <c r="V7" i="196"/>
  <c r="V1014" i="196"/>
  <c r="V1158" i="196"/>
  <c r="X224" i="196"/>
  <c r="V584" i="196"/>
  <c r="W818" i="196"/>
  <c r="W1015" i="196"/>
  <c r="V573" i="196"/>
  <c r="X861" i="196"/>
  <c r="X251" i="196"/>
  <c r="W791" i="196"/>
  <c r="W267" i="196"/>
  <c r="V1201" i="196"/>
  <c r="W719" i="196"/>
  <c r="X719" i="196"/>
  <c r="V1174" i="196"/>
  <c r="X1174" i="196"/>
  <c r="V485" i="196"/>
  <c r="V647" i="196"/>
  <c r="V1081" i="196"/>
  <c r="W787" i="196"/>
  <c r="V327" i="196"/>
  <c r="V760" i="196"/>
  <c r="W1241" i="196"/>
  <c r="W183" i="196"/>
  <c r="W831" i="196"/>
  <c r="V1046" i="196"/>
  <c r="W832" i="196"/>
  <c r="W1002" i="196"/>
  <c r="W801" i="196"/>
  <c r="V974" i="196"/>
  <c r="W904" i="196"/>
  <c r="X400" i="196"/>
  <c r="V228" i="196"/>
  <c r="X975" i="196"/>
  <c r="W654" i="196"/>
  <c r="W112" i="196"/>
  <c r="X328" i="196"/>
  <c r="X39" i="196"/>
  <c r="X1107" i="196"/>
  <c r="W604" i="196"/>
  <c r="V171" i="196"/>
  <c r="W377" i="196"/>
  <c r="W1088" i="196"/>
  <c r="W1106" i="196"/>
  <c r="W833" i="196"/>
  <c r="X1251" i="196"/>
  <c r="W212" i="196"/>
  <c r="W531" i="196"/>
  <c r="V747" i="196"/>
  <c r="W811" i="196"/>
  <c r="X195" i="196"/>
  <c r="V1143" i="196"/>
  <c r="X955" i="196"/>
  <c r="X1243" i="196"/>
  <c r="W744" i="196"/>
  <c r="W568" i="196"/>
  <c r="V954" i="196"/>
  <c r="W1077" i="196"/>
  <c r="V361" i="196"/>
  <c r="X193" i="196"/>
  <c r="W984" i="196"/>
  <c r="X155" i="196"/>
  <c r="X968" i="196"/>
  <c r="W246" i="196"/>
  <c r="X255" i="196"/>
  <c r="X544" i="196"/>
  <c r="V882" i="196"/>
  <c r="X341" i="196"/>
  <c r="V111" i="196"/>
  <c r="W1118" i="196"/>
  <c r="X352" i="196"/>
  <c r="V267" i="196"/>
  <c r="W725" i="196"/>
  <c r="V139" i="196"/>
  <c r="X586" i="196"/>
  <c r="V1095" i="196"/>
  <c r="W424" i="196"/>
  <c r="V758" i="196"/>
  <c r="W758" i="196"/>
  <c r="X639" i="196"/>
  <c r="X548" i="196"/>
  <c r="W548" i="196"/>
  <c r="V548" i="196"/>
  <c r="W389" i="196"/>
  <c r="V389" i="196"/>
  <c r="X617" i="196"/>
  <c r="W617" i="196"/>
  <c r="X1000" i="196"/>
  <c r="W1000" i="196"/>
  <c r="X343" i="196"/>
  <c r="W343" i="196"/>
  <c r="V1228" i="196"/>
  <c r="W1228" i="196"/>
  <c r="X234" i="196"/>
  <c r="W234" i="196"/>
  <c r="V234" i="196"/>
  <c r="V450" i="196"/>
  <c r="X450" i="196"/>
  <c r="W623" i="196"/>
  <c r="X623" i="196"/>
  <c r="V623" i="196"/>
  <c r="W125" i="196"/>
  <c r="X125" i="196"/>
  <c r="V125" i="196"/>
  <c r="X246" i="196"/>
  <c r="V86" i="196"/>
  <c r="W139" i="196"/>
  <c r="V1002" i="196"/>
  <c r="W111" i="196"/>
  <c r="X183" i="196"/>
  <c r="W327" i="196"/>
  <c r="V471" i="196"/>
  <c r="X543" i="196"/>
  <c r="V847" i="196"/>
  <c r="X228" i="196"/>
  <c r="X831" i="196"/>
  <c r="V903" i="196"/>
  <c r="W974" i="196"/>
  <c r="W1046" i="196"/>
  <c r="X1118" i="196"/>
  <c r="V1190" i="196"/>
  <c r="X1262" i="196"/>
  <c r="X760" i="196"/>
  <c r="X832" i="196"/>
  <c r="X904" i="196"/>
  <c r="V1047" i="196"/>
  <c r="V1119" i="196"/>
  <c r="V1191" i="196"/>
  <c r="W1263" i="196"/>
  <c r="X210" i="196"/>
  <c r="V390" i="196"/>
  <c r="X1049" i="196"/>
  <c r="X1241" i="196"/>
  <c r="W40" i="196"/>
  <c r="X112" i="196"/>
  <c r="V184" i="196"/>
  <c r="X256" i="196"/>
  <c r="V472" i="196"/>
  <c r="W450" i="196"/>
  <c r="X389" i="196"/>
  <c r="V1000" i="196"/>
  <c r="X787" i="196"/>
  <c r="V659" i="196"/>
  <c r="W659" i="196"/>
  <c r="X659" i="196"/>
  <c r="X1150" i="196"/>
  <c r="W1150" i="196"/>
  <c r="X857" i="196"/>
  <c r="W857" i="196"/>
  <c r="V857" i="196"/>
  <c r="X1144" i="196"/>
  <c r="W1144" i="196"/>
  <c r="X414" i="196"/>
  <c r="W414" i="196"/>
  <c r="V606" i="196"/>
  <c r="X606" i="196"/>
  <c r="V551" i="196"/>
  <c r="W551" i="196"/>
  <c r="X551" i="196"/>
  <c r="V522" i="196"/>
  <c r="W522" i="196"/>
  <c r="V1232" i="196"/>
  <c r="X1232" i="196"/>
  <c r="W1232" i="196"/>
  <c r="W907" i="196"/>
  <c r="X907" i="196"/>
  <c r="V1186" i="196"/>
  <c r="X1186" i="196"/>
  <c r="W1186" i="196"/>
  <c r="X114" i="196"/>
  <c r="W114" i="196"/>
  <c r="V114" i="196"/>
  <c r="X715" i="196"/>
  <c r="V715" i="196"/>
  <c r="W715" i="196"/>
  <c r="W86" i="196"/>
  <c r="V811" i="196"/>
  <c r="V67" i="196"/>
  <c r="V739" i="196"/>
  <c r="V193" i="196"/>
  <c r="V255" i="196"/>
  <c r="V586" i="196"/>
  <c r="X471" i="196"/>
  <c r="V801" i="196"/>
  <c r="W847" i="196"/>
  <c r="W783" i="196"/>
  <c r="W903" i="196"/>
  <c r="V998" i="196"/>
  <c r="W1190" i="196"/>
  <c r="W650" i="196"/>
  <c r="V975" i="196"/>
  <c r="W1047" i="196"/>
  <c r="W1119" i="196"/>
  <c r="W1191" i="196"/>
  <c r="W390" i="196"/>
  <c r="V654" i="196"/>
  <c r="V1073" i="196"/>
  <c r="W184" i="196"/>
  <c r="V328" i="196"/>
  <c r="V400" i="196"/>
  <c r="X472" i="196"/>
  <c r="V290" i="196"/>
  <c r="W606" i="196"/>
  <c r="W630" i="196"/>
  <c r="V630" i="196"/>
  <c r="X846" i="196"/>
  <c r="W846" i="196"/>
  <c r="V1244" i="196"/>
  <c r="X1244" i="196"/>
  <c r="W1021" i="196"/>
  <c r="X1021" i="196"/>
  <c r="V317" i="196"/>
  <c r="X317" i="196"/>
  <c r="X473" i="196"/>
  <c r="W473" i="196"/>
  <c r="W581" i="196"/>
  <c r="V581" i="196"/>
  <c r="W625" i="196"/>
  <c r="V625" i="196"/>
  <c r="X906" i="196"/>
  <c r="W906" i="196"/>
  <c r="V906" i="196"/>
  <c r="X1102" i="196"/>
  <c r="V1102" i="196"/>
  <c r="W1102" i="196"/>
  <c r="V866" i="196"/>
  <c r="X866" i="196"/>
  <c r="W866" i="196"/>
  <c r="W30" i="196"/>
  <c r="X30" i="196"/>
  <c r="V173" i="196"/>
  <c r="X173" i="196"/>
  <c r="X593" i="196"/>
  <c r="W593" i="196"/>
  <c r="V593" i="196"/>
  <c r="W886" i="196"/>
  <c r="X886" i="196"/>
  <c r="V886" i="196"/>
  <c r="X1036" i="196"/>
  <c r="W1036" i="196"/>
  <c r="V1036" i="196"/>
  <c r="X1180" i="196"/>
  <c r="W1180" i="196"/>
  <c r="V1180" i="196"/>
  <c r="V870" i="196"/>
  <c r="X870" i="196"/>
  <c r="X380" i="196"/>
  <c r="W380" i="196"/>
  <c r="V523" i="196"/>
  <c r="V859" i="196"/>
  <c r="V927" i="196"/>
  <c r="W859" i="196"/>
  <c r="V544" i="196"/>
  <c r="W290" i="196"/>
  <c r="X625" i="196"/>
  <c r="X84" i="196"/>
  <c r="X740" i="196"/>
  <c r="W1051" i="196"/>
  <c r="X1061" i="196"/>
  <c r="W1061" i="196"/>
  <c r="V1061" i="196"/>
  <c r="X688" i="196"/>
  <c r="W688" i="196"/>
  <c r="X1109" i="196"/>
  <c r="V1109" i="196"/>
  <c r="X399" i="196"/>
  <c r="W399" i="196"/>
  <c r="V399" i="196"/>
  <c r="X737" i="196"/>
  <c r="W737" i="196"/>
  <c r="V737" i="196"/>
  <c r="V881" i="196"/>
  <c r="X881" i="196"/>
  <c r="W973" i="196"/>
  <c r="X973" i="196"/>
  <c r="V973" i="196"/>
  <c r="X123" i="196"/>
  <c r="V123" i="196"/>
  <c r="X38" i="196"/>
  <c r="V38" i="196"/>
  <c r="W38" i="196"/>
  <c r="X211" i="196"/>
  <c r="V211" i="196"/>
  <c r="X276" i="196"/>
  <c r="W276" i="196"/>
  <c r="X307" i="196"/>
  <c r="W307" i="196"/>
  <c r="X355" i="196"/>
  <c r="V355" i="196"/>
  <c r="X427" i="196"/>
  <c r="W427" i="196"/>
  <c r="V427" i="196"/>
  <c r="X499" i="196"/>
  <c r="W499" i="196"/>
  <c r="V499" i="196"/>
  <c r="X571" i="196"/>
  <c r="V571" i="196"/>
  <c r="W571" i="196"/>
  <c r="X595" i="196"/>
  <c r="V595" i="196"/>
  <c r="X643" i="196"/>
  <c r="W643" i="196"/>
  <c r="V643" i="196"/>
  <c r="X883" i="196"/>
  <c r="V883" i="196"/>
  <c r="X931" i="196"/>
  <c r="W931" i="196"/>
  <c r="V931" i="196"/>
  <c r="X1074" i="196"/>
  <c r="W1074" i="196"/>
  <c r="V1074" i="196"/>
  <c r="W1146" i="196"/>
  <c r="V1146" i="196"/>
  <c r="X1218" i="196"/>
  <c r="V1218" i="196"/>
  <c r="W1218" i="196"/>
  <c r="X239" i="196"/>
  <c r="V239" i="196"/>
  <c r="W239" i="196"/>
  <c r="V293" i="196"/>
  <c r="W293" i="196"/>
  <c r="X293" i="196"/>
  <c r="W1138" i="196"/>
  <c r="X1138" i="196"/>
  <c r="W446" i="196"/>
  <c r="X446" i="196"/>
  <c r="V446" i="196"/>
  <c r="X1273" i="196"/>
  <c r="W1273" i="196"/>
  <c r="V1273" i="196"/>
  <c r="X20" i="196"/>
  <c r="V20" i="196"/>
  <c r="X68" i="196"/>
  <c r="W68" i="196"/>
  <c r="W140" i="196"/>
  <c r="X140" i="196"/>
  <c r="X723" i="196"/>
  <c r="W723" i="196"/>
  <c r="X284" i="196"/>
  <c r="W284" i="196"/>
  <c r="V284" i="196"/>
  <c r="W356" i="196"/>
  <c r="V356" i="196"/>
  <c r="X428" i="196"/>
  <c r="W428" i="196"/>
  <c r="X452" i="196"/>
  <c r="W452" i="196"/>
  <c r="W500" i="196"/>
  <c r="V500" i="196"/>
  <c r="V572" i="196"/>
  <c r="X572" i="196"/>
  <c r="X644" i="196"/>
  <c r="W644" i="196"/>
  <c r="X668" i="196"/>
  <c r="W668" i="196"/>
  <c r="W716" i="196"/>
  <c r="V716" i="196"/>
  <c r="X884" i="196"/>
  <c r="W884" i="196"/>
  <c r="X236" i="196"/>
  <c r="W236" i="196"/>
  <c r="V236" i="196"/>
  <c r="W245" i="196"/>
  <c r="V245" i="196"/>
  <c r="W979" i="196"/>
  <c r="V979" i="196"/>
  <c r="X1003" i="196"/>
  <c r="W1003" i="196"/>
  <c r="V1003" i="196"/>
  <c r="X1027" i="196"/>
  <c r="W1027" i="196"/>
  <c r="X1075" i="196"/>
  <c r="W1075" i="196"/>
  <c r="X1147" i="196"/>
  <c r="V1147" i="196"/>
  <c r="W1147" i="196"/>
  <c r="W1219" i="196"/>
  <c r="V1219" i="196"/>
  <c r="V263" i="196"/>
  <c r="X263" i="196"/>
  <c r="W263" i="196"/>
  <c r="X853" i="196"/>
  <c r="W853" i="196"/>
  <c r="V1222" i="196"/>
  <c r="X1222" i="196"/>
  <c r="X1093" i="196"/>
  <c r="W1093" i="196"/>
  <c r="V1093" i="196"/>
  <c r="V9" i="196"/>
  <c r="W9" i="196"/>
  <c r="X57" i="196"/>
  <c r="V57" i="196"/>
  <c r="W57" i="196"/>
  <c r="X81" i="196"/>
  <c r="V81" i="196"/>
  <c r="V129" i="196"/>
  <c r="X129" i="196"/>
  <c r="W129" i="196"/>
  <c r="X201" i="196"/>
  <c r="W201" i="196"/>
  <c r="V201" i="196"/>
  <c r="W126" i="196"/>
  <c r="X126" i="196"/>
  <c r="V12" i="196"/>
  <c r="X12" i="196"/>
  <c r="X297" i="196"/>
  <c r="W297" i="196"/>
  <c r="X345" i="196"/>
  <c r="W345" i="196"/>
  <c r="V345" i="196"/>
  <c r="W417" i="196"/>
  <c r="V417" i="196"/>
  <c r="V489" i="196"/>
  <c r="X489" i="196"/>
  <c r="W513" i="196"/>
  <c r="X513" i="196"/>
  <c r="X561" i="196"/>
  <c r="W561" i="196"/>
  <c r="V561" i="196"/>
  <c r="W585" i="196"/>
  <c r="X585" i="196"/>
  <c r="X633" i="196"/>
  <c r="W633" i="196"/>
  <c r="V705" i="196"/>
  <c r="X705" i="196"/>
  <c r="W229" i="196"/>
  <c r="V229" i="196"/>
  <c r="X909" i="196"/>
  <c r="W909" i="196"/>
  <c r="V909" i="196"/>
  <c r="V921" i="196"/>
  <c r="X921" i="196"/>
  <c r="W992" i="196"/>
  <c r="X992" i="196"/>
  <c r="V992" i="196"/>
  <c r="W1016" i="196"/>
  <c r="X1016" i="196"/>
  <c r="V1136" i="196"/>
  <c r="W1208" i="196"/>
  <c r="W718" i="196"/>
  <c r="W797" i="196"/>
  <c r="V694" i="196"/>
  <c r="X838" i="196"/>
  <c r="X1162" i="196"/>
  <c r="V167" i="196"/>
  <c r="X1175" i="196"/>
  <c r="W1164" i="196"/>
  <c r="X230" i="196"/>
  <c r="W1064" i="196"/>
  <c r="W1136" i="196"/>
  <c r="W694" i="196"/>
  <c r="V981" i="196"/>
  <c r="V1114" i="196"/>
  <c r="X167" i="196"/>
  <c r="X312" i="196"/>
  <c r="V360" i="196"/>
  <c r="V576" i="196"/>
  <c r="W175" i="196"/>
  <c r="V72" i="196"/>
  <c r="V46" i="196"/>
  <c r="V709" i="196"/>
  <c r="X981" i="196"/>
  <c r="V1125" i="196"/>
  <c r="V191" i="196"/>
  <c r="V683" i="196"/>
  <c r="X1114" i="196"/>
  <c r="X360" i="196"/>
  <c r="W384" i="196"/>
  <c r="V432" i="196"/>
  <c r="W576" i="196"/>
  <c r="X28" i="196"/>
  <c r="X72" i="196"/>
  <c r="V671" i="196"/>
  <c r="X671" i="196"/>
  <c r="V985" i="196"/>
  <c r="W985" i="196"/>
  <c r="W1237" i="196"/>
  <c r="X1237" i="196"/>
  <c r="X118" i="196"/>
  <c r="V118" i="196"/>
  <c r="W142" i="196"/>
  <c r="V142" i="196"/>
  <c r="X334" i="196"/>
  <c r="V334" i="196"/>
  <c r="X478" i="196"/>
  <c r="V478" i="196"/>
  <c r="X627" i="196"/>
  <c r="V627" i="196"/>
  <c r="V910" i="196"/>
  <c r="X910" i="196"/>
  <c r="X1053" i="196"/>
  <c r="W1053" i="196"/>
  <c r="V1197" i="196"/>
  <c r="X1197" i="196"/>
  <c r="X1269" i="196"/>
  <c r="W1269" i="196"/>
  <c r="W335" i="196"/>
  <c r="X335" i="196"/>
  <c r="V410" i="196"/>
  <c r="W410" i="196"/>
  <c r="W1009" i="196"/>
  <c r="V1009" i="196"/>
  <c r="V1189" i="196"/>
  <c r="W1189" i="196"/>
  <c r="V47" i="196"/>
  <c r="X47" i="196"/>
  <c r="X71" i="196"/>
  <c r="W71" i="196"/>
  <c r="X405" i="196"/>
  <c r="V405" i="196"/>
  <c r="V144" i="196"/>
  <c r="X144" i="196"/>
  <c r="X539" i="196"/>
  <c r="V539" i="196"/>
  <c r="V504" i="196"/>
  <c r="W504" i="196"/>
  <c r="V648" i="196"/>
  <c r="X648" i="196"/>
  <c r="X672" i="196"/>
  <c r="W672" i="196"/>
  <c r="X720" i="196"/>
  <c r="V720" i="196"/>
  <c r="X792" i="196"/>
  <c r="W792" i="196"/>
  <c r="X816" i="196"/>
  <c r="W816" i="196"/>
  <c r="X864" i="196"/>
  <c r="W864" i="196"/>
  <c r="V935" i="196"/>
  <c r="X935" i="196"/>
  <c r="X1007" i="196"/>
  <c r="W1007" i="196"/>
  <c r="X1031" i="196"/>
  <c r="W1031" i="196"/>
  <c r="W1079" i="196"/>
  <c r="V1079" i="196"/>
  <c r="V1103" i="196"/>
  <c r="X1103" i="196"/>
  <c r="V1151" i="196"/>
  <c r="X1151" i="196"/>
  <c r="V1223" i="196"/>
  <c r="X1223" i="196"/>
  <c r="V1271" i="196"/>
  <c r="W1271" i="196"/>
  <c r="X972" i="196"/>
  <c r="W972" i="196"/>
  <c r="V972" i="196"/>
  <c r="X1116" i="196"/>
  <c r="W1116" i="196"/>
  <c r="X1260" i="196"/>
  <c r="W1260" i="196"/>
  <c r="X326" i="196"/>
  <c r="W326" i="196"/>
  <c r="X566" i="196"/>
  <c r="V566" i="196"/>
  <c r="W1033" i="196"/>
  <c r="V1033" i="196"/>
  <c r="W1249" i="196"/>
  <c r="X1249" i="196"/>
  <c r="X49" i="196"/>
  <c r="V49" i="196"/>
  <c r="V135" i="196"/>
  <c r="X135" i="196"/>
  <c r="X265" i="196"/>
  <c r="W265" i="196"/>
  <c r="V79" i="196"/>
  <c r="W79" i="196"/>
  <c r="W337" i="196"/>
  <c r="V337" i="196"/>
  <c r="X409" i="196"/>
  <c r="W409" i="196"/>
  <c r="X481" i="196"/>
  <c r="W481" i="196"/>
  <c r="V481" i="196"/>
  <c r="V529" i="196"/>
  <c r="W529" i="196"/>
  <c r="V553" i="196"/>
  <c r="X553" i="196"/>
  <c r="V577" i="196"/>
  <c r="X577" i="196"/>
  <c r="W601" i="196"/>
  <c r="X601" i="196"/>
  <c r="X170" i="196"/>
  <c r="W170" i="196"/>
  <c r="W649" i="196"/>
  <c r="X649" i="196"/>
  <c r="X822" i="196"/>
  <c r="W822" i="196"/>
  <c r="X697" i="196"/>
  <c r="V697" i="196"/>
  <c r="X745" i="196"/>
  <c r="W745" i="196"/>
  <c r="V769" i="196"/>
  <c r="X769" i="196"/>
  <c r="X793" i="196"/>
  <c r="W793" i="196"/>
  <c r="X908" i="196"/>
  <c r="W908" i="196"/>
  <c r="V908" i="196"/>
  <c r="W901" i="196"/>
  <c r="V901" i="196"/>
  <c r="X926" i="196"/>
  <c r="W926" i="196"/>
  <c r="V926" i="196"/>
  <c r="X1032" i="196"/>
  <c r="W1032" i="196"/>
  <c r="X1128" i="196"/>
  <c r="V1128" i="196"/>
  <c r="V1176" i="196"/>
  <c r="X1176" i="196"/>
  <c r="X272" i="196"/>
  <c r="W272" i="196"/>
  <c r="V272" i="196"/>
  <c r="X314" i="196"/>
  <c r="W314" i="196"/>
  <c r="X362" i="196"/>
  <c r="W362" i="196"/>
  <c r="V362" i="196"/>
  <c r="W482" i="196"/>
  <c r="X482" i="196"/>
  <c r="V482" i="196"/>
  <c r="X578" i="196"/>
  <c r="W578" i="196"/>
  <c r="V578" i="196"/>
  <c r="X1057" i="196"/>
  <c r="W1057" i="196"/>
  <c r="V341" i="196"/>
  <c r="W172" i="196"/>
  <c r="V670" i="196"/>
  <c r="V1001" i="196"/>
  <c r="V845" i="196"/>
  <c r="V750" i="196"/>
  <c r="X90" i="196"/>
  <c r="W476" i="196"/>
  <c r="W1123" i="196"/>
  <c r="W897" i="196"/>
  <c r="X670" i="196"/>
  <c r="X563" i="196"/>
  <c r="V25" i="196"/>
  <c r="X97" i="196"/>
  <c r="W1239" i="196"/>
  <c r="W162" i="196"/>
  <c r="X609" i="196"/>
  <c r="V97" i="196"/>
  <c r="W44" i="196"/>
  <c r="W655" i="196"/>
  <c r="W366" i="196"/>
  <c r="X1022" i="196"/>
  <c r="X798" i="196"/>
  <c r="X404" i="196"/>
  <c r="X465" i="196"/>
  <c r="V968" i="196"/>
  <c r="X25" i="196"/>
  <c r="V601" i="196"/>
  <c r="V689" i="196"/>
  <c r="W950" i="196"/>
  <c r="X247" i="196"/>
  <c r="W376" i="196"/>
  <c r="W342" i="196"/>
  <c r="V190" i="196"/>
  <c r="W753" i="196"/>
  <c r="X382" i="196"/>
  <c r="X491" i="196"/>
  <c r="W958" i="196"/>
  <c r="W95" i="196"/>
  <c r="X840" i="196"/>
  <c r="X1127" i="196"/>
  <c r="W457" i="196"/>
  <c r="V518" i="196"/>
  <c r="W1045" i="196"/>
  <c r="X979" i="196"/>
  <c r="X1029" i="196"/>
  <c r="V515" i="196"/>
  <c r="X890" i="196"/>
  <c r="X1068" i="196"/>
  <c r="V691" i="196"/>
  <c r="X393" i="196"/>
  <c r="W233" i="196"/>
  <c r="V249" i="196"/>
  <c r="V951" i="196"/>
  <c r="W187" i="196"/>
  <c r="X249" i="196"/>
  <c r="W1101" i="196"/>
  <c r="X806" i="196"/>
  <c r="W385" i="196"/>
  <c r="W1212" i="196"/>
  <c r="V534" i="196"/>
  <c r="W989" i="196"/>
  <c r="W567" i="196"/>
  <c r="V655" i="196"/>
  <c r="X253" i="196"/>
  <c r="X951" i="196"/>
  <c r="X304" i="196"/>
  <c r="X221" i="196"/>
  <c r="X1120" i="196"/>
  <c r="V692" i="196"/>
  <c r="W764" i="196"/>
  <c r="V454" i="196"/>
  <c r="W537" i="196"/>
  <c r="V1173" i="196"/>
  <c r="X313" i="196"/>
  <c r="V491" i="196"/>
  <c r="X950" i="196"/>
  <c r="V149" i="196"/>
  <c r="W99" i="196"/>
  <c r="X692" i="196"/>
  <c r="X454" i="196"/>
  <c r="W1112" i="196"/>
  <c r="V145" i="196"/>
  <c r="V94" i="196"/>
  <c r="V238" i="196"/>
  <c r="V656" i="196"/>
  <c r="W814" i="196"/>
  <c r="V382" i="196"/>
  <c r="X624" i="196"/>
  <c r="V1127" i="196"/>
  <c r="W83" i="196"/>
  <c r="W77" i="196"/>
  <c r="X149" i="196"/>
  <c r="W533" i="196"/>
  <c r="X809" i="196"/>
  <c r="V977" i="196"/>
  <c r="V1267" i="196"/>
  <c r="V105" i="196"/>
  <c r="X145" i="196"/>
  <c r="V22" i="196"/>
  <c r="X94" i="196"/>
  <c r="V421" i="196"/>
  <c r="X238" i="196"/>
  <c r="W983" i="196"/>
  <c r="X1095" i="196"/>
  <c r="W976" i="196"/>
  <c r="V475" i="196"/>
  <c r="W808" i="196"/>
  <c r="W691" i="196"/>
  <c r="X977" i="196"/>
  <c r="W794" i="196"/>
  <c r="W1195" i="196"/>
  <c r="V609" i="196"/>
  <c r="W33" i="196"/>
  <c r="X105" i="196"/>
  <c r="X22" i="196"/>
  <c r="X421" i="196"/>
  <c r="W598" i="196"/>
  <c r="V879" i="196"/>
  <c r="V221" i="196"/>
  <c r="V1150" i="196"/>
  <c r="W447" i="196"/>
  <c r="W628" i="196"/>
  <c r="X750" i="196"/>
  <c r="V1021" i="196"/>
  <c r="W819" i="196"/>
  <c r="W920" i="196"/>
  <c r="W2" i="196"/>
  <c r="W496" i="196"/>
  <c r="W587" i="196"/>
  <c r="X799" i="196"/>
  <c r="X711" i="196"/>
  <c r="V673" i="196"/>
  <c r="X275" i="196"/>
  <c r="W29" i="196"/>
  <c r="V915" i="196"/>
  <c r="V304" i="196"/>
  <c r="V253" i="196"/>
  <c r="V743" i="196"/>
  <c r="V690" i="196"/>
  <c r="W448" i="196"/>
  <c r="W1078" i="196"/>
  <c r="V375" i="196"/>
  <c r="V982" i="196"/>
  <c r="V226" i="196"/>
  <c r="W134" i="196"/>
  <c r="W159" i="196"/>
  <c r="W519" i="196"/>
  <c r="V1022" i="196"/>
  <c r="V247" i="196"/>
  <c r="X520" i="196"/>
  <c r="W82" i="196"/>
  <c r="X964" i="196"/>
  <c r="V29" i="196"/>
  <c r="X134" i="196"/>
  <c r="X159" i="196"/>
  <c r="V447" i="196"/>
  <c r="X519" i="196"/>
  <c r="X808" i="196"/>
  <c r="V1239" i="196"/>
  <c r="V83" i="196"/>
  <c r="W146" i="196"/>
  <c r="V376" i="196"/>
  <c r="X448" i="196"/>
  <c r="X366" i="196"/>
  <c r="V172" i="196"/>
  <c r="V77" i="196"/>
  <c r="X82" i="196"/>
  <c r="V617" i="196"/>
  <c r="W809" i="196"/>
  <c r="V976" i="196"/>
  <c r="X162" i="196"/>
  <c r="X476" i="196"/>
  <c r="X794" i="196"/>
  <c r="X99" i="196"/>
  <c r="V764" i="196"/>
  <c r="V233" i="196"/>
  <c r="W656" i="196"/>
  <c r="X897" i="196"/>
  <c r="V1112" i="196"/>
  <c r="V814" i="196"/>
  <c r="V1101" i="196"/>
  <c r="V693" i="196"/>
  <c r="V33" i="196"/>
  <c r="X753" i="196"/>
  <c r="X598" i="196"/>
  <c r="V563" i="196"/>
  <c r="X611" i="196"/>
  <c r="V958" i="196"/>
  <c r="V1138" i="196"/>
  <c r="W259" i="196"/>
  <c r="V822" i="196"/>
  <c r="V983" i="196"/>
  <c r="X385" i="196"/>
  <c r="X457" i="196"/>
  <c r="X529" i="196"/>
  <c r="V314" i="196"/>
  <c r="V1212" i="196"/>
  <c r="X1271" i="196"/>
  <c r="V588" i="196"/>
  <c r="V1194" i="196"/>
  <c r="V890" i="196"/>
  <c r="V146" i="196"/>
  <c r="V187" i="196"/>
  <c r="V628" i="196"/>
  <c r="V533" i="196"/>
  <c r="V342" i="196"/>
  <c r="V1051" i="196"/>
  <c r="V1123" i="196"/>
  <c r="V1195" i="196"/>
  <c r="V567" i="196"/>
  <c r="V393" i="196"/>
  <c r="V465" i="196"/>
  <c r="V547" i="196"/>
  <c r="W693" i="196"/>
  <c r="W503" i="196"/>
  <c r="V259" i="196"/>
  <c r="V44" i="196"/>
  <c r="V984" i="196"/>
  <c r="V745" i="196"/>
  <c r="V1045" i="196"/>
  <c r="V164" i="196"/>
  <c r="W375" i="196"/>
  <c r="V807" i="196"/>
  <c r="W879" i="196"/>
  <c r="V1238" i="196"/>
  <c r="V736" i="196"/>
  <c r="V989" i="196"/>
  <c r="V181" i="196"/>
  <c r="W1001" i="196"/>
  <c r="W1181" i="196"/>
  <c r="W689" i="196"/>
  <c r="W845" i="196"/>
  <c r="W534" i="196"/>
  <c r="W1267" i="196"/>
  <c r="V825" i="196"/>
  <c r="W190" i="196"/>
  <c r="W1173" i="196"/>
  <c r="V835" i="196"/>
  <c r="W547" i="196"/>
  <c r="V310" i="196"/>
  <c r="V742" i="196"/>
  <c r="W515" i="196"/>
  <c r="X982" i="196"/>
  <c r="W1128" i="196"/>
  <c r="V1199" i="196"/>
  <c r="W518" i="196"/>
  <c r="V735" i="196"/>
  <c r="W1238" i="196"/>
  <c r="V1023" i="196"/>
  <c r="W181" i="196"/>
  <c r="V1181" i="196"/>
  <c r="V437" i="196"/>
  <c r="V545" i="196"/>
  <c r="V1240" i="196"/>
  <c r="W825" i="196"/>
  <c r="V1040" i="196"/>
  <c r="W310" i="196"/>
  <c r="W742" i="196"/>
  <c r="V23" i="196"/>
  <c r="V455" i="196"/>
  <c r="V994" i="196"/>
  <c r="V1054" i="196"/>
  <c r="V95" i="196"/>
  <c r="V768" i="196"/>
  <c r="W1199" i="196"/>
  <c r="V1272" i="196"/>
  <c r="X164" i="196"/>
  <c r="V217" i="196"/>
  <c r="W735" i="196"/>
  <c r="X807" i="196"/>
  <c r="W736" i="196"/>
  <c r="W916" i="196"/>
  <c r="W1023" i="196"/>
  <c r="V1167" i="196"/>
  <c r="V1217" i="196"/>
  <c r="W437" i="196"/>
  <c r="W545" i="196"/>
  <c r="V1108" i="196"/>
  <c r="W1240" i="196"/>
  <c r="W1040" i="196"/>
  <c r="V248" i="196"/>
  <c r="V116" i="196"/>
  <c r="V188" i="196"/>
  <c r="V1184" i="196"/>
  <c r="V957" i="196"/>
  <c r="W835" i="196"/>
  <c r="W23" i="196"/>
  <c r="V681" i="196"/>
  <c r="V707" i="196"/>
  <c r="W455" i="196"/>
  <c r="W994" i="196"/>
  <c r="W1054" i="196"/>
  <c r="V264" i="196"/>
  <c r="V48" i="196"/>
  <c r="V11" i="196"/>
  <c r="V1055" i="196"/>
  <c r="V177" i="196"/>
  <c r="W768" i="196"/>
  <c r="V912" i="196"/>
  <c r="V278" i="196"/>
  <c r="V530" i="196"/>
  <c r="W1272" i="196"/>
  <c r="W217" i="196"/>
  <c r="V821" i="196"/>
  <c r="V1166" i="196"/>
  <c r="X916" i="196"/>
  <c r="W1167" i="196"/>
  <c r="W1217" i="196"/>
  <c r="V160" i="196"/>
  <c r="V592" i="196"/>
  <c r="V365" i="196"/>
  <c r="W1108" i="196"/>
  <c r="W331" i="196"/>
  <c r="V839" i="196"/>
  <c r="W248" i="196"/>
  <c r="W116" i="196"/>
  <c r="W188" i="196"/>
  <c r="W1184" i="196"/>
  <c r="W957" i="196"/>
  <c r="V978" i="196"/>
  <c r="V526" i="196"/>
  <c r="W681" i="196"/>
  <c r="W707" i="196"/>
  <c r="W264" i="196"/>
  <c r="V336" i="196"/>
  <c r="W48" i="196"/>
  <c r="W11" i="196"/>
  <c r="W1055" i="196"/>
  <c r="W177" i="196"/>
  <c r="V696" i="196"/>
  <c r="W912" i="196"/>
  <c r="W278" i="196"/>
  <c r="W530" i="196"/>
  <c r="V746" i="196"/>
  <c r="V635" i="196"/>
  <c r="V231" i="196"/>
  <c r="W821" i="196"/>
  <c r="W1166" i="196"/>
  <c r="V763" i="196"/>
  <c r="W160" i="196"/>
  <c r="W592" i="196"/>
  <c r="V1229" i="196"/>
  <c r="W365" i="196"/>
  <c r="V1276" i="196"/>
  <c r="V331" i="196"/>
  <c r="V1266" i="196"/>
  <c r="V260" i="196"/>
  <c r="V332" i="196"/>
  <c r="X839" i="196"/>
  <c r="W978" i="196"/>
  <c r="W526" i="196"/>
  <c r="V1006" i="196"/>
  <c r="W336" i="196"/>
  <c r="V408" i="196"/>
  <c r="V480" i="196"/>
  <c r="V552" i="196"/>
  <c r="V1050" i="196"/>
  <c r="V1245" i="196"/>
  <c r="W696" i="196"/>
  <c r="W830" i="196"/>
  <c r="V241" i="196"/>
  <c r="V817" i="196"/>
  <c r="X746" i="196"/>
  <c r="W635" i="196"/>
  <c r="W231" i="196"/>
  <c r="V289" i="196"/>
  <c r="V1094" i="196"/>
  <c r="V582" i="196"/>
  <c r="V798" i="196"/>
  <c r="V398" i="196"/>
  <c r="V520" i="196"/>
  <c r="W1229" i="196"/>
  <c r="V964" i="196"/>
  <c r="V1120" i="196"/>
  <c r="W1276" i="196"/>
  <c r="V155" i="196"/>
  <c r="V90" i="196"/>
  <c r="W260" i="196"/>
  <c r="W332" i="196"/>
  <c r="V404" i="196"/>
  <c r="V537" i="196"/>
  <c r="W1029" i="196"/>
  <c r="W1006" i="196"/>
  <c r="W408" i="196"/>
  <c r="W480" i="196"/>
  <c r="W552" i="196"/>
  <c r="V624" i="196"/>
  <c r="V1122" i="196"/>
  <c r="W1245" i="196"/>
  <c r="W770" i="196"/>
  <c r="V806" i="196"/>
  <c r="V840" i="196"/>
  <c r="V830" i="196"/>
  <c r="W241" i="196"/>
  <c r="V313" i="196"/>
  <c r="W817" i="196"/>
  <c r="V1068" i="196"/>
  <c r="W289" i="196"/>
  <c r="W1094" i="196"/>
  <c r="X582" i="196"/>
  <c r="W475" i="196"/>
  <c r="W1266" i="196"/>
  <c r="W398" i="196"/>
  <c r="W763" i="196"/>
  <c r="W1194" i="196"/>
  <c r="V611" i="196"/>
  <c r="X1050" i="196"/>
  <c r="W588" i="196"/>
  <c r="V770" i="196"/>
  <c r="X1122" i="196"/>
  <c r="W43" i="196"/>
  <c r="W673" i="196"/>
  <c r="W690" i="196"/>
  <c r="X783" i="196"/>
  <c r="W915" i="196"/>
  <c r="W927" i="196"/>
  <c r="W998" i="196"/>
  <c r="V1070" i="196"/>
  <c r="X650" i="196"/>
  <c r="X1143" i="196"/>
  <c r="W739" i="196"/>
  <c r="X424" i="196"/>
  <c r="X496" i="196"/>
  <c r="X568" i="196"/>
  <c r="X522" i="196"/>
  <c r="X920" i="196"/>
  <c r="V178" i="196"/>
  <c r="V216" i="196"/>
  <c r="V127" i="196"/>
  <c r="V917" i="196"/>
  <c r="V1048" i="196"/>
  <c r="X1228" i="196"/>
  <c r="W123" i="196"/>
  <c r="W379" i="196"/>
  <c r="V452" i="196"/>
  <c r="V740" i="196"/>
  <c r="V1027" i="196"/>
  <c r="V297" i="196"/>
  <c r="V718" i="196"/>
  <c r="V1077" i="196"/>
  <c r="X9" i="196"/>
  <c r="X1088" i="196"/>
  <c r="W667" i="196"/>
  <c r="V71" i="196"/>
  <c r="V287" i="196"/>
  <c r="W743" i="196"/>
  <c r="V384" i="196"/>
  <c r="V175" i="196"/>
  <c r="V793" i="196"/>
  <c r="V1164" i="196"/>
  <c r="V672" i="196"/>
  <c r="V744" i="196"/>
  <c r="V816" i="196"/>
  <c r="V1031" i="196"/>
  <c r="V948" i="196"/>
  <c r="X1177" i="196"/>
  <c r="X79" i="196"/>
  <c r="W577" i="196"/>
  <c r="X410" i="196"/>
  <c r="X1189" i="196"/>
  <c r="V784" i="196"/>
  <c r="W127" i="196"/>
  <c r="W287" i="196"/>
  <c r="V422" i="196"/>
  <c r="X1070" i="196"/>
  <c r="V1142" i="196"/>
  <c r="W1214" i="196"/>
  <c r="W784" i="196"/>
  <c r="W1071" i="196"/>
  <c r="W1109" i="196"/>
  <c r="X178" i="196"/>
  <c r="X216" i="196"/>
  <c r="W413" i="196"/>
  <c r="X917" i="196"/>
  <c r="X1048" i="196"/>
  <c r="W137" i="196"/>
  <c r="V92" i="196"/>
  <c r="W81" i="196"/>
  <c r="V494" i="196"/>
  <c r="V803" i="196"/>
  <c r="W451" i="196"/>
  <c r="W361" i="196"/>
  <c r="V182" i="196"/>
  <c r="V1224" i="196"/>
  <c r="X1142" i="196"/>
  <c r="X1214" i="196"/>
  <c r="X1071" i="196"/>
  <c r="W954" i="196"/>
  <c r="X413" i="196"/>
  <c r="V929" i="196"/>
  <c r="X137" i="196"/>
  <c r="V702" i="196"/>
  <c r="W91" i="196"/>
  <c r="V766" i="196"/>
  <c r="V524" i="196"/>
  <c r="V812" i="196"/>
  <c r="V1099" i="196"/>
  <c r="V369" i="196"/>
  <c r="V302" i="196"/>
  <c r="V944" i="196"/>
  <c r="X1098" i="196"/>
  <c r="W92" i="196"/>
  <c r="W883" i="196"/>
  <c r="W494" i="196"/>
  <c r="V143" i="196"/>
  <c r="V311" i="196"/>
  <c r="V395" i="196"/>
  <c r="W803" i="196"/>
  <c r="V875" i="196"/>
  <c r="V456" i="196"/>
  <c r="V307" i="196"/>
  <c r="V96" i="196"/>
  <c r="V877" i="196"/>
  <c r="V959" i="196"/>
  <c r="V266" i="196"/>
  <c r="V374" i="196"/>
  <c r="W182" i="196"/>
  <c r="V1020" i="196"/>
  <c r="W1224" i="196"/>
  <c r="V712" i="196"/>
  <c r="V999" i="196"/>
  <c r="V894" i="196"/>
  <c r="V1133" i="196"/>
  <c r="V497" i="196"/>
  <c r="W929" i="196"/>
  <c r="V1192" i="196"/>
  <c r="W702" i="196"/>
  <c r="W766" i="196"/>
  <c r="X524" i="196"/>
  <c r="W812" i="196"/>
  <c r="X1099" i="196"/>
  <c r="W369" i="196"/>
  <c r="W302" i="196"/>
  <c r="W944" i="196"/>
  <c r="V1026" i="196"/>
  <c r="V701" i="196"/>
  <c r="V729" i="196"/>
  <c r="W873" i="196"/>
  <c r="V1160" i="196"/>
  <c r="W143" i="196"/>
  <c r="X311" i="196"/>
  <c r="W395" i="196"/>
  <c r="W875" i="196"/>
  <c r="W456" i="196"/>
  <c r="W96" i="196"/>
  <c r="W156" i="196"/>
  <c r="W877" i="196"/>
  <c r="W959" i="196"/>
  <c r="V433" i="196"/>
  <c r="V721" i="196"/>
  <c r="W636" i="196"/>
  <c r="W266" i="196"/>
  <c r="W1020" i="196"/>
  <c r="V699" i="196"/>
  <c r="W712" i="196"/>
  <c r="W999" i="196"/>
  <c r="W894" i="196"/>
  <c r="W1133" i="196"/>
  <c r="X497" i="196"/>
  <c r="V597" i="196"/>
  <c r="V761" i="196"/>
  <c r="W1192" i="196"/>
  <c r="V379" i="196"/>
  <c r="V1242" i="196"/>
  <c r="V24" i="196"/>
  <c r="V657" i="196"/>
  <c r="V138" i="196"/>
  <c r="V1098" i="196"/>
  <c r="W701" i="196"/>
  <c r="W729" i="196"/>
  <c r="V873" i="196"/>
  <c r="W1160" i="196"/>
  <c r="W891" i="196"/>
  <c r="X433" i="196"/>
  <c r="X721" i="196"/>
  <c r="X636" i="196"/>
  <c r="V626" i="196"/>
  <c r="W110" i="196"/>
  <c r="W699" i="196"/>
  <c r="V270" i="196"/>
  <c r="V53" i="196"/>
  <c r="X597" i="196"/>
  <c r="W761" i="196"/>
  <c r="V1084" i="196"/>
  <c r="V726" i="196"/>
  <c r="W595" i="196"/>
  <c r="V308" i="196"/>
  <c r="V596" i="196"/>
  <c r="V237" i="196"/>
  <c r="V1171" i="196"/>
  <c r="V441" i="196"/>
  <c r="V430" i="196"/>
  <c r="V934" i="196"/>
  <c r="W24" i="196"/>
  <c r="W657" i="196"/>
  <c r="V1170" i="196"/>
  <c r="V443" i="196"/>
  <c r="V827" i="196"/>
  <c r="W946" i="196"/>
  <c r="V1270" i="196"/>
  <c r="V240" i="196"/>
  <c r="V528" i="196"/>
  <c r="V451" i="196"/>
  <c r="V197" i="196"/>
  <c r="V73" i="196"/>
  <c r="V1080" i="196"/>
  <c r="W1221" i="196"/>
  <c r="V1247" i="196"/>
  <c r="V319" i="196"/>
  <c r="W626" i="196"/>
  <c r="W1261" i="196"/>
  <c r="V110" i="196"/>
  <c r="W270" i="196"/>
  <c r="V279" i="196"/>
  <c r="V351" i="196"/>
  <c r="V163" i="196"/>
  <c r="V928" i="196"/>
  <c r="V1215" i="196"/>
  <c r="V462" i="196"/>
  <c r="V941" i="196"/>
  <c r="V674" i="196"/>
  <c r="V294" i="196"/>
  <c r="V486" i="196"/>
  <c r="V678" i="196"/>
  <c r="V1157" i="196"/>
  <c r="W53" i="196"/>
  <c r="V461" i="196"/>
  <c r="W1084" i="196"/>
  <c r="V222" i="196"/>
  <c r="W726" i="196"/>
  <c r="W1242" i="196"/>
  <c r="W308" i="196"/>
  <c r="W596" i="196"/>
  <c r="W237" i="196"/>
  <c r="W1171" i="196"/>
  <c r="W441" i="196"/>
  <c r="W430" i="196"/>
  <c r="W934" i="196"/>
  <c r="V64" i="196"/>
  <c r="W138" i="196"/>
  <c r="W443" i="196"/>
  <c r="W827" i="196"/>
  <c r="V946" i="196"/>
  <c r="W1270" i="196"/>
  <c r="W240" i="196"/>
  <c r="W528" i="196"/>
  <c r="W1170" i="196"/>
  <c r="W197" i="196"/>
  <c r="W73" i="196"/>
  <c r="W1080" i="196"/>
  <c r="V1221" i="196"/>
  <c r="W1247" i="196"/>
  <c r="W319" i="196"/>
  <c r="V271" i="196"/>
  <c r="V505" i="196"/>
  <c r="V785" i="196"/>
  <c r="V1261" i="196"/>
  <c r="W351" i="196"/>
  <c r="W163" i="196"/>
  <c r="V495" i="196"/>
  <c r="W928" i="196"/>
  <c r="W1215" i="196"/>
  <c r="W462" i="196"/>
  <c r="W941" i="196"/>
  <c r="W523" i="196"/>
  <c r="W674" i="196"/>
  <c r="V136" i="196"/>
  <c r="V179" i="196"/>
  <c r="V280" i="196"/>
  <c r="V640" i="196"/>
  <c r="W294" i="196"/>
  <c r="W486" i="196"/>
  <c r="W678" i="196"/>
  <c r="W1157" i="196"/>
  <c r="X461" i="196"/>
  <c r="V641" i="196"/>
  <c r="W222" i="196"/>
  <c r="V91" i="196"/>
  <c r="V66" i="196"/>
  <c r="V70" i="196"/>
  <c r="V358" i="196"/>
  <c r="W1026" i="196"/>
  <c r="W271" i="196"/>
  <c r="W505" i="196"/>
  <c r="W785" i="196"/>
  <c r="V470" i="196"/>
  <c r="V600" i="196"/>
  <c r="X279" i="196"/>
  <c r="W495" i="196"/>
  <c r="V799" i="196"/>
  <c r="V639" i="196"/>
  <c r="V711" i="196"/>
  <c r="W136" i="196"/>
  <c r="W179" i="196"/>
  <c r="W280" i="196"/>
  <c r="V352" i="196"/>
  <c r="W640" i="196"/>
  <c r="V30" i="196"/>
  <c r="X641" i="196"/>
  <c r="W66" i="196"/>
  <c r="V84" i="196"/>
  <c r="V668" i="196"/>
  <c r="V955" i="196"/>
  <c r="V1243" i="196"/>
  <c r="V126" i="196"/>
  <c r="V513" i="196"/>
  <c r="V585" i="196"/>
  <c r="V1016" i="196"/>
  <c r="W64" i="196"/>
  <c r="W70" i="196"/>
  <c r="W358" i="196"/>
  <c r="V275" i="196"/>
  <c r="V335" i="196"/>
  <c r="V907" i="196"/>
  <c r="V312" i="196"/>
  <c r="V28" i="196"/>
  <c r="V195" i="196"/>
  <c r="V1175" i="196"/>
  <c r="W1103" i="196"/>
  <c r="V230" i="196"/>
  <c r="W470" i="196"/>
  <c r="W600" i="196"/>
  <c r="V1237" i="196"/>
  <c r="V649" i="196"/>
  <c r="V667" i="196"/>
  <c r="V39" i="196"/>
  <c r="W682" i="196"/>
  <c r="X682" i="196"/>
  <c r="X387" i="196"/>
  <c r="X616" i="196"/>
  <c r="X962" i="196"/>
  <c r="W1250" i="196"/>
  <c r="X1025" i="196"/>
  <c r="V192" i="196"/>
  <c r="V316" i="196"/>
  <c r="V604" i="196"/>
  <c r="V227" i="196"/>
  <c r="V1205" i="196"/>
  <c r="X63" i="196"/>
  <c r="X621" i="196"/>
  <c r="X988" i="196"/>
  <c r="W295" i="196"/>
  <c r="W914" i="196"/>
  <c r="V305" i="196"/>
  <c r="W171" i="196"/>
  <c r="X459" i="196"/>
  <c r="X747" i="196"/>
  <c r="W1034" i="196"/>
  <c r="W305" i="196"/>
  <c r="V833" i="196"/>
  <c r="W378" i="196"/>
  <c r="W889" i="196"/>
  <c r="V889" i="196"/>
  <c r="V100" i="196"/>
  <c r="V388" i="196"/>
  <c r="V820" i="196"/>
  <c r="V963" i="196"/>
  <c r="W1107" i="196"/>
  <c r="V1251" i="196"/>
  <c r="V2" i="196"/>
  <c r="V212" i="196"/>
  <c r="V531" i="196"/>
  <c r="V819" i="196"/>
  <c r="V1106" i="196"/>
  <c r="V377" i="196"/>
  <c r="V557" i="196"/>
  <c r="V1132" i="196"/>
  <c r="V88" i="196"/>
  <c r="V1013" i="196"/>
  <c r="V587" i="196"/>
  <c r="V1078" i="196"/>
  <c r="X2" i="196"/>
  <c r="V708" i="196"/>
  <c r="V460" i="196"/>
  <c r="V1253" i="196"/>
  <c r="V27" i="196"/>
  <c r="V315" i="196"/>
  <c r="V603" i="196"/>
  <c r="V918" i="196"/>
  <c r="V1178" i="196"/>
  <c r="V354" i="196"/>
  <c r="W708" i="196"/>
  <c r="W460" i="196"/>
  <c r="W1253" i="196"/>
  <c r="V449" i="196"/>
  <c r="V1264" i="196"/>
  <c r="V74" i="196"/>
  <c r="W27" i="196"/>
  <c r="W315" i="196"/>
  <c r="X603" i="196"/>
  <c r="W918" i="196"/>
  <c r="W1178" i="196"/>
  <c r="W354" i="196"/>
  <c r="W449" i="196"/>
  <c r="W1264" i="196"/>
  <c r="W74" i="196"/>
  <c r="V244" i="196"/>
  <c r="V532" i="196"/>
  <c r="V748" i="196"/>
  <c r="V892" i="196"/>
  <c r="V1035" i="196"/>
  <c r="V1179" i="196"/>
  <c r="V570" i="196"/>
  <c r="V387" i="196"/>
  <c r="V616" i="196"/>
  <c r="V962" i="196"/>
  <c r="V1250" i="196"/>
  <c r="W1025" i="196"/>
  <c r="W244" i="196"/>
  <c r="W532" i="196"/>
  <c r="W748" i="196"/>
  <c r="W892" i="196"/>
  <c r="W1035" i="196"/>
  <c r="W1179" i="196"/>
  <c r="W570" i="196"/>
  <c r="V63" i="196"/>
  <c r="V621" i="196"/>
  <c r="V988" i="196"/>
  <c r="V295" i="196"/>
  <c r="V914" i="196"/>
  <c r="X558" i="196"/>
  <c r="V503" i="196"/>
  <c r="V663" i="196"/>
  <c r="W226" i="196"/>
  <c r="W663" i="196"/>
  <c r="V371" i="196"/>
  <c r="W371" i="196"/>
  <c r="V898" i="196"/>
  <c r="W898" i="196"/>
  <c r="V558" i="196"/>
  <c r="X152" i="196"/>
  <c r="X353" i="196"/>
  <c r="W867" i="196"/>
  <c r="V710" i="196"/>
  <c r="V971" i="196"/>
  <c r="V1105" i="196"/>
  <c r="W1105" i="196"/>
  <c r="W4" i="196"/>
  <c r="V535" i="196"/>
  <c r="X536" i="196"/>
  <c r="X741" i="196"/>
  <c r="V1233" i="196"/>
  <c r="V373" i="196"/>
  <c r="V381" i="196"/>
  <c r="W1154" i="196"/>
  <c r="X851" i="196"/>
  <c r="X396" i="196"/>
  <c r="W1193" i="196"/>
  <c r="W435" i="196"/>
  <c r="W687" i="196"/>
  <c r="W580" i="196"/>
  <c r="W1216" i="196"/>
  <c r="X1111" i="196"/>
  <c r="V868" i="196"/>
  <c r="W150" i="196"/>
  <c r="X392" i="196"/>
  <c r="W823" i="196"/>
  <c r="V541" i="196"/>
  <c r="X855" i="196"/>
  <c r="W1155" i="196"/>
  <c r="X158" i="196"/>
  <c r="W148" i="196"/>
  <c r="X680" i="196"/>
  <c r="V442" i="196"/>
  <c r="V517" i="196"/>
  <c r="W147" i="196"/>
  <c r="X824" i="196"/>
  <c r="W14" i="196"/>
  <c r="W1010" i="196"/>
  <c r="W880" i="196"/>
  <c r="W391" i="196"/>
  <c r="X108" i="196"/>
  <c r="V782" i="196"/>
  <c r="W700" i="196"/>
  <c r="W120" i="196"/>
  <c r="W436" i="196"/>
  <c r="X1072" i="196"/>
  <c r="X967" i="196"/>
  <c r="V540" i="196"/>
  <c r="V1043" i="196"/>
  <c r="V662" i="196"/>
  <c r="W651" i="196"/>
  <c r="X510" i="196"/>
  <c r="W6" i="196"/>
  <c r="X550" i="196"/>
  <c r="X677" i="196"/>
  <c r="X899" i="196"/>
  <c r="W151" i="196"/>
  <c r="V687" i="196"/>
  <c r="X579" i="196"/>
  <c r="X675" i="196"/>
  <c r="X1255" i="196"/>
  <c r="V85" i="196"/>
  <c r="V891" i="196"/>
  <c r="V1177" i="196"/>
  <c r="W374" i="196"/>
  <c r="W422" i="196"/>
  <c r="V156" i="196"/>
  <c r="V1069" i="196"/>
  <c r="V166" i="196"/>
  <c r="W1069" i="196"/>
  <c r="V347" i="196"/>
  <c r="W419" i="196"/>
  <c r="W166" i="196"/>
  <c r="V1225" i="196"/>
  <c r="W347" i="196"/>
  <c r="W1225" i="196"/>
  <c r="V546" i="196"/>
  <c r="V330" i="196"/>
  <c r="W940" i="196"/>
  <c r="V14" i="196"/>
  <c r="V700" i="196"/>
  <c r="V120" i="196"/>
  <c r="V435" i="196"/>
  <c r="V579" i="196"/>
  <c r="V855" i="196"/>
  <c r="V867" i="196"/>
  <c r="V1010" i="196"/>
  <c r="V1154" i="196"/>
  <c r="V510" i="196"/>
  <c r="V1193" i="196"/>
  <c r="V4" i="196"/>
  <c r="V148" i="196"/>
  <c r="V147" i="196"/>
  <c r="V436" i="196"/>
  <c r="V580" i="196"/>
  <c r="W868" i="196"/>
  <c r="V1155" i="196"/>
  <c r="W675" i="196"/>
  <c r="W158" i="196"/>
  <c r="W353" i="196"/>
  <c r="X880" i="196"/>
  <c r="W1072" i="196"/>
  <c r="V1216" i="196"/>
  <c r="V6" i="196"/>
  <c r="V150" i="196"/>
  <c r="W550" i="196"/>
  <c r="W392" i="196"/>
  <c r="W536" i="196"/>
  <c r="W680" i="196"/>
  <c r="W824" i="196"/>
  <c r="W967" i="196"/>
  <c r="W1111" i="196"/>
  <c r="W1255" i="196"/>
  <c r="W741" i="196"/>
  <c r="W152" i="196"/>
  <c r="X32" i="196"/>
  <c r="X102" i="196"/>
  <c r="X813" i="196"/>
  <c r="X956" i="196"/>
  <c r="X945" i="196"/>
  <c r="V1182" i="196"/>
  <c r="W677" i="196"/>
  <c r="X419" i="196"/>
  <c r="W851" i="196"/>
  <c r="W899" i="196"/>
  <c r="W108" i="196"/>
  <c r="W396" i="196"/>
  <c r="X151" i="196"/>
  <c r="W661" i="196"/>
  <c r="X1213" i="196"/>
  <c r="X1187" i="196"/>
  <c r="X828" i="196"/>
  <c r="X1115" i="196"/>
  <c r="X1259" i="196"/>
  <c r="X1044" i="196"/>
  <c r="X506" i="196"/>
  <c r="X620" i="196"/>
  <c r="V651" i="196"/>
  <c r="V62" i="196"/>
  <c r="W62" i="196"/>
  <c r="V509" i="196"/>
  <c r="V653" i="196"/>
  <c r="V940" i="196"/>
  <c r="V306" i="196"/>
  <c r="V930" i="196"/>
  <c r="V31" i="196"/>
  <c r="V774" i="196"/>
  <c r="V780" i="196"/>
  <c r="V525" i="196"/>
  <c r="V669" i="196"/>
  <c r="V1172" i="196"/>
  <c r="V614" i="196"/>
  <c r="V93" i="196"/>
  <c r="W381" i="196"/>
  <c r="W540" i="196"/>
  <c r="W442" i="196"/>
  <c r="V383" i="196"/>
  <c r="V431" i="196"/>
  <c r="V479" i="196"/>
  <c r="V527" i="196"/>
  <c r="V322" i="196"/>
  <c r="W85" i="196"/>
  <c r="W1233" i="196"/>
  <c r="W971" i="196"/>
  <c r="W782" i="196"/>
  <c r="W1043" i="196"/>
  <c r="W541" i="196"/>
  <c r="W373" i="196"/>
  <c r="W517" i="196"/>
  <c r="W662" i="196"/>
  <c r="W710" i="196"/>
  <c r="X669" i="196"/>
  <c r="W1172" i="196"/>
  <c r="X614" i="196"/>
  <c r="W93" i="196"/>
  <c r="X1110" i="196"/>
  <c r="W1182" i="196"/>
  <c r="W383" i="196"/>
  <c r="W431" i="196"/>
  <c r="W479" i="196"/>
  <c r="X527" i="196"/>
  <c r="W322" i="196"/>
  <c r="V36" i="196"/>
  <c r="V180" i="196"/>
  <c r="W50" i="196"/>
  <c r="V168" i="196"/>
  <c r="W546" i="196"/>
  <c r="W730" i="196"/>
  <c r="W1017" i="196"/>
  <c r="W168" i="196"/>
  <c r="W652" i="196"/>
  <c r="W796" i="196"/>
  <c r="W330" i="196"/>
  <c r="W965" i="196"/>
  <c r="X509" i="196"/>
  <c r="X653" i="196"/>
  <c r="X306" i="196"/>
  <c r="X930" i="196"/>
  <c r="X774" i="196"/>
  <c r="X780" i="196"/>
  <c r="W525" i="196"/>
  <c r="V104" i="196"/>
  <c r="V885" i="196"/>
  <c r="V1028" i="196"/>
  <c r="V607" i="196"/>
  <c r="V823" i="196"/>
  <c r="V802" i="196"/>
  <c r="W1038" i="196"/>
  <c r="W36" i="196"/>
  <c r="W180" i="196"/>
  <c r="V751" i="196"/>
  <c r="V949" i="196"/>
  <c r="V900" i="196"/>
  <c r="V684" i="196"/>
  <c r="V1248" i="196"/>
  <c r="V733" i="196"/>
  <c r="V283" i="196"/>
  <c r="V434" i="196"/>
  <c r="V722" i="196"/>
  <c r="V796" i="196"/>
  <c r="X50" i="196"/>
  <c r="X730" i="196"/>
  <c r="X1017" i="196"/>
  <c r="X652" i="196"/>
  <c r="X965" i="196"/>
  <c r="V165" i="196"/>
  <c r="V281" i="196"/>
  <c r="V590" i="196"/>
  <c r="V521" i="196"/>
  <c r="V615" i="196"/>
  <c r="V952" i="196"/>
  <c r="V1096" i="196"/>
  <c r="V953" i="196"/>
  <c r="V320" i="196"/>
  <c r="V464" i="196"/>
  <c r="V608" i="196"/>
  <c r="V752" i="196"/>
  <c r="V896" i="196"/>
  <c r="V1039" i="196"/>
  <c r="W1183" i="196"/>
  <c r="V89" i="196"/>
  <c r="W104" i="196"/>
  <c r="W885" i="196"/>
  <c r="W1028" i="196"/>
  <c r="W802" i="196"/>
  <c r="V174" i="196"/>
  <c r="V407" i="196"/>
  <c r="W299" i="196"/>
  <c r="V923" i="196"/>
  <c r="V970" i="196"/>
  <c r="V324" i="196"/>
  <c r="V468" i="196"/>
  <c r="V612" i="196"/>
  <c r="X751" i="196"/>
  <c r="W949" i="196"/>
  <c r="W900" i="196"/>
  <c r="X684" i="196"/>
  <c r="W1248" i="196"/>
  <c r="X733" i="196"/>
  <c r="W283" i="196"/>
  <c r="W434" i="196"/>
  <c r="W722" i="196"/>
  <c r="V75" i="196"/>
  <c r="V219" i="196"/>
  <c r="V363" i="196"/>
  <c r="V507" i="196"/>
  <c r="V815" i="196"/>
  <c r="V795" i="196"/>
  <c r="V938" i="196"/>
  <c r="V1082" i="196"/>
  <c r="V1226" i="196"/>
  <c r="V282" i="196"/>
  <c r="V738" i="196"/>
  <c r="V1145" i="196"/>
  <c r="V1089" i="196"/>
  <c r="V76" i="196"/>
  <c r="V220" i="196"/>
  <c r="V364" i="196"/>
  <c r="V508" i="196"/>
  <c r="V724" i="196"/>
  <c r="V1011" i="196"/>
  <c r="V370" i="196"/>
  <c r="W165" i="196"/>
  <c r="W281" i="196"/>
  <c r="W590" i="196"/>
  <c r="W521" i="196"/>
  <c r="W615" i="196"/>
  <c r="W952" i="196"/>
  <c r="W1096" i="196"/>
  <c r="W953" i="196"/>
  <c r="V252" i="196"/>
  <c r="W320" i="196"/>
  <c r="W464" i="196"/>
  <c r="W608" i="196"/>
  <c r="W752" i="196"/>
  <c r="W896" i="196"/>
  <c r="W1039" i="196"/>
  <c r="V1183" i="196"/>
  <c r="W89" i="196"/>
  <c r="W174" i="196"/>
  <c r="W407" i="196"/>
  <c r="V299" i="196"/>
  <c r="W923" i="196"/>
  <c r="W970" i="196"/>
  <c r="W324" i="196"/>
  <c r="W468" i="196"/>
  <c r="W612" i="196"/>
  <c r="W1104" i="196"/>
  <c r="W75" i="196"/>
  <c r="W219" i="196"/>
  <c r="W363" i="196"/>
  <c r="W507" i="196"/>
  <c r="W815" i="196"/>
  <c r="W795" i="196"/>
  <c r="W938" i="196"/>
  <c r="W1082" i="196"/>
  <c r="W1226" i="196"/>
  <c r="W282" i="196"/>
  <c r="W738" i="196"/>
  <c r="W1145" i="196"/>
  <c r="W1089" i="196"/>
  <c r="W76" i="196"/>
  <c r="W220" i="196"/>
  <c r="W364" i="196"/>
  <c r="W508" i="196"/>
  <c r="W724" i="196"/>
  <c r="W1011" i="196"/>
  <c r="W370" i="196"/>
  <c r="W1254" i="196"/>
  <c r="W252" i="196"/>
  <c r="V10" i="196"/>
  <c r="V154" i="196"/>
  <c r="V874" i="196"/>
  <c r="W836" i="196"/>
  <c r="V13" i="196"/>
  <c r="V115" i="196"/>
  <c r="V960" i="196"/>
  <c r="V756" i="196"/>
  <c r="V301" i="196"/>
  <c r="V445" i="196"/>
  <c r="V128" i="196"/>
  <c r="V254" i="196"/>
  <c r="V288" i="196"/>
  <c r="V638" i="196"/>
  <c r="V842" i="196"/>
  <c r="V1104" i="196"/>
  <c r="V232" i="196"/>
  <c r="V1252" i="196"/>
  <c r="V498" i="196"/>
  <c r="V966" i="196"/>
  <c r="W535" i="196"/>
  <c r="V1254" i="196"/>
  <c r="V309" i="196"/>
  <c r="V453" i="196"/>
  <c r="V1100" i="196"/>
  <c r="V514" i="196"/>
  <c r="V1161" i="196"/>
  <c r="V21" i="196"/>
  <c r="V42" i="196"/>
  <c r="V298" i="196"/>
  <c r="W607" i="196"/>
  <c r="W10" i="196"/>
  <c r="W154" i="196"/>
  <c r="W874" i="196"/>
  <c r="V589" i="196"/>
  <c r="V887" i="196"/>
  <c r="V1030" i="196"/>
  <c r="V836" i="196"/>
  <c r="W214" i="196"/>
  <c r="W13" i="196"/>
  <c r="W115" i="196"/>
  <c r="W960" i="196"/>
  <c r="W756" i="196"/>
  <c r="W301" i="196"/>
  <c r="X445" i="196"/>
  <c r="X128" i="196"/>
  <c r="W254" i="196"/>
  <c r="W288" i="196"/>
  <c r="W638" i="196"/>
  <c r="W842" i="196"/>
  <c r="W966" i="196"/>
  <c r="V5" i="196"/>
  <c r="V762" i="196"/>
  <c r="V1169" i="196"/>
  <c r="V939" i="196"/>
  <c r="V1227" i="196"/>
  <c r="V714" i="196"/>
  <c r="W232" i="196"/>
  <c r="W1252" i="196"/>
  <c r="X498" i="196"/>
  <c r="W31" i="196"/>
  <c r="W309" i="196"/>
  <c r="W453" i="196"/>
  <c r="W1100" i="196"/>
  <c r="W514" i="196"/>
  <c r="W1161" i="196"/>
  <c r="V391" i="196"/>
  <c r="W21" i="196"/>
  <c r="W42" i="196"/>
  <c r="W298" i="196"/>
  <c r="X589" i="196"/>
  <c r="W887" i="196"/>
  <c r="W1030" i="196"/>
  <c r="V403" i="196"/>
  <c r="V1188" i="196"/>
  <c r="V805" i="196"/>
  <c r="W5" i="196"/>
  <c r="V463" i="196"/>
  <c r="X762" i="196"/>
  <c r="W1169" i="196"/>
  <c r="W463" i="196"/>
  <c r="W939" i="196"/>
  <c r="W1227" i="196"/>
  <c r="W714" i="196"/>
  <c r="V32" i="196"/>
  <c r="V102" i="196"/>
  <c r="V813" i="196"/>
  <c r="V956" i="196"/>
  <c r="V945" i="196"/>
  <c r="V1038" i="196"/>
  <c r="W403" i="196"/>
  <c r="W895" i="196"/>
  <c r="V661" i="196"/>
  <c r="V1213" i="196"/>
  <c r="V1187" i="196"/>
  <c r="V828" i="196"/>
  <c r="V1115" i="196"/>
  <c r="V1259" i="196"/>
  <c r="V1044" i="196"/>
  <c r="V506" i="196"/>
  <c r="V620" i="196"/>
  <c r="W1188" i="196"/>
  <c r="W805" i="196"/>
  <c r="V1110" i="196"/>
  <c r="V214" i="196"/>
  <c r="V895" i="196"/>
  <c r="A19" i="252"/>
  <c r="A13" i="252"/>
  <c r="A41" i="252" a="1"/>
  <c r="A41" i="252" s="1"/>
  <c r="H21" i="257"/>
  <c r="H121" i="257" s="1"/>
  <c r="H123" i="257" l="1"/>
  <c r="G125" i="257" s="1"/>
  <c r="F41" i="252"/>
  <c r="F43" i="252" s="1"/>
  <c r="A123" i="257" a="1"/>
  <c r="A123" i="257" s="1"/>
  <c r="H16" i="259"/>
  <c r="C13" i="304" l="1"/>
  <c r="D13" i="269"/>
  <c r="C13" i="267"/>
  <c r="D13" i="266"/>
  <c r="C13" i="263"/>
  <c r="D13" i="262"/>
  <c r="C13" i="252"/>
  <c r="A19" i="257"/>
  <c r="A13" i="257"/>
  <c r="D3" i="257"/>
  <c r="A3" i="257"/>
  <c r="A3" i="305" l="1"/>
  <c r="D3" i="305"/>
  <c r="A11" i="305"/>
  <c r="D3" i="265"/>
  <c r="A3" i="268"/>
  <c r="A3" i="265"/>
  <c r="A11" i="268"/>
  <c r="A11" i="265"/>
  <c r="D3" i="254"/>
  <c r="A11" i="254"/>
  <c r="A3" i="254"/>
  <c r="D13" i="25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Niko</author>
  </authors>
  <commentList>
    <comment ref="A3" authorId="0" shapeId="0" xr:uid="{23763595-E422-4773-844D-05D6E473D279}">
      <text>
        <r>
          <rPr>
            <b/>
            <sz val="9"/>
            <color indexed="81"/>
            <rFont val="Tahoma"/>
            <family val="2"/>
          </rPr>
          <t>Niko:</t>
        </r>
        <r>
          <rPr>
            <sz val="9"/>
            <color indexed="81"/>
            <rFont val="Tahoma"/>
            <family val="2"/>
          </rPr>
          <t xml:space="preserve">
Enter Date</t>
        </r>
      </text>
    </comment>
    <comment ref="A11" authorId="0" shapeId="0" xr:uid="{B2C70D3D-0236-4CEA-B600-9C15B42DF792}">
      <text>
        <r>
          <rPr>
            <b/>
            <sz val="9"/>
            <color indexed="81"/>
            <rFont val="Tahoma"/>
            <family val="2"/>
          </rPr>
          <t>Etner invoice number</t>
        </r>
      </text>
    </comment>
    <comment ref="A69" authorId="0" shapeId="0" xr:uid="{6877BAAE-E9F5-402F-8105-E3D1358D4B7C}">
      <text>
        <r>
          <rPr>
            <b/>
            <sz val="9"/>
            <color indexed="81"/>
            <rFont val="Tahoma"/>
            <family val="2"/>
          </rPr>
          <t>Niko:</t>
        </r>
        <r>
          <rPr>
            <sz val="9"/>
            <color indexed="81"/>
            <rFont val="Tahoma"/>
            <family val="2"/>
          </rPr>
          <t xml:space="preserve">
Enter number of boxes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Niko</author>
  </authors>
  <commentList>
    <comment ref="A3" authorId="0" shapeId="0" xr:uid="{83A6D75A-8668-433B-B955-ECA65E7AA598}">
      <text>
        <r>
          <rPr>
            <b/>
            <sz val="9"/>
            <color indexed="81"/>
            <rFont val="Tahoma"/>
            <family val="2"/>
          </rPr>
          <t>Niko:</t>
        </r>
        <r>
          <rPr>
            <sz val="9"/>
            <color indexed="81"/>
            <rFont val="Tahoma"/>
            <family val="2"/>
          </rPr>
          <t xml:space="preserve">
Enter Date</t>
        </r>
      </text>
    </comment>
    <comment ref="A11" authorId="0" shapeId="0" xr:uid="{65F92544-A7E2-4975-A6B0-91F025227DDB}">
      <text>
        <r>
          <rPr>
            <b/>
            <sz val="9"/>
            <color indexed="81"/>
            <rFont val="Tahoma"/>
            <family val="2"/>
          </rPr>
          <t>Etner invoice number</t>
        </r>
      </text>
    </comment>
    <comment ref="A48" authorId="0" shapeId="0" xr:uid="{BB8141EB-70D6-413A-BA92-590D5F2EBC8B}">
      <text>
        <r>
          <rPr>
            <b/>
            <sz val="9"/>
            <color indexed="81"/>
            <rFont val="Tahoma"/>
            <family val="2"/>
          </rPr>
          <t>Niko:</t>
        </r>
        <r>
          <rPr>
            <sz val="9"/>
            <color indexed="81"/>
            <rFont val="Tahoma"/>
            <family val="2"/>
          </rPr>
          <t xml:space="preserve">
Enter number of boxes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Niko</author>
  </authors>
  <commentList>
    <comment ref="A3" authorId="0" shapeId="0" xr:uid="{AF8167DA-2AC2-45B2-B461-8DB93C267807}">
      <text>
        <r>
          <rPr>
            <b/>
            <sz val="9"/>
            <color indexed="81"/>
            <rFont val="Tahoma"/>
            <family val="2"/>
          </rPr>
          <t>Niko:</t>
        </r>
        <r>
          <rPr>
            <sz val="9"/>
            <color indexed="81"/>
            <rFont val="Tahoma"/>
            <family val="2"/>
          </rPr>
          <t xml:space="preserve">
Enter Date</t>
        </r>
      </text>
    </comment>
    <comment ref="A11" authorId="0" shapeId="0" xr:uid="{34C839A8-9DD0-4372-B5B6-EC939F802857}">
      <text>
        <r>
          <rPr>
            <b/>
            <sz val="9"/>
            <color indexed="81"/>
            <rFont val="Tahoma"/>
            <family val="2"/>
          </rPr>
          <t>Etner invoice number</t>
        </r>
      </text>
    </comment>
    <comment ref="A86" authorId="0" shapeId="0" xr:uid="{D4F9AB9D-BA7F-4C29-9C97-84D5F1DD4D0B}">
      <text>
        <r>
          <rPr>
            <b/>
            <sz val="9"/>
            <color indexed="81"/>
            <rFont val="Tahoma"/>
            <family val="2"/>
          </rPr>
          <t>Niko:</t>
        </r>
        <r>
          <rPr>
            <sz val="9"/>
            <color indexed="81"/>
            <rFont val="Tahoma"/>
            <family val="2"/>
          </rPr>
          <t xml:space="preserve">
Enter number of boxes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Niko</author>
  </authors>
  <commentList>
    <comment ref="A3" authorId="0" shapeId="0" xr:uid="{594DF020-F26F-4782-BB26-71EFA352382A}">
      <text>
        <r>
          <rPr>
            <b/>
            <sz val="9"/>
            <color indexed="81"/>
            <rFont val="Tahoma"/>
            <family val="2"/>
          </rPr>
          <t>Niko:</t>
        </r>
        <r>
          <rPr>
            <sz val="9"/>
            <color indexed="81"/>
            <rFont val="Tahoma"/>
            <family val="2"/>
          </rPr>
          <t xml:space="preserve">
Enter Date</t>
        </r>
      </text>
    </comment>
    <comment ref="A11" authorId="0" shapeId="0" xr:uid="{5168DB5C-B168-4397-BE61-F755C711192D}">
      <text>
        <r>
          <rPr>
            <b/>
            <sz val="9"/>
            <color indexed="81"/>
            <rFont val="Tahoma"/>
            <family val="2"/>
          </rPr>
          <t>Etner invoice number</t>
        </r>
      </text>
    </comment>
    <comment ref="A95" authorId="0" shapeId="0" xr:uid="{B32518AF-7879-4AC6-AD11-2A6F93018B16}">
      <text>
        <r>
          <rPr>
            <b/>
            <sz val="9"/>
            <color indexed="81"/>
            <rFont val="Tahoma"/>
            <family val="2"/>
          </rPr>
          <t>Niko:</t>
        </r>
        <r>
          <rPr>
            <sz val="9"/>
            <color indexed="81"/>
            <rFont val="Tahoma"/>
            <family val="2"/>
          </rPr>
          <t xml:space="preserve">
Enter number of boxes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B41F9E1-8967-4338-AEE5-0012C719F8AB}" keepAlive="1" name="Query - Merge1" description="Connection to the 'Merge1' query in the workbook." type="5" refreshedVersion="7" background="1" saveData="1">
    <dbPr connection="Provider=Microsoft.Mashup.OleDb.1;Data Source=$Workbook$;Location=Merge1;Extended Properties=&quot;&quot;" command="SELECT * FROM [Merge1]"/>
  </connection>
  <connection id="2" xr16:uid="{C27AE2EF-CBC8-4D00-BF07-D992B40CF9B2}" keepAlive="1" name="Query - quantInv" description="Connection to the 'quantInv' query in the workbook." type="5" refreshedVersion="0" background="1">
    <dbPr connection="Provider=Microsoft.Mashup.OleDb.1;Data Source=$Workbook$;Location=quantInv;Extended Properties=&quot;&quot;" command="SELECT * FROM [quantInv]"/>
  </connection>
  <connection id="3" xr16:uid="{B95A2F03-2E7F-4EB2-B4FF-42C4C9660171}" keepAlive="1" name="Query - skuQuantity" description="Connection to the 'skuQuantity' query in the workbook." type="5" refreshedVersion="0" background="1">
    <dbPr connection="Provider=Microsoft.Mashup.OleDb.1;Data Source=$Workbook$;Location=skuQuantity;Extended Properties=&quot;&quot;" command="SELECT * FROM [skuQuantity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<sst xmlns="http://schemas.openxmlformats.org/spreadsheetml/2006/main" count="12417" uniqueCount="3372">
  <si>
    <t>GS-S925-HOOP-035</t>
  </si>
  <si>
    <t>GS-S925-HOOP-025</t>
  </si>
  <si>
    <t>GS-S925-HOOP-007</t>
  </si>
  <si>
    <t>BIA-S925-HOOP-005</t>
  </si>
  <si>
    <t>BIA-S925-HOOP-004</t>
  </si>
  <si>
    <t>BIA-S925-HOOP-003</t>
  </si>
  <si>
    <t>BIA-S925-HOOP-002</t>
  </si>
  <si>
    <t>BIA-S925-HOOP-001</t>
  </si>
  <si>
    <t>BIA-S925-CHAIN-055-230-700</t>
  </si>
  <si>
    <t>BIA-S925-CHAIN-055-230-500</t>
  </si>
  <si>
    <t>BIA-S925-CHAIN-052-040-200</t>
  </si>
  <si>
    <t>BIA-S925-CHAIN-051-250-600</t>
  </si>
  <si>
    <t>BIA-S925-CHAIN-051-250-500</t>
  </si>
  <si>
    <t>BIA-S925-CHAIN-051-250-450</t>
  </si>
  <si>
    <t>BIA-S925-CHAIN-045-140-190</t>
  </si>
  <si>
    <t>BIA-S925-CHAIN-045-140-180</t>
  </si>
  <si>
    <t>BIA-S925-CHAIN-043-200-550</t>
  </si>
  <si>
    <t>BIA-S925-CHAIN-043-200-450</t>
  </si>
  <si>
    <t>BIA-S925-CHAIN-043-200-190</t>
  </si>
  <si>
    <t>BIA-S925-CHAIN-043-200-180</t>
  </si>
  <si>
    <t>BIA-S925-CHAIN-041-220-200</t>
  </si>
  <si>
    <t>BIA-S925-CHAIN-041-220-190</t>
  </si>
  <si>
    <t>BIA-S925-CHAIN-041-220-180</t>
  </si>
  <si>
    <t>BIA-S925-CHAIN-031-230-600</t>
  </si>
  <si>
    <t>BIA-S925-CHAIN-031-230-500</t>
  </si>
  <si>
    <t>BIA-S925-CHAIN-031-230-450</t>
  </si>
  <si>
    <t>BIA-S925-CHAIN-029-500-COL-190</t>
  </si>
  <si>
    <t>BIA-S925-CHAIN-029-500-450</t>
  </si>
  <si>
    <t>BIA-S925-CHAIN-029-500-190</t>
  </si>
  <si>
    <t>BIA-S925-CHAIN-024-140-500</t>
  </si>
  <si>
    <t>BIA-S925-CHAIN-024-140-450</t>
  </si>
  <si>
    <t>BIA-S925-CHAIN-020-200-500</t>
  </si>
  <si>
    <t>BIA-S925-CHAIN-020-200-450</t>
  </si>
  <si>
    <t>BIA-S925-CHAIN-020-200-190</t>
  </si>
  <si>
    <t>BIA-S925-CHAIN-020-200-180</t>
  </si>
  <si>
    <t>BIA-S925-CHAIN-019-110-200</t>
  </si>
  <si>
    <t>BIA-S925-CHAIN-019-110-190</t>
  </si>
  <si>
    <t>BIA-S925-CHAIN-019-110-180</t>
  </si>
  <si>
    <t>BIA-S925-CHAIN-016-350-550</t>
  </si>
  <si>
    <t>BIA-S925-CHAIN-015-120-900</t>
  </si>
  <si>
    <t>BIA-S925-CHAIN-015-120-700</t>
  </si>
  <si>
    <t>BIA-S925-CHAIN-015-120-500</t>
  </si>
  <si>
    <t>BIA-S925-CHAIN-015-120-450</t>
  </si>
  <si>
    <t>BIA-S925-CHAIN-013-075-200</t>
  </si>
  <si>
    <t>BIA-S925-CHAIN-013-075-190</t>
  </si>
  <si>
    <t>BIA-S925-CHAIN-012-100-600</t>
  </si>
  <si>
    <t>BIA-S925-CHAIN-012-100-500</t>
  </si>
  <si>
    <t>BIA-S925-CHAIN-010-080-200</t>
  </si>
  <si>
    <t>BIA-S925-CHAIN-001-040-700</t>
  </si>
  <si>
    <t>BIA-S925-CHAIN-001-040-500</t>
  </si>
  <si>
    <t>BIA-S925-CHAIN-001-040-450</t>
  </si>
  <si>
    <t>BIA-S925-CHAIN-001-035-500</t>
  </si>
  <si>
    <t>BIA-S925-CHAIN-001-030-600</t>
  </si>
  <si>
    <t>BIA-S925-CHAIN-001-030-500</t>
  </si>
  <si>
    <t>BIA-S925-CHAIN-001-030-450</t>
  </si>
  <si>
    <t>BIA-GP-CHAIN-001-035-700</t>
  </si>
  <si>
    <t>BIA-GP-CHAIN-001-035-500</t>
  </si>
  <si>
    <t>BIA-GP-CHAIN-001-035-450</t>
  </si>
  <si>
    <t>Assigned Item SKU</t>
  </si>
  <si>
    <t>S925-BC-0396-PEN-3H</t>
  </si>
  <si>
    <t>S925-BC-0396-PEN-6G</t>
  </si>
  <si>
    <t>S925-BC-1764-PEN-2Y</t>
  </si>
  <si>
    <t>S925-BC-1764-PEN-6G</t>
  </si>
  <si>
    <t>S925-BC-5940-EAR-6G</t>
  </si>
  <si>
    <t>GBP</t>
  </si>
  <si>
    <t>JPY</t>
  </si>
  <si>
    <t>Curency</t>
  </si>
  <si>
    <t>CAD</t>
  </si>
  <si>
    <t>USD</t>
  </si>
  <si>
    <t>EUR</t>
  </si>
  <si>
    <t>BIA-S925-CHAIN-012-200-650</t>
  </si>
  <si>
    <t>Metal</t>
  </si>
  <si>
    <t>BIA-GP-CHAIN-015-120-450</t>
  </si>
  <si>
    <t>BIA-GP-CHAIN-015-120-500</t>
  </si>
  <si>
    <t>BIA-GP-CHAIN-015-120-700</t>
  </si>
  <si>
    <t>BIA-GP-CHAIN-020-200-180</t>
  </si>
  <si>
    <t>BIA-GP-CHAIN-020-200-190</t>
  </si>
  <si>
    <t>BIA-GP-CHAIN-020-200-450</t>
  </si>
  <si>
    <t>BIA-GP-CHAIN-020-200-500</t>
  </si>
  <si>
    <t>BIA-GP-CHAIN-020-200-700</t>
  </si>
  <si>
    <t>BIA-ROSE-CHAIN-001-035-450</t>
  </si>
  <si>
    <t>BIA-ROSE-CHAIN-001-035-500</t>
  </si>
  <si>
    <t>BIA-ROSE-CHAIN-001-035-700</t>
  </si>
  <si>
    <t>BIA-S925-CHAIN-020-200-700</t>
  </si>
  <si>
    <t>BIA-S925-CHAIN-001-040-220-250</t>
  </si>
  <si>
    <t>BIA-S925-CHAIN-019-110-220-250</t>
  </si>
  <si>
    <t>BIA-S925-CHAIN-045-140-220-250</t>
  </si>
  <si>
    <t>ASIN</t>
  </si>
  <si>
    <t>BIA-S925-HOOP-HIN-010</t>
  </si>
  <si>
    <t>BIA-S925-HOOP-HIN-020</t>
  </si>
  <si>
    <t>BIA-GP-HOOP-HIN-010</t>
  </si>
  <si>
    <t>BIA-GP-HOOP-HIN-020</t>
  </si>
  <si>
    <t>BIA-GP-CHAIN-001-040-250</t>
  </si>
  <si>
    <t>BIA-GP-CHAIN-019-110-250</t>
  </si>
  <si>
    <t>BIA-GP-CHAIN-041-220-250</t>
  </si>
  <si>
    <t>BIA-ROSE-CHAIN-001-040-250</t>
  </si>
  <si>
    <t>BIA-ROSE-CHAIN-019-110-250</t>
  </si>
  <si>
    <t>BIA-ROSE-CHAIN-041-220-250</t>
  </si>
  <si>
    <t>BIA-ROSE-CHAIN-045-140-250</t>
  </si>
  <si>
    <t>Item Type</t>
  </si>
  <si>
    <t>Quantity</t>
  </si>
  <si>
    <t>MXN</t>
  </si>
  <si>
    <t>AUD</t>
  </si>
  <si>
    <t>Chain</t>
  </si>
  <si>
    <t>BIA-BRP-CHAIN-059-050-700</t>
  </si>
  <si>
    <t>INR</t>
  </si>
  <si>
    <t>B07RLF2MFR</t>
  </si>
  <si>
    <t>NZD</t>
  </si>
  <si>
    <t>AED</t>
  </si>
  <si>
    <t>THIS WEEK - UPDATE</t>
  </si>
  <si>
    <t>\</t>
  </si>
  <si>
    <t>LAST WEEK - COPY from this Week</t>
  </si>
  <si>
    <t>Currency change %</t>
  </si>
  <si>
    <t>Poland</t>
  </si>
  <si>
    <t>Italy</t>
  </si>
  <si>
    <t>Thailand</t>
  </si>
  <si>
    <t>China</t>
  </si>
  <si>
    <t>925 Silver</t>
  </si>
  <si>
    <t>United Kingdom</t>
  </si>
  <si>
    <t>TOTAL</t>
  </si>
  <si>
    <t>Date</t>
  </si>
  <si>
    <t xml:space="preserve">FBA Reference Number </t>
  </si>
  <si>
    <t>DDP</t>
  </si>
  <si>
    <t xml:space="preserve">SHIPPER/EXPORTER </t>
  </si>
  <si>
    <t xml:space="preserve">BILL TO </t>
  </si>
  <si>
    <t>COUNTRY OF MANUFACTURE</t>
  </si>
  <si>
    <t>DHL AWB NUMBER</t>
  </si>
  <si>
    <t>INVOICE NUMBER</t>
  </si>
  <si>
    <t>DETAILED DESCRIPTION OF GOODS</t>
  </si>
  <si>
    <t>COO</t>
  </si>
  <si>
    <t>QUANTITY</t>
  </si>
  <si>
    <t>SUB-TOTAL</t>
  </si>
  <si>
    <t>FREIGHT COSTS</t>
  </si>
  <si>
    <t>INSURANCE COSTS</t>
  </si>
  <si>
    <t>ADDITIONAL COSTS</t>
  </si>
  <si>
    <t>SIGNATURE:</t>
  </si>
  <si>
    <t>PRODUCT SKU</t>
  </si>
  <si>
    <t>Currency</t>
  </si>
  <si>
    <t>7113.11.10.00</t>
  </si>
  <si>
    <t>TRANSATLANTIC STERLING LIMITED</t>
  </si>
  <si>
    <t>64a Cumberland Street</t>
  </si>
  <si>
    <t>Edinburgh, Scotland</t>
  </si>
  <si>
    <t>EH3 6RE</t>
  </si>
  <si>
    <t>GB374207305000</t>
  </si>
  <si>
    <t>GB374207305</t>
  </si>
  <si>
    <t>7113.11.50.00</t>
  </si>
  <si>
    <t>7113.19.50.90</t>
  </si>
  <si>
    <t>7113.19.29.00</t>
  </si>
  <si>
    <t>TOTAL NO. OF PACKAGES (BOXES)</t>
  </si>
  <si>
    <t>Spain</t>
  </si>
  <si>
    <t>Description for New Invoice</t>
  </si>
  <si>
    <t>COMMERCIAL INVOICE</t>
  </si>
  <si>
    <t>Invoice Number</t>
  </si>
  <si>
    <t>TOTAL UNITS</t>
  </si>
  <si>
    <t>Total Cost GBP</t>
  </si>
  <si>
    <t>Total Cost EUR</t>
  </si>
  <si>
    <t>Total Cost CAD</t>
  </si>
  <si>
    <t>Total Cost AUD</t>
  </si>
  <si>
    <t>BIA-GP-CHAIN-001-035-360</t>
  </si>
  <si>
    <t>B00NG1HUX0</t>
  </si>
  <si>
    <t>Curb Chain</t>
  </si>
  <si>
    <t>B00NG1HX9Q</t>
  </si>
  <si>
    <t>B00NG1HXZ0</t>
  </si>
  <si>
    <t>B00NG1I1NI</t>
  </si>
  <si>
    <t>B077MQ71G6</t>
  </si>
  <si>
    <t>BIA-GP-CHAIN-001-060-450</t>
  </si>
  <si>
    <t>B073G8ZSHF</t>
  </si>
  <si>
    <t>BIA-GP-CHAIN-001-060-500</t>
  </si>
  <si>
    <t>B073GCMSDH</t>
  </si>
  <si>
    <t>BIA-GP-CHAIN-001-060-700</t>
  </si>
  <si>
    <t>B073G6KJ5M</t>
  </si>
  <si>
    <t>BIA-GP-CHAIN-004-040-450</t>
  </si>
  <si>
    <t>B073G8S5JT</t>
  </si>
  <si>
    <t>Figaro Chain</t>
  </si>
  <si>
    <t>BIA-GP-CHAIN-004-040-500</t>
  </si>
  <si>
    <t>B073G9X78M</t>
  </si>
  <si>
    <t>BIA-GP-CHAIN-004-040-600</t>
  </si>
  <si>
    <t>B073GB6WNZ</t>
  </si>
  <si>
    <t>BIA-GP-CHAIN-007-040-360</t>
  </si>
  <si>
    <t>B012HM885M</t>
  </si>
  <si>
    <t>Belcher Chain</t>
  </si>
  <si>
    <t>BIA-GP-CHAIN-007-040-450</t>
  </si>
  <si>
    <t>B012HM8GT0</t>
  </si>
  <si>
    <t>BIA-GP-CHAIN-007-040-500</t>
  </si>
  <si>
    <t>B012HM8JBA</t>
  </si>
  <si>
    <t>BIA-GP-CHAIN-007-040-700</t>
  </si>
  <si>
    <t>B012HM8RS0</t>
  </si>
  <si>
    <t>BIA-GP-CHAIN-008-030-360</t>
  </si>
  <si>
    <t>B012HM8VWC</t>
  </si>
  <si>
    <t>Singapore Chain</t>
  </si>
  <si>
    <t>BIA-GP-CHAIN-008-030-450</t>
  </si>
  <si>
    <t>B012HM918U</t>
  </si>
  <si>
    <t>BIA-GP-CHAIN-008-030-500</t>
  </si>
  <si>
    <t>B012HM95PO</t>
  </si>
  <si>
    <t>BIA-GP-CHAIN-008-030-700</t>
  </si>
  <si>
    <t>B012HM9DJ2</t>
  </si>
  <si>
    <t>BIA-GP-CHAIN-008-060-250</t>
  </si>
  <si>
    <t>B0783QLT88</t>
  </si>
  <si>
    <t>BIA-GP-CHAIN-012-100-360</t>
  </si>
  <si>
    <t>B012HM9HTI</t>
  </si>
  <si>
    <t>Venice Box Chain</t>
  </si>
  <si>
    <t>BIA-GP-CHAIN-012-100-450</t>
  </si>
  <si>
    <t>B012HM9MVQ</t>
  </si>
  <si>
    <t>BIA-GP-CHAIN-012-100-500</t>
  </si>
  <si>
    <t>B012HM9PMW</t>
  </si>
  <si>
    <t>BIA-GP-CHAIN-012-100-600</t>
  </si>
  <si>
    <t>B012HM9VVC</t>
  </si>
  <si>
    <t>BIA-GP-CHAIN-013-075-190</t>
  </si>
  <si>
    <t>B073V2KYM1</t>
  </si>
  <si>
    <t>Byzantine Chain</t>
  </si>
  <si>
    <t>BIA-GP-CHAIN-013-075-200</t>
  </si>
  <si>
    <t>B073V3D571</t>
  </si>
  <si>
    <t>B073GC9FWC</t>
  </si>
  <si>
    <t>Ball Chain</t>
  </si>
  <si>
    <t>B073G7MZ8G</t>
  </si>
  <si>
    <t>B073G8GNBV</t>
  </si>
  <si>
    <t>B077MBFMZS</t>
  </si>
  <si>
    <t>BIA-GP-CHAIN-019-110-450</t>
  </si>
  <si>
    <t>B073G9GG6N</t>
  </si>
  <si>
    <t>BIA-GP-CHAIN-019-110-500</t>
  </si>
  <si>
    <t>B073G8L25J</t>
  </si>
  <si>
    <t>BIA-GP-CHAIN-019-110-600</t>
  </si>
  <si>
    <t>B073G9JZMK</t>
  </si>
  <si>
    <t>B073V4NY79</t>
  </si>
  <si>
    <t>B073V368GD</t>
  </si>
  <si>
    <t>B073GBXF5Q</t>
  </si>
  <si>
    <t>B073G9PK56</t>
  </si>
  <si>
    <t>B073G82B65</t>
  </si>
  <si>
    <t>BIA-GP-CHAIN-022-150-180</t>
  </si>
  <si>
    <t>B073V2ZLZY</t>
  </si>
  <si>
    <t>French Rope Chain</t>
  </si>
  <si>
    <t>BIA-GP-CHAIN-022-150-190</t>
  </si>
  <si>
    <t>B073V3S8XH</t>
  </si>
  <si>
    <t>BIA-GP-CHAIN-024-140-450</t>
  </si>
  <si>
    <t>B073GBKVMS</t>
  </si>
  <si>
    <t>Snake Chain</t>
  </si>
  <si>
    <t>BIA-GP-CHAIN-024-140-500</t>
  </si>
  <si>
    <t>B073G8D9H6</t>
  </si>
  <si>
    <t>BIA-GP-CHAIN-024-140-600</t>
  </si>
  <si>
    <t>B073G8ZH19</t>
  </si>
  <si>
    <t>BIA-GP-CHAIN-031-230-180</t>
  </si>
  <si>
    <t>B073V3KRZ4</t>
  </si>
  <si>
    <t>Heart Chain</t>
  </si>
  <si>
    <t>BIA-GP-CHAIN-031-230-190</t>
  </si>
  <si>
    <t>B073V45K2H</t>
  </si>
  <si>
    <t>BIA-GP-CHAIN-031-230-200</t>
  </si>
  <si>
    <t>B073V3V133</t>
  </si>
  <si>
    <t>BIA-GP-CHAIN-031-230-360</t>
  </si>
  <si>
    <t>B072NC1X39</t>
  </si>
  <si>
    <t>BIA-GP-CHAIN-031-230-450</t>
  </si>
  <si>
    <t>B0721Y53ZL</t>
  </si>
  <si>
    <t>BIA-GP-CHAIN-031-230-500</t>
  </si>
  <si>
    <t>B072KS699P</t>
  </si>
  <si>
    <t>BIA-GP-CHAIN-031-230-600</t>
  </si>
  <si>
    <t>B071GYZZV3</t>
  </si>
  <si>
    <t>BIA-GP-CHAIN-036-140-250</t>
  </si>
  <si>
    <t>B077MN5KDQ</t>
  </si>
  <si>
    <t>Cube and Oval Link Chain</t>
  </si>
  <si>
    <t>BIA-GP-CHAIN-041-220-180</t>
  </si>
  <si>
    <t>B073V3Z6FW</t>
  </si>
  <si>
    <t>Bismark Chain</t>
  </si>
  <si>
    <t>BIA-GP-CHAIN-041-220-190</t>
  </si>
  <si>
    <t>B073V3RRL7</t>
  </si>
  <si>
    <t>BIA-GP-CHAIN-041-220-200</t>
  </si>
  <si>
    <t>B073V437DQ</t>
  </si>
  <si>
    <t>B0783Q52H9</t>
  </si>
  <si>
    <t>BIA-GP-CHAIN-041-220-450</t>
  </si>
  <si>
    <t>B073G88P91</t>
  </si>
  <si>
    <t>BIA-GP-CHAIN-041-220-500</t>
  </si>
  <si>
    <t>B073GBCXDL</t>
  </si>
  <si>
    <t>BIA-GP-CHAIN-041-220-600</t>
  </si>
  <si>
    <t>B073GB5FK4</t>
  </si>
  <si>
    <t>BIA-GP-CHAIN-045-140-250</t>
  </si>
  <si>
    <t>B0783RDF5M</t>
  </si>
  <si>
    <t>Singapore with Beads Chain</t>
  </si>
  <si>
    <t>BIA-ROSE-CHAIN-001-035-360</t>
  </si>
  <si>
    <t>B073G9J6QS</t>
  </si>
  <si>
    <t>B073GBS69W</t>
  </si>
  <si>
    <t>B073G73T3D</t>
  </si>
  <si>
    <t>B073G9LNHZ</t>
  </si>
  <si>
    <t>B0783Q93YJ</t>
  </si>
  <si>
    <t>BIA-ROSE-CHAIN-001-060-450</t>
  </si>
  <si>
    <t>B073GBF888</t>
  </si>
  <si>
    <t>BIA-ROSE-CHAIN-001-060-500</t>
  </si>
  <si>
    <t>B073G89MY6</t>
  </si>
  <si>
    <t>BIA-ROSE-CHAIN-001-060-700</t>
  </si>
  <si>
    <t>B073G9BRC4</t>
  </si>
  <si>
    <t>BIA-ROSE-CHAIN-004-040-450</t>
  </si>
  <si>
    <t>B073GBS6B1</t>
  </si>
  <si>
    <t>BIA-ROSE-CHAIN-004-040-500</t>
  </si>
  <si>
    <t>B073GBPP14</t>
  </si>
  <si>
    <t>BIA-ROSE-CHAIN-004-040-600</t>
  </si>
  <si>
    <t>B073G7SXJ1</t>
  </si>
  <si>
    <t>BIA-ROSE-CHAIN-007-040-360</t>
  </si>
  <si>
    <t>B073G9YP28</t>
  </si>
  <si>
    <t>Trace Chain</t>
  </si>
  <si>
    <t>BIA-ROSE-CHAIN-007-040-450</t>
  </si>
  <si>
    <t>B073GC16GF</t>
  </si>
  <si>
    <t>BIA-ROSE-CHAIN-007-040-500</t>
  </si>
  <si>
    <t>B073G8YFF5</t>
  </si>
  <si>
    <t>BIA-ROSE-CHAIN-007-040-700</t>
  </si>
  <si>
    <t>B073G8SNZ8</t>
  </si>
  <si>
    <t>BIA-ROSE-CHAIN-008-030-360</t>
  </si>
  <si>
    <t>B073JGSYFH</t>
  </si>
  <si>
    <t>BIA-ROSE-CHAIN-008-030-450</t>
  </si>
  <si>
    <t>B073JG8JLL</t>
  </si>
  <si>
    <t>BIA-ROSE-CHAIN-008-030-500</t>
  </si>
  <si>
    <t>B073JHQTKL</t>
  </si>
  <si>
    <t>BIA-ROSE-CHAIN-008-030-700</t>
  </si>
  <si>
    <t>B073JJLZBQ</t>
  </si>
  <si>
    <t>BIA-ROSE-CHAIN-008-060-250</t>
  </si>
  <si>
    <t>B077MRKPCW</t>
  </si>
  <si>
    <t>BIA-ROSE-CHAIN-012-100-360</t>
  </si>
  <si>
    <t>B073G8X64Y</t>
  </si>
  <si>
    <t>Box Chain</t>
  </si>
  <si>
    <t>BIA-ROSE-CHAIN-012-100-450</t>
  </si>
  <si>
    <t>B073GB36PC</t>
  </si>
  <si>
    <t>BIA-ROSE-CHAIN-012-100-500</t>
  </si>
  <si>
    <t>B073G8CQ93</t>
  </si>
  <si>
    <t>BIA-ROSE-CHAIN-012-100-600</t>
  </si>
  <si>
    <t>B073G7ZTRK</t>
  </si>
  <si>
    <t>BIA-ROSE-CHAIN-013-075-190</t>
  </si>
  <si>
    <t>B073V3HM2F</t>
  </si>
  <si>
    <t>BIA-ROSE-CHAIN-013-075-200</t>
  </si>
  <si>
    <t>B073V4L6B8</t>
  </si>
  <si>
    <t>BIA-ROSE-CHAIN-015-120-450</t>
  </si>
  <si>
    <t>B073G9ZDDM</t>
  </si>
  <si>
    <t>BIA-ROSE-CHAIN-015-120-500</t>
  </si>
  <si>
    <t>B073G68ZLZ</t>
  </si>
  <si>
    <t>BIA-ROSE-CHAIN-015-120-700</t>
  </si>
  <si>
    <t>B073GBG13N</t>
  </si>
  <si>
    <t>B077MN5QL7</t>
  </si>
  <si>
    <t>BIA-ROSE-CHAIN-019-110-450</t>
  </si>
  <si>
    <t>B073G8F8KW</t>
  </si>
  <si>
    <t>BIA-ROSE-CHAIN-019-110-500</t>
  </si>
  <si>
    <t>B073G7TNMK</t>
  </si>
  <si>
    <t>BIA-ROSE-CHAIN-019-110-600</t>
  </si>
  <si>
    <t>B073G8SYCQ</t>
  </si>
  <si>
    <t>BIA-ROSE-CHAIN-020-200-180</t>
  </si>
  <si>
    <t>B073V45Z21</t>
  </si>
  <si>
    <t>BIA-ROSE-CHAIN-020-200-190</t>
  </si>
  <si>
    <t>B073V39W6R</t>
  </si>
  <si>
    <t>BIA-ROSE-CHAIN-020-200-450</t>
  </si>
  <si>
    <t>B073G86JDQ</t>
  </si>
  <si>
    <t>BIA-ROSE-CHAIN-020-200-500</t>
  </si>
  <si>
    <t>B073GC44K1</t>
  </si>
  <si>
    <t>BIA-ROSE-CHAIN-020-200-700</t>
  </si>
  <si>
    <t>B073G9QLKH</t>
  </si>
  <si>
    <t>BIA-ROSE-CHAIN-022-150-180</t>
  </si>
  <si>
    <t>B073V37ZPN</t>
  </si>
  <si>
    <t>BIA-ROSE-CHAIN-022-150-190</t>
  </si>
  <si>
    <t>B073V39GF8</t>
  </si>
  <si>
    <t>BIA-ROSE-CHAIN-024-140-450</t>
  </si>
  <si>
    <t>B073G8ZG9L</t>
  </si>
  <si>
    <t>BIA-ROSE-CHAIN-024-140-500</t>
  </si>
  <si>
    <t>B073G969SY</t>
  </si>
  <si>
    <t>BIA-ROSE-CHAIN-024-140-600</t>
  </si>
  <si>
    <t>B073GBYRL5</t>
  </si>
  <si>
    <t>BIA-ROSE-CHAIN-031-230-180</t>
  </si>
  <si>
    <t>B073V3LQMF</t>
  </si>
  <si>
    <t>BIA-ROSE-CHAIN-031-230-190</t>
  </si>
  <si>
    <t>B073V39W6Q</t>
  </si>
  <si>
    <t>BIA-ROSE-CHAIN-031-230-200</t>
  </si>
  <si>
    <t>B073V3W1QD</t>
  </si>
  <si>
    <t>BIA-ROSE-CHAIN-031-230-360</t>
  </si>
  <si>
    <t>B072NCX43X</t>
  </si>
  <si>
    <t>BIA-ROSE-CHAIN-031-230-450</t>
  </si>
  <si>
    <t>B072NBWJ6G</t>
  </si>
  <si>
    <t>BIA-ROSE-CHAIN-031-230-500</t>
  </si>
  <si>
    <t>B071GYZNP8</t>
  </si>
  <si>
    <t>BIA-ROSE-CHAIN-031-230-600</t>
  </si>
  <si>
    <t>B071KL1BNN</t>
  </si>
  <si>
    <t>BIA-ROSE-CHAIN-036-140-250</t>
  </si>
  <si>
    <t>B077MN3FMF</t>
  </si>
  <si>
    <t>BIA-ROSE-CHAIN-041-220-180</t>
  </si>
  <si>
    <t>B073V3CL2H</t>
  </si>
  <si>
    <t>BIA-ROSE-CHAIN-041-220-190</t>
  </si>
  <si>
    <t>B073V3Q7XP</t>
  </si>
  <si>
    <t>BIA-ROSE-CHAIN-041-220-200</t>
  </si>
  <si>
    <t>B073V45DL8</t>
  </si>
  <si>
    <t>B0783PRGMM</t>
  </si>
  <si>
    <t>BIA-ROSE-CHAIN-041-220-450</t>
  </si>
  <si>
    <t>B073G944DQ</t>
  </si>
  <si>
    <t>BIA-ROSE-CHAIN-041-220-500</t>
  </si>
  <si>
    <t>B073G8W1SH</t>
  </si>
  <si>
    <t>BIA-ROSE-CHAIN-041-220-600</t>
  </si>
  <si>
    <t>B073G969T6</t>
  </si>
  <si>
    <t>B077MBFSXN</t>
  </si>
  <si>
    <t>B00D94C3Y0</t>
  </si>
  <si>
    <t>B00D94BYVS</t>
  </si>
  <si>
    <t>B00D94C2N2</t>
  </si>
  <si>
    <t>BIA-S925-CHAIN-001-035-360</t>
  </si>
  <si>
    <t>B00D9BPSX6</t>
  </si>
  <si>
    <t>BIA-S925-CHAIN-001-035-450</t>
  </si>
  <si>
    <t>B00D9BPYF8</t>
  </si>
  <si>
    <t>B00D9BQ0W4</t>
  </si>
  <si>
    <t>BIA-S925-CHAIN-001-035-700</t>
  </si>
  <si>
    <t>B00D9BQ9AW</t>
  </si>
  <si>
    <t>B072882QN5</t>
  </si>
  <si>
    <t>B00D9BQHAO</t>
  </si>
  <si>
    <t>B00D9BQK60</t>
  </si>
  <si>
    <t>B00D9BQPME</t>
  </si>
  <si>
    <t>BIA-S925-CHAIN-001-060-450</t>
  </si>
  <si>
    <t>B00D9BSYQY</t>
  </si>
  <si>
    <t>BIA-S925-CHAIN-001-060-500</t>
  </si>
  <si>
    <t>B00D9BT23I</t>
  </si>
  <si>
    <t>BIA-S925-CHAIN-001-060-700</t>
  </si>
  <si>
    <t>B073D7GH98</t>
  </si>
  <si>
    <t>BIA-S925-CHAIN-003-095-450</t>
  </si>
  <si>
    <t>B00DKCYOQG</t>
  </si>
  <si>
    <t>Square Snake</t>
  </si>
  <si>
    <t>BIA-S925-CHAIN-004-040-450</t>
  </si>
  <si>
    <t>B00DKCYWN6</t>
  </si>
  <si>
    <t>BIA-S925-CHAIN-004-040-500</t>
  </si>
  <si>
    <t>B00DKCYXQM</t>
  </si>
  <si>
    <t>BIA-S925-CHAIN-004-040-600</t>
  </si>
  <si>
    <t>B00DKCYZOW</t>
  </si>
  <si>
    <t>BIA-S925-CHAIN-005-060-180</t>
  </si>
  <si>
    <t>B01N7UGF1G</t>
  </si>
  <si>
    <t>Garibaldi Chain</t>
  </si>
  <si>
    <t>BIA-S925-CHAIN-005-060-190</t>
  </si>
  <si>
    <t>B01MUCWVDN</t>
  </si>
  <si>
    <t>BIA-S925-CHAIN-005-060-200</t>
  </si>
  <si>
    <t>B01MYAH5VX</t>
  </si>
  <si>
    <t>BIA-S925-CHAIN-005-060-450</t>
  </si>
  <si>
    <t>B00DKCZ8GQ</t>
  </si>
  <si>
    <t>BIA-S925-CHAIN-006-035-180</t>
  </si>
  <si>
    <t>B01N24LCKI</t>
  </si>
  <si>
    <t>Rhombus Chain</t>
  </si>
  <si>
    <t>BIA-S925-CHAIN-006-035-190</t>
  </si>
  <si>
    <t>B01MUCWUT4</t>
  </si>
  <si>
    <t>BIA-S925-CHAIN-006-035-200</t>
  </si>
  <si>
    <t>B01MR89U2X</t>
  </si>
  <si>
    <t>BIA-S925-CHAIN-006-035-450</t>
  </si>
  <si>
    <t>B00DKCZE3I</t>
  </si>
  <si>
    <t>BIA-S925-CHAIN-006-035-500</t>
  </si>
  <si>
    <t>B00DKCZEQ0</t>
  </si>
  <si>
    <t>BIA-S925-CHAIN-006-035-550</t>
  </si>
  <si>
    <t>B00DKCZF96</t>
  </si>
  <si>
    <t>BIA-S925-CHAIN-007-040-360</t>
  </si>
  <si>
    <t>B00JCW2KC8</t>
  </si>
  <si>
    <t>BIA-S925-CHAIN-007-040-450</t>
  </si>
  <si>
    <t>B00DKCZH5I</t>
  </si>
  <si>
    <t>BIA-S925-CHAIN-007-040-500</t>
  </si>
  <si>
    <t>B00DKCZHX0</t>
  </si>
  <si>
    <t>BIA-S925-CHAIN-007-040-700</t>
  </si>
  <si>
    <t>B00JCW2MRG</t>
  </si>
  <si>
    <t>BIA-S925-CHAIN-008-035-360</t>
  </si>
  <si>
    <t>B00JCW2NES</t>
  </si>
  <si>
    <t>BIA-S925-CHAIN-008-035-450</t>
  </si>
  <si>
    <t>B00DKCZKQY</t>
  </si>
  <si>
    <t>BIA-S925-CHAIN-008-035-500</t>
  </si>
  <si>
    <t>B00DKCZLFE</t>
  </si>
  <si>
    <t>BIA-S925-CHAIN-008-035-700</t>
  </si>
  <si>
    <t>B00JCW2PM8</t>
  </si>
  <si>
    <t>BIA-S925-CHAIN-008-060-180</t>
  </si>
  <si>
    <t>B01NBWW1WR</t>
  </si>
  <si>
    <t>BIA-S925-CHAIN-008-060-190</t>
  </si>
  <si>
    <t>B01N366D90</t>
  </si>
  <si>
    <t>BIA-S925-CHAIN-008-060-200</t>
  </si>
  <si>
    <t>B01N5RK65Z</t>
  </si>
  <si>
    <t>BIA-S925-CHAIN-008-060-220-250</t>
  </si>
  <si>
    <t>B071F7MDJP</t>
  </si>
  <si>
    <t>BIA-S925-CHAIN-009-140-450</t>
  </si>
  <si>
    <t>B00DKCZOUQ</t>
  </si>
  <si>
    <t>Wheat Chain</t>
  </si>
  <si>
    <t>B01N366CM3</t>
  </si>
  <si>
    <t>Open Curb Chain</t>
  </si>
  <si>
    <t>BIA-S925-CHAIN-011-050-450</t>
  </si>
  <si>
    <t>B00DKCZX0W</t>
  </si>
  <si>
    <t>Beading Chain</t>
  </si>
  <si>
    <t>BIA-S925-CHAIN-012-100-360</t>
  </si>
  <si>
    <t>B012EOLGES</t>
  </si>
  <si>
    <t>BIA-S925-CHAIN-012-100-450</t>
  </si>
  <si>
    <t>B012EOLJA4</t>
  </si>
  <si>
    <t>B012EOLKEO</t>
  </si>
  <si>
    <t>B012EOLN4Q</t>
  </si>
  <si>
    <t>BIA-S925-CHAIN-012-200-450</t>
  </si>
  <si>
    <t>B073D6H1YK</t>
  </si>
  <si>
    <t>B073D8F8RV</t>
  </si>
  <si>
    <t>B00DKD02Z2</t>
  </si>
  <si>
    <t>B00DKD03D8</t>
  </si>
  <si>
    <t>BIA-S925-CHAIN-013-075-450</t>
  </si>
  <si>
    <t>B073D7ZZVJ</t>
  </si>
  <si>
    <t>BIA-S925-CHAIN-013-075-650</t>
  </si>
  <si>
    <t>B073D6QSLB</t>
  </si>
  <si>
    <t>BIA-S925-CHAIN-015-120-360</t>
  </si>
  <si>
    <t>B00JCW1CDQ</t>
  </si>
  <si>
    <t>B00DKD0874</t>
  </si>
  <si>
    <t>B00DKD08U6</t>
  </si>
  <si>
    <t>B00JCW1GI2</t>
  </si>
  <si>
    <t>B01NBWIM7J</t>
  </si>
  <si>
    <t>BIA-S925-CHAIN-016-350-180</t>
  </si>
  <si>
    <t>B01N366DR8</t>
  </si>
  <si>
    <t>Ball and Bar Chain</t>
  </si>
  <si>
    <t>BIA-S925-CHAIN-016-350-190</t>
  </si>
  <si>
    <t>B01MYAH52W</t>
  </si>
  <si>
    <t>BIA-S925-CHAIN-016-350-200</t>
  </si>
  <si>
    <t>B01MUCWT7T</t>
  </si>
  <si>
    <t>BIA-S925-CHAIN-016-350-450</t>
  </si>
  <si>
    <t>B00DKD0AGI</t>
  </si>
  <si>
    <t>B00DKD0C66</t>
  </si>
  <si>
    <t>BIA-S925-CHAIN-018-120-450</t>
  </si>
  <si>
    <t>B00DKD0GGC</t>
  </si>
  <si>
    <t>BIA-S925-CHAIN-018-120-500</t>
  </si>
  <si>
    <t>B00DKD0H3O</t>
  </si>
  <si>
    <t>BIA-S925-CHAIN-018-120-700</t>
  </si>
  <si>
    <t>B01N9TYXR7</t>
  </si>
  <si>
    <t>B01MYAH6T3</t>
  </si>
  <si>
    <t>B01N4Q9ZOM</t>
  </si>
  <si>
    <t>B01MZC1QYT</t>
  </si>
  <si>
    <t>B0719HGZ9V</t>
  </si>
  <si>
    <t>BIA-S925-CHAIN-019-110-450</t>
  </si>
  <si>
    <t>B00DKD0L5S</t>
  </si>
  <si>
    <t>BIA-S925-CHAIN-019-110-500</t>
  </si>
  <si>
    <t>B00DKD0LXK</t>
  </si>
  <si>
    <t>BIA-S925-CHAIN-019-110-600</t>
  </si>
  <si>
    <t>B00DKD0NJ2</t>
  </si>
  <si>
    <t>B00JCW1X12</t>
  </si>
  <si>
    <t>B00JCW1XMQ</t>
  </si>
  <si>
    <t>B00DKD0OZU</t>
  </si>
  <si>
    <t>B00DKD0PHC</t>
  </si>
  <si>
    <t>B073D6W5P5</t>
  </si>
  <si>
    <t>BIA-S925-CHAIN-021-080-180</t>
  </si>
  <si>
    <t>B00DKCY40C</t>
  </si>
  <si>
    <t>Trottolino Chain</t>
  </si>
  <si>
    <t>BIA-S925-CHAIN-021-080-190</t>
  </si>
  <si>
    <t>B00DKCY5KQ</t>
  </si>
  <si>
    <t>BIA-S925-CHAIN-021-080-200</t>
  </si>
  <si>
    <t>B00DKCY7NQ</t>
  </si>
  <si>
    <t>BIA-S925-CHAIN-021-080-220-250</t>
  </si>
  <si>
    <t>B0719HGPZW</t>
  </si>
  <si>
    <t>BIA-S925-CHAIN-022-150-180</t>
  </si>
  <si>
    <t>B00JCW27OE</t>
  </si>
  <si>
    <t>Twisted Rope Chain</t>
  </si>
  <si>
    <t>BIA-S925-CHAIN-022-150-190</t>
  </si>
  <si>
    <t>B00JCW2820</t>
  </si>
  <si>
    <t>BIA-S925-CHAIN-022-150-450</t>
  </si>
  <si>
    <t>B00DKCYB8C</t>
  </si>
  <si>
    <t>BIA-S925-CHAIN-022-150-500</t>
  </si>
  <si>
    <t>B00DKCYBSW</t>
  </si>
  <si>
    <t>BIA-S925-CHAIN-022-150-600</t>
  </si>
  <si>
    <t>B00DKCYE8O</t>
  </si>
  <si>
    <t>B012EOJ9OW</t>
  </si>
  <si>
    <t>Rat Tail</t>
  </si>
  <si>
    <t>B012EOJB36</t>
  </si>
  <si>
    <t>BIA-S925-CHAIN-024-140-600</t>
  </si>
  <si>
    <t>B012EOJDUC</t>
  </si>
  <si>
    <t>BIA-S925-CHAIN-024-190-180</t>
  </si>
  <si>
    <t>B01N5RK86I</t>
  </si>
  <si>
    <t>BIA-S925-CHAIN-024-190-190</t>
  </si>
  <si>
    <t>B01MYAH61G</t>
  </si>
  <si>
    <t>BIA-S925-CHAIN-024-190-200</t>
  </si>
  <si>
    <t>B01NAVHGB2</t>
  </si>
  <si>
    <t>BIA-S925-CHAIN-024-190-220-250</t>
  </si>
  <si>
    <t>B0711QLJ8T</t>
  </si>
  <si>
    <t>BIA-S925-CHAIN-024-190-450</t>
  </si>
  <si>
    <t>B073D5G917</t>
  </si>
  <si>
    <t>BIA-S925-CHAIN-024-190-650</t>
  </si>
  <si>
    <t>B073D5W5TK</t>
  </si>
  <si>
    <t>BIA-S925-CHAIN-025-170-450</t>
  </si>
  <si>
    <t>B00DKCYW4U</t>
  </si>
  <si>
    <t>BIA-S925-CHAIN-025-170-500</t>
  </si>
  <si>
    <t>B00DKCYX2Q</t>
  </si>
  <si>
    <t>BIA-S925-CHAIN-025-170-600</t>
  </si>
  <si>
    <t>B00DKCYZMO</t>
  </si>
  <si>
    <t>BIA-S925-CHAIN-026-220-180</t>
  </si>
  <si>
    <t>B01N5RK75S</t>
  </si>
  <si>
    <t>Marine Chain</t>
  </si>
  <si>
    <t>BIA-S925-CHAIN-026-220-190</t>
  </si>
  <si>
    <t>B01MUCWVT3</t>
  </si>
  <si>
    <t>BIA-S925-CHAIN-026-220-200</t>
  </si>
  <si>
    <t>B01MS9OG5S</t>
  </si>
  <si>
    <t>BIA-S925-CHAIN-026-220-450</t>
  </si>
  <si>
    <t>B00DKCZ3C0</t>
  </si>
  <si>
    <t>BIA-S925-CHAIN-026-220-500</t>
  </si>
  <si>
    <t>B00DKCZ4B0</t>
  </si>
  <si>
    <t>BIA-S925-CHAIN-026-220-600</t>
  </si>
  <si>
    <t>B00DKCZ6JU</t>
  </si>
  <si>
    <t>B00DKCZIS4</t>
  </si>
  <si>
    <t>Herringbone Chain</t>
  </si>
  <si>
    <t>B00DKCZH5S</t>
  </si>
  <si>
    <t>B0164MQB3C</t>
  </si>
  <si>
    <t>BIA-S925-CHAIN-029-500-COL-450</t>
  </si>
  <si>
    <t>B0164MQCAY</t>
  </si>
  <si>
    <t>BIA-S925-CHAIN-031-230-180</t>
  </si>
  <si>
    <t>B00JCW2U2I</t>
  </si>
  <si>
    <t>BIA-S925-CHAIN-031-230-190</t>
  </si>
  <si>
    <t>B00JCW2UO6</t>
  </si>
  <si>
    <t>BIA-S925-CHAIN-031-230-200</t>
  </si>
  <si>
    <t>B00JCW2VBI</t>
  </si>
  <si>
    <t>BIA-S925-CHAIN-031-230-360</t>
  </si>
  <si>
    <t>B072VPJQ62</t>
  </si>
  <si>
    <t>B00DKCZKSC</t>
  </si>
  <si>
    <t>B00DKCZLPY</t>
  </si>
  <si>
    <t>B00DKCZMFI</t>
  </si>
  <si>
    <t>BIA-S925-CHAIN-036-140-180</t>
  </si>
  <si>
    <t>B01NBWM4C5</t>
  </si>
  <si>
    <t>BIA-S925-CHAIN-036-140-190</t>
  </si>
  <si>
    <t>B01MZC1R4W</t>
  </si>
  <si>
    <t>BIA-S925-CHAIN-036-140-200</t>
  </si>
  <si>
    <t>B01N24LA3B</t>
  </si>
  <si>
    <t>BIA-S925-CHAIN-036-140-220-250</t>
  </si>
  <si>
    <t>B072333FB6</t>
  </si>
  <si>
    <t>BIA-S925-CHAIN-037-125-450</t>
  </si>
  <si>
    <t>B012HM7F9C</t>
  </si>
  <si>
    <t>Omega U</t>
  </si>
  <si>
    <t>BIA-S925-CHAIN-038-140-450</t>
  </si>
  <si>
    <t>B0164MQF42</t>
  </si>
  <si>
    <t>Fox Tail</t>
  </si>
  <si>
    <t>B0164MQCKY</t>
  </si>
  <si>
    <t>Bismark chain</t>
  </si>
  <si>
    <t>B0164MQDCQ</t>
  </si>
  <si>
    <t>B0164MQE3O</t>
  </si>
  <si>
    <t>BIA-S925-CHAIN-041-220-220-250</t>
  </si>
  <si>
    <t>B0725N75R7</t>
  </si>
  <si>
    <t>BIA-S925-CHAIN-041-220-450</t>
  </si>
  <si>
    <t>B0164MQFDI</t>
  </si>
  <si>
    <t>BIA-S925-CHAIN-041-220-500</t>
  </si>
  <si>
    <t>B0164MQG1Y</t>
  </si>
  <si>
    <t>BIA-S925-CHAIN-041-220-600</t>
  </si>
  <si>
    <t>B0164MQHLI</t>
  </si>
  <si>
    <t>BIA-S925-CHAIN-042-110-450</t>
  </si>
  <si>
    <t>B0164MQJM0</t>
  </si>
  <si>
    <t>Liana Chain</t>
  </si>
  <si>
    <t>B01IBQX6IM</t>
  </si>
  <si>
    <t>Popcorn Chain</t>
  </si>
  <si>
    <t>B01IBQX7GS</t>
  </si>
  <si>
    <t>B01IBQX9EI</t>
  </si>
  <si>
    <t>B01IBQXBDC</t>
  </si>
  <si>
    <t>BIA-S925-CHAIN-044-630-190</t>
  </si>
  <si>
    <t>B01IBQXCZ4</t>
  </si>
  <si>
    <t>Oval Chain</t>
  </si>
  <si>
    <t>BIA-S925-CHAIN-044-630-200</t>
  </si>
  <si>
    <t>B01IBQXDYE</t>
  </si>
  <si>
    <t>BIA-S925-CHAIN-044-630-220-250</t>
  </si>
  <si>
    <t>B071NZRQ6D</t>
  </si>
  <si>
    <t>B01N4Q9ZOP</t>
  </si>
  <si>
    <t>B01N5RK8OL</t>
  </si>
  <si>
    <t>B0725N7KSD</t>
  </si>
  <si>
    <t>BIA-S925-CHAIN-046-170-180</t>
  </si>
  <si>
    <t>B01MR89UP7</t>
  </si>
  <si>
    <t>Anchor with tubes Chain</t>
  </si>
  <si>
    <t>BIA-S925-CHAIN-046-170-190</t>
  </si>
  <si>
    <t>B01N136KGJ</t>
  </si>
  <si>
    <t>BIA-S925-CHAIN-046-170-200</t>
  </si>
  <si>
    <t>B01NBW8XS8</t>
  </si>
  <si>
    <t>BIA-S925-CHAIN-046-170-220-250</t>
  </si>
  <si>
    <t>B0714B6NBJ</t>
  </si>
  <si>
    <t>BIA-S925-CHAIN-048-050-180</t>
  </si>
  <si>
    <t>B01NBWIUBM</t>
  </si>
  <si>
    <t>Cobb Chain</t>
  </si>
  <si>
    <t>BIA-S925-CHAIN-048-050-190</t>
  </si>
  <si>
    <t>B01N6T7315</t>
  </si>
  <si>
    <t>BIA-S925-CHAIN-048-050-200</t>
  </si>
  <si>
    <t>B01MYAH3VM</t>
  </si>
  <si>
    <t>BIA-S925-CHAIN-049-020-450</t>
  </si>
  <si>
    <t>B01N4NY3NH</t>
  </si>
  <si>
    <t>Rolo Chain</t>
  </si>
  <si>
    <t>BIA-S925-CHAIN-049-020-500</t>
  </si>
  <si>
    <t>B01N33SV5Y</t>
  </si>
  <si>
    <t>BIA-S925-CHAIN-049-020-700</t>
  </si>
  <si>
    <t>B01MT8ZDNA</t>
  </si>
  <si>
    <t>B01NAU1MJ3</t>
  </si>
  <si>
    <t>B01N6RQT3T</t>
  </si>
  <si>
    <t>B01N34Q2U0</t>
  </si>
  <si>
    <t>B01N360YYH</t>
  </si>
  <si>
    <t>BIA-S925-CHAIN-052-040-250</t>
  </si>
  <si>
    <t>B077N8W3RM</t>
  </si>
  <si>
    <t>BIA-S925-CHAIN-052-040-500</t>
  </si>
  <si>
    <t>B01N24FXQU</t>
  </si>
  <si>
    <t>BIA-S925-CHAIN-052-040-600</t>
  </si>
  <si>
    <t>B01NAV4IYF</t>
  </si>
  <si>
    <t>BIA-S925-CHAIN-053-050-450</t>
  </si>
  <si>
    <t>B01NBWAF5K</t>
  </si>
  <si>
    <t>Herringbone 1 Braid Chain</t>
  </si>
  <si>
    <t>BIA-S925-CHAIN-053-050-500</t>
  </si>
  <si>
    <t>B01NAVCECQ</t>
  </si>
  <si>
    <t>BIA-S925-CHAIN-053-050-600</t>
  </si>
  <si>
    <t>B01NAV77B4</t>
  </si>
  <si>
    <t>BIA-S925-CHAIN-054-250-450</t>
  </si>
  <si>
    <t>B01N4OUN1W</t>
  </si>
  <si>
    <t>Flat Popcorn Chain</t>
  </si>
  <si>
    <t>BIA-S925-CHAIN-054-250-500</t>
  </si>
  <si>
    <t>B01NBVJCCE</t>
  </si>
  <si>
    <t>BIA-S925-CHAIN-054-250-600</t>
  </si>
  <si>
    <t>B01N6RQTZB</t>
  </si>
  <si>
    <t>B06Y58ZYC6</t>
  </si>
  <si>
    <t>Franco Chain</t>
  </si>
  <si>
    <t>B06Y5STLNM</t>
  </si>
  <si>
    <t>BIA-S925-CHAIN-056-100-500</t>
  </si>
  <si>
    <t>B06Y5SQLLT</t>
  </si>
  <si>
    <t>Flat Figaro Chain</t>
  </si>
  <si>
    <t>BIA-S925-CHAIN-056-100-700</t>
  </si>
  <si>
    <t>B06Y5RMHD3</t>
  </si>
  <si>
    <t>BIA-S925-CHAIN-057-100-500</t>
  </si>
  <si>
    <t>B06Y5HNZVB</t>
  </si>
  <si>
    <t>Flat Curb Chain</t>
  </si>
  <si>
    <t>BIA-S925-CHAIN-057-100-700</t>
  </si>
  <si>
    <t>B06Y5TBM6K</t>
  </si>
  <si>
    <t>B00D0TO3G0</t>
  </si>
  <si>
    <t>Circle Hoop Earrings</t>
  </si>
  <si>
    <t>B00D0TO4G4</t>
  </si>
  <si>
    <t>B00D0TO5KY</t>
  </si>
  <si>
    <t>B00D0TO6G2</t>
  </si>
  <si>
    <t>B00D0TO75M</t>
  </si>
  <si>
    <t>B077MCX3VZ</t>
  </si>
  <si>
    <t>Hinged Hoop Earrings</t>
  </si>
  <si>
    <t>B077MH9DJB</t>
  </si>
  <si>
    <t>BIA-GP-HOOP-HIN-045</t>
  </si>
  <si>
    <t>B077MFPNPY</t>
  </si>
  <si>
    <t>BIA-GP-HOOP-HIN-065</t>
  </si>
  <si>
    <t>B077MD1JGX</t>
  </si>
  <si>
    <t>BIA-ROSE-HOOP-HIN-010</t>
  </si>
  <si>
    <t>B077MLRTD5</t>
  </si>
  <si>
    <t>BIA-ROSE-HOOP-HIN-020</t>
  </si>
  <si>
    <t>B077MM67Y1</t>
  </si>
  <si>
    <t>BIA-ROSE-HOOP-HIN-045</t>
  </si>
  <si>
    <t>B077MGPHD9</t>
  </si>
  <si>
    <t>BIA-ROSE-HOOP-HIN-065</t>
  </si>
  <si>
    <t>B077MCZC4G</t>
  </si>
  <si>
    <t>B077MN9BHT</t>
  </si>
  <si>
    <t>B077MD1DG6</t>
  </si>
  <si>
    <t>BIA-S925-HOOP-HIN-045</t>
  </si>
  <si>
    <t>B077MH9RM9</t>
  </si>
  <si>
    <t>BIA-S925-HOOP-HIN-065</t>
  </si>
  <si>
    <t>B077MFVWW3</t>
  </si>
  <si>
    <t>GS-GP-HOOP-007</t>
  </si>
  <si>
    <t>B077MJNRVM</t>
  </si>
  <si>
    <t>GS-GP-HOOP-015</t>
  </si>
  <si>
    <t>B077MJP61M</t>
  </si>
  <si>
    <t>GS-GP-HOOP-025</t>
  </si>
  <si>
    <t>B077MJMP5Z</t>
  </si>
  <si>
    <t>GS-GP-HOOP-035</t>
  </si>
  <si>
    <t>B077MQLMZ5</t>
  </si>
  <si>
    <t>GS-GP-HOOP-045</t>
  </si>
  <si>
    <t>B077MB4KG9</t>
  </si>
  <si>
    <t>GS-GP-HOOP-055</t>
  </si>
  <si>
    <t>B077MNB6CY</t>
  </si>
  <si>
    <t>GS-ROSE-HOOP-007</t>
  </si>
  <si>
    <t>B0783Q3T1V</t>
  </si>
  <si>
    <t>GS-ROSE-HOOP-015</t>
  </si>
  <si>
    <t>B077MJN75W</t>
  </si>
  <si>
    <t>GS-ROSE-HOOP-025</t>
  </si>
  <si>
    <t>B077MQDBZ4</t>
  </si>
  <si>
    <t>GS-ROSE-HOOP-035</t>
  </si>
  <si>
    <t>B077MJNZC7</t>
  </si>
  <si>
    <t>GS-ROSE-HOOP-045</t>
  </si>
  <si>
    <t>B077MGCJCQ</t>
  </si>
  <si>
    <t>GS-ROSE-HOOP-055</t>
  </si>
  <si>
    <t>B077MRKFV9</t>
  </si>
  <si>
    <t>B06XYW4WQF</t>
  </si>
  <si>
    <t>GS-S925-HOOP-015</t>
  </si>
  <si>
    <t>B06XYVM7F4</t>
  </si>
  <si>
    <t>B06XZ8ZM2L</t>
  </si>
  <si>
    <t>B06XYVM5ML</t>
  </si>
  <si>
    <t>GS-S925-HOOP-045</t>
  </si>
  <si>
    <t>B06XYVM5V6</t>
  </si>
  <si>
    <t>GS-S925-HOOP-055</t>
  </si>
  <si>
    <t>B06XZC1RWB</t>
  </si>
  <si>
    <t>S925-BC-0380-PEN-1W</t>
  </si>
  <si>
    <t>B06ZXVBWKW</t>
  </si>
  <si>
    <t>Pen - Rectangular</t>
  </si>
  <si>
    <t>S925-BC-0380-PEN-2Y</t>
  </si>
  <si>
    <t>B071XRRQMS</t>
  </si>
  <si>
    <t>S925-BC-0380-PEN-3H</t>
  </si>
  <si>
    <t>B071R99735</t>
  </si>
  <si>
    <t>S925-BC-0380-PEN-5C</t>
  </si>
  <si>
    <t>B06ZY4RJ3L</t>
  </si>
  <si>
    <t>S925-BC-0380-PEN-6G</t>
  </si>
  <si>
    <t>B06ZXVBWL2</t>
  </si>
  <si>
    <t>S925-BC-0381-PEN-1W</t>
  </si>
  <si>
    <t>B06ZYPVPMB</t>
  </si>
  <si>
    <t>S925-BC-0381-PEN-2Y</t>
  </si>
  <si>
    <t>B071D2XHGR</t>
  </si>
  <si>
    <t>S925-BC-0381-PEN-3H</t>
  </si>
  <si>
    <t>B071R11V8W</t>
  </si>
  <si>
    <t>S925-BC-0381-PEN-5C</t>
  </si>
  <si>
    <t>B071XRCMCZ</t>
  </si>
  <si>
    <t>S925-BC-0381-PEN-6G</t>
  </si>
  <si>
    <t>B071R9K7TW</t>
  </si>
  <si>
    <t>S925-BC-0389-PEN-1W</t>
  </si>
  <si>
    <t>B071XR9Z52</t>
  </si>
  <si>
    <t>S925-BC-0389-PEN-2Y</t>
  </si>
  <si>
    <t>B071R11ZZR</t>
  </si>
  <si>
    <t>S925-BC-0389-PEN-3H</t>
  </si>
  <si>
    <t>B06ZYF9WX8</t>
  </si>
  <si>
    <t>S925-BC-0389-PEN-5C</t>
  </si>
  <si>
    <t>B06ZYPVQKR</t>
  </si>
  <si>
    <t>S925-BC-0389-PEN-6G</t>
  </si>
  <si>
    <t>B06ZYZTCTF</t>
  </si>
  <si>
    <t>S925-BC-0396-PEN-1W</t>
  </si>
  <si>
    <t>B071R9K7TY</t>
  </si>
  <si>
    <t>Pen - Oval</t>
  </si>
  <si>
    <t>S925-BC-0396-PEN-2Y</t>
  </si>
  <si>
    <t>B06ZXVBZHT</t>
  </si>
  <si>
    <t>B06ZYZSY83</t>
  </si>
  <si>
    <t>S925-BC-0396-PEN-5C</t>
  </si>
  <si>
    <t>B071XRPDN3</t>
  </si>
  <si>
    <t>B06ZYPR9BF</t>
  </si>
  <si>
    <t>S925-BC-0407-PEN-3H</t>
  </si>
  <si>
    <t>B071R9LDV4</t>
  </si>
  <si>
    <t>Pen - Buffalo</t>
  </si>
  <si>
    <t>S925-BC-0407-PEN-6G</t>
  </si>
  <si>
    <t>B071Y19F74</t>
  </si>
  <si>
    <t>S925-BC-0440-PEN-3H</t>
  </si>
  <si>
    <t>B071R96QD5</t>
  </si>
  <si>
    <t>Pen - Fairy</t>
  </si>
  <si>
    <t>S925-BC-0519-PEN-3H</t>
  </si>
  <si>
    <t>B06ZXVBWDK</t>
  </si>
  <si>
    <t>Pen - Pig</t>
  </si>
  <si>
    <t>S925-BC-0548-PEN-3H</t>
  </si>
  <si>
    <t>B071R9J5KZ</t>
  </si>
  <si>
    <t>Pen - Squirrel</t>
  </si>
  <si>
    <t>S925-BC-0550-PEN-3H</t>
  </si>
  <si>
    <t>B06ZYF9W54</t>
  </si>
  <si>
    <t>Pen - Cat</t>
  </si>
  <si>
    <t>S925-BC-0550-PEN-6G</t>
  </si>
  <si>
    <t>B071R9973S</t>
  </si>
  <si>
    <t>S925-BC-0551-PEN-3H</t>
  </si>
  <si>
    <t>B06ZZ98T9Z</t>
  </si>
  <si>
    <t>Pen - fish</t>
  </si>
  <si>
    <t>S925-BC-0551-PEN-6G</t>
  </si>
  <si>
    <t>B071Y19PXD</t>
  </si>
  <si>
    <t>S925-BC-0553-PEN-1W</t>
  </si>
  <si>
    <t>B071QZZY7P</t>
  </si>
  <si>
    <t>Pen - fairy</t>
  </si>
  <si>
    <t>S925-BC-0553-PEN-2Y</t>
  </si>
  <si>
    <t>B06ZYPVNPD</t>
  </si>
  <si>
    <t>S925-BC-0553-PEN-3H</t>
  </si>
  <si>
    <t>B06ZY4RJ9R</t>
  </si>
  <si>
    <t>S925-BC-0553-PEN-5C</t>
  </si>
  <si>
    <t>B071DCGFHS</t>
  </si>
  <si>
    <t>S925-BC-0568-PEN-1W</t>
  </si>
  <si>
    <t>B06ZZV8HD1</t>
  </si>
  <si>
    <t>Pendant - Mouse</t>
  </si>
  <si>
    <t>S925-BC-0568-PEN-2Y</t>
  </si>
  <si>
    <t>B071CSFLLF</t>
  </si>
  <si>
    <t>S925-BC-0568-PEN-3H</t>
  </si>
  <si>
    <t>B071Y1NPSZ</t>
  </si>
  <si>
    <t>S925-BC-0568-PEN-5C</t>
  </si>
  <si>
    <t>B06ZY4RHM7</t>
  </si>
  <si>
    <t>S925-BC-0568-PEN-6G</t>
  </si>
  <si>
    <t>B06ZYPVPM6</t>
  </si>
  <si>
    <t>S925-BC-1505-PEN-2Y</t>
  </si>
  <si>
    <t>B071XRNSBD</t>
  </si>
  <si>
    <t xml:space="preserve">Pendant - Sun </t>
  </si>
  <si>
    <t>S925-BC-1505-PEN-3H</t>
  </si>
  <si>
    <t>B071R11ZM7</t>
  </si>
  <si>
    <t>S925-BC-1505-PEN-5C</t>
  </si>
  <si>
    <t>B06ZXVBTSK</t>
  </si>
  <si>
    <t>S925-BC-1505-PEN-6G</t>
  </si>
  <si>
    <t>B071DCGLGH</t>
  </si>
  <si>
    <t>S925-BC-1585-PEN-3H</t>
  </si>
  <si>
    <t>B071DCGNB3</t>
  </si>
  <si>
    <t>Pen -Kangaroo</t>
  </si>
  <si>
    <t>S925-BC-1585-PEN-6G</t>
  </si>
  <si>
    <t>B06ZXVC1B6</t>
  </si>
  <si>
    <t>S925-BC-1601-PEN-3H</t>
  </si>
  <si>
    <t>B071R95WQV</t>
  </si>
  <si>
    <t>Pen - Seahorse</t>
  </si>
  <si>
    <t>S925-BC-1601-PEN-6G</t>
  </si>
  <si>
    <t>B06ZYZT9KL</t>
  </si>
  <si>
    <t>S925-BC-1607-PEN-3H</t>
  </si>
  <si>
    <t>B06ZYF9VRJ</t>
  </si>
  <si>
    <t>Pen - Boat</t>
  </si>
  <si>
    <t>S925-BC-1608-PEN-3H</t>
  </si>
  <si>
    <t>B071CSFRFX</t>
  </si>
  <si>
    <t>Pen - Bunny</t>
  </si>
  <si>
    <t>S925-BC-1611-PEN-3H</t>
  </si>
  <si>
    <t>B071XRK1RK</t>
  </si>
  <si>
    <t>Pen - Slug</t>
  </si>
  <si>
    <t>S925-BC-1674-PEN-3H</t>
  </si>
  <si>
    <t>B06ZZV8KJ8</t>
  </si>
  <si>
    <t>S925-BC-1674-PEN-6G</t>
  </si>
  <si>
    <t>B06ZY4RK2G</t>
  </si>
  <si>
    <t>S925-BC-1681-PEN-3H</t>
  </si>
  <si>
    <t>B071R95WQZ</t>
  </si>
  <si>
    <t>Pen - Fish</t>
  </si>
  <si>
    <t>S925-BC-1681-PEN-6G</t>
  </si>
  <si>
    <t>B071XR6YHJ</t>
  </si>
  <si>
    <t>S925-BC-1706-PEN-7M</t>
  </si>
  <si>
    <t>B071DCFXYF</t>
  </si>
  <si>
    <t>Pen - cube</t>
  </si>
  <si>
    <t>S925-BC-1764-PEN-1W</t>
  </si>
  <si>
    <t>B071Y19B64</t>
  </si>
  <si>
    <t>Pendant - SUN</t>
  </si>
  <si>
    <t>B071R11Y8X</t>
  </si>
  <si>
    <t>S925-BC-1764-PEN-3H</t>
  </si>
  <si>
    <t>B06ZZKTYLD</t>
  </si>
  <si>
    <t>B06ZZV8L6T</t>
  </si>
  <si>
    <t>S925-BC-1823-PEN-3H</t>
  </si>
  <si>
    <t>B06ZYZT9X2</t>
  </si>
  <si>
    <t>Pen - twisted</t>
  </si>
  <si>
    <t>S925-BC-1823-PEN-6G</t>
  </si>
  <si>
    <t>B06ZXVBY5W</t>
  </si>
  <si>
    <t>S925-BC-1853-PEN-3H</t>
  </si>
  <si>
    <t>B06ZYPVPB8</t>
  </si>
  <si>
    <t>Pen - teddybear</t>
  </si>
  <si>
    <t>S925-BC-1861-PEN-7M</t>
  </si>
  <si>
    <t>B06ZZ98T1B</t>
  </si>
  <si>
    <t>Pen - Dragonfly</t>
  </si>
  <si>
    <t>S925-BC-1895-PEN-1W</t>
  </si>
  <si>
    <t>B071Y1J6Y9</t>
  </si>
  <si>
    <t>Pen - Circle (larger)</t>
  </si>
  <si>
    <t>S925-BC-1895-PEN-2Y</t>
  </si>
  <si>
    <t>B071CHW1NY</t>
  </si>
  <si>
    <t>S925-BC-1895-PEN-3H</t>
  </si>
  <si>
    <t>B071R98C24</t>
  </si>
  <si>
    <t>S925-BC-1895-PEN-5C</t>
  </si>
  <si>
    <t>B071CH83JX</t>
  </si>
  <si>
    <t>S925-BC-1895-PEN-6G</t>
  </si>
  <si>
    <t>B071R1212Q</t>
  </si>
  <si>
    <t>S925-BC-1924-PEN-1W</t>
  </si>
  <si>
    <t>B06ZZV8BVS</t>
  </si>
  <si>
    <t>Pen - Circle (small)</t>
  </si>
  <si>
    <t>S925-BC-1924-PEN-2Y</t>
  </si>
  <si>
    <t>B06ZZKTYCZ</t>
  </si>
  <si>
    <t>S925-BC-1924-PEN-3H</t>
  </si>
  <si>
    <t>B071XR6B3F</t>
  </si>
  <si>
    <t>S925-BC-1924-PEN-5C</t>
  </si>
  <si>
    <t>B071Y9YK3M</t>
  </si>
  <si>
    <t>S925-BC-1924-PEN-6G</t>
  </si>
  <si>
    <t>B06ZYPVPG7</t>
  </si>
  <si>
    <t>S925-BC-1983-PEN-3H</t>
  </si>
  <si>
    <t>B071R98C28</t>
  </si>
  <si>
    <t>Pen - Fishbone</t>
  </si>
  <si>
    <t>S925-BC-1984-PEN-3H</t>
  </si>
  <si>
    <t>B06ZZV8KJF</t>
  </si>
  <si>
    <t>Pen - Owl</t>
  </si>
  <si>
    <t>S925-BC-4013-PIN-3H</t>
  </si>
  <si>
    <t>B071D3WXKC</t>
  </si>
  <si>
    <t>Pin - Sunflower</t>
  </si>
  <si>
    <t>S925-BC-4016-PIN-3H</t>
  </si>
  <si>
    <t>B071YCGHGQ</t>
  </si>
  <si>
    <t>Pin - Rose</t>
  </si>
  <si>
    <t>S925-BC-4034-PIN-3H</t>
  </si>
  <si>
    <t>B06ZZ1T8X7</t>
  </si>
  <si>
    <t>Pin - Seahorse</t>
  </si>
  <si>
    <t>S925-BC-4070-PIN-3H</t>
  </si>
  <si>
    <t>B071CTDQML</t>
  </si>
  <si>
    <t>Pin - Calibri</t>
  </si>
  <si>
    <t>S925-BC-4107-PIN-2Y</t>
  </si>
  <si>
    <t>B06ZYQV66Y</t>
  </si>
  <si>
    <t>Pin - Mouse</t>
  </si>
  <si>
    <t>S925-BC-4107-PIN-3H</t>
  </si>
  <si>
    <t>B071DDF47N</t>
  </si>
  <si>
    <t>S925-BC-4107-PIN-5C</t>
  </si>
  <si>
    <t>B06ZYQV3C8</t>
  </si>
  <si>
    <t>S925-BC-4107-PIN-6G</t>
  </si>
  <si>
    <t>B071XSR69C</t>
  </si>
  <si>
    <t>S925-BC-5260-EAR-3H</t>
  </si>
  <si>
    <t>B071CHQJ52</t>
  </si>
  <si>
    <t>S925-BC-5260-EAR-7M</t>
  </si>
  <si>
    <t>B071D2RT4F</t>
  </si>
  <si>
    <t>S925-BC-5302-EAR-3H</t>
  </si>
  <si>
    <t>B06ZY4LWND</t>
  </si>
  <si>
    <t>S925-BC-5305-EAR-1W</t>
  </si>
  <si>
    <t>B06ZZV482J</t>
  </si>
  <si>
    <t>Earrings - Sun - 2</t>
  </si>
  <si>
    <t>S925-BC-5305-EAR-2Y</t>
  </si>
  <si>
    <t>B071DC9XF7</t>
  </si>
  <si>
    <t>S925-BC-5305-EAR-3H</t>
  </si>
  <si>
    <t>B06ZYPQ75H</t>
  </si>
  <si>
    <t>S925-BC-5305-EAR-5C</t>
  </si>
  <si>
    <t>B06ZZKPVNC</t>
  </si>
  <si>
    <t>S925-BC-5305-EAR-6G</t>
  </si>
  <si>
    <t>B06ZZV4263</t>
  </si>
  <si>
    <t>S925-BC-5310-EAR-1W</t>
  </si>
  <si>
    <t>B071DCB22X</t>
  </si>
  <si>
    <t>Earrings - Square Stud</t>
  </si>
  <si>
    <t>S925-BC-5310-EAR-2Y</t>
  </si>
  <si>
    <t>B06ZXV6GPZ</t>
  </si>
  <si>
    <t>S925-BC-5310-EAR-3H</t>
  </si>
  <si>
    <t>B06ZY4LTKF</t>
  </si>
  <si>
    <t>S925-BC-5310-EAR-5C</t>
  </si>
  <si>
    <t>B06ZXV6J81</t>
  </si>
  <si>
    <t>S925-BC-5310-EAR-6G</t>
  </si>
  <si>
    <t>B071DC7BVX</t>
  </si>
  <si>
    <t>S925-BC-5392-EAR-3H</t>
  </si>
  <si>
    <t>B071CS9WLH</t>
  </si>
  <si>
    <t>Earrings - Teddy Bear</t>
  </si>
  <si>
    <t>S925-BC-5807-EAR-3H</t>
  </si>
  <si>
    <t>B071CH7P2D</t>
  </si>
  <si>
    <t>S925-BC-5940-EAR-1W</t>
  </si>
  <si>
    <t>B06ZZV4613</t>
  </si>
  <si>
    <t>Earrings - Round Stud</t>
  </si>
  <si>
    <t>S925-BC-5940-EAR-2Y</t>
  </si>
  <si>
    <t>B06ZYZP4BW</t>
  </si>
  <si>
    <t>S925-BC-5940-EAR-3H</t>
  </si>
  <si>
    <t>B071R9GF2X</t>
  </si>
  <si>
    <t>S925-BC-5940-EAR-5C</t>
  </si>
  <si>
    <t>B071R9FRCM</t>
  </si>
  <si>
    <t>B071D2S76L</t>
  </si>
  <si>
    <t>S925-BC-5948-EAR-2Y</t>
  </si>
  <si>
    <t>B06ZYZP65S</t>
  </si>
  <si>
    <t>S925-BC-5948-EAR-3H</t>
  </si>
  <si>
    <t>B071XRDYD3</t>
  </si>
  <si>
    <t>S925-BC-5948-EAR-6G</t>
  </si>
  <si>
    <t>B06ZZ8YGYG</t>
  </si>
  <si>
    <t>S925-BC-5952-EAR-1W</t>
  </si>
  <si>
    <t>B06ZYPQ59C</t>
  </si>
  <si>
    <t>S925-BC-5952-EAR-2Y</t>
  </si>
  <si>
    <t>B06ZYZP8D2</t>
  </si>
  <si>
    <t>S925-BC-5952-EAR-3H</t>
  </si>
  <si>
    <t>B06ZY4LS3Y</t>
  </si>
  <si>
    <t>S925-BC-5952-EAR-5C</t>
  </si>
  <si>
    <t>B06ZZTKMY4</t>
  </si>
  <si>
    <t>S925-BC-5952-EAR-6G</t>
  </si>
  <si>
    <t>B071CS9HKW</t>
  </si>
  <si>
    <t>S925-BC-5953-EAR-1W</t>
  </si>
  <si>
    <t>B06ZYF4ZMZ</t>
  </si>
  <si>
    <t>S925-BC-5953-EAR-2Y</t>
  </si>
  <si>
    <t>B071DC9ZXW</t>
  </si>
  <si>
    <t>S925-BC-5953-EAR-3H</t>
  </si>
  <si>
    <t>B071CS7VXP</t>
  </si>
  <si>
    <t>S925-BC-5953-EAR-5C</t>
  </si>
  <si>
    <t>B071DCB5KP</t>
  </si>
  <si>
    <t>S925-BC-5953-EAR-6G</t>
  </si>
  <si>
    <t>B071XR15W6</t>
  </si>
  <si>
    <t>S925-BC-5966-EAR-2Y</t>
  </si>
  <si>
    <t>B071QZH2GN</t>
  </si>
  <si>
    <t>S925-BC-5966-EAR-3H</t>
  </si>
  <si>
    <t>B071XR7DZ9</t>
  </si>
  <si>
    <t>S925-BC-5966-EAR-5C</t>
  </si>
  <si>
    <t>B071DCB4YY</t>
  </si>
  <si>
    <t>S925-BC-8007-EAR-3H</t>
  </si>
  <si>
    <t>B071R98M2N</t>
  </si>
  <si>
    <t>S925-BC-8021-EAR-1W</t>
  </si>
  <si>
    <t>B071XR5KJP</t>
  </si>
  <si>
    <t>S925-BC-8021-EAR-2Y</t>
  </si>
  <si>
    <t>B071R9B9HW</t>
  </si>
  <si>
    <t>S925-BC-8021-EAR-3H</t>
  </si>
  <si>
    <t>B06ZYF5FR4</t>
  </si>
  <si>
    <t>S925-BC-8021-EAR-5C</t>
  </si>
  <si>
    <t>B071CHQJN5</t>
  </si>
  <si>
    <t>S925-BC-8165-EAR-7M</t>
  </si>
  <si>
    <t>B071R916JC</t>
  </si>
  <si>
    <t>S925-BC-8222-EAR-1W</t>
  </si>
  <si>
    <t>B06ZYPQ7G1</t>
  </si>
  <si>
    <t>Earrings - Sun - 3.4</t>
  </si>
  <si>
    <t>S925-BC-8222-EAR-2Y</t>
  </si>
  <si>
    <t>B071QZWMWZ</t>
  </si>
  <si>
    <t>S925-BC-8222-EAR-3H</t>
  </si>
  <si>
    <t>B06ZZKPV4W</t>
  </si>
  <si>
    <t>S925-BC-8222-EAR-5C</t>
  </si>
  <si>
    <t>B06ZY4LVFR</t>
  </si>
  <si>
    <t>S925-BC-8222-EAR-6G</t>
  </si>
  <si>
    <t>B071CHQLSM</t>
  </si>
  <si>
    <t>S925-BC-8282-EAR-1W</t>
  </si>
  <si>
    <t>B071XQWXW4</t>
  </si>
  <si>
    <t>S925-BC-8282-EAR-2Y</t>
  </si>
  <si>
    <t>B06ZZV3GBS</t>
  </si>
  <si>
    <t>S925-BC-8282-EAR-3H</t>
  </si>
  <si>
    <t>B071DCB5PV</t>
  </si>
  <si>
    <t>S925-BC-8282-EAR-5C</t>
  </si>
  <si>
    <t>B071QZWLJS</t>
  </si>
  <si>
    <t>S925-BC-8282-EAR-6G</t>
  </si>
  <si>
    <t>B06ZZKPV1J</t>
  </si>
  <si>
    <t>S925-BC-8289-EAR-3H</t>
  </si>
  <si>
    <t>B06ZYZNYYW</t>
  </si>
  <si>
    <t>S925-BC-8289-EAR-6G</t>
  </si>
  <si>
    <t>B06ZY4LQ5J</t>
  </si>
  <si>
    <t>S925-BC-8365-EAR-3H</t>
  </si>
  <si>
    <t>B071R9BCM6</t>
  </si>
  <si>
    <t>S925-BC-8375-EAR-3H</t>
  </si>
  <si>
    <t>B071QZQJRM</t>
  </si>
  <si>
    <t>S925-BC-8380-EAR-3H</t>
  </si>
  <si>
    <t>B071CS9M92</t>
  </si>
  <si>
    <t>S925-BC-8475-EAR-1W</t>
  </si>
  <si>
    <t>B06ZXV6HVN</t>
  </si>
  <si>
    <t>S925-BC-8475-EAR-2Y</t>
  </si>
  <si>
    <t>B071XR1RKS</t>
  </si>
  <si>
    <t>S925-BC-8475-EAR-3H</t>
  </si>
  <si>
    <t>B06ZZ94DN3</t>
  </si>
  <si>
    <t>S925-BC-8475-EAR-5C</t>
  </si>
  <si>
    <t>B071R9FRCS</t>
  </si>
  <si>
    <t>S925-BC-8475-EAR-6G</t>
  </si>
  <si>
    <t>B071CS9XF5</t>
  </si>
  <si>
    <t>S925-BC-8497-EAR-1W</t>
  </si>
  <si>
    <t>B06ZXV6GQW</t>
  </si>
  <si>
    <t>Earrings - circle stud</t>
  </si>
  <si>
    <t>S925-BC-8497-EAR-2Y</t>
  </si>
  <si>
    <t>B071D2S8LL</t>
  </si>
  <si>
    <t>S925-BC-8497-EAR-3H</t>
  </si>
  <si>
    <t>B06ZZV483K</t>
  </si>
  <si>
    <t>S925-BC-8497-EAR-5C</t>
  </si>
  <si>
    <t>B071DCB494</t>
  </si>
  <si>
    <t>S925-BC-8497-EAR-6G</t>
  </si>
  <si>
    <t>B071Y1DJZF</t>
  </si>
  <si>
    <t>TIE-S925-BRA-001</t>
  </si>
  <si>
    <t>B077T3Y5N7</t>
  </si>
  <si>
    <t>TIE-S925-BRA-002</t>
  </si>
  <si>
    <t>B077TK8B4P</t>
  </si>
  <si>
    <t>TIE-S925-BRA-003</t>
  </si>
  <si>
    <t>B077TB9WP2</t>
  </si>
  <si>
    <t>TIE-S925-BRA-004</t>
  </si>
  <si>
    <t>B077T8TYX9</t>
  </si>
  <si>
    <t>TIE-S925-BRA-005</t>
  </si>
  <si>
    <t>B0784Y55C4</t>
  </si>
  <si>
    <t>TIE-S925-BRA-006</t>
  </si>
  <si>
    <t>B077T8QPFX</t>
  </si>
  <si>
    <t>TIE-S925-BRA-007</t>
  </si>
  <si>
    <t>B077T8SQNQ</t>
  </si>
  <si>
    <t>TIE-S925-BRA-008</t>
  </si>
  <si>
    <t>B077T3Y2V8</t>
  </si>
  <si>
    <t>TIE-S925-BRA-009</t>
  </si>
  <si>
    <t>B078C9RDKG</t>
  </si>
  <si>
    <t>TIE-S925-BRA-010</t>
  </si>
  <si>
    <t>B077T8SNV2</t>
  </si>
  <si>
    <t>TIE-S925-BRA-011</t>
  </si>
  <si>
    <t>B077T8SLKQ</t>
  </si>
  <si>
    <t>TIE-S925-BRA-012</t>
  </si>
  <si>
    <t>B077TK8LZL</t>
  </si>
  <si>
    <t>TIE-S925-BRA-013</t>
  </si>
  <si>
    <t>B077TG89TW</t>
  </si>
  <si>
    <t>TIE-S925-BRA-014</t>
  </si>
  <si>
    <t>B077T8V8QJ</t>
  </si>
  <si>
    <t>TIE-S925-BRA-015</t>
  </si>
  <si>
    <t>B077TK8MFG</t>
  </si>
  <si>
    <t>TIE-S925-BRA-016</t>
  </si>
  <si>
    <t>B077TK8NL9</t>
  </si>
  <si>
    <t>TIE-S925-BRA-017</t>
  </si>
  <si>
    <t>B077TBB6MJ</t>
  </si>
  <si>
    <t>TIE-S925-BRA-018</t>
  </si>
  <si>
    <t>B077TK8DG7</t>
  </si>
  <si>
    <t>TIE-S925-BRA-019</t>
  </si>
  <si>
    <t>B077T8SMSJ</t>
  </si>
  <si>
    <t>TIE-S925-BRA-020</t>
  </si>
  <si>
    <t>B077T3TTTN</t>
  </si>
  <si>
    <t>TIE-S925-BRA-021</t>
  </si>
  <si>
    <t>B0784Y4YKW</t>
  </si>
  <si>
    <t>TIE-S925-BRA-022</t>
  </si>
  <si>
    <t>B078C7ZT6Z</t>
  </si>
  <si>
    <t>TIE-S925-BRA-023</t>
  </si>
  <si>
    <t>B077T8SKZB</t>
  </si>
  <si>
    <t>TIE-S925-BRA-024</t>
  </si>
  <si>
    <t>B077T3W49Y</t>
  </si>
  <si>
    <t>TIE-S925-BRA-025</t>
  </si>
  <si>
    <t>B077T3Y2NW</t>
  </si>
  <si>
    <t>TIE-S925-BRA-026</t>
  </si>
  <si>
    <t>B077TB36G4</t>
  </si>
  <si>
    <t>TIE-S925-ANK-001</t>
  </si>
  <si>
    <t>B07F8B199V</t>
  </si>
  <si>
    <t>TIE-S925-ANK-002</t>
  </si>
  <si>
    <t>B07F89S6D7</t>
  </si>
  <si>
    <t>TIE-S925-ANK-003</t>
  </si>
  <si>
    <t>B07F8CDSFB</t>
  </si>
  <si>
    <t>TIE-S925-ANK-004</t>
  </si>
  <si>
    <t>B07F8BND62</t>
  </si>
  <si>
    <t>TIE-S925-ANK-005</t>
  </si>
  <si>
    <t>B07F89T25B</t>
  </si>
  <si>
    <t>TIE-S925-ANK-006</t>
  </si>
  <si>
    <t>B07F8BGB8R</t>
  </si>
  <si>
    <t>TIE-S925-ANK-007</t>
  </si>
  <si>
    <t>B07F8C376P</t>
  </si>
  <si>
    <t>TIE-S925-ANK-008</t>
  </si>
  <si>
    <t>B07F8CPSQ1</t>
  </si>
  <si>
    <t>TIE-S925-ANK-009</t>
  </si>
  <si>
    <t>B07F8BHSHM</t>
  </si>
  <si>
    <t>TIE-S925-ANK-010</t>
  </si>
  <si>
    <t>B07F887PBL</t>
  </si>
  <si>
    <t>TIE-S925-ANK-011</t>
  </si>
  <si>
    <t>B07FJ5YQJ7</t>
  </si>
  <si>
    <t>TIE-S925-ANK-012</t>
  </si>
  <si>
    <t>B07F8GR72Q</t>
  </si>
  <si>
    <t>TIE-S925-ANK-013</t>
  </si>
  <si>
    <t>B07F87J5D1</t>
  </si>
  <si>
    <t>TIE-S925-ANK-014</t>
  </si>
  <si>
    <t>B07F8BP4K7</t>
  </si>
  <si>
    <t>TIE-S925-ANK-015</t>
  </si>
  <si>
    <t>B07F8CDJRJ</t>
  </si>
  <si>
    <t>TIE-S925-ANK-016</t>
  </si>
  <si>
    <t>B07F8C1VR5</t>
  </si>
  <si>
    <t>TIE-S925-ANK-017</t>
  </si>
  <si>
    <t>B07F89C3TG</t>
  </si>
  <si>
    <t>TIE-S925-ANK-018</t>
  </si>
  <si>
    <t>B07F8CZLPB</t>
  </si>
  <si>
    <t>TIE-S925-ANK-019</t>
  </si>
  <si>
    <t>B07F89D9VY</t>
  </si>
  <si>
    <t>TIE-S925-ANK-020</t>
  </si>
  <si>
    <t>B07F8MX9FP</t>
  </si>
  <si>
    <t>TIE-S925-ANK-025</t>
  </si>
  <si>
    <t>B07F8CY6QN</t>
  </si>
  <si>
    <t>TIE-S925-BRA-ELA-001</t>
  </si>
  <si>
    <t>B07GFL4PWW</t>
  </si>
  <si>
    <t>Bracelet - elastic ball beads</t>
  </si>
  <si>
    <t>TIE-RHP-BRA-ELA-001</t>
  </si>
  <si>
    <t>B07GFDQ1XW</t>
  </si>
  <si>
    <t>TIE-GP-BRA-ELA-001</t>
  </si>
  <si>
    <t>B07GFMN96Z</t>
  </si>
  <si>
    <t>TIE-ROSE-BRA-ELA-001</t>
  </si>
  <si>
    <t>B07GFD7TFS</t>
  </si>
  <si>
    <t>TIE-S925-EAR-001</t>
  </si>
  <si>
    <t>B07GGSXD7Q</t>
  </si>
  <si>
    <t xml:space="preserve">Earrings: studs roses small </t>
  </si>
  <si>
    <t>TIE-S925-EAR-002</t>
  </si>
  <si>
    <t>B07GGTTTLW</t>
  </si>
  <si>
    <t xml:space="preserve">Earrings: studs flowers small </t>
  </si>
  <si>
    <t>TIE-S925-EAR-003</t>
  </si>
  <si>
    <t>B07GGS55YD</t>
  </si>
  <si>
    <t>Earrings: stud Teddy with rings Medium unique</t>
  </si>
  <si>
    <t>TIE-S925-EAR-004</t>
  </si>
  <si>
    <t>B07GHBFF48</t>
  </si>
  <si>
    <t>Earrings: drop roses small 5 lines</t>
  </si>
  <si>
    <t>TIE-S925-EAR-005</t>
  </si>
  <si>
    <t>B07GGXY9XY</t>
  </si>
  <si>
    <t>Earrings: drop bellflowers small 2 lines</t>
  </si>
  <si>
    <t>TIE-S925-EAR-006</t>
  </si>
  <si>
    <t>B07GGVVJ6G</t>
  </si>
  <si>
    <t xml:space="preserve">Earrings: hooks birds medium </t>
  </si>
  <si>
    <t>TIE-S925-EAR-007</t>
  </si>
  <si>
    <t>B07GH2FNTH</t>
  </si>
  <si>
    <t>Earrings: drop ROSE Big - colour ball chain drop</t>
  </si>
  <si>
    <t>TIE-S925-EAR-008</t>
  </si>
  <si>
    <t>B07GGWLVW8</t>
  </si>
  <si>
    <t>Earrings: drop heart BIG ball chain drop</t>
  </si>
  <si>
    <t>TIE-S925-EAR-009</t>
  </si>
  <si>
    <t>B07GGWVC95</t>
  </si>
  <si>
    <t>TIE-S925-EAR-010</t>
  </si>
  <si>
    <t>B07GGW9S79</t>
  </si>
  <si>
    <t>Earrings: drop ball small ball chain drop 2 lines</t>
  </si>
  <si>
    <t>TIE-S925-EAR-011</t>
  </si>
  <si>
    <t>B07GGV9BZL</t>
  </si>
  <si>
    <t>TIE-S925-EAR-012</t>
  </si>
  <si>
    <t>B07GGSN34R</t>
  </si>
  <si>
    <t>Earrings: drop Duckies Big ball chain drop</t>
  </si>
  <si>
    <t>GL-9K-CHAIN-001-140-510</t>
  </si>
  <si>
    <t>B07KW5YHXB</t>
  </si>
  <si>
    <t>9K Curb Chain</t>
  </si>
  <si>
    <t>9k Gold</t>
  </si>
  <si>
    <t>GL-9K-CHAIN-002-140-510</t>
  </si>
  <si>
    <t>B07KW4FB47</t>
  </si>
  <si>
    <t>9K Anchor Chain</t>
  </si>
  <si>
    <t>GL-9K-CHAIN-003-140-510</t>
  </si>
  <si>
    <t>B07KW5HKR8</t>
  </si>
  <si>
    <t>9K Figaro Chain</t>
  </si>
  <si>
    <t>CS-9K-HOOP-010</t>
  </si>
  <si>
    <t>B07R4JXTFS</t>
  </si>
  <si>
    <t>9K Circle Hoop Earrings</t>
  </si>
  <si>
    <t>CS-9K-HOOP-015</t>
  </si>
  <si>
    <t>B07R7LVTVV</t>
  </si>
  <si>
    <t>CS-9K-HOOP-020</t>
  </si>
  <si>
    <t>B07R4JXYTP</t>
  </si>
  <si>
    <t>CS-S925-HOOP-BALI-001</t>
  </si>
  <si>
    <t>B07QS9N4ZX</t>
  </si>
  <si>
    <t>Silver Bali Hoops</t>
  </si>
  <si>
    <t>CS-S925-HOOP-BALI-002</t>
  </si>
  <si>
    <t>B07QSB6FQN</t>
  </si>
  <si>
    <t>CS-S925-HOOP-BALI-003</t>
  </si>
  <si>
    <t>B07QSBWZRJ</t>
  </si>
  <si>
    <t>TIE-S925-EAR-013</t>
  </si>
  <si>
    <t>B07GGS5QNP</t>
  </si>
  <si>
    <t>Earrings: studs hearts</t>
  </si>
  <si>
    <t>BIA-S925-CHAIN-020-300-500</t>
  </si>
  <si>
    <t>B07VCKSBXQ</t>
  </si>
  <si>
    <t>Ball Chain 3 mm</t>
  </si>
  <si>
    <t>BIA-S925-CHAIN-020-300-700</t>
  </si>
  <si>
    <t>B07VBFBKXM</t>
  </si>
  <si>
    <t>GS-S925-BRA-SLI-001</t>
  </si>
  <si>
    <t>B07PRLLPQS</t>
  </si>
  <si>
    <t>Round Box Chain with Hearts and Donut Slider Bracelet</t>
  </si>
  <si>
    <t>GS-S925-BRA-SLI-002</t>
  </si>
  <si>
    <t>B07PPHGXHC</t>
  </si>
  <si>
    <t>Round Box Chain with Infinity and Donut Slider Bracelet</t>
  </si>
  <si>
    <t>GS-S925-BRA-SLI-003</t>
  </si>
  <si>
    <t>B07PRM2XVB</t>
  </si>
  <si>
    <t>Wheat Chain with Arc and Donut Slider Bracelet</t>
  </si>
  <si>
    <t>GS-S925-BRA-SLI-004</t>
  </si>
  <si>
    <t>B07PNBMZDR</t>
  </si>
  <si>
    <t>Round Box Chain with Balls and Donut Slider Bracelet</t>
  </si>
  <si>
    <t>GS-S925-BRA-SLI-005</t>
  </si>
  <si>
    <t>B07PMD87GZ</t>
  </si>
  <si>
    <t>Round Box Chain with Mesh and Donut Slider Bracelet</t>
  </si>
  <si>
    <t>GS-S925-CHAIN-SLI-001-030</t>
  </si>
  <si>
    <t>B07NLFS2J8</t>
  </si>
  <si>
    <t>Curb Chain with Round Slider</t>
  </si>
  <si>
    <t>GS-S925-CHAIN-SLI-002-030</t>
  </si>
  <si>
    <t>B07PVC8HS5</t>
  </si>
  <si>
    <t>Trace Chain with Round Slider</t>
  </si>
  <si>
    <t>GS-S925-CHAIN-SLI-003-019</t>
  </si>
  <si>
    <t>B07PXFLSHF</t>
  </si>
  <si>
    <t>Box Chain with Round Slider</t>
  </si>
  <si>
    <t>MS-S925-TOE-001</t>
  </si>
  <si>
    <t>B07R94JB4Y</t>
  </si>
  <si>
    <t>Toe Ring</t>
  </si>
  <si>
    <t>MS-S925-TOE-002</t>
  </si>
  <si>
    <t>B07R94JHCH</t>
  </si>
  <si>
    <t>RING - SIZE J</t>
  </si>
  <si>
    <t>MS-S925-TOE-003</t>
  </si>
  <si>
    <t>B07RB9S93Q</t>
  </si>
  <si>
    <t>MS-S925-TOE-004</t>
  </si>
  <si>
    <t>B07RC4XK1N</t>
  </si>
  <si>
    <t>MS-S925-LOC-001</t>
  </si>
  <si>
    <t>B07NT32JTG</t>
  </si>
  <si>
    <t>Locket</t>
  </si>
  <si>
    <t>MS-S925-LOC-002</t>
  </si>
  <si>
    <t>B07Q35Q174</t>
  </si>
  <si>
    <t>CN-S925-LOC-003</t>
  </si>
  <si>
    <t>B07NTGYTQ6</t>
  </si>
  <si>
    <t>Locket - Round</t>
  </si>
  <si>
    <t>CN-S925-LOC-004</t>
  </si>
  <si>
    <t>B07Q7G1GF7</t>
  </si>
  <si>
    <t>Locket - Heart</t>
  </si>
  <si>
    <t>GS-S925-BAN-001-650</t>
  </si>
  <si>
    <t>B07RCZQ431</t>
  </si>
  <si>
    <t>Bangle - bendable with clasp</t>
  </si>
  <si>
    <t>GS-S925-EAR-014</t>
  </si>
  <si>
    <t>B08PC6M657</t>
  </si>
  <si>
    <t>Earrings - drop Feather</t>
  </si>
  <si>
    <t>Earrings</t>
  </si>
  <si>
    <t>BIA-GP-CHAIN-058-060-500</t>
  </si>
  <si>
    <t>B07RMXS34Q</t>
  </si>
  <si>
    <t>Chain - French Rope for men</t>
  </si>
  <si>
    <t>BIA-GP-CHAIN-058-060-700</t>
  </si>
  <si>
    <t>B07RR1YS6P</t>
  </si>
  <si>
    <t>BIA-BRP-CHAIN-059-050-500</t>
  </si>
  <si>
    <t>B07RMGSK1W</t>
  </si>
  <si>
    <t>Chain - Round Box for men</t>
  </si>
  <si>
    <t>GS-S925-BAN-002-650</t>
  </si>
  <si>
    <t>B07RCX69TV</t>
  </si>
  <si>
    <t>Bangle - Round 1.8 mm</t>
  </si>
  <si>
    <t>GS-S925-BAN-003-650</t>
  </si>
  <si>
    <t>B07RCYMH57</t>
  </si>
  <si>
    <t>Bangle - Twisted Wire 2.1 mm</t>
  </si>
  <si>
    <t>GS-S925-BAN-004-650</t>
  </si>
  <si>
    <t>B07RDYB5C1</t>
  </si>
  <si>
    <t>Bangle - Squared Wire 1.7 mm</t>
  </si>
  <si>
    <t>GS-S925-BAN-005-650</t>
  </si>
  <si>
    <t>B07RCK3FQP</t>
  </si>
  <si>
    <t>Bangles - Triple-Connected</t>
  </si>
  <si>
    <t>GS-S925-CHAIN-EXT-001-025</t>
  </si>
  <si>
    <t>EBAY</t>
  </si>
  <si>
    <t>Extender Cable - Silver - 5 mm spring ring</t>
  </si>
  <si>
    <t>GS-S925-CHAIN-EXT-001-050</t>
  </si>
  <si>
    <t>GS-S925-CHAIN-EXT-001-100</t>
  </si>
  <si>
    <t>GS-RP-CHAIN-EXT-001-025</t>
  </si>
  <si>
    <t>Extender Cable - Rhodium Plated - 5 mm spring ring</t>
  </si>
  <si>
    <t>GS-RP-CHAIN-EXT-001-050</t>
  </si>
  <si>
    <t>GS-RP-CHAIN-EXT-001-100</t>
  </si>
  <si>
    <t>GS-GP-CHAIN-EXT-001-025</t>
  </si>
  <si>
    <t>Extender Cable - Gold Plated - 5 mm spring ring</t>
  </si>
  <si>
    <t>GS-GP-CHAIN-EXT-001-050</t>
  </si>
  <si>
    <t>GS-GP-CHAIN-EXT-001-100</t>
  </si>
  <si>
    <t>GS-ROSE-CHAIN-EXT-001-025</t>
  </si>
  <si>
    <t>Extender Cable - Rose Plated - 5 mm spring ring</t>
  </si>
  <si>
    <t>GS-ROSE-CHAIN-EXT-001-050</t>
  </si>
  <si>
    <t>GS-ROSE-CHAIN-EXT-001-100</t>
  </si>
  <si>
    <t>BIA-BRP-CHAIN-060-150-500</t>
  </si>
  <si>
    <t>B07RK8BTHX</t>
  </si>
  <si>
    <t>Chain - Super Flat Curb - Gauge 150 - Width 5 mm</t>
  </si>
  <si>
    <t>BIA-BRP-CHAIN-060-150-650</t>
  </si>
  <si>
    <t>B07RP1KJFG</t>
  </si>
  <si>
    <t>BIA-GP-CHAIN-060-150-500</t>
  </si>
  <si>
    <t>B07RNZ643Y</t>
  </si>
  <si>
    <t>BIA-GP-CHAIN-060-150-650</t>
  </si>
  <si>
    <t>B07RMXGTQJ</t>
  </si>
  <si>
    <t>BIA-BRP-CHAIN-060-200</t>
  </si>
  <si>
    <t>B07T69R46V</t>
  </si>
  <si>
    <t>Chain Bracelet - Super Flat Curb - Gauge 200 - Width 8 mm</t>
  </si>
  <si>
    <t>BIA-GP-CHAIN-060-200</t>
  </si>
  <si>
    <t>B07T6ZCW3K</t>
  </si>
  <si>
    <t>BIA-RP-CHAIN-060-200</t>
  </si>
  <si>
    <t>B07T56B5F7</t>
  </si>
  <si>
    <t>GS-S925-BRA-MEN-001-205</t>
  </si>
  <si>
    <t>B07T569WFS</t>
  </si>
  <si>
    <t>Chain Bracelet - Men - Rhodium Brushed</t>
  </si>
  <si>
    <t>PAV-S925-HOOP-BALI-001-015</t>
  </si>
  <si>
    <t>B07QS82H3S</t>
  </si>
  <si>
    <t>Hoop Earrings - Bali - 15 mm</t>
  </si>
  <si>
    <t>PAV-S925-HOOP-BALI-002-020</t>
  </si>
  <si>
    <t>B07QS9Y5YM</t>
  </si>
  <si>
    <t>Hoop Earrings - Bali - 20 mm</t>
  </si>
  <si>
    <t>PAV-S925-HOOP-BALI-003-015</t>
  </si>
  <si>
    <t>B07QNYQDSW</t>
  </si>
  <si>
    <t>PAV-S925-HOOP-BALI-004-030</t>
  </si>
  <si>
    <t>B07QT9RLZJ</t>
  </si>
  <si>
    <t>Hoop Earrings - Bali - 30 mm</t>
  </si>
  <si>
    <t>PAV-S925-EAR-TWIST-001</t>
  </si>
  <si>
    <t>B07TMP23LG</t>
  </si>
  <si>
    <t>Earrings - twisted shape - flat wire</t>
  </si>
  <si>
    <t>PAV-S925-EAR-TWIST-002</t>
  </si>
  <si>
    <t>B07TMMS3K8</t>
  </si>
  <si>
    <t>Earrings - twisted shape</t>
  </si>
  <si>
    <t>PAV-S925-EAR-BALL-001-020-2PAIR</t>
  </si>
  <si>
    <t>B07STWS287</t>
  </si>
  <si>
    <t>Earrings - 2 mm CZ Stones</t>
  </si>
  <si>
    <t>GS-S925-NEC-PEN-001</t>
  </si>
  <si>
    <t>B07SGMNVF8</t>
  </si>
  <si>
    <t>Neaklce - chain with infinity</t>
  </si>
  <si>
    <t>GS-S925-NEC-PEN-002</t>
  </si>
  <si>
    <t>B07SHPTG4G</t>
  </si>
  <si>
    <t>Neaklce - chain with leaf</t>
  </si>
  <si>
    <t>GS-S925-NEC-CRY-001</t>
  </si>
  <si>
    <t>B07SJPBY26</t>
  </si>
  <si>
    <t>Necklace - trace chain with SVAROWSKY Rainbow Cube 8 mm</t>
  </si>
  <si>
    <t>GS-S925-NEC-CRY-002</t>
  </si>
  <si>
    <t>B07SHPSYN3</t>
  </si>
  <si>
    <t>Necklace - trace chain with SVAROWSKY Rainbow Ball 8 mm</t>
  </si>
  <si>
    <t>GS-S925-EAR-CRY-001-LS</t>
  </si>
  <si>
    <t>B07SRV6JZG</t>
  </si>
  <si>
    <t>Earrings - Stud SVAROWSKY LIGHT SIAM stone 6 mm</t>
  </si>
  <si>
    <t>GS-S925-EAR-CRY-001-AQ</t>
  </si>
  <si>
    <t>B07STWSK97</t>
  </si>
  <si>
    <t>Earrings - Stud SVAROWSKY Aquamarine stone 6 mm</t>
  </si>
  <si>
    <t>PAV-S925-EAR-CRY-002</t>
  </si>
  <si>
    <t>B07STWSC6R</t>
  </si>
  <si>
    <t>Earrings - Stud with CZ Rainbow Cube - 6 mm?</t>
  </si>
  <si>
    <t>PAV-S925-EAR-CRY-003</t>
  </si>
  <si>
    <t>B07SX4VXD2</t>
  </si>
  <si>
    <t>Earrings - Stud with CZ Rainbow Ball - 10 mm?</t>
  </si>
  <si>
    <t>TIE-S925-BRA-026-030-190</t>
  </si>
  <si>
    <t>B07TZYMD5V</t>
  </si>
  <si>
    <t>Silver Charms Bracelet</t>
  </si>
  <si>
    <t>Bracelet</t>
  </si>
  <si>
    <t>TIE-S925-BRA-026-030-200</t>
  </si>
  <si>
    <t>B07TZYC6H3</t>
  </si>
  <si>
    <t>TIE-S925-BRA-027</t>
  </si>
  <si>
    <t>B07W5N53X1</t>
  </si>
  <si>
    <t>Silver Ball Bracelet - Luck</t>
  </si>
  <si>
    <t>TIE-S925-BRA-028</t>
  </si>
  <si>
    <t>B07W7SW486</t>
  </si>
  <si>
    <t>Silver Ball Bracelet - Love Mom</t>
  </si>
  <si>
    <t>GS-S925-ANK-026</t>
  </si>
  <si>
    <t>B07X9HLNDS</t>
  </si>
  <si>
    <t>Silver Anklet with coins</t>
  </si>
  <si>
    <t>Anklet</t>
  </si>
  <si>
    <t>GS-S925-BRA-027-190</t>
  </si>
  <si>
    <t>B07WW6XF5J</t>
  </si>
  <si>
    <t>Silver Bracelet - Hollow - Thick and Heavy - Round Cable</t>
  </si>
  <si>
    <t>GS-S925-BRA-028-190</t>
  </si>
  <si>
    <t>B07WS1LJGS</t>
  </si>
  <si>
    <t>Silver Bracelet - Hollow - Thick and Heavy - Rectangular Cable - 3 colour</t>
  </si>
  <si>
    <t>GS-S925-BRA-029-190</t>
  </si>
  <si>
    <t>B07WP5VZDF</t>
  </si>
  <si>
    <t>Silver Bracelet - Hollow - Thick and Heavy - Oval Patterned Wire</t>
  </si>
  <si>
    <t>GS-S925-CHAIN-EXT-001</t>
  </si>
  <si>
    <t>B07RZRK41J</t>
  </si>
  <si>
    <t>Chain Extender - 3 sizes together - silver</t>
  </si>
  <si>
    <t>GS-RP-CHAIN-EXT-001</t>
  </si>
  <si>
    <t>B07RZSHQVH</t>
  </si>
  <si>
    <t>Chain Extender - 3 sizes together - rhodium</t>
  </si>
  <si>
    <t>GS-GP-CHAIN-EXT-001</t>
  </si>
  <si>
    <t>B07RZR27NP</t>
  </si>
  <si>
    <t>Chain Extender - 3 sizes together - gold plated</t>
  </si>
  <si>
    <t>GS-ROSE-CHAIN-EXT-001</t>
  </si>
  <si>
    <t>B07S1SVY6L</t>
  </si>
  <si>
    <t>Chain Extender - 3 sizes together - rose plated</t>
  </si>
  <si>
    <t>GS-S925-PEN-COIN-001</t>
  </si>
  <si>
    <t>B07Z591N8W</t>
  </si>
  <si>
    <t>Coin Pendant - St Christopher - Silver</t>
  </si>
  <si>
    <t>Pendant</t>
  </si>
  <si>
    <t>GS-GP-PEN-COIN-001</t>
  </si>
  <si>
    <t>B07Z59WJPW</t>
  </si>
  <si>
    <t>Coin Pendant - St Christopher - Gold Plated</t>
  </si>
  <si>
    <t>GS-S925-NEC-MEN-001-500</t>
  </si>
  <si>
    <t>B093QBWDLL</t>
  </si>
  <si>
    <t>Silver Rhodium Plated Double Dog tag on Ball Chain</t>
  </si>
  <si>
    <t>TIE-S925-BRA-MEN-002-200</t>
  </si>
  <si>
    <t>B07T31BN76</t>
  </si>
  <si>
    <t>Chain Bracelet - Men</t>
  </si>
  <si>
    <t>PAV-S925-EAR-CRAW-001</t>
  </si>
  <si>
    <t>B07Z57WC8L</t>
  </si>
  <si>
    <t>Earrings - Crawler - Sprig with cz</t>
  </si>
  <si>
    <t>PAV-S925-EAR-CRAW-002</t>
  </si>
  <si>
    <t>B07Z57VHF3</t>
  </si>
  <si>
    <t>PAV-S925-EAR-CRAW-003</t>
  </si>
  <si>
    <t>B07Z568XVY</t>
  </si>
  <si>
    <t>Earrings - Crawler - stars</t>
  </si>
  <si>
    <t>PAV-S925-EAR-CRAW-004</t>
  </si>
  <si>
    <t>B07Z56N8H6</t>
  </si>
  <si>
    <t>Earrings - Crawler - Wavy Vine Line</t>
  </si>
  <si>
    <t>PAV-S925-EAR-CRAW-005</t>
  </si>
  <si>
    <t>B07Z57KVT4</t>
  </si>
  <si>
    <t>Earrings - Crawler - ZigZag</t>
  </si>
  <si>
    <t>PAV-S925-EAR-CRAW-006</t>
  </si>
  <si>
    <t>B07Z56NJV1</t>
  </si>
  <si>
    <t>Earrings - Crawler - Multi CZ</t>
  </si>
  <si>
    <t>GL-10K-CHAIN-001-140-510</t>
  </si>
  <si>
    <t>B07WFDL64M</t>
  </si>
  <si>
    <t>Yellow Gold 10k Spiga Wheat Chain (Hollow)</t>
  </si>
  <si>
    <t>GL-10K-CHAIN-002-140-510</t>
  </si>
  <si>
    <t>B07WFDVW32</t>
  </si>
  <si>
    <t>White Gold 10k Classic Long Curb Chain - Diamond Cut (Hollow)</t>
  </si>
  <si>
    <t>GL-10K-CHAIN-003-140-510</t>
  </si>
  <si>
    <t>B07WFDMDZ9</t>
  </si>
  <si>
    <t>Rose Gold 10K - Long Anchor Chain</t>
  </si>
  <si>
    <t>S925-WHI-PEN-TREE-001</t>
  </si>
  <si>
    <t>B084SV527B</t>
  </si>
  <si>
    <t>Tree Of Life Pendant - Fruitful</t>
  </si>
  <si>
    <t>S925-WHI-PEN-TREE-002</t>
  </si>
  <si>
    <t>B084SX25L1</t>
  </si>
  <si>
    <t>Tree of Life Pendant - with Giraffe</t>
  </si>
  <si>
    <t>PAV-S925-EAR-BALL-002-020-2PAIR</t>
  </si>
  <si>
    <t>B081VK8FXV</t>
  </si>
  <si>
    <t>Earrings - Silver Ball studs 2 mm - 2 pair</t>
  </si>
  <si>
    <t>PAV-S925-EAR-BALL-002-030to050</t>
  </si>
  <si>
    <t>B081VK8FYJ</t>
  </si>
  <si>
    <t>BIA-S925-HOOP-020-SINGLE</t>
  </si>
  <si>
    <t>Single Hoop Earrings - variation on ebay</t>
  </si>
  <si>
    <t>BIA-S925-HOOP-HIN-010-SINGLE</t>
  </si>
  <si>
    <t>MS-S925-LOC-001-CC45</t>
  </si>
  <si>
    <t>Locket + Curb Chain 45 cm</t>
  </si>
  <si>
    <t>MS-S925-LOC-002-CC45</t>
  </si>
  <si>
    <t>CN-S925-LOC-003-CC45</t>
  </si>
  <si>
    <t>Locket - Round + Curb Chain 45 cm</t>
  </si>
  <si>
    <t>CN-S925-LOC-004-CC45</t>
  </si>
  <si>
    <t>Locket - Heart + Curb Chain 45 cm</t>
  </si>
  <si>
    <t>PAV-S925-LOC-005-CC45</t>
  </si>
  <si>
    <t>PAV-S925-LOC-005</t>
  </si>
  <si>
    <t>B082L3K95P</t>
  </si>
  <si>
    <t>Locket - Heart + Tree of Life engraving</t>
  </si>
  <si>
    <t>S925-WHI-PEN-LET-001-A</t>
  </si>
  <si>
    <t>B082BF23G4</t>
  </si>
  <si>
    <t>Pendant - Letter - A</t>
  </si>
  <si>
    <t>S925-WHI-PEN-LET-001-B</t>
  </si>
  <si>
    <t>B082BBL6NW</t>
  </si>
  <si>
    <t>Pendant - Letter - B</t>
  </si>
  <si>
    <t>S925-WHI-PEN-LET-001-C</t>
  </si>
  <si>
    <t>B082BBTLTG</t>
  </si>
  <si>
    <t>Pendant - Letter - C</t>
  </si>
  <si>
    <t>S925-WHI-PEN-LET-001-D</t>
  </si>
  <si>
    <t>B082B9CHCZ</t>
  </si>
  <si>
    <t>Pendant - Letter - D</t>
  </si>
  <si>
    <t>S925-WHI-PEN-LET-001-E</t>
  </si>
  <si>
    <t>B082BBXWB3</t>
  </si>
  <si>
    <t>Pendant - Letter - E</t>
  </si>
  <si>
    <t>S925-WHI-PEN-LET-001-F</t>
  </si>
  <si>
    <t>B082BC8HVH</t>
  </si>
  <si>
    <t>Pendant - Letter - F</t>
  </si>
  <si>
    <t>S925-WHI-PEN-LET-001-G</t>
  </si>
  <si>
    <t>B082BDLQXP</t>
  </si>
  <si>
    <t>Pendant - Letter - G</t>
  </si>
  <si>
    <t>S925-WHI-PEN-LET-001-H</t>
  </si>
  <si>
    <t>B082BBN14N</t>
  </si>
  <si>
    <t>Pendant - Letter - H</t>
  </si>
  <si>
    <t>S925-WHI-PEN-LET-001-I</t>
  </si>
  <si>
    <t>B082BBK3VZ</t>
  </si>
  <si>
    <t>Pendant - Letter - I</t>
  </si>
  <si>
    <t>S925-WHI-PEN-LET-001-J</t>
  </si>
  <si>
    <t>B082BFGR3M</t>
  </si>
  <si>
    <t>Pendant - Letter - J</t>
  </si>
  <si>
    <t>S925-WHI-PEN-LET-001-K</t>
  </si>
  <si>
    <t>B082BCPQGS</t>
  </si>
  <si>
    <t>Pendant - Letter - K</t>
  </si>
  <si>
    <t>S925-WHI-PEN-LET-001-L</t>
  </si>
  <si>
    <t>B082BCWM1R</t>
  </si>
  <si>
    <t>Pendant - Letter - L</t>
  </si>
  <si>
    <t>S925-WHI-PEN-LET-001-M</t>
  </si>
  <si>
    <t>B082BCY7KW</t>
  </si>
  <si>
    <t>Pendant - Letter - M</t>
  </si>
  <si>
    <t>S925-WHI-PEN-LET-001-N</t>
  </si>
  <si>
    <t>B082BD3NVQ</t>
  </si>
  <si>
    <t>Pendant - Letter - N</t>
  </si>
  <si>
    <t>S925-WHI-PEN-LET-001-O</t>
  </si>
  <si>
    <t>B082BCF48D</t>
  </si>
  <si>
    <t>Pendant - Letter - O</t>
  </si>
  <si>
    <t>S925-WHI-PEN-LET-001-P</t>
  </si>
  <si>
    <t>B082B96V8V</t>
  </si>
  <si>
    <t>Pendant - Letter - P</t>
  </si>
  <si>
    <t>S925-WHI-PEN-LET-001-Q</t>
  </si>
  <si>
    <t>B082BDB7X8</t>
  </si>
  <si>
    <t>Pendant - Letter - Q</t>
  </si>
  <si>
    <t>S925-WHI-PEN-LET-001-R</t>
  </si>
  <si>
    <t>B082BBPN73</t>
  </si>
  <si>
    <t>Pendant - Letter - R</t>
  </si>
  <si>
    <t>S925-WHI-PEN-LET-001-S</t>
  </si>
  <si>
    <t>B082BCKF59</t>
  </si>
  <si>
    <t>Pendant - Letter - S</t>
  </si>
  <si>
    <t>S925-WHI-PEN-LET-001-T</t>
  </si>
  <si>
    <t>B082BBSFKK</t>
  </si>
  <si>
    <t>Pendant - Letter - T</t>
  </si>
  <si>
    <t>S925-WHI-PEN-LET-001-U</t>
  </si>
  <si>
    <t>B082BCDTHV</t>
  </si>
  <si>
    <t>Pendant - Letter - U</t>
  </si>
  <si>
    <t>S925-WHI-PEN-LET-001-V</t>
  </si>
  <si>
    <t>B082BCLWBF</t>
  </si>
  <si>
    <t>Pendant - Letter - V</t>
  </si>
  <si>
    <t>S925-WHI-PEN-LET-001-W</t>
  </si>
  <si>
    <t>B082BBDK8Z</t>
  </si>
  <si>
    <t>Pendant - Letter - W</t>
  </si>
  <si>
    <t>S925-WHI-PEN-LET-001-X</t>
  </si>
  <si>
    <t>B082BBRJ4F</t>
  </si>
  <si>
    <t>Pendant - Letter - X</t>
  </si>
  <si>
    <t>S925-WHI-PEN-LET-001-Y</t>
  </si>
  <si>
    <t>B082BC9GCD</t>
  </si>
  <si>
    <t>Pendant - Letter - Y</t>
  </si>
  <si>
    <t>S925-WHI-PEN-LET-001-Z</t>
  </si>
  <si>
    <t>B082BBKPRX</t>
  </si>
  <si>
    <t>Pendant - Letter - Z</t>
  </si>
  <si>
    <t>S925-WHI-PEN-TREE-003</t>
  </si>
  <si>
    <t>B084SY1V7J</t>
  </si>
  <si>
    <t xml:space="preserve">Tree of Life Pendant - Yggdrasil </t>
  </si>
  <si>
    <t>S925-WHI-EAR-CEL-001</t>
  </si>
  <si>
    <t>B083KMSZX9</t>
  </si>
  <si>
    <t>Silver Earrings - Celtic Design- Drop/Hooks/Dangle - Irish Knot</t>
  </si>
  <si>
    <t>S925-WHI-EAR-CEL-002</t>
  </si>
  <si>
    <t>B083KN8J8Q</t>
  </si>
  <si>
    <t>Silver Earrings - Celtic Design- Drop/Hooks/Dangle</t>
  </si>
  <si>
    <t>S925-WHI-EAR-CEL-003</t>
  </si>
  <si>
    <t>B083KMC8K1</t>
  </si>
  <si>
    <t>Silver Earrings - Celtic Design- Stud - Knot</t>
  </si>
  <si>
    <t>S925-WHI-EAR-CEL-004</t>
  </si>
  <si>
    <t>B083KM8MTH</t>
  </si>
  <si>
    <t xml:space="preserve">Silver Earrings - Celtic Design- Stud </t>
  </si>
  <si>
    <t>S925-WHI-EAR-CEL-005</t>
  </si>
  <si>
    <t>B083KLZKT1</t>
  </si>
  <si>
    <t>S925-WHI-EAR-CEL-006</t>
  </si>
  <si>
    <t>B083KM9FLZ</t>
  </si>
  <si>
    <t>S925-BLA-NEC-CHA-001-013-400</t>
  </si>
  <si>
    <t>B0848DGCL7</t>
  </si>
  <si>
    <t>S925-BLA-NEC-CHA-001-013-450</t>
  </si>
  <si>
    <t>B0848W58XR</t>
  </si>
  <si>
    <t>S925-BLA-NEC-CHA-001-013-500</t>
  </si>
  <si>
    <t>B0848XD3PT</t>
  </si>
  <si>
    <t>S925-BLA-NEC-CHA-001-013-700</t>
  </si>
  <si>
    <t>B0848PBC87</t>
  </si>
  <si>
    <t>S925-BLA-NEC-CHA-002-015-450</t>
  </si>
  <si>
    <t>B0848CNWK7</t>
  </si>
  <si>
    <t>S925-BLA-NEC-CHA-002-015-500</t>
  </si>
  <si>
    <t>B0848MX3S6</t>
  </si>
  <si>
    <t>S925-BLA-NEC-CHA-002-015-600</t>
  </si>
  <si>
    <t>B0848QJ5D9</t>
  </si>
  <si>
    <t>S925-BLA-NEC-CHA-004-013-450</t>
  </si>
  <si>
    <t>B0848HKWN9</t>
  </si>
  <si>
    <t>Belcher/Trace Chain</t>
  </si>
  <si>
    <t>S925-BLA-NEC-CHA-004-013-500</t>
  </si>
  <si>
    <t>B0848TSCTS</t>
  </si>
  <si>
    <t>S925-BLA-NEC-CHA-004-013-700</t>
  </si>
  <si>
    <t>B0848QBDS5</t>
  </si>
  <si>
    <t>S925-BLA-NEC-CHA-006-010-450</t>
  </si>
  <si>
    <t>B0848VQQLN</t>
  </si>
  <si>
    <t>S925-BLA-NEC-CHA-006-010-500</t>
  </si>
  <si>
    <t>B0848FDK7Q</t>
  </si>
  <si>
    <t>S925-BLA-NEC-CHA-006-010-600</t>
  </si>
  <si>
    <t>B0848QH3TQ</t>
  </si>
  <si>
    <t>S925-BLA-NEC-CHA-007-012-450</t>
  </si>
  <si>
    <t>B0848LC4L5</t>
  </si>
  <si>
    <t>S925-BLA-NEC-CHA-007-012-500</t>
  </si>
  <si>
    <t>B0848RZ8LJ</t>
  </si>
  <si>
    <t>S925-BLA-NEC-CHA-007-012-700</t>
  </si>
  <si>
    <t>B0848SVW8Y</t>
  </si>
  <si>
    <t>GL-9K-CHAIN-004-140-510</t>
  </si>
  <si>
    <t>B07ZC8BN6K</t>
  </si>
  <si>
    <t>GL-9K-CHAIN-005-140-510</t>
  </si>
  <si>
    <t>B07ZC7ZQMN</t>
  </si>
  <si>
    <t>GL-9K-CHAIN-006-140-510</t>
  </si>
  <si>
    <t>B07ZC76LN6</t>
  </si>
  <si>
    <t>S925-WHI-BRA-CHA-037-190</t>
  </si>
  <si>
    <t>B0854N4WRJ</t>
  </si>
  <si>
    <t>Bracelet - Rolo chain with Wings</t>
  </si>
  <si>
    <t>S925-WHI-BRA-CHA-038-190</t>
  </si>
  <si>
    <t>B0854N4TG7</t>
  </si>
  <si>
    <t>Bracelet - Rolo chain with Trees of Life</t>
  </si>
  <si>
    <t>S925-WHI-BRA-CHA-039-200</t>
  </si>
  <si>
    <t>B0854P65F1</t>
  </si>
  <si>
    <t>Bracelet - Rolo Chain with Infinity</t>
  </si>
  <si>
    <t>S925-WHI-BRA-CHA-040-200</t>
  </si>
  <si>
    <t>B0854N624S</t>
  </si>
  <si>
    <t>Bracelet - Rolo chain with Hearts</t>
  </si>
  <si>
    <t>S925-WHI-NEC-PEN-005</t>
  </si>
  <si>
    <t>B085F37RXH</t>
  </si>
  <si>
    <t>Necklace - Rolo chain - tripple circle Pendant</t>
  </si>
  <si>
    <t>S925-WHI-NEC-PEN-006</t>
  </si>
  <si>
    <t>B085F34DW7</t>
  </si>
  <si>
    <t>Necklace - Rolo chain - interlocking Circles Pendant</t>
  </si>
  <si>
    <t>S925-WHI-NEC-PEN-007</t>
  </si>
  <si>
    <t>B085F2X79R</t>
  </si>
  <si>
    <t>S925-YEL-PEN-TREE-004</t>
  </si>
  <si>
    <t>B084SW9YWK</t>
  </si>
  <si>
    <t>Pendant - Tree of Life</t>
  </si>
  <si>
    <t>S925-ROS-PEN-TREE-005</t>
  </si>
  <si>
    <t>B084SX21MQ</t>
  </si>
  <si>
    <t>Pendant - Tree of Life - shiny</t>
  </si>
  <si>
    <t>S925-WHI-PEN-TREE-006</t>
  </si>
  <si>
    <t>B084SSWKL4</t>
  </si>
  <si>
    <t>G9K-YEL-BRA-CHA-001-190</t>
  </si>
  <si>
    <t>B085QL5Q9X</t>
  </si>
  <si>
    <t>Chain Bracelet - Heart - 9K Gold Yellow</t>
  </si>
  <si>
    <t>G9K-WHI-BRA-CHA-001-190</t>
  </si>
  <si>
    <t>B085QKYDGJ</t>
  </si>
  <si>
    <t>Chain Bracelet - Heart - 9K Gold White</t>
  </si>
  <si>
    <t>G9K-ROS-BRA-CHA-001-190</t>
  </si>
  <si>
    <t>B085QKX58N</t>
  </si>
  <si>
    <t>Chain Bracelet - Heart - 9K Gold Rose</t>
  </si>
  <si>
    <t>S925-WHI-PEN-COIN-001-CC50</t>
  </si>
  <si>
    <t>S925-YEL-PEN-COIN-001-CC50g</t>
  </si>
  <si>
    <t>G10K-YEL-EAR-HOOP-001-010</t>
  </si>
  <si>
    <t>Listed as 9K</t>
  </si>
  <si>
    <t>10k Gold Hoops - 10 mm</t>
  </si>
  <si>
    <t>G10K-YEL-EAR-HOOP-001-015</t>
  </si>
  <si>
    <t>10k Gold Hoops - 15 mm</t>
  </si>
  <si>
    <t>G10K-YEL-EAR-HOOP-001-020</t>
  </si>
  <si>
    <t>10k Gold Hoops - 20 mm</t>
  </si>
  <si>
    <t>G10K-YEL-NEC-CHA-001-014-510</t>
  </si>
  <si>
    <t>10K Curb Chain</t>
  </si>
  <si>
    <t>G10K-YEL-NEC-CHA-002-014-510</t>
  </si>
  <si>
    <t>10K Anchor Chain</t>
  </si>
  <si>
    <t>G10K-YEL-NEC-CHA-003-014-510</t>
  </si>
  <si>
    <t>10K Figaro Chain</t>
  </si>
  <si>
    <t>S925-WHI-BRA-BAN-006-600</t>
  </si>
  <si>
    <t>B08618C612</t>
  </si>
  <si>
    <t>Silver Adjustable Bangle</t>
  </si>
  <si>
    <t>S925-ROS-BRA-BAN-006-600</t>
  </si>
  <si>
    <t>B08618HGR4</t>
  </si>
  <si>
    <t>Rose Plated Adjustable Bangle</t>
  </si>
  <si>
    <t>S925-YEL-BRA-BAN-006-600</t>
  </si>
  <si>
    <t>B08618N9LX</t>
  </si>
  <si>
    <t>Gold Plated Adjustable Bangle</t>
  </si>
  <si>
    <t>S925-WHI-BRA-ELA-002</t>
  </si>
  <si>
    <t>B09968Z6K4</t>
  </si>
  <si>
    <t>Silver Elastic Snake Bracelet</t>
  </si>
  <si>
    <t>S925-MUL-BRA-LAY-001-200</t>
  </si>
  <si>
    <t>B0872DCQ9Q</t>
  </si>
  <si>
    <t>Adjustable 3 layer bracelet with Big Beads.</t>
  </si>
  <si>
    <t>S925-MUL-BRA-LAY-002-200</t>
  </si>
  <si>
    <t>B0872DTX5C</t>
  </si>
  <si>
    <t>Adjustable 3 layer bracelet with Small Beads.</t>
  </si>
  <si>
    <t>S925-MUL-BRA-LAY-003-200</t>
  </si>
  <si>
    <t>B0872D8GP7</t>
  </si>
  <si>
    <t>Adjustable 3 layer bracelet with knots.</t>
  </si>
  <si>
    <t>S925-MUL-NEC-LAY-002-010-450</t>
  </si>
  <si>
    <t>B087CZF1D2</t>
  </si>
  <si>
    <t>Adjustable 3 layered chain. Chains with knot.</t>
  </si>
  <si>
    <t>S925-MUL-NEC-LAY-003-009-450</t>
  </si>
  <si>
    <t>B087D5B5VF</t>
  </si>
  <si>
    <t>Adjustable 3 necklace with small Beads.</t>
  </si>
  <si>
    <t>S925-MUL-NEC-LAY-004-013-450</t>
  </si>
  <si>
    <t>B087D5DP5K</t>
  </si>
  <si>
    <t>Adjustable 3 necklace with small and medium Beads.</t>
  </si>
  <si>
    <t>S925-ROS-ANK-COIN-002</t>
  </si>
  <si>
    <t>B08ZSYCJKR</t>
  </si>
  <si>
    <t>Adjustable Anklet with Coins</t>
  </si>
  <si>
    <t>S925-ROS-BRA-COIN-001-200</t>
  </si>
  <si>
    <t>B08ZSZ45Z4</t>
  </si>
  <si>
    <t>Adjustable ROSE Gold Plated Bracelet with Coins</t>
  </si>
  <si>
    <t>S925-ROS-NEC-COIN-001-013-450</t>
  </si>
  <si>
    <t>B08ZSZQCN7</t>
  </si>
  <si>
    <t>Adjustable Necklace with Coins</t>
  </si>
  <si>
    <t>S925-WHI-BRA-CHA-041-200</t>
  </si>
  <si>
    <t>B093QCKKBM</t>
  </si>
  <si>
    <t>Adjustable Rolo Chain Bracelet with BABY tag</t>
  </si>
  <si>
    <t>S925-WHI-BRA-COIN-002-190</t>
  </si>
  <si>
    <t>B08ZSZBC63</t>
  </si>
  <si>
    <t>Adjustable Silver Bracelet with Coins</t>
  </si>
  <si>
    <t>S925-WHI-BRA-COIN-003-200</t>
  </si>
  <si>
    <t>B08ZSXS83F</t>
  </si>
  <si>
    <t>Adjustable Bracelet with Small and Big Coins</t>
  </si>
  <si>
    <t>S925-WHI-BRA-MEN-004-230</t>
  </si>
  <si>
    <t>B092975BJC</t>
  </si>
  <si>
    <t>Adjustable Unisex Bracelet with Cylinder Beads</t>
  </si>
  <si>
    <t>S925-WHI-BRA-MEN-005-230</t>
  </si>
  <si>
    <t>B0929C1L6F</t>
  </si>
  <si>
    <t>Adjustable Unisex Bracelet with Cylinder Beads and Balls</t>
  </si>
  <si>
    <t>S925-WHI-NEC-COIN-002-029-450</t>
  </si>
  <si>
    <t>B08ZSSLC47</t>
  </si>
  <si>
    <t>Adjustable Cable Necklace with Coin</t>
  </si>
  <si>
    <t>S925-WHI-NEC-COIN-003-008-450</t>
  </si>
  <si>
    <t>B08ZT1C8B6</t>
  </si>
  <si>
    <t>Adjustable Rolo Chain with Coin and Beads</t>
  </si>
  <si>
    <t>S925-WHI-NEC-COIN-004-029-430</t>
  </si>
  <si>
    <t>B08ZSZR19N</t>
  </si>
  <si>
    <t>Adjustable Chain Necklace with Small and Big Coins</t>
  </si>
  <si>
    <t>S925-WHI-NEC-LAY-001-017-450</t>
  </si>
  <si>
    <t>B087D4XHNS</t>
  </si>
  <si>
    <t>Adjustable 3 Layered Chain. 2 Ball Chains and 1 Snake Chain with Beads</t>
  </si>
  <si>
    <t>S925-YEL-BRA-COIN-001-200</t>
  </si>
  <si>
    <t>B08ZT12JR3</t>
  </si>
  <si>
    <t>Adjustable Gold Plated Bracelet with Coins</t>
  </si>
  <si>
    <t>S925-ROS-EAR-SWA-002-261</t>
  </si>
  <si>
    <t>B08CXV5JZK</t>
  </si>
  <si>
    <t>Stud Earrings with Swarovski. LIGHT SILK</t>
  </si>
  <si>
    <t>S925-ROS-EAR-SWA-002-280</t>
  </si>
  <si>
    <t>B08CXLVPPF</t>
  </si>
  <si>
    <t>Stud Earrings with Swarovski. JET</t>
  </si>
  <si>
    <t>S925-WHI-EAR-SWA-002-001</t>
  </si>
  <si>
    <t>B08CXHGKYR</t>
  </si>
  <si>
    <t>Stud Earrings with Swarovski. CRYSTAL</t>
  </si>
  <si>
    <t>S925-WHI-EAR-SWA-002-001-AB</t>
  </si>
  <si>
    <t>B08CXMXLDN</t>
  </si>
  <si>
    <t>Stud Earrings with Swarovski. AURORA BOREALE</t>
  </si>
  <si>
    <t>S925-WHI-EAR-SWA-002-205</t>
  </si>
  <si>
    <t>B08CXQMDR1</t>
  </si>
  <si>
    <t>Stud Earrings with Swarovski. EMERALD</t>
  </si>
  <si>
    <t>S925-WHI-EAR-SWA-002-206</t>
  </si>
  <si>
    <t>B08CXKT94H</t>
  </si>
  <si>
    <t>Stud Earrings with Swarovski. SAPPHIRE</t>
  </si>
  <si>
    <t>S925-WHI-EAR-SWA-002-209</t>
  </si>
  <si>
    <t>B08CXX352G</t>
  </si>
  <si>
    <t>Stud Earrings with Swarovski. ROSE</t>
  </si>
  <si>
    <t>S925-WHI-EAR-SWA-002-215</t>
  </si>
  <si>
    <t>B08CXR1M6C</t>
  </si>
  <si>
    <t>Stud Earrings with Swarovski. BLACK DIAMOND</t>
  </si>
  <si>
    <t>S925-WHI-EAR-SWA-002-234</t>
  </si>
  <si>
    <t>B08CXJD935</t>
  </si>
  <si>
    <t>Stud Earrings with Swarovski. WHITE OPAL</t>
  </si>
  <si>
    <t>S925-WHI-EAR-SWA-002-238</t>
  </si>
  <si>
    <t>B08CXLTJ2Q</t>
  </si>
  <si>
    <t>Stud Earrings with Swarovski. CHRYSOLITE</t>
  </si>
  <si>
    <t>S925-WHI-EAR-SWA-002-263</t>
  </si>
  <si>
    <t>B08CXFTTTY</t>
  </si>
  <si>
    <t>Stud Earrings with Swarovski. LIGHT TURQUOISE</t>
  </si>
  <si>
    <t>S925-WHI-EAR-SWA-002-266</t>
  </si>
  <si>
    <t>B08CXN1B8Y</t>
  </si>
  <si>
    <t>Stud Earrings with Swarovski. DENIM BLUE</t>
  </si>
  <si>
    <t>S925-WHI-EAR-SWA-002-280</t>
  </si>
  <si>
    <t>B08CXKT7P2</t>
  </si>
  <si>
    <t>S925-WHI-EAR-SWA-002-296</t>
  </si>
  <si>
    <t>B08CXPY2RR</t>
  </si>
  <si>
    <t>Stud Earrings with Swarovski. MAJESTIC BLUE</t>
  </si>
  <si>
    <t>S925-YEL-EAR-SWA-002-001</t>
  </si>
  <si>
    <t>B08CXL6KJH</t>
  </si>
  <si>
    <t>S925-WHI-EAR-CUFF-001</t>
  </si>
  <si>
    <t>B08NQ4W888</t>
  </si>
  <si>
    <t>S925-WHI-EAR-CUFF-002</t>
  </si>
  <si>
    <t>B08NQ42WC1</t>
  </si>
  <si>
    <t>S925-WHI-EAR-CUFF-003</t>
  </si>
  <si>
    <t>B08NQ44RB1</t>
  </si>
  <si>
    <t>S925-WHI-EAR-CUFF-004</t>
  </si>
  <si>
    <t>B08NQ4VDR8</t>
  </si>
  <si>
    <t>S925-WHI-EAR-CUFF-005</t>
  </si>
  <si>
    <t>B08NQ4WCBL</t>
  </si>
  <si>
    <t>S925-WHI-EAR-CUFF-006</t>
  </si>
  <si>
    <t>B08NQ35WQT</t>
  </si>
  <si>
    <t>S925-WHI-EAR-CUFF-007</t>
  </si>
  <si>
    <t>B08NQ57V79</t>
  </si>
  <si>
    <t>S925-WHI-RIN-CEL-001</t>
  </si>
  <si>
    <t>B08C35MTZ6</t>
  </si>
  <si>
    <t>Celtic Adjustable Braid Ring</t>
  </si>
  <si>
    <t>S925-WHI-RIN-CEL-002</t>
  </si>
  <si>
    <t>B08C34BKFF</t>
  </si>
  <si>
    <t>Celtic Adjustable Feather Ring</t>
  </si>
  <si>
    <t>S925-WHI-RIN-CEL-003</t>
  </si>
  <si>
    <t>B08C34VPKM</t>
  </si>
  <si>
    <t>Celtic Adjustable Interlace Ring</t>
  </si>
  <si>
    <t>S925-WHI-RIN-CEL-004</t>
  </si>
  <si>
    <t>B08C35FS73</t>
  </si>
  <si>
    <t>Celtic Adjustable Knot Ring</t>
  </si>
  <si>
    <t>S925-WHI-RIN-CEL-005</t>
  </si>
  <si>
    <t>B08C34Z2NK</t>
  </si>
  <si>
    <t>Celtic Adjustable Shield Ring</t>
  </si>
  <si>
    <t>S925-WHI-RIN-CEL-006-J</t>
  </si>
  <si>
    <t>B08C34PJMC</t>
  </si>
  <si>
    <t>Celtic Braid Ring - J</t>
  </si>
  <si>
    <t>S925-WHI-RIN-CEL-006-L</t>
  </si>
  <si>
    <t>B08C34DGJD</t>
  </si>
  <si>
    <t>Celtic Braid Ring - L</t>
  </si>
  <si>
    <t>S925-WHI-RIN-CEL-006-M</t>
  </si>
  <si>
    <t>B08C35VZK9</t>
  </si>
  <si>
    <t>Celtic Braid Ring - M</t>
  </si>
  <si>
    <t>S925-WHI-RIN-CEL-006-N</t>
  </si>
  <si>
    <t>B08C34NJ4G</t>
  </si>
  <si>
    <t>Celtic Braid Ring - N</t>
  </si>
  <si>
    <t>S925-WHI-RIN-CEL-006-O</t>
  </si>
  <si>
    <t>B08C35SP74</t>
  </si>
  <si>
    <t>Celtic Braid Ring - O</t>
  </si>
  <si>
    <t>S925-WHI-RIN-CEL-006-Q</t>
  </si>
  <si>
    <t>B08C348HVN</t>
  </si>
  <si>
    <t>Celtic Braid Ring - Q</t>
  </si>
  <si>
    <t>S925-WHI-RIN-GEM-001-J</t>
  </si>
  <si>
    <t>B08C32SND1</t>
  </si>
  <si>
    <t>Ring with CZ - J</t>
  </si>
  <si>
    <t>S925-WHI-RIN-GEM-001-L</t>
  </si>
  <si>
    <t>B08C34MCWL</t>
  </si>
  <si>
    <t>Ring with CZ - L</t>
  </si>
  <si>
    <t>S925-WHI-RIN-GEM-001-M</t>
  </si>
  <si>
    <t>B08C34P7W7</t>
  </si>
  <si>
    <t>Ring with CZ - M</t>
  </si>
  <si>
    <t>S925-WHI-RIN-GEM-001-N</t>
  </si>
  <si>
    <t>B08C33X17L</t>
  </si>
  <si>
    <t>Ring with CZ - N</t>
  </si>
  <si>
    <t>S925-WHI-RIN-GEM-001-O</t>
  </si>
  <si>
    <t>B08C3661GY</t>
  </si>
  <si>
    <t>Ring with CZ - O</t>
  </si>
  <si>
    <t>S925-WHI-RIN-GEM-001-Q</t>
  </si>
  <si>
    <t>B08C343PST</t>
  </si>
  <si>
    <t>Ring with CZ - Q</t>
  </si>
  <si>
    <t>S925-WHI-PEN-LEAF-001</t>
  </si>
  <si>
    <t>B091FSR26S</t>
  </si>
  <si>
    <t>Pendant - Leaves - Flat Leaf</t>
  </si>
  <si>
    <t>S925-WHI-PEN-LEAF-002</t>
  </si>
  <si>
    <t>B091FRW8WS</t>
  </si>
  <si>
    <t>Pendant - Leaves - Curved Leaf</t>
  </si>
  <si>
    <t>S925-WHI-PEN-LEAF-003</t>
  </si>
  <si>
    <t>B091FSWXY3</t>
  </si>
  <si>
    <t>Pendant - Leaves - Four-Leaf Clover</t>
  </si>
  <si>
    <t>S925-WHI-PEN-BALL-001</t>
  </si>
  <si>
    <t>B091FS5G8F</t>
  </si>
  <si>
    <t>Pendant - Ball - Moon</t>
  </si>
  <si>
    <t>S925-WHI-PEN-COIN-002</t>
  </si>
  <si>
    <t>B091FQ62VJ</t>
  </si>
  <si>
    <t>Pendant - Coins - Eye of Providence/God</t>
  </si>
  <si>
    <t>S925-WHI-PEN-STAR-001</t>
  </si>
  <si>
    <t>B091FRLRDB</t>
  </si>
  <si>
    <t>Pendant - Stars - David Star</t>
  </si>
  <si>
    <t>S925-WHI-PEN-ANML-001</t>
  </si>
  <si>
    <t>B091FRRZGQ</t>
  </si>
  <si>
    <t>Pendant - Animals - Dolphin</t>
  </si>
  <si>
    <t>S925-WHI-PEN-SEA-001</t>
  </si>
  <si>
    <t>B091FS72KX</t>
  </si>
  <si>
    <t>Pendant - Sea - Anchor</t>
  </si>
  <si>
    <t>S925-WHI-PEN-MUS-001</t>
  </si>
  <si>
    <t>B091FQPMZK</t>
  </si>
  <si>
    <t>Pendant - Music - Music Note</t>
  </si>
  <si>
    <t>S925-WHI-PEN-KEY-001</t>
  </si>
  <si>
    <t>B091FRDB42</t>
  </si>
  <si>
    <t>Pendant - Key</t>
  </si>
  <si>
    <t>S925-WHI-PEN-PLOC-001</t>
  </si>
  <si>
    <t>B091FRN6MN</t>
  </si>
  <si>
    <t>Pendant - Padlock</t>
  </si>
  <si>
    <t>S925-WHI-EAR-STUD-010</t>
  </si>
  <si>
    <t>B08J89FDQR</t>
  </si>
  <si>
    <t>Stud Earrings - Shell</t>
  </si>
  <si>
    <t>S925-WHI-EAR-STUD-011</t>
  </si>
  <si>
    <t>B08J87MT2X</t>
  </si>
  <si>
    <t>Stud Earrings - Turtle</t>
  </si>
  <si>
    <t>S925-WHI-EAR-STUD-012</t>
  </si>
  <si>
    <t>B08J887BY3</t>
  </si>
  <si>
    <t>Stud Earrings - Sea Star</t>
  </si>
  <si>
    <t>S925-WHI-EAR-STUD-013</t>
  </si>
  <si>
    <t>B08J8712Z4</t>
  </si>
  <si>
    <t>Stud Earrings - Fish Bone</t>
  </si>
  <si>
    <t>S925-WHI-EAR-STUD-014</t>
  </si>
  <si>
    <t>B08J87RYMD</t>
  </si>
  <si>
    <t>Stud Earrings - Leaf</t>
  </si>
  <si>
    <t>S925-WHI-EAR-STUD-015</t>
  </si>
  <si>
    <t>B08J8BRHCZ</t>
  </si>
  <si>
    <t>Stud Earrings - Celtic Design</t>
  </si>
  <si>
    <t>S925-WHI-EAR-STUD-016</t>
  </si>
  <si>
    <t>B08J846JBG</t>
  </si>
  <si>
    <t>Stud Earrings - Owl</t>
  </si>
  <si>
    <t>S925-WHI-EAR-STUD-017</t>
  </si>
  <si>
    <t>B08J88JQTR</t>
  </si>
  <si>
    <t>Stud Earrings - Angel Wings</t>
  </si>
  <si>
    <t>S925-WHI-EAR-STUD-018</t>
  </si>
  <si>
    <t>B08J884SGN</t>
  </si>
  <si>
    <t xml:space="preserve">Stud Earrings - Interlocking Circles </t>
  </si>
  <si>
    <t>S925-WHI-EAR-STUD-019</t>
  </si>
  <si>
    <t>B08J89ZYXP</t>
  </si>
  <si>
    <t>Stud Earrings - Snake</t>
  </si>
  <si>
    <t>S925-WHI-EAR-STUD-020</t>
  </si>
  <si>
    <t>B08J8CB3KB</t>
  </si>
  <si>
    <t>Stud Earrings - Knot</t>
  </si>
  <si>
    <t>S925-WHI-EAR-STUD-021</t>
  </si>
  <si>
    <t>B08J89S5PD</t>
  </si>
  <si>
    <t>Stud Earrings - Unicorn</t>
  </si>
  <si>
    <t>S925-WHI-RIN-TOE-005</t>
  </si>
  <si>
    <t>B08C34DY3Z</t>
  </si>
  <si>
    <t>Toe Ring - Leaf/Feather</t>
  </si>
  <si>
    <t>S925-WHI-PEN-LOC-006</t>
  </si>
  <si>
    <t>B08Z4869H6</t>
  </si>
  <si>
    <t>Pendant - Locket with a Plant</t>
  </si>
  <si>
    <t>S925-WHI-EAR-CRAW-007</t>
  </si>
  <si>
    <t>B08NQZ8G92</t>
  </si>
  <si>
    <t>Crawler Earrings with Hearts</t>
  </si>
  <si>
    <t>S925-WHI-EAR-CRAW-008-WH</t>
  </si>
  <si>
    <t>B08NQZ8SNT</t>
  </si>
  <si>
    <t>Crawler Earrings with White CZ</t>
  </si>
  <si>
    <t>S925-WHI-EAR-CRAW-009-PNK</t>
  </si>
  <si>
    <t>B08NQ37246</t>
  </si>
  <si>
    <t>Crawler Earrings with Pink CZ</t>
  </si>
  <si>
    <t>S925-WHI-EAR-DROP-006</t>
  </si>
  <si>
    <t>B08PC5RJC8</t>
  </si>
  <si>
    <t>Drop Earrings - Asymmetrical Cubes</t>
  </si>
  <si>
    <t>S925-WHI-EAR-DROP-007</t>
  </si>
  <si>
    <t>B08PC64BC9</t>
  </si>
  <si>
    <t>Drop Earrings - Flower</t>
  </si>
  <si>
    <t>S925-WHI-EAR-DROP-008</t>
  </si>
  <si>
    <t>B08PC6F2G3</t>
  </si>
  <si>
    <t>Drop Earrings - Keys</t>
  </si>
  <si>
    <t>S925-WHI-EAR-DROP-009</t>
  </si>
  <si>
    <t>B08PC8RXQN</t>
  </si>
  <si>
    <t>Drop Earrings - Music Note</t>
  </si>
  <si>
    <t>S925-WHI-EAR-DROP-010</t>
  </si>
  <si>
    <t>B08PC7P4DG</t>
  </si>
  <si>
    <t>Drop Earrings - Flower Countour</t>
  </si>
  <si>
    <t>S925-WHI-EAR-DROP-011</t>
  </si>
  <si>
    <t>B08PC6PM4R</t>
  </si>
  <si>
    <t>Drop Earrings - Celtic Shield</t>
  </si>
  <si>
    <t>S925-WHI-EAR-DROP-012</t>
  </si>
  <si>
    <t>B08PC621HT</t>
  </si>
  <si>
    <t>Drop Earrings - 3 Interlocking Circles</t>
  </si>
  <si>
    <t>S925-WHI-EAR-DROP-013</t>
  </si>
  <si>
    <t>B08PC7RRS5</t>
  </si>
  <si>
    <t>Drop Earrings - Padlock and Key</t>
  </si>
  <si>
    <t>S925-WHI-EAR-DROP-014</t>
  </si>
  <si>
    <t>B08PC7HL1K</t>
  </si>
  <si>
    <t>Drop Earrings - Celtic Square</t>
  </si>
  <si>
    <t>S925-WHI-EAR-DROP-015</t>
  </si>
  <si>
    <t>B08PC4VQPZ</t>
  </si>
  <si>
    <t>Drop Earrings - Gothic Heart</t>
  </si>
  <si>
    <t>S925-WHI-EAR-DROP-016</t>
  </si>
  <si>
    <t>B08PC8YPWJ</t>
  </si>
  <si>
    <t>Drop Earrings - Small and Big White CZ</t>
  </si>
  <si>
    <t>S925-YEL-BRA-CHA-042-180</t>
  </si>
  <si>
    <t>B08F7XK7MR</t>
  </si>
  <si>
    <t>Singapore chain bracelet - gold plated</t>
  </si>
  <si>
    <t>S925-YEL-BRA-CHA-042-190</t>
  </si>
  <si>
    <t>B08F7XTF68</t>
  </si>
  <si>
    <t>S925-ROS-BRA-CHA-042-180</t>
  </si>
  <si>
    <t>B08FTMH29W</t>
  </si>
  <si>
    <t>Singapore chain bracelet - rose plated</t>
  </si>
  <si>
    <t>S925-ROS-BRA-CHA-042-190</t>
  </si>
  <si>
    <t>B08FTJP1RV</t>
  </si>
  <si>
    <t>S925-YEL-BRA-CHA-004-200</t>
  </si>
  <si>
    <t>B08KRSQX81</t>
  </si>
  <si>
    <t>Link chain - Charm Bracelet</t>
  </si>
  <si>
    <t>S925-ROS-BRA-CHA-004-200</t>
  </si>
  <si>
    <t>B08KRSV2FM</t>
  </si>
  <si>
    <t>BIA-S925-CHAIN-001-030-400</t>
  </si>
  <si>
    <t>B00D94C26O</t>
  </si>
  <si>
    <t>Curb Chain 1.1 mm thick</t>
  </si>
  <si>
    <t>G9K-YEL-PEN-COIN-001</t>
  </si>
  <si>
    <t>B08MFPYD6Y</t>
  </si>
  <si>
    <t>St Christopher Octogonal Coin Pendant</t>
  </si>
  <si>
    <t>G9K-YEL-PEN-COIN-002</t>
  </si>
  <si>
    <t>B08MFP6S9X</t>
  </si>
  <si>
    <t>O'Maria Virgin Mary Oval Coin Pendant</t>
  </si>
  <si>
    <t>G9K-YEL-PEN-CROS-001</t>
  </si>
  <si>
    <t>B08MFQ9GX5</t>
  </si>
  <si>
    <t>Small Cross Pendant</t>
  </si>
  <si>
    <t>G9K-YEL-PEN-CROS-002</t>
  </si>
  <si>
    <t>B08MFRFP67</t>
  </si>
  <si>
    <t>Medium Cross Pendant</t>
  </si>
  <si>
    <t>G9K-YEL-PEN-CROS-003</t>
  </si>
  <si>
    <t>B08MFPM4MT</t>
  </si>
  <si>
    <t>Flat Cross Pendant</t>
  </si>
  <si>
    <t>G9K-YEL-PEN-CROS-004</t>
  </si>
  <si>
    <t>B08MFPD6T2</t>
  </si>
  <si>
    <t>Cross with Jesus Christ Pendant</t>
  </si>
  <si>
    <t>G9K-YEL-PEN-CROS-005</t>
  </si>
  <si>
    <t>B08MFPCLM5</t>
  </si>
  <si>
    <t>Celtic Cross Pendant</t>
  </si>
  <si>
    <t>G9K-YEL-PEN-HART-001</t>
  </si>
  <si>
    <t>B08WPDB9G5</t>
  </si>
  <si>
    <t>Heart Shape Pendant</t>
  </si>
  <si>
    <t>G9K-YEL-PEN-KEY-001</t>
  </si>
  <si>
    <t>B08WPD6WV5</t>
  </si>
  <si>
    <t>Key Pendant</t>
  </si>
  <si>
    <t>S925-WHI-EAR-HOOP-008-025</t>
  </si>
  <si>
    <t>B08P3K95HY</t>
  </si>
  <si>
    <t>Beaded Hoops with post notch</t>
  </si>
  <si>
    <t>S925-WHI-EAR-HOOP-009-020</t>
  </si>
  <si>
    <t>B08P3KDVBZ</t>
  </si>
  <si>
    <t>Textured Hoops with post notch</t>
  </si>
  <si>
    <t>S925-WHI-EAR-HOOP-010-020</t>
  </si>
  <si>
    <t>B08P3HR1R4</t>
  </si>
  <si>
    <t>Twisted Hoops with two textures and post notch</t>
  </si>
  <si>
    <t>S925-WHI-EAR-HOOP-011-025</t>
  </si>
  <si>
    <t>B08P3HWL2P</t>
  </si>
  <si>
    <t>Flat Mayan Hoops with post notch</t>
  </si>
  <si>
    <t>S925-WHI-EAR-HOOP-012-020</t>
  </si>
  <si>
    <t>B08P3JRT26</t>
  </si>
  <si>
    <t>Polished Curb Open Hoops with butterfly back</t>
  </si>
  <si>
    <t>S925-WHI-EAR-HOOP-013-020</t>
  </si>
  <si>
    <t>B08P3J83NZ</t>
  </si>
  <si>
    <t>Spiral Open Hoops with butterfly back</t>
  </si>
  <si>
    <t>S925-WHI-EAR-HOOP-014-025</t>
  </si>
  <si>
    <t>B08P3KHBKC</t>
  </si>
  <si>
    <t>Polished Twisted Open Hoops with butterfly back</t>
  </si>
  <si>
    <t>S925-WHI-EAR-HOOP-015-035</t>
  </si>
  <si>
    <t>B08P3KRGGG</t>
  </si>
  <si>
    <t>Big Polished Curb Open Hoops with butterfly back (hexagon)</t>
  </si>
  <si>
    <t>S925-WHI-EAR-DROP-017</t>
  </si>
  <si>
    <t>B08PC57JQL</t>
  </si>
  <si>
    <t>Polished Infinity Drop Earrings with post notch</t>
  </si>
  <si>
    <t>S925-WHI-EAR-DROP-018</t>
  </si>
  <si>
    <t>B08PC9HQJX</t>
  </si>
  <si>
    <t>Big Single Heart Drop Earrings with butterfly back</t>
  </si>
  <si>
    <t>S925-WHI-PEN-CROS-001</t>
  </si>
  <si>
    <t>B08MFPJZGP</t>
  </si>
  <si>
    <t>Polished Medium Cross Pendant</t>
  </si>
  <si>
    <t>S925-WHI-PEN-CROS-002</t>
  </si>
  <si>
    <t>B08MFPMK65</t>
  </si>
  <si>
    <t>Polished Small Flat Cross Pendant for Kids</t>
  </si>
  <si>
    <t>S925-WHI-PEN-CROS-003</t>
  </si>
  <si>
    <t>B08MFPGSKG</t>
  </si>
  <si>
    <t>Polished Big Cross Pendant</t>
  </si>
  <si>
    <t>S925-WHI-PEN-CROS-004</t>
  </si>
  <si>
    <t>B08MFNMZNP</t>
  </si>
  <si>
    <t>Engraved Medium Celtic Cross Pendant</t>
  </si>
  <si>
    <t>S925-WHI-PEN-CROS-005</t>
  </si>
  <si>
    <t>B08MFQCP6F</t>
  </si>
  <si>
    <t>Engraved Small Celtic Cross Pendant</t>
  </si>
  <si>
    <t>S925-WHI-PEN-CROS-006</t>
  </si>
  <si>
    <t>B08MFP1L2H</t>
  </si>
  <si>
    <t>Engraved Viking Axe/Cross Pendant</t>
  </si>
  <si>
    <t>S925-WHI-PEN-CROS-007</t>
  </si>
  <si>
    <t>B08MFN64Q6</t>
  </si>
  <si>
    <t>Hammered Cross Pendant</t>
  </si>
  <si>
    <t>S925-WHI-PEN-CROS-008</t>
  </si>
  <si>
    <t>B08MFQ5FVJ</t>
  </si>
  <si>
    <t>Engraved Cross with Knot Pendant</t>
  </si>
  <si>
    <t>S925-WHI-PEN-CROS-009</t>
  </si>
  <si>
    <t>B08MFQYKCR</t>
  </si>
  <si>
    <t>S925-ROS-EAR-STUD-022</t>
  </si>
  <si>
    <t>B08J88JZ2Q</t>
  </si>
  <si>
    <t>Rose Gold Plated Small Thick Heart Studs</t>
  </si>
  <si>
    <t>S925-WHI-EAR-STUD-022</t>
  </si>
  <si>
    <t>B08J8BHNF6</t>
  </si>
  <si>
    <t>Small Thick Heart Studs</t>
  </si>
  <si>
    <t>S925-YEL-EAR-STUD-022</t>
  </si>
  <si>
    <t>B08J889B27</t>
  </si>
  <si>
    <t>Yellow Gold Plated Small Thick Heart Studs</t>
  </si>
  <si>
    <t>S925-WHI-EAR-HOOP-016-020</t>
  </si>
  <si>
    <t>B08P3J9956</t>
  </si>
  <si>
    <t>Half Pave Half Openwork Hoops with Post Notch</t>
  </si>
  <si>
    <t>S925-WHI-EAR-HOOP-017-020</t>
  </si>
  <si>
    <t>B08P3KYWMH</t>
  </si>
  <si>
    <t>Complete Pave Hoops with Post Notch</t>
  </si>
  <si>
    <t>S925-WHI-PEN-LOC-007</t>
  </si>
  <si>
    <t>B08Z48GFWM</t>
  </si>
  <si>
    <t>Locket - Coin 2 Pictures</t>
  </si>
  <si>
    <t>S925-WHI-PEN-LOC-008</t>
  </si>
  <si>
    <t>B08Z4BFXWM</t>
  </si>
  <si>
    <t>Locket - Heart 4 Pictures</t>
  </si>
  <si>
    <t>S925-WHI-PEN-LOC-009</t>
  </si>
  <si>
    <t>B08Z4B7LSJ</t>
  </si>
  <si>
    <t>Locket - Leaves Engraving 4 Pictures</t>
  </si>
  <si>
    <t>S925-WHI-NEC-PEN-008</t>
  </si>
  <si>
    <t>Not listed</t>
  </si>
  <si>
    <t>Rolo Chain with Heart Shape Pendant with White Swarovski Crystals</t>
  </si>
  <si>
    <t>S925-ROS-NEC-PEN-008</t>
  </si>
  <si>
    <t>Rose Gold Plated Rolo Chain with Heart Shape Pendant with Multicolour Swarovski Crystals</t>
  </si>
  <si>
    <t>S925-WHI-EAR-SWA-003-001</t>
  </si>
  <si>
    <t>Stud Heart Earrings with White Swarovski Crystals</t>
  </si>
  <si>
    <t>S925-ROS-EAR-SWA-003-MUL</t>
  </si>
  <si>
    <t>Rose Gold Plated Stud Heart Earrings with Multicolour Swarovski Crystals</t>
  </si>
  <si>
    <t>S925-WHI-EAR-HOOP-018-020</t>
  </si>
  <si>
    <t xml:space="preserve">Open Twisted Hoop in Dark Silver RH with Butterfly Back </t>
  </si>
  <si>
    <t>S925-WHI-EAR-HOOP-019-020</t>
  </si>
  <si>
    <t xml:space="preserve">Open Textured Hoop in Dark Silver RH with Butterfly Back </t>
  </si>
  <si>
    <t>S925-WHI-EAR-DROP-019</t>
  </si>
  <si>
    <t>B08PC6PZQZ</t>
  </si>
  <si>
    <t>Leaf / Feather Drop Earrings with White Swarowski Stone</t>
  </si>
  <si>
    <t>S925-WHI-EAR-SWA-004-001</t>
  </si>
  <si>
    <t>B08CWLTBX2</t>
  </si>
  <si>
    <t>Round Stud Earrings with Swarovski. CRYSTAL</t>
  </si>
  <si>
    <t>S925-WHI-EAR-SWA-004-001-AB</t>
  </si>
  <si>
    <t>B08CXGRPRS</t>
  </si>
  <si>
    <t>Round Stud Earrings with Swarovski. AURORE BOREALE</t>
  </si>
  <si>
    <t>S925-WHI-EAR-SWA-004-001-L103</t>
  </si>
  <si>
    <t>B08CXNV18Z</t>
  </si>
  <si>
    <t>Round Stud Earrings with Swarovski. POWDER ROSE</t>
  </si>
  <si>
    <t>S925-WHI-EAR-SWA-004-246</t>
  </si>
  <si>
    <t>B08CXWDLP1</t>
  </si>
  <si>
    <t>Round Stud Earrings with Swarovski. LIGHT COLORADO TOPAZ</t>
  </si>
  <si>
    <t>S925-WHI-EAR-SWA-004-202</t>
  </si>
  <si>
    <t>B08CXVYFT9</t>
  </si>
  <si>
    <t>Round Stud Earrings with Swarovski. AQUAMARINE</t>
  </si>
  <si>
    <t>S925-WHI-EAR-SWA-004-207</t>
  </si>
  <si>
    <t>B08CX45BP1</t>
  </si>
  <si>
    <t>Round Stud Earrings with Swarovski. MONTANA</t>
  </si>
  <si>
    <t>S925-WHI-EAR-SWA-005-001</t>
  </si>
  <si>
    <t>B08CXRHBFJ</t>
  </si>
  <si>
    <t>Square Stud Earrings with Swarovski. CRYSTAL</t>
  </si>
  <si>
    <t>S925-WHI-EAR-SWA-005-001-AB</t>
  </si>
  <si>
    <t>B08CXS1VKP</t>
  </si>
  <si>
    <t>Square Stud Earrings with Swarovski. AURORE BOREALE</t>
  </si>
  <si>
    <t>S925-WHI-EAR-SWA-005-001-L103</t>
  </si>
  <si>
    <t>B08CXMLHK9</t>
  </si>
  <si>
    <t>Square Stud Earrings with Swarovski. POWDER ROSE</t>
  </si>
  <si>
    <t>S925-WHI-EAR-SWA-005-246</t>
  </si>
  <si>
    <t>B08CXPW5XR</t>
  </si>
  <si>
    <t>Square Stud Earrings with Swarovski. LIGHT COLORADO TOPAZ</t>
  </si>
  <si>
    <t>S925-WHI-EAR-SWA-005-202</t>
  </si>
  <si>
    <t>B08CXS1VKY</t>
  </si>
  <si>
    <t>Square Stud Earrings with Swarovski. AQUAMARINE</t>
  </si>
  <si>
    <t>S925-WHI-EAR-SWA-005-266</t>
  </si>
  <si>
    <t>B08CXM16GW</t>
  </si>
  <si>
    <t>Square Stud Earrings with Swarovski. DENIM BLUE</t>
  </si>
  <si>
    <t>S925-WHI-NEC-CHA-024-047-450</t>
  </si>
  <si>
    <t>B08LW3T1NG</t>
  </si>
  <si>
    <t>Chain - Super Flat Curb - Gauge 120 - Width 4.7 mm - Length 45 cm</t>
  </si>
  <si>
    <t>S925-WHI-NEC-CHA-024-047-500</t>
  </si>
  <si>
    <t>B08LW3RVMX</t>
  </si>
  <si>
    <t>Chain - Super Flat Curb - Gauge 120 - Width 4.7 mm - Length 50 cm</t>
  </si>
  <si>
    <t>S925-WHI-NEC-CHA-024-055-500</t>
  </si>
  <si>
    <t>B08LW4GWKZ</t>
  </si>
  <si>
    <t>Chain - Super Flat Curb - Gauge 150 - Width 5.5 mm - Length 50 cm</t>
  </si>
  <si>
    <t>S925-WHI-NEC-CHA-024-055-550</t>
  </si>
  <si>
    <t>B08LW5ZY2C</t>
  </si>
  <si>
    <t>Chain - Super Flat Curb - Gauge 150 - Width 5.5 mm - Length 55 cm</t>
  </si>
  <si>
    <t>S925-WHI-NEC-CHA-024-079-500</t>
  </si>
  <si>
    <t>B08LW65TPH</t>
  </si>
  <si>
    <t>Chain - Super Flat Curb - Gauge 200 - Width 7.9 mm - Length 50 cm</t>
  </si>
  <si>
    <t>S925-WHI-NEC-CHA-024-079-550</t>
  </si>
  <si>
    <t>B08LW3Y5D4</t>
  </si>
  <si>
    <t>Chain - Super Flat Curb - Gauge 200 - Width 7.9 mm - Length 55 cm</t>
  </si>
  <si>
    <t>S925-WHI-NEC-CHA-025-047-450</t>
  </si>
  <si>
    <t>B08LW53JQ3</t>
  </si>
  <si>
    <t>Chain - Super Flat Figaro - Gauge 120 - Width 4.7 mm - Length 45 cm</t>
  </si>
  <si>
    <t>S925-WHI-NEC-CHA-025-047-500</t>
  </si>
  <si>
    <t>B08LW4NW2K</t>
  </si>
  <si>
    <t>Chain - Super Flat Figaro - Gauge 120 - Width 4.7 mm - Length 50 cm</t>
  </si>
  <si>
    <t>S925-WHI-NEC-CHA-025-055-500</t>
  </si>
  <si>
    <t>B08LW5BJ84</t>
  </si>
  <si>
    <t>Chain - Super Flat Figaro - Gauge 150 - Width 5.5 mm - Length 50 cm</t>
  </si>
  <si>
    <t>S925-WHI-NEC-CHA-025-055-550</t>
  </si>
  <si>
    <t>B08LW67L49</t>
  </si>
  <si>
    <t>Chain - Super Flat Figaro - Gauge 150 - Width 5.5 mm - Length 55 cm</t>
  </si>
  <si>
    <t>S925-WHI-NEC-CHA-025-077-500</t>
  </si>
  <si>
    <t>B08LW4JTPS</t>
  </si>
  <si>
    <t>Chain - Super Flat Figaro - Gauge 180 - Width 7.7 mm - Length 50 cm</t>
  </si>
  <si>
    <t>S925-WHI-NEC-CHA-025-077-550</t>
  </si>
  <si>
    <t>B08LW4B9ZY</t>
  </si>
  <si>
    <t>Chain - Super Flat Figaro - Gauge 180 - Width 7.7 mm - Length 55 cm</t>
  </si>
  <si>
    <t>S925-BAW-BRA-CHA-012-190</t>
  </si>
  <si>
    <t>B08LGR98JB</t>
  </si>
  <si>
    <t>Bracelet - Herringbone 2W1B - Gauge 040 each - Width 4.5 mm - Length 19 cm</t>
  </si>
  <si>
    <t>S925-BAW-NEC-CHA-016-045-450</t>
  </si>
  <si>
    <t>B08LGY5RXS</t>
  </si>
  <si>
    <t>Chain - Herringbone 2W1B - Gauge 040 each - Width 4.5 mm - Length 45 cm</t>
  </si>
  <si>
    <t>G9K-YEL-BRA-CHA-002-190</t>
  </si>
  <si>
    <t>B09311RFPZ</t>
  </si>
  <si>
    <t>Oval Link Chain Bracelet - Width 4.4 mm - Length 19 cm</t>
  </si>
  <si>
    <t>G9K-YEL-BRA-CHA-003-190</t>
  </si>
  <si>
    <t>B09314BZFT</t>
  </si>
  <si>
    <t>Round Link Chain Bracelet - Width 5.0 mm - Length 19 cm</t>
  </si>
  <si>
    <t>G10K-YEL-BRA-CHA-004-200</t>
  </si>
  <si>
    <t>B09KSB4XFK</t>
  </si>
  <si>
    <t>Flat Curb Chain Bracelet - Width 5.8 mm - Length 20 cm</t>
  </si>
  <si>
    <t>S925-WHI-BRA-CHA-044-190</t>
  </si>
  <si>
    <t>B08L5FQJ3K</t>
  </si>
  <si>
    <t>Square Byzantine Chain Bracelet - Width 4.7 mm - Length 19 cm</t>
  </si>
  <si>
    <t>S925-WHI-BRA-CHA-044-200</t>
  </si>
  <si>
    <t>B08L5FZDV4</t>
  </si>
  <si>
    <t>Square Byzantine Chain Bracelet - Width 4.7 mm - Length 20 cm</t>
  </si>
  <si>
    <t>S925-WHI-COM-NAE-001</t>
  </si>
  <si>
    <t>B08CXL4LD1</t>
  </si>
  <si>
    <t>SET: Rolo Chain with Heart Shape Pendant + Stud Heart Earrings with White Swarovski Crystals</t>
  </si>
  <si>
    <t>S925-ROS-COM-NAE-001</t>
  </si>
  <si>
    <t>B08CXPL628</t>
  </si>
  <si>
    <t>SET: Rose Gold Plated Rolo Chain with Heart Shape Pendant + Stud Heart Earrings with Multicolour Swarovski Crystals</t>
  </si>
  <si>
    <t>S925-YEL-NEC-CHA-026-047-450</t>
  </si>
  <si>
    <t>B08L5FPM3T</t>
  </si>
  <si>
    <t>Round Byzantine Chain Necklace- Width 4.7 mm-Length 45cm</t>
  </si>
  <si>
    <t>S925-YEL-NEC-CHA-026-047-650</t>
  </si>
  <si>
    <t>B08L5GM72G</t>
  </si>
  <si>
    <t>Round Byzantine Chain Necklace- Width 4.7 mm-Length 65cm</t>
  </si>
  <si>
    <t>S925-YEL-BRA-CHA-020-200</t>
  </si>
  <si>
    <t>B091V3CDL4</t>
  </si>
  <si>
    <t>Gold Plated Heart Chain</t>
  </si>
  <si>
    <t>S925-ROS-BRA-CHA-020-200</t>
  </si>
  <si>
    <t>B091V3TMGW</t>
  </si>
  <si>
    <t>Rose Plated Heart Chain</t>
  </si>
  <si>
    <t>S925-WHI-EAR-STUD-PERL-001-6to7</t>
  </si>
  <si>
    <t>B08ZSTHD3P</t>
  </si>
  <si>
    <t>Silver Pearl Studs (white) - 6 to 7 mm</t>
  </si>
  <si>
    <t>S925-WHI-EAR-STUD-PERL-001-7to8</t>
  </si>
  <si>
    <t>B08ZSVSK7Z</t>
  </si>
  <si>
    <t>Silver Pearl Studs (white) - 7 to 8 mm</t>
  </si>
  <si>
    <t>S925-WHI-EAR-STUD-PERL-001-9to10</t>
  </si>
  <si>
    <t>B08ZSSZDS8</t>
  </si>
  <si>
    <t>Silver Pearl Studs (white) - 9 to 10 mm</t>
  </si>
  <si>
    <t>S925-YEL-EAR-STUD-PERL-001-6to7</t>
  </si>
  <si>
    <t>B08ZSVZLK9</t>
  </si>
  <si>
    <t>Yellow Gold Plated Pearl Studs (white) - 6 to 7 mm</t>
  </si>
  <si>
    <t>S925-YEL-EAR-STUD-PERL-001-7to8</t>
  </si>
  <si>
    <t>B08ZSTPC2F</t>
  </si>
  <si>
    <t>Yellow Gold Plated Pearl Studs (white) - 7 to 8 mm</t>
  </si>
  <si>
    <t>S925-YEL-EAR-STUD-PERL-001-9to10</t>
  </si>
  <si>
    <t>B08ZSTH9H3</t>
  </si>
  <si>
    <t>Yellow Gold Plated Pearl Studs (white) - 9 to 10 mm</t>
  </si>
  <si>
    <t>S925-WHI-EAR-STUD-PERL-002-6to7</t>
  </si>
  <si>
    <t>B08ZSWSCXX</t>
  </si>
  <si>
    <t>Silver Pearl Studs (black) - 6 to 7 mm</t>
  </si>
  <si>
    <t>S925-WHI-EAR-STUD-PERL-002-7to8</t>
  </si>
  <si>
    <t>B08ZST4DBL</t>
  </si>
  <si>
    <t>Silver Pearl Studs (black) - 7 to 8 mm</t>
  </si>
  <si>
    <t>S925-WHI-EAR-STUD-PERL-002-9to10</t>
  </si>
  <si>
    <t>B08ZSTGZ6N</t>
  </si>
  <si>
    <t>Silver Pearl Studs (black) - 9 to 10 mm</t>
  </si>
  <si>
    <t>S925-WHI-EAR-HOOP-020-012</t>
  </si>
  <si>
    <t>B0943XX2SF</t>
  </si>
  <si>
    <t>Silver Huggie Hoops - Pave - 12 mm</t>
  </si>
  <si>
    <t>S925-YEL-EAR-HOOP-020-012</t>
  </si>
  <si>
    <t>B0943XS5HL</t>
  </si>
  <si>
    <t>GP Huggie Hoops - Pave - 12 mm</t>
  </si>
  <si>
    <t>S925-WHI-EAR-HOOP-020-020</t>
  </si>
  <si>
    <t>B0943YDNJC</t>
  </si>
  <si>
    <t>Silver Huggie Hoops - Pave - 20 mm</t>
  </si>
  <si>
    <t>S925-YEL-EAR-HOOP-020-020</t>
  </si>
  <si>
    <t>B0943WDXFR</t>
  </si>
  <si>
    <t>GP Huggie Hoops - Pave - 20 mm</t>
  </si>
  <si>
    <t>G9K-YEL-NEC-CHA-001-011-360</t>
  </si>
  <si>
    <t>B08XY2DJGF</t>
  </si>
  <si>
    <t>1.1mm Curb Chain 9K - 36cm</t>
  </si>
  <si>
    <t>G9K-YEL-NEC-CHA-001-011-450</t>
  </si>
  <si>
    <t>B08XY33TMG</t>
  </si>
  <si>
    <t>1.1mm Curb Chain 9K - 45cm</t>
  </si>
  <si>
    <t>G9K-YEL-NEC-CHA-001-011-500</t>
  </si>
  <si>
    <t>B08XY3GMG8</t>
  </si>
  <si>
    <t>1.1mm Curb Chain 9K - 50cm</t>
  </si>
  <si>
    <t>G9K-YEL-NEC-CHA-001-011-600</t>
  </si>
  <si>
    <t>B08XY4GZTZ</t>
  </si>
  <si>
    <t>1.1mm Curb Chain 9K - 60 cm</t>
  </si>
  <si>
    <t>S925-WHI-RIN-CEL-006-I</t>
  </si>
  <si>
    <t>B08R41TJSQ</t>
  </si>
  <si>
    <t>Celtic Braid Ring - I</t>
  </si>
  <si>
    <t>S925-WHI-RIN-CEL-006-K</t>
  </si>
  <si>
    <t>B08R3ZW9Y5</t>
  </si>
  <si>
    <t>Celtic Braid Ring - K</t>
  </si>
  <si>
    <t>S925-WHI-RIN-CEL-006-P</t>
  </si>
  <si>
    <t>B08R41X17V</t>
  </si>
  <si>
    <t>Celtic Braid Ring - P</t>
  </si>
  <si>
    <t>S925-WHI-RIN-CEL-006-R</t>
  </si>
  <si>
    <t>B08R42GF7S</t>
  </si>
  <si>
    <t>Celtic Braid Ring - R</t>
  </si>
  <si>
    <t>S925-WHI-RIN-CEL-006-S</t>
  </si>
  <si>
    <t>B08R424WXD</t>
  </si>
  <si>
    <t>Celtic Braid Ring - S</t>
  </si>
  <si>
    <t>S925-WHI-RIN-GEM-001-I</t>
  </si>
  <si>
    <t>B08R3W4FT3</t>
  </si>
  <si>
    <t>Ring with CZ - I</t>
  </si>
  <si>
    <t>S925-WHI-RIN-GEM-001-K</t>
  </si>
  <si>
    <t>B08R3ZN3TN</t>
  </si>
  <si>
    <t>Ring with CZ - K</t>
  </si>
  <si>
    <t>S925-WHI-RIN-GEM-001-P</t>
  </si>
  <si>
    <t>B08R41LNFD</t>
  </si>
  <si>
    <t>Ring with CZ - P</t>
  </si>
  <si>
    <t>S925-WHI-RIN-GEM-001-R</t>
  </si>
  <si>
    <t>B08R3ZVD3F</t>
  </si>
  <si>
    <t>Ring with CZ - R</t>
  </si>
  <si>
    <t>S925-WHI-RIN-GEM-001-S</t>
  </si>
  <si>
    <t>B08R42FXDB</t>
  </si>
  <si>
    <t>Ring with CZ - S</t>
  </si>
  <si>
    <t>S925-WHI-PEN-LOC-010</t>
  </si>
  <si>
    <t>B08Z49YBVT</t>
  </si>
  <si>
    <t>Silver Locket - Wings Design</t>
  </si>
  <si>
    <t>S925-WHI-PEN-LOC-011</t>
  </si>
  <si>
    <t>B08Z4B83GL</t>
  </si>
  <si>
    <t>Silver Locket - Engraved Angel Wings</t>
  </si>
  <si>
    <t>S925-WHI-EAR-STUD-SWA-006-202</t>
  </si>
  <si>
    <t>B099S943ZW</t>
  </si>
  <si>
    <t>Round Stud Earrings with Swarovski 4 pin crown - Aquamarine</t>
  </si>
  <si>
    <t>S925-WHI-EAR-STUD-SWA-006-001-BBL</t>
  </si>
  <si>
    <t>B099SCVL6Q</t>
  </si>
  <si>
    <t>Round Stud Earrings with Swarovski 4 pin crown - Bermuda Blue</t>
  </si>
  <si>
    <t>S925-WHI-EAR-STUD-SWA-006-296</t>
  </si>
  <si>
    <t>B099S9PSXN</t>
  </si>
  <si>
    <t>Round Stud Earrings with Swarovski 4 pin crown - Majestic Blue</t>
  </si>
  <si>
    <t>S925-WHI-EAR-STUD-SWA-006-266</t>
  </si>
  <si>
    <t>B099S9KP1Z</t>
  </si>
  <si>
    <t>Round Stud Earrings with Swarovski 4 pin crown - Dark Denim Blue</t>
  </si>
  <si>
    <t>S925-WHI-EAR-CUFF-008</t>
  </si>
  <si>
    <t>B09C6GRXJ6</t>
  </si>
  <si>
    <t>Silver Bali ear cuff: Rope and Knot pattern</t>
  </si>
  <si>
    <t>S925-WHI-EAR-CUFF-009</t>
  </si>
  <si>
    <t>B09C6JV3K6</t>
  </si>
  <si>
    <t>Silver Bali ear cuff: Wire pattern</t>
  </si>
  <si>
    <t>S925-WHI-EAR-CUFF-010</t>
  </si>
  <si>
    <t>B09C6J57RJ</t>
  </si>
  <si>
    <t>Silver Bali ear cuff: Rope and Ball pattern</t>
  </si>
  <si>
    <t>S925-WHI-EAR-CUFF-011</t>
  </si>
  <si>
    <t>B09C6HTNQB</t>
  </si>
  <si>
    <t>Silver Bali ear cuff: 3 ropes pattern</t>
  </si>
  <si>
    <t>S925-WHI-EAR-CUFF-012</t>
  </si>
  <si>
    <t>B09C6JQF6R</t>
  </si>
  <si>
    <t>Silver Bali ear cuff: 3 wires patern</t>
  </si>
  <si>
    <t>S925-WHI-EAR-CUFF-013</t>
  </si>
  <si>
    <t>B09C6HFJPM</t>
  </si>
  <si>
    <t>Silver Bali ear cuff: 3 ropes and wire pattern</t>
  </si>
  <si>
    <t>S925-WHI-RIN-HAM-001-K</t>
  </si>
  <si>
    <t>Silver Hammered ring: Size K</t>
  </si>
  <si>
    <t>S925-WHI-RIN-HAM-001-L</t>
  </si>
  <si>
    <t>Silver Hammered ring: Size L</t>
  </si>
  <si>
    <t>S925-WHI-RIN-HAM-001-M</t>
  </si>
  <si>
    <t>Silver Hammered ring: Size M</t>
  </si>
  <si>
    <t>S925-WHI-RIN-HAM-001-N</t>
  </si>
  <si>
    <t>Silver Hammered ring: Size N</t>
  </si>
  <si>
    <t>S925-WHI-RIN-HAM-001-O</t>
  </si>
  <si>
    <t>Silver Hammered ring: Size O</t>
  </si>
  <si>
    <t>S925-WHI-RIN-HAM-001-P</t>
  </si>
  <si>
    <t>Silver Hammered ring: Size P</t>
  </si>
  <si>
    <t>S925-WHI-RIN-HAM-001-Q</t>
  </si>
  <si>
    <t>Silver Hammered ring: Size Q</t>
  </si>
  <si>
    <t>S925-WHI-RIN-HAM-001-R</t>
  </si>
  <si>
    <t>Silver Hammered ring: Size R</t>
  </si>
  <si>
    <t>S925-WHI-RIN-HAM-001-S</t>
  </si>
  <si>
    <t>Silver Hammered ring: Size S</t>
  </si>
  <si>
    <t>S925-WHI-EAR-STUD-ZOD-001-ARI</t>
  </si>
  <si>
    <t>B09J5GPZC5</t>
  </si>
  <si>
    <t>Silver Zodiac Stud: Aries</t>
  </si>
  <si>
    <t>S925-WHI-EAR-STUD-ZOD-001-TAU</t>
  </si>
  <si>
    <t>B09J5G9MV3</t>
  </si>
  <si>
    <t>Silver Zodiac Stud: Taurus</t>
  </si>
  <si>
    <t>S925-WHI-EAR-STUD-ZOD-001-GEM</t>
  </si>
  <si>
    <t>B09J5T2J41</t>
  </si>
  <si>
    <t>Silver Zodiac Stud: Gemini</t>
  </si>
  <si>
    <t>S925-WHI-EAR-STUD-ZOD-001-CAN</t>
  </si>
  <si>
    <t>B09J5GG193</t>
  </si>
  <si>
    <t>Silver Zodiac Stud: Cancer</t>
  </si>
  <si>
    <t>S925-WHI-EAR-STUD-ZOD-001-LEO</t>
  </si>
  <si>
    <t>B09J5J8H6Y</t>
  </si>
  <si>
    <t>Silver Zodiac Stud: Leo</t>
  </si>
  <si>
    <t>S925-WHI-EAR-STUD-ZOD-001-VIR</t>
  </si>
  <si>
    <t>B09J5GT8LJ</t>
  </si>
  <si>
    <t>Silver Zodiac Stud: Virgo</t>
  </si>
  <si>
    <t>S925-WHI-EAR-STUD-ZOD-001-LIB</t>
  </si>
  <si>
    <t>B09J5JHY8Y</t>
  </si>
  <si>
    <t>Silver Zodiac Stud: Libra</t>
  </si>
  <si>
    <t>S925-WHI-EAR-STUD-ZOD-001-SCO</t>
  </si>
  <si>
    <t>B09J5GTMTZ</t>
  </si>
  <si>
    <t>Silver Zodiac Stud: Scorpio</t>
  </si>
  <si>
    <t>S925-WHI-EAR-STUD-ZOD-001-SAG</t>
  </si>
  <si>
    <t>B09J5GX7TF</t>
  </si>
  <si>
    <t>Silver Zodiac Stud: Sagittarius</t>
  </si>
  <si>
    <t>S925-WHI-EAR-STUD-ZOD-001-CAP</t>
  </si>
  <si>
    <t>B09J5GWWBG</t>
  </si>
  <si>
    <t>Silver Zodiac Stud: Capricorn</t>
  </si>
  <si>
    <t>S925-WHI-EAR-STUD-ZOD-001-AQU</t>
  </si>
  <si>
    <t>B09J5H66LH</t>
  </si>
  <si>
    <t>Silver Zodiac Stud: Aquarius</t>
  </si>
  <si>
    <t>S925-WHI-EAR-STUD-ZOD-001-PIS</t>
  </si>
  <si>
    <t>B09J5J23HH</t>
  </si>
  <si>
    <t>Silver Zodiac Stud: Pisces</t>
  </si>
  <si>
    <t>G9K-YEL-NEC-CHA-001-008-360</t>
  </si>
  <si>
    <t>G9K-YEL-NEC-CHA-001-008-400</t>
  </si>
  <si>
    <t>G9K-YEL-NEC-CHA-001-008-450</t>
  </si>
  <si>
    <t>G9K-YEL-NEC-CHA-007-009-360</t>
  </si>
  <si>
    <t>G9K-YEL-NEC-CHA-007-009-400</t>
  </si>
  <si>
    <t>G9K-YEL-NEC-CHA-007-009-450</t>
  </si>
  <si>
    <t>G9K-YEL-NEC-CHA-008-005-360</t>
  </si>
  <si>
    <t>G9K-YEL-NEC-CHA-008-005-400</t>
  </si>
  <si>
    <t>G9K-YEL-NEC-CHA-008-005-450</t>
  </si>
  <si>
    <t>S925-WHI-BRA-SLI-006-WHI</t>
  </si>
  <si>
    <t>S925-WHI-BRA-SLI-006-RAW</t>
  </si>
  <si>
    <t>S925-WHI-BRA-SLI-006-EAW</t>
  </si>
  <si>
    <t>S925-WHI-BRA-SLI-006-SAW</t>
  </si>
  <si>
    <t>S925-WHI-RIN-GEM-002-RUB</t>
  </si>
  <si>
    <t>S925-WHI-RIN-GEM-002-EME</t>
  </si>
  <si>
    <t>S925-WHI-RIN-GEM-002-SAP</t>
  </si>
  <si>
    <t>S925-WHI-NEC-CHA-SWA-001-001-450</t>
  </si>
  <si>
    <t>S925-WHI-NEC-CHA-SWA-001-MUL-450</t>
  </si>
  <si>
    <t>S925-WHI-NEC-CHA-SWA-002-001-450</t>
  </si>
  <si>
    <t>S925-WHI-NEC-CHA-SWA-002-MUL-450</t>
  </si>
  <si>
    <t>S925-WHI-BRA-CHA-SWA-001-001-200</t>
  </si>
  <si>
    <t>S925-WHI-BRA-CHA-SWA-001-MUL-200</t>
  </si>
  <si>
    <t>S925-WHI-BRA-CHA-SWA-002-001-200</t>
  </si>
  <si>
    <t>S925-WHI-BRA-CHA-SWA-002-MUL-200</t>
  </si>
  <si>
    <t>G9K-YEL-EAR-STUD-GEM-CZ-001-003</t>
  </si>
  <si>
    <t>9kt gold studs with 4-claws 3mm CZ. Screwback</t>
  </si>
  <si>
    <t>G9K-YEL-EAR-STUD-GEM-CZ-001-004</t>
  </si>
  <si>
    <t>9kt gold studs with 4-claws 3.75mm CZ. Normal butterfly</t>
  </si>
  <si>
    <t>G9K-YEL-EAR-STUD-GEM-CZ-001-005</t>
  </si>
  <si>
    <t>9kt gold studs with 4-claws 5mm CZ. Normal butterfly</t>
  </si>
  <si>
    <t>G9K-YEL-EAR-STUD-GEM-CZ-001-006</t>
  </si>
  <si>
    <t>9kt gold studs with 4-claws 6mm CZ. Normal butterfly</t>
  </si>
  <si>
    <t>G9K-YEL-EAR-STUD-PERL-001-3to4</t>
  </si>
  <si>
    <t>9kt gold stud with freshwater pearl (3-3.5mm). Screwback</t>
  </si>
  <si>
    <t>G9K-YEL-EAR-STUD-PERL-001-6to7</t>
  </si>
  <si>
    <t>9kt gold stud with freshwater pearl (6-6.5mm)</t>
  </si>
  <si>
    <t>G9K-YEL-EAR-STUD-PERL-001-7to8</t>
  </si>
  <si>
    <t>9kt gold stud with freshwater pearl (7-7.5mm)</t>
  </si>
  <si>
    <t>G9K-YEL-EAR-STUD-BALL-001-003</t>
  </si>
  <si>
    <t>9kt gold 3mm ball stud with screwback</t>
  </si>
  <si>
    <t>G9K-YEL-EAR-STUD-BALL-001-004</t>
  </si>
  <si>
    <t>9kt gold 4mm ball stud with normal butterfly</t>
  </si>
  <si>
    <t>G9K-YEL-EAR-STUD-BALL-001-005</t>
  </si>
  <si>
    <t>9kt gold 5mm ball stud with normal butterfly</t>
  </si>
  <si>
    <t>G9K-YEL-EAR-STUD-BALL-001-006</t>
  </si>
  <si>
    <t>9kt gold 6mm ball stud with normal butterfly</t>
  </si>
  <si>
    <t>G9K-YEL-PEN-HART-002</t>
  </si>
  <si>
    <t>9kt gold heart pendant</t>
  </si>
  <si>
    <t>G9K-YEL-PEN-GEM-CZ-001</t>
  </si>
  <si>
    <t>9k gold solitaire heart pendant with CZ</t>
  </si>
  <si>
    <t>G9K-YEL-PEN-GEM-CZ-002</t>
  </si>
  <si>
    <t>9K gold solitaire circle pendant with CZ</t>
  </si>
  <si>
    <t>G9K-YEL-EAR-HOOP-002-010</t>
  </si>
  <si>
    <t>9kt gold hoops with 10mm external diameter</t>
  </si>
  <si>
    <t>G9K-YEL-EAR-HOOP-002-015</t>
  </si>
  <si>
    <t>9kt gold hoops with 15mm external diameter</t>
  </si>
  <si>
    <t>G9K-YEL-EAR-HOOP-002-020</t>
  </si>
  <si>
    <t>9kt gold hoops with 20mm external diameter</t>
  </si>
  <si>
    <t>S925-WHI-EAR-HOOP-PEN-001-010</t>
  </si>
  <si>
    <t>Silver click-down hoop with leaf pendant (10mm internal)</t>
  </si>
  <si>
    <t>S925-WHI-EAR-HOOP-PEN-002-010</t>
  </si>
  <si>
    <t>Silver click-down hoop with lotus silhouette pendant (10mm internal)</t>
  </si>
  <si>
    <t>S925-WHI-EAR-HOOP-PEN-003-010</t>
  </si>
  <si>
    <t>Silver click-down hoop with puzzle piece pendant (10mm internal)</t>
  </si>
  <si>
    <t>S925-WHI-EAR-HOOP-PEN-004-012</t>
  </si>
  <si>
    <t>Silver click-down hoop with roman coin pendant (12mm internal)</t>
  </si>
  <si>
    <t>S925-WHI-EAR-HOOP-PEN-005-010</t>
  </si>
  <si>
    <t>Silver click-down hoop with rounded star pendant (10mm internal)</t>
  </si>
  <si>
    <t>S925-WHI-EAR-HOOP-PEN-006-010</t>
  </si>
  <si>
    <t>Silver click-down hoop with moon pendant (10mm internal)</t>
  </si>
  <si>
    <t>S925-WHI-EAR-HOOP-PEN-007-012</t>
  </si>
  <si>
    <t>Silver click-down hoop with clover pendant (12mm internal)</t>
  </si>
  <si>
    <t>S925-WHI-EAR-HOOP-PEN-008-012</t>
  </si>
  <si>
    <t>Silver click-down hoop with star silhouette pendant (12mm internal)</t>
  </si>
  <si>
    <t>S925-WHI-EAR-HOOP-PEN-009-012</t>
  </si>
  <si>
    <t>Silver click-down hoop with flat star pendant (12mm internal)</t>
  </si>
  <si>
    <t>S925-WHI-EAR-HOOP-PEN-010-012</t>
  </si>
  <si>
    <t>Silver click-down hoop with CZ cross pendant (12mm internal)</t>
  </si>
  <si>
    <t>S925-WHI-EAR-HOOP-PEN-011-012</t>
  </si>
  <si>
    <t>Silver click-down hoop with CZ heart silhouette pendant (12mm internal)</t>
  </si>
  <si>
    <t>S925-WHI-EAR-HOOP-PEN-012-012</t>
  </si>
  <si>
    <t>Silver click-down hoop with CZ snake pendant (12mm internal)</t>
  </si>
  <si>
    <t>S925-WHI-EAR-HOOP-PEN-013-012</t>
  </si>
  <si>
    <t>Silver click-down hoop with pearl pendant (12mm internal)</t>
  </si>
  <si>
    <t>S925-WHI-BRA-BAN-HAM-001-600</t>
  </si>
  <si>
    <t>Open thin hammered bangle in silver</t>
  </si>
  <si>
    <t>S925-YEL-BRA-BAN-HAM-001-600</t>
  </si>
  <si>
    <t>Open thin hammered bangle in GP</t>
  </si>
  <si>
    <t>S925-WHI-BRA-BAN-HAM-002-600</t>
  </si>
  <si>
    <t>Open thick hammered bangle in silver</t>
  </si>
  <si>
    <t>S925-YEL-BRA-BAN-HAM-002-600</t>
  </si>
  <si>
    <t>Open thick hammered bangle in GP</t>
  </si>
  <si>
    <t>G9K-YEL-BRA-CHA-004-060-205</t>
  </si>
  <si>
    <t>9k Flat curb hollow chain bracelet 6mm - 20.5cm</t>
  </si>
  <si>
    <t>G9K-YEL-BRA-CHA-004-090-205</t>
  </si>
  <si>
    <t>9k Flat curb hollow chain bracelet 9mm - 20.5cm</t>
  </si>
  <si>
    <t>G9K-YEL-NEC-CHA-009-060-500</t>
  </si>
  <si>
    <t>9k Flat curb hollow chain necklace 6mm - 50cm</t>
  </si>
  <si>
    <t>G9K-YEL-NEC-CHA-009-060-550</t>
  </si>
  <si>
    <t>9k Flat curb hollow chain necklace 6mm - 55cm</t>
  </si>
  <si>
    <t>G9K-YEL-NEC-CHA-009-060-600</t>
  </si>
  <si>
    <t>9k Flat curb hollow chain necklace 6mm - 60cm</t>
  </si>
  <si>
    <t>S925-WHI-EAR-STUD-023</t>
  </si>
  <si>
    <t>Silver hammered star stud earring</t>
  </si>
  <si>
    <t>S925-WHI-EAR-STUD-024</t>
  </si>
  <si>
    <t>Silver spiral/torn stud earring</t>
  </si>
  <si>
    <t>S925-WHI-EAR-STUD-025</t>
  </si>
  <si>
    <t>Silver flat star stud earring</t>
  </si>
  <si>
    <t>S925-WHI-EAR-STUD-026</t>
  </si>
  <si>
    <t>Silver mismatch moon and star stud earrings</t>
  </si>
  <si>
    <t>S925-WHI-EAR-STUD-027</t>
  </si>
  <si>
    <t>Silver moon stud earrings</t>
  </si>
  <si>
    <t>S925-WHI-EAR-STUD-028</t>
  </si>
  <si>
    <t>Silver moon silhouette stud earrings</t>
  </si>
  <si>
    <t>S925-WHI-EAR-STUD-029</t>
  </si>
  <si>
    <t>Silver thunder stud earrings</t>
  </si>
  <si>
    <t>S925-WHI-EAR-STUD-030</t>
  </si>
  <si>
    <t>Silver north star stud earrings</t>
  </si>
  <si>
    <t>S925-YEL-EAR-STUD-023</t>
  </si>
  <si>
    <t>GP hammered star stud earring</t>
  </si>
  <si>
    <t>S925-YEL-EAR-STUD-024</t>
  </si>
  <si>
    <t>GP spiral/torn stud earring</t>
  </si>
  <si>
    <t>S925-YEL-EAR-STUD-025</t>
  </si>
  <si>
    <t>GP flat star stud earring</t>
  </si>
  <si>
    <t>S925-YEL-EAR-STUD-026</t>
  </si>
  <si>
    <t>GP mismatch moon and star stud earrings</t>
  </si>
  <si>
    <t>S925-YEL-EAR-STUD-027</t>
  </si>
  <si>
    <t>GP moon stud earrings</t>
  </si>
  <si>
    <t>S925-YEL-EAR-STUD-028</t>
  </si>
  <si>
    <t>GP moon silhouette stud earrings</t>
  </si>
  <si>
    <t>S925-YEL-EAR-STUD-029</t>
  </si>
  <si>
    <t>GP thunder stud earrings</t>
  </si>
  <si>
    <t>S925-YEL-EAR-STUD-030</t>
  </si>
  <si>
    <t>GP north star stud earrings</t>
  </si>
  <si>
    <t>S925-WHI-EAR-STUD-031</t>
  </si>
  <si>
    <t>Silver flat dot stud earrings</t>
  </si>
  <si>
    <t>S925-WHI-EAR-STUD-032</t>
  </si>
  <si>
    <t>Silver flat hammered dot stud earrings</t>
  </si>
  <si>
    <t>S925-WHI-EAR-STUD-033</t>
  </si>
  <si>
    <t>Silver rounded dot stud earrings</t>
  </si>
  <si>
    <t>S925-WHI-EAR-STUD-034</t>
  </si>
  <si>
    <t>Silver big circumference stud earrings</t>
  </si>
  <si>
    <t>S925-WHI-EAR-STUD-035</t>
  </si>
  <si>
    <t>Silver big hammered circumference stud earrings</t>
  </si>
  <si>
    <t>S925-WHI-EAR-STUD-036</t>
  </si>
  <si>
    <t>Silver medium size circumference stud earrings</t>
  </si>
  <si>
    <t>S925-WHI-EAR-STUD-037</t>
  </si>
  <si>
    <t>Silver polished bar stud earrings</t>
  </si>
  <si>
    <t>S925-WHI-EAR-STUD-038</t>
  </si>
  <si>
    <t>Silver hammered bar stud earrings</t>
  </si>
  <si>
    <t>S925-WHI-EAR-STUD-039</t>
  </si>
  <si>
    <t>Silver polished triangle stud earrings</t>
  </si>
  <si>
    <t>S925-WHI-EAR-STUD-040</t>
  </si>
  <si>
    <t>Silver hammered triangle stud earrings</t>
  </si>
  <si>
    <t>S925-WHI-EAR-STUD-041</t>
  </si>
  <si>
    <t>Silver polished hexagon stud earrings</t>
  </si>
  <si>
    <t>S925-WHI-EAR-STUD-042</t>
  </si>
  <si>
    <t>Silver hammered hexagon stud earrings</t>
  </si>
  <si>
    <t>S925-WHI-EAR-STUD-043</t>
  </si>
  <si>
    <t>Silver polished square stud earrings</t>
  </si>
  <si>
    <t>S925-WHI-EAR-STUD-044</t>
  </si>
  <si>
    <t>Silver polished infinity stud earrings</t>
  </si>
  <si>
    <t>S925-YEL-EAR-STUD-031</t>
  </si>
  <si>
    <t>GP flat dot stud earrings</t>
  </si>
  <si>
    <t>S925-YEL-EAR-STUD-032</t>
  </si>
  <si>
    <t>GP flat hammered dot stud earrings</t>
  </si>
  <si>
    <t>S925-YEL-EAR-STUD-033</t>
  </si>
  <si>
    <t>GP rounded dot stud earrings</t>
  </si>
  <si>
    <t>S925-YEL-EAR-STUD-034</t>
  </si>
  <si>
    <t>GP big circumference stud earrings</t>
  </si>
  <si>
    <t>S925-YEL-EAR-STUD-035</t>
  </si>
  <si>
    <t>GP big hammered circumference stud earrings</t>
  </si>
  <si>
    <t>S925-YEL-EAR-STUD-036</t>
  </si>
  <si>
    <t>GP medium size circumference stud earrings</t>
  </si>
  <si>
    <t>S925-YEL-EAR-STUD-037</t>
  </si>
  <si>
    <t>GP polished bar stud earrings</t>
  </si>
  <si>
    <t>S925-YEL-EAR-STUD-038</t>
  </si>
  <si>
    <t>GP hammered bar stud earrings</t>
  </si>
  <si>
    <t>S925-YEL-EAR-STUD-039</t>
  </si>
  <si>
    <t>GP polished triangle stud earrings</t>
  </si>
  <si>
    <t>S925-YEL-EAR-STUD-040</t>
  </si>
  <si>
    <t>GP hammered triangle stud earrings</t>
  </si>
  <si>
    <t>S925-YEL-EAR-STUD-041</t>
  </si>
  <si>
    <t>GP polished hexagon stud earrings</t>
  </si>
  <si>
    <t>S925-YEL-EAR-STUD-042</t>
  </si>
  <si>
    <t>GP hammered hexagon stud earrings</t>
  </si>
  <si>
    <t>S925-YEL-EAR-STUD-043</t>
  </si>
  <si>
    <t>GP polished square stud earrings</t>
  </si>
  <si>
    <t>S925-YEL-EAR-STUD-044</t>
  </si>
  <si>
    <t>GP polished infinity stud earrings</t>
  </si>
  <si>
    <t>S925-WHI-COM-EAR-002</t>
  </si>
  <si>
    <t>S925-WHI-COM-EAR-003</t>
  </si>
  <si>
    <t>S925-WHI-COM-EAR-004</t>
  </si>
  <si>
    <t>S925-WHI-COM-EAR-005</t>
  </si>
  <si>
    <t>S925-WHI-COM-EAR-006</t>
  </si>
  <si>
    <t>S925-WHI-COM-EAR-007</t>
  </si>
  <si>
    <t>S925-WHI-COM-EAR-008</t>
  </si>
  <si>
    <t>S925-WHI-COM-EAR-009</t>
  </si>
  <si>
    <t>S925-WHI-PEN-COIN-HAM-001</t>
  </si>
  <si>
    <t>Silver hammered flat coin pendant</t>
  </si>
  <si>
    <t>S925-WHI-PEN-COIN-HAM-002</t>
  </si>
  <si>
    <t>Silver hammered wavy coin pendant</t>
  </si>
  <si>
    <t>S925-YEL-PEN-COIN-HAM-001</t>
  </si>
  <si>
    <t>GP hammered flat coin pendant</t>
  </si>
  <si>
    <t>S925-YEL-PEN-COIN-HAM-002</t>
  </si>
  <si>
    <t>GP hammered wavy coin pendant</t>
  </si>
  <si>
    <t>S925-YEL-PEN-COIN-002</t>
  </si>
  <si>
    <t>GP polished flat coin pendant</t>
  </si>
  <si>
    <t>S925-WHI-EAR-DROP-020</t>
  </si>
  <si>
    <t>Silver hammered coin drop earrings</t>
  </si>
  <si>
    <t>S925-WHI-EAR-DROP-021</t>
  </si>
  <si>
    <t>Silver polished coin drop earrings</t>
  </si>
  <si>
    <t>S925-YEL-EAR-DROP-020</t>
  </si>
  <si>
    <t>GP hammered coin drop earrings</t>
  </si>
  <si>
    <t>S925-YEL-EAR-DROP-021</t>
  </si>
  <si>
    <t>GP polished coin drop earrings</t>
  </si>
  <si>
    <t>S925-WHI-EAR-STUD-SWA-006-001</t>
  </si>
  <si>
    <t>Round Stud Earrings with Swarovski 4 pin crown - White/Crystal</t>
  </si>
  <si>
    <t>S925-WHI-EAR-STUD-SWA-007-001</t>
  </si>
  <si>
    <t>Square Stud Earrings with Swarovski 4 pin crown - White/Crystal</t>
  </si>
  <si>
    <t>S925-WHI-EAR-STUD-SWA-008-001</t>
  </si>
  <si>
    <t>Tear Stud Earrings with Swarovski 4 pin crown - White/Crystal</t>
  </si>
  <si>
    <t>S925-WHI-EAR-STUD-SWA-009-001</t>
  </si>
  <si>
    <t>Heart Stud Earrings with CZ 4 pin crown - White/Crystal</t>
  </si>
  <si>
    <t>S925-WHI-EAR-STUD-SWA-010-001</t>
  </si>
  <si>
    <t>Star Stud Earrings with CZ 4 pin crown - White/Crystal</t>
  </si>
  <si>
    <t>S925-WHI-EAR-STUD-SWA-011-001</t>
  </si>
  <si>
    <t>Oval Stud Earrings with CZ 4 pin crown - White/Crystal</t>
  </si>
  <si>
    <t>S925-WHI-EAR-STUD-SWA-012-001</t>
  </si>
  <si>
    <t>Baguette Stud Earrings with CZ 4 pin crown - White/Crystal</t>
  </si>
  <si>
    <t>S925-WHI-EAR-DROP-SWA-001-515</t>
  </si>
  <si>
    <t>Birthstones drop earrings</t>
  </si>
  <si>
    <t>S925-WHI-EAR-DROP-SWA-001-204</t>
  </si>
  <si>
    <t>S925-WHI-EAR-DROP-SWA-001-202</t>
  </si>
  <si>
    <t>S925-WHI-EAR-DROP-SWA-001-001</t>
  </si>
  <si>
    <t>S925-WHI-EAR-DROP-SWA-001-205</t>
  </si>
  <si>
    <t>S925-WHI-EAR-DROP-SWA-001-234</t>
  </si>
  <si>
    <t>S925-WHI-EAR-DROP-SWA-001-501</t>
  </si>
  <si>
    <t>S925-WHI-EAR-DROP-SWA-001-214</t>
  </si>
  <si>
    <t>S925-WHI-EAR-DROP-SWA-001-206</t>
  </si>
  <si>
    <t>S925-WHI-EAR-DROP-SWA-001-502</t>
  </si>
  <si>
    <t>S925-WHI-EAR-DROP-SWA-001-203</t>
  </si>
  <si>
    <t>S925-WHI-EAR-DROP-SWA-001-539</t>
  </si>
  <si>
    <t>S925-WHI-NEC-PEN-SWA-001-515</t>
  </si>
  <si>
    <t>Birthstones necklaces</t>
  </si>
  <si>
    <t>S925-WHI-NEC-PEN-SWA-001-204</t>
  </si>
  <si>
    <t>S925-WHI-NEC-PEN-SWA-001-202</t>
  </si>
  <si>
    <t>S925-WHI-NEC-PEN-SWA-001-001</t>
  </si>
  <si>
    <t>S925-WHI-NEC-PEN-SWA-001-205</t>
  </si>
  <si>
    <t>S925-WHI-NEC-PEN-SWA-001-234</t>
  </si>
  <si>
    <t>S925-WHI-NEC-PEN-SWA-001-501</t>
  </si>
  <si>
    <t>S925-WHI-NEC-PEN-SWA-001-214</t>
  </si>
  <si>
    <t>S925-WHI-NEC-PEN-SWA-001-206</t>
  </si>
  <si>
    <t>S925-WHI-NEC-PEN-SWA-001-502</t>
  </si>
  <si>
    <t>S925-WHI-NEC-PEN-SWA-001-203</t>
  </si>
  <si>
    <t>S925-WHI-NEC-PEN-SWA-001-539</t>
  </si>
  <si>
    <t>S925-WHI-NEC-CHA-001-028-410</t>
  </si>
  <si>
    <t>S925-WHI-NEC-CHA-001-028-450</t>
  </si>
  <si>
    <t>S925-WHI-NEC-CHA-001-028-500</t>
  </si>
  <si>
    <t>S925-WHI-NEC-CHA-024-055-410</t>
  </si>
  <si>
    <t>S925-WHI-NEC-CHA-024-055-450</t>
  </si>
  <si>
    <t>S925-WHI-NEC-CHA-024-079-410</t>
  </si>
  <si>
    <t>S925-WHI-NEC-CHA-024-079-450</t>
  </si>
  <si>
    <t>S925-YEL-NEC-CHA-001-028-410</t>
  </si>
  <si>
    <t>S925-YEL-NEC-CHA-001-028-450</t>
  </si>
  <si>
    <t>S925-YEL-NEC-CHA-001-028-500</t>
  </si>
  <si>
    <t>S925-YEL-NEC-CHA-024-055-410</t>
  </si>
  <si>
    <t>S925-YEL-NEC-CHA-024-055-450</t>
  </si>
  <si>
    <t>S925-YEL-NEC-CHA-024-079-410</t>
  </si>
  <si>
    <t>S925-YEL-NEC-CHA-024-079-450</t>
  </si>
  <si>
    <t>S925-YEL-NEC-CHA-024-079-500</t>
  </si>
  <si>
    <t>S925-WHI-NEC-CHA-027-028-410</t>
  </si>
  <si>
    <t>S925-WHI-NEC-CHA-027-028-450</t>
  </si>
  <si>
    <t>S925-WHI-NEC-CHA-027-028-500</t>
  </si>
  <si>
    <t>S925-WHI-NEC-CHA-027-055-410</t>
  </si>
  <si>
    <t>S925-WHI-NEC-CHA-027-055-450</t>
  </si>
  <si>
    <t>S925-WHI-NEC-CHA-027-055-500</t>
  </si>
  <si>
    <t>S925-WHI-NEC-CHA-027-079-410</t>
  </si>
  <si>
    <t>S925-WHI-NEC-CHA-027-079-450</t>
  </si>
  <si>
    <t>S925-WHI-NEC-CHA-027-079-500</t>
  </si>
  <si>
    <t>S925-YEL-NEC-CHA-027-028-410</t>
  </si>
  <si>
    <t>S925-YEL-NEC-CHA-027-028-450</t>
  </si>
  <si>
    <t>S925-YEL-NEC-CHA-027-028-500</t>
  </si>
  <si>
    <t>S925-YEL-NEC-CHA-027-055-410</t>
  </si>
  <si>
    <t>S925-YEL-NEC-CHA-027-055-450</t>
  </si>
  <si>
    <t>S925-YEL-NEC-CHA-027-055-500</t>
  </si>
  <si>
    <t>S925-YEL-NEC-CHA-027-079-410</t>
  </si>
  <si>
    <t>S925-YEL-NEC-CHA-027-079-450</t>
  </si>
  <si>
    <t>S925-YEL-NEC-CHA-027-079-500</t>
  </si>
  <si>
    <t>S925-WHI-BRA-CHA-045-084-205</t>
  </si>
  <si>
    <t>S925-YEL-BRA-CHA-045-084-205</t>
  </si>
  <si>
    <t>S925-WHI-NEC-CHA-028-030-410</t>
  </si>
  <si>
    <t>S925-WHI-NEC-CHA-028-030-450</t>
  </si>
  <si>
    <t>S925-WHI-NEC-CHA-028-030-500</t>
  </si>
  <si>
    <t>S925-WHI-NEC-CHA-028-045-410</t>
  </si>
  <si>
    <t>S925-WHI-NEC-CHA-028-045-450</t>
  </si>
  <si>
    <t>S925-WHI-NEC-CHA-028-045-500</t>
  </si>
  <si>
    <t>S925-YEL-NEC-CHA-028-030-410</t>
  </si>
  <si>
    <t>S925-YEL-NEC-CHA-028-030-450</t>
  </si>
  <si>
    <t>S925-YEL-NEC-CHA-028-030-500</t>
  </si>
  <si>
    <t>S925-YEL-NEC-CHA-028-045-410</t>
  </si>
  <si>
    <t>S925-YEL-NEC-CHA-028-045-450</t>
  </si>
  <si>
    <t>S925-YEL-NEC-CHA-028-045-500</t>
  </si>
  <si>
    <t>S925-WHI-NEC-CHA-029-030-400</t>
  </si>
  <si>
    <t>S925-WHI-NEC-CHA-029-030-450</t>
  </si>
  <si>
    <t>S925-WHI-NEC-CHA-029-030-600</t>
  </si>
  <si>
    <t>S925-WHI-NEC-CHA-029-036-400</t>
  </si>
  <si>
    <t>S925-WHI-NEC-CHA-029-036-450</t>
  </si>
  <si>
    <t>S925-WHI-NEC-CHA-029-036-600</t>
  </si>
  <si>
    <t>S925-WHI-NEC-CHA-029-044-400</t>
  </si>
  <si>
    <t>S925-WHI-NEC-CHA-029-044-450</t>
  </si>
  <si>
    <t>S925-WHI-NEC-CHA-029-044-600</t>
  </si>
  <si>
    <t>S925-YEL-NEC-CHA-029-030-400</t>
  </si>
  <si>
    <t>S925-YEL-NEC-CHA-029-030-450</t>
  </si>
  <si>
    <t>S925-YEL-NEC-CHA-029-030-600</t>
  </si>
  <si>
    <t>S925-YEL-NEC-CHA-029-036-400</t>
  </si>
  <si>
    <t>S925-YEL-NEC-CHA-029-036-450</t>
  </si>
  <si>
    <t>S925-YEL-NEC-CHA-029-036-600</t>
  </si>
  <si>
    <t>S925-YEL-NEC-CHA-029-044-400</t>
  </si>
  <si>
    <t>S925-YEL-NEC-CHA-029-044-450</t>
  </si>
  <si>
    <t>S925-YEL-NEC-CHA-029-044-600</t>
  </si>
  <si>
    <t>G9K-YEL-RIN-WED-001-025-I</t>
  </si>
  <si>
    <t>G9K-YEL-RIN-WED-001-025-J</t>
  </si>
  <si>
    <t>G9K-YEL-RIN-WED-001-025-K</t>
  </si>
  <si>
    <t>G9K-YEL-RIN-WED-001-025-L</t>
  </si>
  <si>
    <t>G9K-YEL-RIN-WED-001-025-M</t>
  </si>
  <si>
    <t>G9K-YEL-RIN-WED-001-025-N</t>
  </si>
  <si>
    <t>G9K-YEL-RIN-WED-001-025-O</t>
  </si>
  <si>
    <t>G9K-YEL-RIN-WED-001-025-P</t>
  </si>
  <si>
    <t>G9K-YEL-RIN-WED-001-025-Q</t>
  </si>
  <si>
    <t>G9K-YEL-RIN-WED-001-025-R</t>
  </si>
  <si>
    <t>G9K-YEL-RIN-WED-001-025-S</t>
  </si>
  <si>
    <t>G9K-YEL-RIN-WED-001-025-T</t>
  </si>
  <si>
    <t>G9K-YEL-RIN-WED-001-025-U</t>
  </si>
  <si>
    <t>G9K-YEL-RIN-WED-001-025-V</t>
  </si>
  <si>
    <t>G9K-YEL-RIN-WED-001-025-W</t>
  </si>
  <si>
    <t>G9K-YEL-RIN-WED-001-025-X</t>
  </si>
  <si>
    <t>G9K-YEL-RIN-WED-001-025-Y</t>
  </si>
  <si>
    <t>G9K-YEL-RIN-WED-001-025-Z</t>
  </si>
  <si>
    <t>G9K-YEL-RIN-WED-001-035-I</t>
  </si>
  <si>
    <t>G9K-YEL-RIN-WED-001-035-J</t>
  </si>
  <si>
    <t>G9K-YEL-RIN-WED-001-035-K</t>
  </si>
  <si>
    <t>G9K-YEL-RIN-WED-001-035-L</t>
  </si>
  <si>
    <t>G9K-YEL-RIN-WED-001-035-M</t>
  </si>
  <si>
    <t>G9K-YEL-RIN-WED-001-035-N</t>
  </si>
  <si>
    <t>G9K-YEL-RIN-WED-001-035-O</t>
  </si>
  <si>
    <t>G9K-YEL-RIN-WED-001-035-P</t>
  </si>
  <si>
    <t>G9K-YEL-RIN-WED-001-035-Q</t>
  </si>
  <si>
    <t>G9K-YEL-RIN-WED-001-035-R</t>
  </si>
  <si>
    <t>G9K-YEL-RIN-WED-001-035-S</t>
  </si>
  <si>
    <t>G9K-YEL-RIN-WED-001-035-T</t>
  </si>
  <si>
    <t>G9K-YEL-RIN-WED-001-035-U</t>
  </si>
  <si>
    <t>G9K-YEL-RIN-WED-001-035-V</t>
  </si>
  <si>
    <t>G9K-YEL-RIN-WED-001-035-W</t>
  </si>
  <si>
    <t>G9K-YEL-RIN-WED-001-035-X</t>
  </si>
  <si>
    <t>G9K-YEL-RIN-WED-001-035-Y</t>
  </si>
  <si>
    <t>G9K-YEL-RIN-WED-001-035-Z</t>
  </si>
  <si>
    <t>G9K-YEL-RIN-WED-001-040-I</t>
  </si>
  <si>
    <t>G9K-YEL-RIN-WED-001-040-J</t>
  </si>
  <si>
    <t>G9K-YEL-RIN-WED-001-040-K</t>
  </si>
  <si>
    <t>G9K-YEL-RIN-WED-001-040-L</t>
  </si>
  <si>
    <t>G9K-YEL-RIN-WED-001-040-M</t>
  </si>
  <si>
    <t>G9K-YEL-RIN-WED-001-040-N</t>
  </si>
  <si>
    <t>G9K-YEL-RIN-WED-001-040-O</t>
  </si>
  <si>
    <t>G9K-YEL-RIN-WED-001-040-P</t>
  </si>
  <si>
    <t>G9K-YEL-RIN-WED-001-040-Q</t>
  </si>
  <si>
    <t>G9K-YEL-RIN-WED-001-040-R</t>
  </si>
  <si>
    <t>G9K-YEL-RIN-WED-001-040-S</t>
  </si>
  <si>
    <t>G9K-YEL-RIN-WED-001-040-T</t>
  </si>
  <si>
    <t>G9K-YEL-RIN-WED-001-040-U</t>
  </si>
  <si>
    <t>G9K-YEL-RIN-WED-001-040-V</t>
  </si>
  <si>
    <t>G9K-YEL-RIN-WED-001-040-W</t>
  </si>
  <si>
    <t>G9K-YEL-RIN-WED-001-040-X</t>
  </si>
  <si>
    <t>G9K-YEL-RIN-WED-001-040-Y</t>
  </si>
  <si>
    <t>G9K-YEL-RIN-WED-001-040-Z</t>
  </si>
  <si>
    <t>S925-WHI-BRA-CHA-046-200</t>
  </si>
  <si>
    <t>Silver bracelet with Mountain Circle charm and CZ circle 18+2cm</t>
  </si>
  <si>
    <t>S925-WHI-BRA-CHA-047-200</t>
  </si>
  <si>
    <t>Silver bracelet with Trees Circle charm and CZ circle 18+2cm</t>
  </si>
  <si>
    <t>S925-WHI-BRA-CHA-048-200</t>
  </si>
  <si>
    <t>Silver bracelet with Wave Circle charm and CZ circle 18+2cm</t>
  </si>
  <si>
    <t>S925-WHI-BRA-CHA-049-200</t>
  </si>
  <si>
    <t>Silver bracelet with World map Circle charm and CZ circle 18+2cm</t>
  </si>
  <si>
    <t>S925-WHI-NEC-PEN-009</t>
  </si>
  <si>
    <t>Silver choker with cross charms</t>
  </si>
  <si>
    <t>S925-YEL-NEC-PEN-009</t>
  </si>
  <si>
    <t>Gold plated choker with cross charms</t>
  </si>
  <si>
    <t>S925-WHI-BRA-CHA-050-200</t>
  </si>
  <si>
    <t>Silver bracelet with cross charms 18+2cm</t>
  </si>
  <si>
    <t>S925-YEL-BRA-CHA-050-200</t>
  </si>
  <si>
    <t>Gold plated bracelet with cross charms 18+2cm</t>
  </si>
  <si>
    <t>S925-WHI-NEC-PEN-010</t>
  </si>
  <si>
    <t>Silver pendant neclace with heart CZ solitaire</t>
  </si>
  <si>
    <t>S925-WHI-NEC-PEN-011</t>
  </si>
  <si>
    <t>Silver pendant neclace with star CZ solitaire</t>
  </si>
  <si>
    <t>S925-YEL-NEC-PEN-012</t>
  </si>
  <si>
    <t>Gold plated pendant neclace with circle CZ solitaire</t>
  </si>
  <si>
    <t>S925-WHI-BRA-CHA-051-200</t>
  </si>
  <si>
    <t>Silver bracelet with heart CZ solitaire 18+2cm</t>
  </si>
  <si>
    <t>S925-WHI-BRA-CHA-052-200</t>
  </si>
  <si>
    <t>Silver bracelet with star CZ solitaire 18+2cm</t>
  </si>
  <si>
    <t>S925-YEL-BRA-CHA-053-200</t>
  </si>
  <si>
    <t>Gold plated bracelet with circle CZ solitaire 18+2cm</t>
  </si>
  <si>
    <t>S925-WHI-NEC-PEN-013</t>
  </si>
  <si>
    <t>Silver necklace with flat freshwater pearl pendant</t>
  </si>
  <si>
    <t>S925-WHI-NEC-PEN-014</t>
  </si>
  <si>
    <t>Silver necklace with spheric freshwater pearl pendant</t>
  </si>
  <si>
    <t>S925-WHI-EAR-STUD-045</t>
  </si>
  <si>
    <t>Silver stud earrings - Star shape filled with CZ</t>
  </si>
  <si>
    <t>S925-WHI-EAR-STUD-046</t>
  </si>
  <si>
    <t>Silver stud earrings - Moon shape filled with CZ</t>
  </si>
  <si>
    <t>Gold plated stud earrings - Star shape filled with CZ</t>
  </si>
  <si>
    <t>Gold plated stud earrings - Moon shape filled with CZ</t>
  </si>
  <si>
    <t>S925-WHI-BRA-CHA-054-200</t>
  </si>
  <si>
    <t>S925-WHI-BRA-CHA-055-200</t>
  </si>
  <si>
    <t>Silver bracelet with star shape in line charms17+3cm</t>
  </si>
  <si>
    <t>S925-WHI-BRA-CHA-056-200</t>
  </si>
  <si>
    <t>Silver bracelet with moon shape in line charms 17+3cm</t>
  </si>
  <si>
    <t>S925-YEL-BRA-CHA-054-200</t>
  </si>
  <si>
    <t>S925-YEL-BRA-CHA-055-200</t>
  </si>
  <si>
    <t>Gold plated bracelet with star shape in line charm 17+3cm</t>
  </si>
  <si>
    <t>S925-YEL-BRA-CHA-056-200</t>
  </si>
  <si>
    <t>Gold plated bracelet with moon shape in line charm 17+3cm</t>
  </si>
  <si>
    <t>S925-WHI-NEC-PEN-015</t>
  </si>
  <si>
    <t>Silver choker with star silhouette charm 36+5cm</t>
  </si>
  <si>
    <t>S925-WHI-NEC-PEN-016</t>
  </si>
  <si>
    <t>Silver choker with moon silhouette charm 36+5cm</t>
  </si>
  <si>
    <t>S925-WHI-NEC-PEN-017</t>
  </si>
  <si>
    <t>Silver choker with CZ star and small star charm 36+5cm</t>
  </si>
  <si>
    <t>S925-WHI-NEC-PEN-018</t>
  </si>
  <si>
    <t>Silver choker with star and moon charms 36+5cm</t>
  </si>
  <si>
    <t>S925-YEL-NEC-PEN-015</t>
  </si>
  <si>
    <t>Gold plated choker with star silhouette charm 36+5cm</t>
  </si>
  <si>
    <t>S925-YEL-NEC-PEN-016</t>
  </si>
  <si>
    <t>Gold plated choker with moon silhouette charm 36+5cm</t>
  </si>
  <si>
    <t>S925-YEL-NEC-PEN-017</t>
  </si>
  <si>
    <t>Gold plated choker with CZ star and small star charm 36+5cm</t>
  </si>
  <si>
    <t>S925-YEL-NEC-PEN-018</t>
  </si>
  <si>
    <t>Gold plated choker with star and moon charms 36+5cm</t>
  </si>
  <si>
    <t>G9K-YEL-BRA-CHA-005-190</t>
  </si>
  <si>
    <t>B09KXY5RJQ</t>
  </si>
  <si>
    <t>G9K-YEL-BRA-CHA-006-190</t>
  </si>
  <si>
    <t>B09KY12Y4F</t>
  </si>
  <si>
    <t>Short Description</t>
  </si>
  <si>
    <t>FBA ID</t>
  </si>
  <si>
    <t>DATE</t>
  </si>
  <si>
    <t>WAYBILL NUMBER (WHEN AVAIL)</t>
  </si>
  <si>
    <t>Number of Boxes</t>
  </si>
  <si>
    <t>country</t>
  </si>
  <si>
    <t>US</t>
  </si>
  <si>
    <t>CA</t>
  </si>
  <si>
    <t>AU</t>
  </si>
  <si>
    <t>FR</t>
  </si>
  <si>
    <t>SDF8</t>
  </si>
  <si>
    <t>YVR2</t>
  </si>
  <si>
    <t>YYZ9</t>
  </si>
  <si>
    <t>YVR4</t>
  </si>
  <si>
    <t>YYZ4</t>
  </si>
  <si>
    <t/>
  </si>
  <si>
    <t>Don't forget to highlight even the last item on the last box!</t>
  </si>
  <si>
    <t>INCO TERM</t>
  </si>
  <si>
    <t>FBA REFERENCE NUMBER</t>
  </si>
  <si>
    <t>CURRENCY</t>
  </si>
  <si>
    <t>BILL TO</t>
  </si>
  <si>
    <t>Shipper/Exporter</t>
  </si>
  <si>
    <t>TRANSATLANTIC STERLING LIMITED
64a Cumberland Street
Edinburgh, Scotland
EH3 6RE
United Kingdom</t>
  </si>
  <si>
    <t>Shipper/Exporter EORI NUMBER</t>
  </si>
  <si>
    <t>Shipper/Exporter VAT NUMBER</t>
  </si>
  <si>
    <t>Shipper Reference</t>
  </si>
  <si>
    <t>Ship To</t>
  </si>
  <si>
    <t>Country of Manufacture</t>
  </si>
  <si>
    <t>GOODS DESCRIPTION</t>
  </si>
  <si>
    <t>METAL</t>
  </si>
  <si>
    <t>WEIGHT</t>
  </si>
  <si>
    <t>UNIT
VALUE</t>
  </si>
  <si>
    <t>TOTAL VALUE USD</t>
  </si>
  <si>
    <t>SUBTOTAL</t>
  </si>
  <si>
    <r>
      <rPr>
        <b/>
        <sz val="11"/>
        <color theme="1"/>
        <rFont val="Calibri"/>
        <family val="2"/>
        <scheme val="minor"/>
      </rPr>
      <t>Additional Note</t>
    </r>
    <r>
      <rPr>
        <sz val="11"/>
        <color theme="1"/>
        <rFont val="Calibri"/>
        <family val="2"/>
        <scheme val="minor"/>
      </rPr>
      <t xml:space="preserve">: 
</t>
    </r>
    <r>
      <rPr>
        <b/>
        <sz val="11"/>
        <color theme="1"/>
        <rFont val="Calibri"/>
        <family val="2"/>
        <scheme val="minor"/>
      </rPr>
      <t>Shipper/Exporter EOR</t>
    </r>
    <r>
      <rPr>
        <sz val="11"/>
        <color theme="1"/>
        <rFont val="Calibri"/>
        <family val="2"/>
        <scheme val="minor"/>
      </rPr>
      <t xml:space="preserve">I: GB374207305000
</t>
    </r>
    <r>
      <rPr>
        <b/>
        <sz val="11"/>
        <color theme="1"/>
        <rFont val="Calibri"/>
        <family val="2"/>
        <scheme val="minor"/>
      </rPr>
      <t>Inco Term</t>
    </r>
    <r>
      <rPr>
        <sz val="11"/>
        <color theme="1"/>
        <rFont val="Calibri"/>
        <family val="2"/>
        <scheme val="minor"/>
      </rPr>
      <t>: DDP</t>
    </r>
  </si>
  <si>
    <t>B00D94BYVS Curb Chain</t>
  </si>
  <si>
    <t>B00D94C3Y0 Curb Chain</t>
  </si>
  <si>
    <t>B00D9BQHAO Curb Chain</t>
  </si>
  <si>
    <t>B00D9BQK60 Curb Chain</t>
  </si>
  <si>
    <t>B00DKD0874 Ball Chain</t>
  </si>
  <si>
    <t>B00DKD0OZU Ball Chain</t>
  </si>
  <si>
    <t>B00NG1HXZ0 Curb Chain</t>
  </si>
  <si>
    <t>B012EOLKEO Venice Box Chain</t>
  </si>
  <si>
    <t>B01MZC1QYT Ball Chain</t>
  </si>
  <si>
    <t>B01NBWIM7J Ball Chain</t>
  </si>
  <si>
    <t>B0719HGZ9V Ball Chain</t>
  </si>
  <si>
    <t>B073D6H1YK Venice Box Chain</t>
  </si>
  <si>
    <t>B073GC9FWC Ball Chain</t>
  </si>
  <si>
    <t>B07RP1KJFG Chain - Super Flat Curb - Gauge 150 - Width 5 mm</t>
  </si>
  <si>
    <t>B07T56B5F7 Chain Bracelet - Super Flat Curb - Gauge 200 - Width 8 mm</t>
  </si>
  <si>
    <t>925 Silver anklet</t>
  </si>
  <si>
    <t>925 Silver bracelet</t>
  </si>
  <si>
    <t>925 Silver chain</t>
  </si>
  <si>
    <t>Pen - Heart  complex</t>
  </si>
  <si>
    <t>Earrings - multicolour 3 stones  stud</t>
  </si>
  <si>
    <t>Earrings - stud  drop  perfect ball  stylish</t>
  </si>
  <si>
    <t>Earrings - Hook  Round</t>
  </si>
  <si>
    <t>Earrings - Round Stud  petals</t>
  </si>
  <si>
    <t>Earrings - stud  heart shape  complex</t>
  </si>
  <si>
    <t>Earrings - stud  heart shape</t>
  </si>
  <si>
    <t>Earrings - Trangles  stud</t>
  </si>
  <si>
    <t>Earrings - comlex  drop  stud</t>
  </si>
  <si>
    <t>Earrings - stud  multicolored  cube</t>
  </si>
  <si>
    <t>Earrings - Square Stud  generic</t>
  </si>
  <si>
    <t>Earrings - stud  buffalo's</t>
  </si>
  <si>
    <t>Earrings - Squirrels  stud</t>
  </si>
  <si>
    <t>Earrings - Teddy Bear  omega</t>
  </si>
  <si>
    <t>Earrings - Squirrels  omega</t>
  </si>
  <si>
    <t>Earrings - Stud  Circle  complex</t>
  </si>
  <si>
    <t xml:space="preserve">trace chain  Teddy  Big Tag  with beads </t>
  </si>
  <si>
    <t xml:space="preserve">ball chain  Duck  Big Tag  with beads </t>
  </si>
  <si>
    <t>rolo chain  Bunny  Big Tag  none multiple tags</t>
  </si>
  <si>
    <t xml:space="preserve">trace with balls chain  Butterfly  Big Tag  no beads </t>
  </si>
  <si>
    <t xml:space="preserve">rolo chain - thick  Angel  Big Tag  Big Circles </t>
  </si>
  <si>
    <t xml:space="preserve">rolo chain  Irish Flower  Large tag  rings </t>
  </si>
  <si>
    <t xml:space="preserve">tace chain - thick  Buterrfly  Medium Tag  with beads </t>
  </si>
  <si>
    <t xml:space="preserve">snake chain  Teddy  small  with beads </t>
  </si>
  <si>
    <t xml:space="preserve">trace with balls chain  Butterfly  Medium Tag  no beads </t>
  </si>
  <si>
    <t xml:space="preserve">box chain  Sun  small tag  with beads </t>
  </si>
  <si>
    <t>trace chain  Hearts  small tags  rings multiple tags</t>
  </si>
  <si>
    <t>rolo chain  Hearts  small tags  rings multiple tags</t>
  </si>
  <si>
    <t>rolo chain - thick  Hearts  Medium tag  Ring multiple tags</t>
  </si>
  <si>
    <t>box chain  Flowers  small tag  rings multiple tags</t>
  </si>
  <si>
    <t>rolo chain  Flowers  Medium tags  rings multiple tags</t>
  </si>
  <si>
    <t>ball chain  Flowers  small tags  none multiple tags</t>
  </si>
  <si>
    <t>trace chain  Flowers  small tags  none multiple tags</t>
  </si>
  <si>
    <t>square snake chain  Roses  small  none multiple tags</t>
  </si>
  <si>
    <t>rolo chain - thick  moons and stars  medium tags  none multiple tags</t>
  </si>
  <si>
    <t>flat anchor chain  none  none  none 5 lines</t>
  </si>
  <si>
    <t>trace with beads chain  none  none  none 5 lines</t>
  </si>
  <si>
    <t>twisted chain  none  none  none 5 lines</t>
  </si>
  <si>
    <t>twisted chain with balls  none  none  none 5 lines</t>
  </si>
  <si>
    <t>trace chain  Hearts  Medium with colour  none multiple tags</t>
  </si>
  <si>
    <t>trace with beads chain  Roses  Medium with colour  none multiple tags</t>
  </si>
  <si>
    <t>Earrings: drop Birds BIG ball chain drop  cz</t>
  </si>
  <si>
    <t>Earrings - Crawler  2 clasps  Flowers</t>
  </si>
  <si>
    <t>Earrings - Silver Ball Studs 3  4  5 mm combo pairs</t>
  </si>
  <si>
    <t>Cuff Earrings  Celtic Design  Connected</t>
  </si>
  <si>
    <t>Cuff Earrings  Celtic Design  Parallel Lines</t>
  </si>
  <si>
    <t>Cuff Earrings  Heart Design</t>
  </si>
  <si>
    <t>Cuff Earrings  Celtic Design  Parallel Lines  Big Gap</t>
  </si>
  <si>
    <t>Cuff Earrings  Celtic Design  3 Parallel Lines  Big Gap</t>
  </si>
  <si>
    <t>Cuff Earrings  Parallel 5 Lines</t>
  </si>
  <si>
    <t>Cuff Earrings  Parallel 4 Lines</t>
  </si>
  <si>
    <t>Silver ear studs sets (3pairs): Ball  small circumference and rounded bar</t>
  </si>
  <si>
    <t>Silver ear studs sets (3pairs): Bezel CZ  ball  medium circumference</t>
  </si>
  <si>
    <t>Silver ear studs sets (3pairs): Ball  flat dot  rounded bar</t>
  </si>
  <si>
    <t>Silver ear studs sets (3pairs): Ball  hammerd dot  square bar</t>
  </si>
  <si>
    <t>Silver ear studs sets (3pairs): Small triangle  flat dot  flat square</t>
  </si>
  <si>
    <t>Silver ear studs sets (3pairs): Star silhouette  torn  moon</t>
  </si>
  <si>
    <t>Silver ear studs sets (3pairs): Ball  CZ Star  CZ Moon</t>
  </si>
  <si>
    <t>Silver ear studs sets (3pairs): Ball  heart  CZ heart</t>
  </si>
  <si>
    <t>Silver bracelet with CZ North star  small star and moon charms 17+3cm</t>
  </si>
  <si>
    <t>Gold plated bracelet with CZ North star  small star and moon charms 17+3cm</t>
  </si>
  <si>
    <t>CA HS Code</t>
  </si>
  <si>
    <t>AU HS Code</t>
  </si>
  <si>
    <t>EU HS Code</t>
  </si>
  <si>
    <t>US HS CODE</t>
  </si>
  <si>
    <t>Tot</t>
  </si>
  <si>
    <t>CURRENT COUNTRY</t>
  </si>
  <si>
    <t>TOT. WEIGHT</t>
  </si>
  <si>
    <t>UNIT
VALUE USD</t>
  </si>
  <si>
    <t>TOT. VALUE USD</t>
  </si>
  <si>
    <t>TOT. VALUE EUR</t>
  </si>
  <si>
    <t>TOT. VALUE AUD</t>
  </si>
  <si>
    <t>TOT. VALUE CAD</t>
  </si>
  <si>
    <t>TOT. VALUE GBP</t>
  </si>
  <si>
    <t>FBA REFERENCE</t>
  </si>
  <si>
    <t>TOTAL SKU</t>
  </si>
  <si>
    <t>FBA Transatlantic Sterling Limited
C/O Amazon Fulfillment Centre SDF8
900 Patrol Road
Jeffersonville
47130-7761
United States of America</t>
  </si>
  <si>
    <t>TOTAL WEIGHT</t>
  </si>
  <si>
    <t>HS CODE</t>
  </si>
  <si>
    <t>7113.19.10.00</t>
  </si>
  <si>
    <t>BOX NUMBER</t>
  </si>
  <si>
    <t>3160.43 g</t>
  </si>
  <si>
    <t>925 silver Earrings</t>
  </si>
  <si>
    <t>925 silver Brooch</t>
  </si>
  <si>
    <t>ITEMS</t>
  </si>
  <si>
    <t>9k Gold Anklet</t>
  </si>
  <si>
    <t>9k Gold Bracelet</t>
  </si>
  <si>
    <t>9k Gold Ring</t>
  </si>
  <si>
    <t>TOTAL ITEMS</t>
  </si>
  <si>
    <t>ADMIN ONLY</t>
  </si>
  <si>
    <t>B00DKCZIS4 Herringbone Chain</t>
  </si>
  <si>
    <t>CA Business Number</t>
  </si>
  <si>
    <t>775 906 407</t>
  </si>
  <si>
    <t>CA NRI Number</t>
  </si>
  <si>
    <t>775 906 407 RM0001</t>
  </si>
  <si>
    <t>CA HS CODE</t>
  </si>
  <si>
    <t>UNIT
VALUE CAD</t>
  </si>
  <si>
    <t>TOTAL VALUE CAD</t>
  </si>
  <si>
    <t>Shipper EORI NUMBER</t>
  </si>
  <si>
    <t>Additional Note: 
Shipper/Exporter UK EORI: GB374207305000
Shipper/Exporter CA Business Number: 775 906 407
Shipper/Exporter CA NRI Number: 775 906 407 RM0001
Inco Term: DDP</t>
  </si>
  <si>
    <t>France VAT of Amazon Seller</t>
  </si>
  <si>
    <t>FR88844112326</t>
  </si>
  <si>
    <t>GB275471580000</t>
  </si>
  <si>
    <t>EU EORI</t>
  </si>
  <si>
    <t>ESN6060649H</t>
  </si>
  <si>
    <t>Additional Note: 
The exporter of the products covered by this document GB275471580000 declares that,
except where otherwise clearly indicated, these products are of EU preferential origin.</t>
  </si>
  <si>
    <t>Amberta LTD
Summit House, 4-5 Mitchell Street
Edinburgh
EH6 7BD
United Kingdom</t>
  </si>
  <si>
    <t>UNIT
VALUE EUR</t>
  </si>
  <si>
    <t>ADDRESS</t>
  </si>
  <si>
    <t>MEL1</t>
  </si>
  <si>
    <t>TRANSATLANTIC STERLING LIMITED
c/o FBA
Amazon Fulfillment Center (MEL1), 
29 National Drive 3175
Dandenong South
VIC
Australia</t>
  </si>
  <si>
    <t>SHIPPER/ EXPORTER ABN</t>
  </si>
  <si>
    <t>BNE1</t>
  </si>
  <si>
    <t>PER3</t>
  </si>
  <si>
    <t>TRANSATLANTIC STERLING LIMITED
c/o FBA
Amazon Fulfillment Center (BNE1), 
42-52 EXPORT STREET
LYTTON, QUEENSLAND 4178
AUSTRALIA</t>
  </si>
  <si>
    <t>TRANSATLANTIC STERLING LIMITED
c/o FBA
Amazon Fulfillment Center (PER3), 
AFTX FC
60 Paltridge Road
PERTH AIRPORT, WA 6105
AUSTRALIA</t>
  </si>
  <si>
    <t>CDG7</t>
  </si>
  <si>
    <t>SHIPMENT MANUFACTURER</t>
  </si>
  <si>
    <t>PACKAGING LIST</t>
  </si>
  <si>
    <t>925 Silver earrings</t>
  </si>
  <si>
    <t>925 Silver pendant</t>
  </si>
  <si>
    <t>925 Silver Ring</t>
  </si>
  <si>
    <t>925 Silver Toe Ring</t>
  </si>
  <si>
    <t>B07R94JB4Y Toe Ring</t>
  </si>
  <si>
    <t>B07T6ZCW3K Chain Bracelet - Super Flat Curb - Gauge 200 - Width 8 mm</t>
  </si>
  <si>
    <t>B07QS82H3S Hoop Earrings - Bali - 15 mm</t>
  </si>
  <si>
    <t>B07QS9Y5YM Hoop Earrings - Bali - 20 mm</t>
  </si>
  <si>
    <t>B07Z57WC8L Earrings - Crawler - Sprig with cz</t>
  </si>
  <si>
    <t>B082BF23G4 Pendant - Letter - A</t>
  </si>
  <si>
    <t>B082BCY7KW Pendant - Letter - M</t>
  </si>
  <si>
    <t>B08C33X17L Ring with CZ - N</t>
  </si>
  <si>
    <t>925 Silver pin</t>
  </si>
  <si>
    <t>9k Gold earrings</t>
  </si>
  <si>
    <t>B073G8S5JT Figaro Chain</t>
  </si>
  <si>
    <t>B073GB6WNZ Figaro Chain</t>
  </si>
  <si>
    <t>B012HM8JBA Belcher Chain</t>
  </si>
  <si>
    <t>B012HM8VWC Singapore Chain</t>
  </si>
  <si>
    <t>B012HM918U Singapore Chain</t>
  </si>
  <si>
    <t>B012HM95PO Singapore Chain</t>
  </si>
  <si>
    <t>B012HM9MVQ Venice Box Chain</t>
  </si>
  <si>
    <t>B012HM9PMW Venice Box Chain</t>
  </si>
  <si>
    <t>B077MBFMZS Ball Chain</t>
  </si>
  <si>
    <t>B073GBXF5Q Ball Chain</t>
  </si>
  <si>
    <t>B073G82B65 Ball Chain</t>
  </si>
  <si>
    <t>B073GBS69W Curb Chain</t>
  </si>
  <si>
    <t>B073G73T3D Curb Chain</t>
  </si>
  <si>
    <t>B073JHQTKL Singapore Chain</t>
  </si>
  <si>
    <t>B073G8ZG9L Snake Chain</t>
  </si>
  <si>
    <t>B00D94C2N2 Curb Chain</t>
  </si>
  <si>
    <t>B00D9BPYF8 Curb Chain</t>
  </si>
  <si>
    <t>B00D9BQ0W4 Curb Chain</t>
  </si>
  <si>
    <t>B00D9BQ9AW Curb Chain</t>
  </si>
  <si>
    <t>B00D9BQPME Curb Chain</t>
  </si>
  <si>
    <t>B00DKCZE3I Rhombus Chain</t>
  </si>
  <si>
    <t>B00DKCZEQ0 Rhombus Chain</t>
  </si>
  <si>
    <t>B01NBWW1WR Singapore Chain</t>
  </si>
  <si>
    <t>B01N366D90 Singapore Chain</t>
  </si>
  <si>
    <t>B01N5RK65Z Singapore Chain</t>
  </si>
  <si>
    <t>B012EOLGES Venice Box Chain</t>
  </si>
  <si>
    <t>B012EOLJA4 Venice Box Chain</t>
  </si>
  <si>
    <t>B012EOLN4Q Venice Box Chain</t>
  </si>
  <si>
    <t>B00JCW1GI2 Ball Chain</t>
  </si>
  <si>
    <t>B01N366DR8 Ball and Bar Chain</t>
  </si>
  <si>
    <t>B01MYAH52W Ball and Bar Chain</t>
  </si>
  <si>
    <t>B00DKD0AGI Ball and Bar Chain</t>
  </si>
  <si>
    <t>B00DKD0C66 Ball and Bar Chain</t>
  </si>
  <si>
    <t>B01MYAH6T3 Ball Chain</t>
  </si>
  <si>
    <t>B01N4Q9ZOM Ball Chain</t>
  </si>
  <si>
    <t>B073D6W5P5 Ball Chain</t>
  </si>
  <si>
    <t>B072VPJQ62 Heart Chain</t>
  </si>
  <si>
    <t>B00DKCZKSC Heart Chain</t>
  </si>
  <si>
    <t>B0164MQCKY Bismark chain</t>
  </si>
  <si>
    <t>B0164MQHLI Bismark chain</t>
  </si>
  <si>
    <t>B01IBQX6IM Popcorn Chain</t>
  </si>
  <si>
    <t>B01IBQX7GS Popcorn Chain</t>
  </si>
  <si>
    <t>B01IBQXBDC Popcorn Chain</t>
  </si>
  <si>
    <t>B01N4Q9ZOP Singapore with Beads Chain</t>
  </si>
  <si>
    <t>B01MT8ZDNA Rolo Chain</t>
  </si>
  <si>
    <t>B01NAU1MJ3 Popcorn Chain</t>
  </si>
  <si>
    <t>B01N34Q2U0 Popcorn Chain</t>
  </si>
  <si>
    <t>B01N360YYH Heart Chain</t>
  </si>
  <si>
    <t>B06Y58ZYC6 Franco Chain</t>
  </si>
  <si>
    <t>B06Y5SQLLT Flat Figaro Chain</t>
  </si>
  <si>
    <t>B00D0TO3G0 Circle Hoop Earrings</t>
  </si>
  <si>
    <t>B00D0TO4G4 Circle Hoop Earrings</t>
  </si>
  <si>
    <t>B00D0TO5KY Circle Hoop Earrings</t>
  </si>
  <si>
    <t>B00D0TO6G2 Circle Hoop Earrings</t>
  </si>
  <si>
    <t>B00D0TO75M Circle Hoop Earrings</t>
  </si>
  <si>
    <t>B077MH9DJB Hinged Hoop Earrings</t>
  </si>
  <si>
    <t>B077MN9BHT Hinged Hoop Earrings</t>
  </si>
  <si>
    <t>B077MD1DG6 Hinged Hoop Earrings</t>
  </si>
  <si>
    <t>B06XYVM7F4 Hinged Hoop Earrings</t>
  </si>
  <si>
    <t>B06XYVM5ML Hinged Hoop Earrings</t>
  </si>
  <si>
    <t>B071D3WXKC Pin - Sunflower</t>
  </si>
  <si>
    <t>B071YCGHGQ Pin - Rose</t>
  </si>
  <si>
    <t>B071D2RT4F Earrings - multicolour 3 stones  stud</t>
  </si>
  <si>
    <t>B071R9GF2X Earrings - Round Stud  petals</t>
  </si>
  <si>
    <t>B071D2S76L Earrings - Round Stud  petals</t>
  </si>
  <si>
    <t>B07R4JXTFS 9K Circle Hoop Earrings</t>
  </si>
  <si>
    <t>B07R7LVTVV 9K Circle Hoop Earrings</t>
  </si>
  <si>
    <t>B07R4JXYTP 9K Circle Hoop Earrings</t>
  </si>
  <si>
    <t>B07Z57KVT4 Earrings - Crawler - ZigZag</t>
  </si>
  <si>
    <t>B0848XD3PT Curb Chain</t>
  </si>
  <si>
    <t>B08C348HVN Celtic Braid Ring - Q</t>
  </si>
  <si>
    <t>B08J89ZYXP Stud Earrings - Snake</t>
  </si>
  <si>
    <t>B08PC621HT Drop Earrings - 3 Interlocking Circles</t>
  </si>
  <si>
    <t>B08P3K95HY Beaded Hoops with post notch</t>
  </si>
  <si>
    <t>B08P3HWL2P Flat Mayan Hoops with post notch</t>
  </si>
  <si>
    <t>B08LW53JQ3 Chain - Super Flat Figaro - Gauge 120 - Width 4.7 mm - Length 45 cm</t>
  </si>
  <si>
    <t>B08LW4NW2K Chain - Super Flat Figaro - Gauge 120 - Width 4.7 mm - Length 50 cm</t>
  </si>
  <si>
    <t>B099S943ZW Round Stud Earrings with Swarovski 4 pin crown - Aquamarine</t>
  </si>
  <si>
    <t>B099SCVL6Q Round Stud Earrings with Swarovski 4 pin crown - Bermuda Blue</t>
  </si>
  <si>
    <t>B09J5GPZC5 Silver Zodiac Stud: Aries</t>
  </si>
  <si>
    <t>B09J5G9MV3 Silver Zodiac Stud: Taurus</t>
  </si>
  <si>
    <t>B09J5T2J41 Silver Zodiac Stud: Gemini</t>
  </si>
  <si>
    <t>B09J5GT8LJ Silver Zodiac Stud: Virgo</t>
  </si>
  <si>
    <t>B09J5GTMTZ Silver Zodiac Stud: Scorpio</t>
  </si>
  <si>
    <t>B09J5GX7TF Silver Zodiac Stud: Sagittarius</t>
  </si>
  <si>
    <t>B09J5GWWBG Silver Zodiac Stud: Capricorn</t>
  </si>
  <si>
    <t>B09J5H66LH Silver Zodiac Stud: Aquarius</t>
  </si>
  <si>
    <t>B09J5J23HH Silver Zodiac Stud: Pisces</t>
  </si>
  <si>
    <t>EU HS CODE</t>
  </si>
  <si>
    <t>TOTAL VALUE EUR</t>
  </si>
  <si>
    <t>7113.11.00</t>
  </si>
  <si>
    <t xml:space="preserve"> 7113.19.00</t>
  </si>
  <si>
    <t>B00NG1HUX0 Curb Chain</t>
  </si>
  <si>
    <t>B00NG1I1NI Curb Chain</t>
  </si>
  <si>
    <t>FBA TRANSATLANTIC STERLING LIMITED 
c/o Amazon Fulfillment Center (YVR2)
450 Derwent PL
DELTA
V3M 5Y
Canada</t>
  </si>
  <si>
    <t>FBA Transatlantic Sterling Limited 
C/O Amazon Fulfillment Centre YVR4
4189 Salish Sea Way Tsawwassen
Delta
V4M 0B9
Canada</t>
  </si>
  <si>
    <t>FBA Transatlantic Sterling Limited 
C/O Amazon Fulfillment Centre YYZ9
6351 Steeles Ave E
SCARBOROUGH
M1X 1N5
Canada</t>
  </si>
  <si>
    <t>FBA Transatlantic Sterling Limited 
Amazon Fulfillment Centre YYZ4
8050 Heritage Road
Brampton
L6Y 0C9
Canada</t>
  </si>
  <si>
    <t>Shipper/Exporter UK EORI: GB374207305000</t>
  </si>
  <si>
    <t>Shipper/Exporter CA Business Number: 775 906 407</t>
  </si>
  <si>
    <t>Shipper/Exporter CA NRI Number: 775 906 407 RM0001</t>
  </si>
  <si>
    <t>Inco Term: DDP</t>
  </si>
  <si>
    <t>Shipment ID</t>
  </si>
  <si>
    <t>FULFILLMENT</t>
  </si>
  <si>
    <t>B00NG1HX9Q Curb Chain</t>
  </si>
  <si>
    <t>B077MQ71G6 Curb Chain</t>
  </si>
  <si>
    <t>B073G8ZSHF Curb Chain</t>
  </si>
  <si>
    <t>B073GCMSDH Curb Chain</t>
  </si>
  <si>
    <t>B073G6KJ5M Curb Chain</t>
  </si>
  <si>
    <t>B073G9X78M Figaro Chain</t>
  </si>
  <si>
    <t>B012HM885M Belcher Chain</t>
  </si>
  <si>
    <t>B012HM8GT0 Belcher Chain</t>
  </si>
  <si>
    <t>B012HM8RS0 Belcher Chain</t>
  </si>
  <si>
    <t>B012HM9DJ2 Singapore Chain</t>
  </si>
  <si>
    <t>B0783QLT88 Singapore Chain</t>
  </si>
  <si>
    <t>B012HM9HTI Venice Box Chain</t>
  </si>
  <si>
    <t>B012HM9VVC Venice Box Chain</t>
  </si>
  <si>
    <t>B073V2KYM1 Byzantine Chain</t>
  </si>
  <si>
    <t>B073V3D571 Byzantine Chain</t>
  </si>
  <si>
    <t>B073G7MZ8G Ball Chain</t>
  </si>
  <si>
    <t>B073G8GNBV Ball Chain</t>
  </si>
  <si>
    <t>LAST EXPORTED</t>
  </si>
  <si>
    <t>SAVE AS MONTH</t>
  </si>
  <si>
    <t>DOUBLE-CLICK on the last item of the box!</t>
  </si>
  <si>
    <t xml:space="preserve">If you want to change item, just double-click on the highlighted one to remove the colour. </t>
  </si>
  <si>
    <t>(Multiple Items)</t>
  </si>
  <si>
    <t>925 Silver Extender</t>
  </si>
  <si>
    <t>925 Silver Locket</t>
  </si>
  <si>
    <t>B072882QN5 Curb Chain</t>
  </si>
  <si>
    <t>B073D8F8RV Venice Box Chain</t>
  </si>
  <si>
    <t>B012EOJB36 Rat Tail</t>
  </si>
  <si>
    <t>B012EOJDUC Rat Tail</t>
  </si>
  <si>
    <t>B01N6RQT3T Popcorn Chain</t>
  </si>
  <si>
    <t>B077N8W3RM Heart Chain</t>
  </si>
  <si>
    <t>B06ZYZSY83 Pen - Oval</t>
  </si>
  <si>
    <t>B06ZYPR9BF Pen - Oval</t>
  </si>
  <si>
    <t>B06ZZKTYLD Pendant - SUN</t>
  </si>
  <si>
    <t>B06ZZV8L6T Pendant - SUN</t>
  </si>
  <si>
    <t>B07R94JHCH RING - SIZE J</t>
  </si>
  <si>
    <t>B07RC4XK1N Toe Ring</t>
  </si>
  <si>
    <t>B07NT32JTG Locket</t>
  </si>
  <si>
    <t>B07QNYQDSW Hoop Earrings - Bali - 15 mm</t>
  </si>
  <si>
    <t>B07STWS287 Earrings - 2 mm CZ Stones</t>
  </si>
  <si>
    <t>B07RZRK41J Chain Extender - 3 sizes together - silver</t>
  </si>
  <si>
    <t>B07RZR27NP Chain Extender - 3 sizes together - gold plated</t>
  </si>
  <si>
    <t>B07S1SVY6L Chain Extender - 3 sizes together - rose plated</t>
  </si>
  <si>
    <t>B07Z56N8H6 Earrings - Crawler - Wavy Vine Line</t>
  </si>
  <si>
    <t>B081VK8FXV Earrings - Silver Ball studs 2 mm - 2 pair</t>
  </si>
  <si>
    <t>B081VK8FYJ Earrings - Silver Ball Studs 3  4  5 mm combo pairs</t>
  </si>
  <si>
    <t>B08MFPJZGP Polished Medium Cross Pendant</t>
  </si>
  <si>
    <t>B08MFPGSKG Polished Big Cross Pendant</t>
  </si>
  <si>
    <t>B08P3KYWMH Complete Pave Hoops with Post Notch</t>
  </si>
  <si>
    <t>B08LW3RVMX Chain - Super Flat Curb - Gauge 120 - Width 4.7 mm - Length 50 cm</t>
  </si>
  <si>
    <t>B08LW4GWKZ Chain - Super Flat Curb - Gauge 150 - Width 5.5 mm - Length 50 cm</t>
  </si>
  <si>
    <t>B08LW3Y5D4 Chain - Super Flat Curb - Gauge 200 - Width 7.9 mm - Length 55 cm</t>
  </si>
  <si>
    <t>B08ZSVSK7Z Silver Pearl Studs (white) - 7 to 8 mm</t>
  </si>
  <si>
    <t>B0943XX2SF Silver Huggie Hoops - Pave - 12 mm</t>
  </si>
  <si>
    <t>B08R3ZVD3F Ring with CZ - R</t>
  </si>
  <si>
    <t>B099S9PSXN Round Stud Earrings with Swarovski 4 pin crown - Majestic Blue</t>
  </si>
  <si>
    <t>B099S9KP1Z Round Stud Earrings with Swarovski 4 pin crown - Dark Denim Blue</t>
  </si>
  <si>
    <t>Italy, Poland, Thailand</t>
  </si>
  <si>
    <t>AU HS CODE</t>
  </si>
  <si>
    <t>TOTAL VALUE AUD</t>
  </si>
  <si>
    <t>UNIT
VALUE AUD</t>
  </si>
  <si>
    <t>ADDITIONAL NOTE:
Shipper/Exporter EORI: GB374207305000
Shipper/Exporter ABN: 80136012376
Inco Term: DDP</t>
  </si>
  <si>
    <t>AU 202112</t>
  </si>
  <si>
    <t>B073GBKVMS Snake Chain</t>
  </si>
  <si>
    <t>B073G8ZH19 Snake Chain</t>
  </si>
  <si>
    <t>B073G7ZTRK Box Chain</t>
  </si>
  <si>
    <t>B073V37ZPN French Rope Chain</t>
  </si>
  <si>
    <t>B073G969SY Snake Chain</t>
  </si>
  <si>
    <t>B072NBWJ6G Heart Chain</t>
  </si>
  <si>
    <t>B071GYZNP8 Heart Chain</t>
  </si>
  <si>
    <t>B071KL1BNN Heart Chain</t>
  </si>
  <si>
    <t>B077MBFSXN Singapore with Beads Chain</t>
  </si>
  <si>
    <t>B07T69R46V Chain Bracelet - Super Flat Curb - Gauge 200 - Width 8 mm</t>
  </si>
  <si>
    <t>Amberta LTD
c/o Amazon Fulfillment Center (CDG7)
Parc d'activites des Portes de Senlis
1 avenue Alain Boucher
Senlis CEDEX, Oise 60452
FRANCE</t>
  </si>
  <si>
    <t>YY27</t>
  </si>
  <si>
    <t>TRANSATLANTIC STERLING LTD
c/o Amazon Fulfillment Centre (YY27)
12474 Coleraine Drive
Bolto, ON - L7E4L8
Canada</t>
  </si>
  <si>
    <t>B00D9BPSX6 Curb Chain</t>
  </si>
  <si>
    <t>B00JCW2NES Singapore Chain</t>
  </si>
  <si>
    <t>B00JCW2PM8 Singapore Chain</t>
  </si>
  <si>
    <t>B00DKD02Z2 Byzantine Chain</t>
  </si>
  <si>
    <t>B00DKD03D8 Byzantine Chain</t>
  </si>
  <si>
    <t>B073D6QSLB Byzantine Chain</t>
  </si>
  <si>
    <t>B00DKD08U6 Ball Chain</t>
  </si>
  <si>
    <t>B00DKD0L5S Ball Chain</t>
  </si>
  <si>
    <t>B00DKD0NJ2 Ball Chain</t>
  </si>
  <si>
    <t>B00JCW1X12 Ball Chain</t>
  </si>
  <si>
    <t>B00JCW1XMQ Ball Chain</t>
  </si>
  <si>
    <t>B00DKD0PHC Ball Chain</t>
  </si>
  <si>
    <t>B073D5G917 Rat Tail</t>
  </si>
  <si>
    <t>B073D5W5TK Rat Tail</t>
  </si>
  <si>
    <t>B00DKCYX2Q Wheat Chain</t>
  </si>
  <si>
    <t>B00DKCYZMO Wheat Chain</t>
  </si>
  <si>
    <t>B00DKCZH5S Herringbone Chain</t>
  </si>
  <si>
    <t>B00JCW2U2I Heart Chain</t>
  </si>
  <si>
    <t>B0164MQDCQ Bismark chain</t>
  </si>
  <si>
    <t>B0725N75R7 Bismark chain</t>
  </si>
  <si>
    <t>B0164MQFDI Bismark chain</t>
  </si>
  <si>
    <t>B0164MQG1Y Bismark chain</t>
  </si>
  <si>
    <t>B01IBQX9EI Popcorn Chain</t>
  </si>
  <si>
    <t>B01N5RK8OL Singapore with Beads Chain</t>
  </si>
  <si>
    <t>B01N4NY3NH Rolo Chain</t>
  </si>
  <si>
    <t>B01N33SV5Y Rolo Chain</t>
  </si>
  <si>
    <t>B01NAV4IYF Heart Chain</t>
  </si>
  <si>
    <t>B06XYW4WQF Hinged Hoop Earrings</t>
  </si>
  <si>
    <t>B071XSR69C Pin - Mouse</t>
  </si>
  <si>
    <t>B078C7ZT6Z trace with beads chain  none  none  none 5 lines</t>
  </si>
  <si>
    <t>B07QT9RLZJ Hoop Earrings - Bali - 30 mm</t>
  </si>
  <si>
    <t>B07WP5VZDF Silver Bracelet - Hollow - Thick and Heavy - Oval Patterned Wire</t>
  </si>
  <si>
    <t>B07Z591N8W Coin Pendant - St Christopher - Silver</t>
  </si>
  <si>
    <t>B07Z568XVY Earrings - Crawler - stars</t>
  </si>
  <si>
    <t>B082BC8HVH Pendant - Letter - F</t>
  </si>
  <si>
    <t>B082BFGR3M Pendant - Letter - J</t>
  </si>
  <si>
    <t>B082BCPQGS Pendant - Letter - K</t>
  </si>
  <si>
    <t>B082BCKF59 Pendant - Letter - S</t>
  </si>
  <si>
    <t>B082BBSFKK Pendant - Letter - T</t>
  </si>
  <si>
    <t>B0848HKWN9 Belcher/Trace Chain</t>
  </si>
  <si>
    <t>B0848FDK7Q Box Chain</t>
  </si>
  <si>
    <t>B0848RZ8LJ Ball Chain</t>
  </si>
  <si>
    <t>B0854N4WRJ Bracelet - Rolo chain with Wings</t>
  </si>
  <si>
    <t>B0854P65F1 Bracelet - Rolo Chain with Infinity</t>
  </si>
  <si>
    <t>B0872D8GP7 Adjustable 3 layer bracelet with knots.</t>
  </si>
  <si>
    <t>B08NQ44RB1 Cuff Earrings  Heart Design</t>
  </si>
  <si>
    <t>B08C34VPKM Celtic Adjustable Interlace Ring</t>
  </si>
  <si>
    <t>B08C34P7W7 Ring with CZ - M</t>
  </si>
  <si>
    <t>B08C3661GY Ring with CZ - O</t>
  </si>
  <si>
    <t>B091FQ62VJ Pendant - Coins - Eye of Providence/God</t>
  </si>
  <si>
    <t>B091FRDB42 Pendant - Key</t>
  </si>
  <si>
    <t>B08J887BY3 Stud Earrings - Sea Star</t>
  </si>
  <si>
    <t>B08PC64BC9 Drop Earrings - Flower</t>
  </si>
  <si>
    <t>B08FTMH29W Singapore chain bracelet - rose plated</t>
  </si>
  <si>
    <t>B08P3J83NZ Spiral Open Hoops with butterfly back</t>
  </si>
  <si>
    <t>B08J88JZ2Q Rose Gold Plated Small Thick Heart Studs</t>
  </si>
  <si>
    <t>B08Z48GFWM Locket - Coin 2 Pictures</t>
  </si>
  <si>
    <t>B08LW67L49 Chain - Super Flat Figaro - Gauge 150 - Width 5.5 mm - Length 55 cm</t>
  </si>
  <si>
    <t>B091V3TMGW Rose Plated Heart Chain</t>
  </si>
  <si>
    <t>B08ZSSZDS8 Silver Pearl Studs (white) - 9 to 10 mm</t>
  </si>
  <si>
    <t>B08ZSTPC2F Yellow Gold Plated Pearl Studs (white) - 7 to 8 mm</t>
  </si>
  <si>
    <t>B0943WDXFR GP Huggie Hoops - Pave - 20 mm</t>
  </si>
  <si>
    <t>B08R3ZW9Y5 Celtic Braid Ring - K</t>
  </si>
  <si>
    <t>B08R41X17V Celtic Braid Ring - P</t>
  </si>
  <si>
    <t>B01N366CM3 Open Curb Chain</t>
  </si>
  <si>
    <t>B00DKCZLPY Heart Chain</t>
  </si>
  <si>
    <t>B0164MQE3O Bismark chain</t>
  </si>
  <si>
    <t>B071R11Y8X Pendant - SUN</t>
  </si>
  <si>
    <t>B07NTGYTQ6 Locket - Round</t>
  </si>
  <si>
    <t>B07Q7G1GF7 Locket - Heart</t>
  </si>
  <si>
    <t>B07Z59WJPW Coin Pendant - St Christopher - Gold Plated</t>
  </si>
  <si>
    <t>B082B9CHCZ Pendant - Letter - D</t>
  </si>
  <si>
    <t>B08C34MCWL Ring with CZ - L</t>
  </si>
  <si>
    <t>B09KXY5RJQ Oval Link Chain Bracelet - Width 4.4 mm - Length 19 cm</t>
  </si>
  <si>
    <t>B09KY12Y4F Round Link Chain Bracelet - Width 5.0 mm - Length 19 cm</t>
  </si>
  <si>
    <t>Additional Note: 
Shipper/Exporter EORI: GB374207305000
VAT Exporter: GB374207305
Inco Term: DDP</t>
  </si>
  <si>
    <t>Extender</t>
  </si>
  <si>
    <t>Ring</t>
  </si>
  <si>
    <t>Pin</t>
  </si>
  <si>
    <t>9K Gold</t>
  </si>
  <si>
    <t>925 Silver Anklet</t>
  </si>
  <si>
    <t>925 Silver Bracelet</t>
  </si>
  <si>
    <t>925 Silver Chain</t>
  </si>
  <si>
    <t>925 Silver Earrings</t>
  </si>
  <si>
    <t>925 Silver Pendant</t>
  </si>
  <si>
    <t>925 Silver Pin</t>
  </si>
  <si>
    <t>9K Gold Bracelet</t>
  </si>
  <si>
    <t xml:space="preserve"> 7113.19.10.00</t>
  </si>
  <si>
    <t>9K Gold Earrings</t>
  </si>
  <si>
    <t>FR 21-12-04</t>
  </si>
  <si>
    <t>B073V4NY79 Ball Chain</t>
  </si>
  <si>
    <t>B073V368GD Ball Chain</t>
  </si>
  <si>
    <t>B07RMXS34Q Chain - French Rope for men</t>
  </si>
  <si>
    <t>B073G86JDQ Ball Chain</t>
  </si>
  <si>
    <t>B073GC44K1 Ball Chain</t>
  </si>
  <si>
    <t>B00DKCZHX0 Belcher Chain</t>
  </si>
  <si>
    <t>B01MUCWT7T Ball and Bar Chain</t>
  </si>
  <si>
    <t>B00DKD0LXK Ball Chain</t>
  </si>
  <si>
    <t>B00JCW27OE Twisted Rope Chain</t>
  </si>
  <si>
    <t>B00JCW2820 Twisted Rope Chain</t>
  </si>
  <si>
    <t>B00JCW2VBI Heart Chain</t>
  </si>
  <si>
    <t>B0725N7KSD Singapore with Beads Chain</t>
  </si>
  <si>
    <t>B0714B6NBJ Anchor with tubes Chain</t>
  </si>
  <si>
    <t>B08MFPM4MT Flat Cross Pendant</t>
  </si>
  <si>
    <t>B08MFPD6T2 Cross with Jesus Christ Pendant</t>
  </si>
  <si>
    <t>B08WPDB9G5 Heart Shape Pendant</t>
  </si>
  <si>
    <t>B08PC6M657 Earrings - drop Feather</t>
  </si>
  <si>
    <t>B06XZ8ZM2L Hinged Hoop Earrings</t>
  </si>
  <si>
    <t>B06XZC1RWB Hinged Hoop Earrings</t>
  </si>
  <si>
    <t>B08NQZ8SNT Crawler Earrings with White CZ</t>
  </si>
  <si>
    <t>B08PC6PM4R Drop Earrings - Celtic Shield</t>
  </si>
  <si>
    <t>B08PC7RRS5 Drop Earrings - Padlock and Key</t>
  </si>
  <si>
    <t>B08J87MT2X Stud Earrings - Turtle</t>
  </si>
  <si>
    <t>B08J8712Z4 Stud Earrings - Fish Bone</t>
  </si>
  <si>
    <t>B08CXPW5XR Square Stud Earrings with Swarovski. LIGHT COLORADO TOPAZ</t>
  </si>
  <si>
    <t>B08CXM16GW Square Stud Earrings with Swarovski. DENIM BLUE</t>
  </si>
  <si>
    <t>B08LW4JTPS Chain - Super Flat Figaro - Gauge 180 - Width 7.7 mm - Length 50 cm</t>
  </si>
  <si>
    <t>B08LW4B9ZY Chain - Super Flat Figaro - Gauge 180 - Width 7.7 mm - Length 55 cm</t>
  </si>
  <si>
    <t>B082BBK3VZ Pendant - Letter - I</t>
  </si>
  <si>
    <t>B08C34NJ4G Celtic Braid Ring - N</t>
  </si>
  <si>
    <t>B08R42GF7S Celtic Braid Ring - R</t>
  </si>
  <si>
    <t>B08C34DY3Z Toe Ring - Leaf/Feather</t>
  </si>
  <si>
    <t>B091V3CDL4 Gold Plated Heart Chain</t>
  </si>
  <si>
    <t>B07W7SW486 Silver Ball Bracelet - Love Mom</t>
  </si>
  <si>
    <t>FBA15FKLH7CH</t>
  </si>
  <si>
    <t>9K Gold Pendant</t>
  </si>
  <si>
    <t>RIng</t>
  </si>
  <si>
    <t>925 silver Chain</t>
  </si>
  <si>
    <t>925 silver Bracelet</t>
  </si>
  <si>
    <t>925 silver Anklet</t>
  </si>
  <si>
    <t>925 silver Extenders Set</t>
  </si>
  <si>
    <t>925 Silver Chain With Pendants</t>
  </si>
  <si>
    <t>925 silver Earrings Set</t>
  </si>
  <si>
    <t>925 silver Ring</t>
  </si>
  <si>
    <t>925 silver Toe Ring</t>
  </si>
  <si>
    <t>925 silver Pendant</t>
  </si>
  <si>
    <t>925 silver Pin</t>
  </si>
  <si>
    <t>9k gold Chain</t>
  </si>
  <si>
    <t>9k Gold Toe Ring</t>
  </si>
  <si>
    <t>9k Gold Pendant</t>
  </si>
  <si>
    <t xml:space="preserve">9k Gold Brooch </t>
  </si>
  <si>
    <t>chain</t>
  </si>
  <si>
    <t>BWU2</t>
  </si>
  <si>
    <t>TRANSATLANTIC STERLING LIMITED
c/o FBA
Amazon Fulfillment Center (BWU2), 
13 Emporium Avenue 2178 
Kemps Creek, NSW  
Australia</t>
  </si>
  <si>
    <t>YYC1</t>
  </si>
  <si>
    <t>TRANSATLANTIC STERLING LTD
c/o Amazon Fulfillment Centre (YYC1)
293069 Colonel Robertson Way
T4A 1C6 - Calgary, AB
Canada</t>
  </si>
  <si>
    <t>925 silver Chain With Earrings Set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</si>
</sst>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0.00000"/>
    <numFmt numFmtId="165" formatCode="[$AUD]\ #,##0.00"/>
    <numFmt numFmtId="166" formatCode="#,##0.00\ &quot;g&quot;"/>
  </numFmts>
  <fonts count="56" x14ac:knownFonts="1">
    <font>
      <sz val="11"/>
      <color theme="1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3"/>
      <color theme="3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1"/>
      <color rgb="FF3F3F3F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9C5700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  <charset val="1"/>
    </font>
    <font>
      <b/>
      <sz val="11"/>
      <color rgb="FF44546A"/>
      <name val="Calibri"/>
      <family val="2"/>
      <charset val="1"/>
    </font>
    <font>
      <sz val="12"/>
      <color indexed="9"/>
      <name val="Verdana"/>
      <family val="2"/>
    </font>
    <font>
      <b/>
      <sz val="14"/>
      <color theme="0"/>
      <name val="Verdana"/>
      <family val="2"/>
    </font>
    <font>
      <sz val="11"/>
      <color theme="1"/>
      <name val="Verdana"/>
      <family val="2"/>
    </font>
    <font>
      <sz val="8"/>
      <color theme="1"/>
      <name val="Verdana"/>
      <family val="2"/>
    </font>
    <font>
      <sz val="6"/>
      <color theme="1"/>
      <name val="Verdana"/>
      <family val="2"/>
    </font>
    <font>
      <sz val="10"/>
      <color theme="1"/>
      <name val="Verdana"/>
      <family val="2"/>
    </font>
    <font>
      <sz val="11"/>
      <name val="Verdana"/>
      <family val="2"/>
    </font>
    <font>
      <b/>
      <sz val="8"/>
      <color theme="1"/>
      <name val="Verdana"/>
      <family val="2"/>
    </font>
    <font>
      <b/>
      <sz val="11"/>
      <name val="Verdana"/>
      <family val="2"/>
    </font>
    <font>
      <sz val="24"/>
      <color theme="1"/>
      <name val="Verdana"/>
      <family val="2"/>
    </font>
    <font>
      <i/>
      <sz val="7"/>
      <color theme="1"/>
      <name val="Verdana"/>
      <family val="2"/>
    </font>
    <font>
      <i/>
      <sz val="7"/>
      <color theme="1"/>
      <name val="Calibri"/>
      <family val="2"/>
      <scheme val="minor"/>
    </font>
    <font>
      <b/>
      <sz val="8"/>
      <color theme="0" tint="-0.249977111117893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9"/>
      <name val="Verdana"/>
      <family val="2"/>
    </font>
    <font>
      <b/>
      <sz val="9"/>
      <color rgb="FF444444"/>
      <name val="Arial"/>
      <family val="2"/>
    </font>
    <font>
      <sz val="9"/>
      <color rgb="FF444444"/>
      <name val="Arial"/>
      <family val="2"/>
    </font>
    <font>
      <sz val="16"/>
      <color theme="1"/>
      <name val="Verdana"/>
      <family val="2"/>
    </font>
    <font>
      <b/>
      <sz val="14"/>
      <color theme="1"/>
      <name val="Calibri"/>
      <family val="2"/>
      <scheme val="minor"/>
    </font>
    <font>
      <sz val="11"/>
      <color theme="0"/>
      <name val="Calibri"/>
      <family val="2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1"/>
      <color theme="1"/>
      <name val="Segoe UI"/>
      <family val="2"/>
    </font>
    <font>
      <sz val="18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0"/>
      <color rgb="FF002F36"/>
      <name val="Arial"/>
      <family val="2"/>
    </font>
    <font>
      <sz val="10"/>
      <color rgb="FF002F36"/>
      <name val="Arial"/>
      <family val="2"/>
    </font>
  </fonts>
  <fills count="4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theme="0"/>
        <bgColor indexed="64"/>
      </patternFill>
    </fill>
    <fill>
      <patternFill patternType="solid">
        <fgColor rgb="FFA5A5A5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3999450666829432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92D05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9"/>
        <bgColor indexed="64"/>
      </patternFill>
    </fill>
  </fills>
  <borders count="62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thick">
        <color theme="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thin">
        <color rgb="FF7F7F7F"/>
      </bottom>
      <diagonal/>
    </border>
    <border>
      <left style="mediumDashed">
        <color rgb="FFFF0000"/>
      </left>
      <right style="thin">
        <color rgb="FF7F7F7F"/>
      </right>
      <top style="mediumDashed">
        <color rgb="FFFF0000"/>
      </top>
      <bottom style="thin">
        <color rgb="FF7F7F7F"/>
      </bottom>
      <diagonal/>
    </border>
    <border>
      <left style="thin">
        <color rgb="FF7F7F7F"/>
      </left>
      <right style="mediumDashed">
        <color rgb="FFFF0000"/>
      </right>
      <top style="mediumDashed">
        <color rgb="FFFF0000"/>
      </top>
      <bottom style="thin">
        <color rgb="FF7F7F7F"/>
      </bottom>
      <diagonal/>
    </border>
    <border>
      <left style="mediumDashed">
        <color rgb="FFFF0000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mediumDashed">
        <color rgb="FFFF0000"/>
      </right>
      <top style="thin">
        <color rgb="FF7F7F7F"/>
      </top>
      <bottom style="thin">
        <color rgb="FF7F7F7F"/>
      </bottom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 style="thin">
        <color rgb="FF7F7F7F"/>
      </right>
      <top style="thin">
        <color rgb="FF7F7F7F"/>
      </top>
      <bottom style="mediumDashed">
        <color rgb="FFFF0000"/>
      </bottom>
      <diagonal/>
    </border>
    <border>
      <left style="thin">
        <color rgb="FF7F7F7F"/>
      </left>
      <right style="mediumDashed">
        <color rgb="FFFF0000"/>
      </right>
      <top style="thin">
        <color rgb="FF7F7F7F"/>
      </top>
      <bottom style="mediumDashed">
        <color rgb="FFFF0000"/>
      </bottom>
      <diagonal/>
    </border>
    <border>
      <left/>
      <right/>
      <top style="thin">
        <color rgb="FF7F7F7F"/>
      </top>
      <bottom style="thin">
        <color rgb="FF7F7F7F"/>
      </bottom>
      <diagonal/>
    </border>
    <border>
      <left style="mediumDashed">
        <color rgb="FFFFC000"/>
      </left>
      <right style="thin">
        <color rgb="FF7F7F7F"/>
      </right>
      <top style="mediumDashed">
        <color rgb="FFFFC000"/>
      </top>
      <bottom style="thin">
        <color rgb="FF7F7F7F"/>
      </bottom>
      <diagonal/>
    </border>
    <border>
      <left style="thin">
        <color rgb="FF7F7F7F"/>
      </left>
      <right style="mediumDashed">
        <color rgb="FFFFC000"/>
      </right>
      <top style="mediumDashed">
        <color rgb="FFFFC000"/>
      </top>
      <bottom style="thin">
        <color rgb="FF7F7F7F"/>
      </bottom>
      <diagonal/>
    </border>
    <border>
      <left style="mediumDashed">
        <color rgb="FFFFC000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mediumDashed">
        <color rgb="FFFFC000"/>
      </right>
      <top style="thin">
        <color rgb="FF7F7F7F"/>
      </top>
      <bottom style="thin">
        <color rgb="FF7F7F7F"/>
      </bottom>
      <diagonal/>
    </border>
    <border>
      <left style="mediumDashed">
        <color rgb="FFFFC000"/>
      </left>
      <right/>
      <top/>
      <bottom/>
      <diagonal/>
    </border>
    <border>
      <left/>
      <right style="mediumDashed">
        <color rgb="FFFFC000"/>
      </right>
      <top/>
      <bottom/>
      <diagonal/>
    </border>
    <border>
      <left style="thin">
        <color rgb="FF7F7F7F"/>
      </left>
      <right style="mediumDashed">
        <color rgb="FFFFC000"/>
      </right>
      <top style="thin">
        <color rgb="FF7F7F7F"/>
      </top>
      <bottom style="mediumDashed">
        <color rgb="FFFFC000"/>
      </bottom>
      <diagonal/>
    </border>
    <border>
      <left/>
      <right/>
      <top/>
      <bottom style="medium">
        <color rgb="FF8FAADC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rgb="FFFF0000"/>
      </left>
      <right/>
      <top/>
      <bottom/>
      <diagonal/>
    </border>
    <border>
      <left style="medium">
        <color rgb="FFFF0000"/>
      </left>
      <right/>
      <top style="medium">
        <color rgb="FFFF0000"/>
      </top>
      <bottom/>
      <diagonal/>
    </border>
    <border>
      <left/>
      <right/>
      <top style="medium">
        <color rgb="FFFF0000"/>
      </top>
      <bottom/>
      <diagonal/>
    </border>
    <border>
      <left/>
      <right style="medium">
        <color rgb="FFFF0000"/>
      </right>
      <top style="medium">
        <color rgb="FFFF0000"/>
      </top>
      <bottom/>
      <diagonal/>
    </border>
    <border>
      <left style="medium">
        <color rgb="FFFF0000"/>
      </left>
      <right/>
      <top/>
      <bottom/>
      <diagonal/>
    </border>
    <border>
      <left/>
      <right style="medium">
        <color rgb="FFFF0000"/>
      </right>
      <top/>
      <bottom/>
      <diagonal/>
    </border>
    <border>
      <left style="medium">
        <color rgb="FFFF0000"/>
      </left>
      <right/>
      <top/>
      <bottom style="medium">
        <color rgb="FFFF0000"/>
      </bottom>
      <diagonal/>
    </border>
    <border>
      <left/>
      <right/>
      <top/>
      <bottom style="medium">
        <color rgb="FFFF0000"/>
      </bottom>
      <diagonal/>
    </border>
    <border>
      <left/>
      <right style="medium">
        <color rgb="FFFF0000"/>
      </right>
      <top/>
      <bottom style="medium">
        <color rgb="FFFF0000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45">
    <xf numFmtId="0" fontId="0" fillId="0" borderId="0"/>
    <xf numFmtId="0" fontId="1" fillId="0" borderId="1" applyNumberFormat="0" applyFill="0" applyAlignment="0" applyProtection="0"/>
    <xf numFmtId="0" fontId="2" fillId="2" borderId="0" applyNumberFormat="0" applyBorder="0" applyAlignment="0" applyProtection="0"/>
    <xf numFmtId="0" fontId="3" fillId="3" borderId="0" applyNumberFormat="0" applyBorder="0" applyAlignment="0" applyProtection="0"/>
    <xf numFmtId="0" fontId="4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6" fillId="5" borderId="5" applyNumberFormat="0" applyAlignment="0" applyProtection="0"/>
    <xf numFmtId="0" fontId="7" fillId="6" borderId="5" applyNumberFormat="0" applyAlignment="0" applyProtection="0"/>
    <xf numFmtId="0" fontId="5" fillId="7" borderId="6" applyNumberFormat="0" applyFont="0" applyAlignment="0" applyProtection="0"/>
    <xf numFmtId="0" fontId="8" fillId="0" borderId="0" applyNumberFormat="0" applyFill="0" applyBorder="0" applyAlignment="0" applyProtection="0"/>
    <xf numFmtId="0" fontId="9" fillId="0" borderId="8" applyNumberFormat="0" applyFill="0" applyAlignment="0" applyProtection="0"/>
    <xf numFmtId="0" fontId="11" fillId="0" borderId="20" applyNumberFormat="0" applyFill="0" applyAlignment="0" applyProtection="0"/>
    <xf numFmtId="0" fontId="12" fillId="0" borderId="0" applyNumberFormat="0" applyFill="0" applyBorder="0" applyAlignment="0" applyProtection="0"/>
    <xf numFmtId="0" fontId="13" fillId="0" borderId="21" applyNumberFormat="0" applyFill="0" applyAlignment="0" applyProtection="0"/>
    <xf numFmtId="0" fontId="14" fillId="6" borderId="22" applyNumberFormat="0" applyAlignment="0" applyProtection="0"/>
    <xf numFmtId="0" fontId="15" fillId="0" borderId="23" applyNumberFormat="0" applyFill="0" applyAlignment="0" applyProtection="0"/>
    <xf numFmtId="0" fontId="16" fillId="9" borderId="24" applyNumberFormat="0" applyAlignment="0" applyProtection="0"/>
    <xf numFmtId="0" fontId="17" fillId="10" borderId="0" applyNumberFormat="0" applyBorder="0" applyAlignment="0" applyProtection="0"/>
    <xf numFmtId="0" fontId="5" fillId="11" borderId="0" applyNumberFormat="0" applyBorder="0" applyAlignment="0" applyProtection="0"/>
    <xf numFmtId="0" fontId="5" fillId="12" borderId="0" applyNumberFormat="0" applyBorder="0" applyAlignment="0" applyProtection="0"/>
    <xf numFmtId="0" fontId="5" fillId="13" borderId="0" applyNumberFormat="0" applyBorder="0" applyAlignment="0" applyProtection="0"/>
    <xf numFmtId="0" fontId="17" fillId="14" borderId="0" applyNumberFormat="0" applyBorder="0" applyAlignment="0" applyProtection="0"/>
    <xf numFmtId="0" fontId="5" fillId="15" borderId="0" applyNumberFormat="0" applyBorder="0" applyAlignment="0" applyProtection="0"/>
    <xf numFmtId="0" fontId="5" fillId="16" borderId="0" applyNumberFormat="0" applyBorder="0" applyAlignment="0" applyProtection="0"/>
    <xf numFmtId="0" fontId="5" fillId="17" borderId="0" applyNumberFormat="0" applyBorder="0" applyAlignment="0" applyProtection="0"/>
    <xf numFmtId="0" fontId="17" fillId="18" borderId="0" applyNumberFormat="0" applyBorder="0" applyAlignment="0" applyProtection="0"/>
    <xf numFmtId="0" fontId="5" fillId="19" borderId="0" applyNumberFormat="0" applyBorder="0" applyAlignment="0" applyProtection="0"/>
    <xf numFmtId="0" fontId="5" fillId="20" borderId="0" applyNumberFormat="0" applyBorder="0" applyAlignment="0" applyProtection="0"/>
    <xf numFmtId="0" fontId="5" fillId="21" borderId="0" applyNumberFormat="0" applyBorder="0" applyAlignment="0" applyProtection="0"/>
    <xf numFmtId="0" fontId="17" fillId="22" borderId="0" applyNumberFormat="0" applyBorder="0" applyAlignment="0" applyProtection="0"/>
    <xf numFmtId="0" fontId="5" fillId="23" borderId="0" applyNumberFormat="0" applyBorder="0" applyAlignment="0" applyProtection="0"/>
    <xf numFmtId="0" fontId="5" fillId="24" borderId="0" applyNumberFormat="0" applyBorder="0" applyAlignment="0" applyProtection="0"/>
    <xf numFmtId="0" fontId="5" fillId="25" borderId="0" applyNumberFormat="0" applyBorder="0" applyAlignment="0" applyProtection="0"/>
    <xf numFmtId="0" fontId="17" fillId="26" borderId="0" applyNumberFormat="0" applyBorder="0" applyAlignment="0" applyProtection="0"/>
    <xf numFmtId="0" fontId="5" fillId="27" borderId="0" applyNumberFormat="0" applyBorder="0" applyAlignment="0" applyProtection="0"/>
    <xf numFmtId="0" fontId="5" fillId="28" borderId="0" applyNumberFormat="0" applyBorder="0" applyAlignment="0" applyProtection="0"/>
    <xf numFmtId="0" fontId="5" fillId="29" borderId="0" applyNumberFormat="0" applyBorder="0" applyAlignment="0" applyProtection="0"/>
    <xf numFmtId="0" fontId="17" fillId="30" borderId="0" applyNumberFormat="0" applyBorder="0" applyAlignment="0" applyProtection="0"/>
    <xf numFmtId="0" fontId="5" fillId="31" borderId="0" applyNumberFormat="0" applyBorder="0" applyAlignment="0" applyProtection="0"/>
    <xf numFmtId="0" fontId="5" fillId="32" borderId="0" applyNumberFormat="0" applyBorder="0" applyAlignment="0" applyProtection="0"/>
    <xf numFmtId="0" fontId="5" fillId="33" borderId="0" applyNumberFormat="0" applyBorder="0" applyAlignment="0" applyProtection="0"/>
    <xf numFmtId="0" fontId="18" fillId="4" borderId="0" applyNumberFormat="0" applyBorder="0" applyAlignment="0" applyProtection="0"/>
    <xf numFmtId="0" fontId="20" fillId="0" borderId="0"/>
    <xf numFmtId="0" fontId="21" fillId="0" borderId="42" applyProtection="0"/>
    <xf numFmtId="0" fontId="5" fillId="0" borderId="0"/>
  </cellStyleXfs>
  <cellXfs count="340">
    <xf numFmtId="0" fontId="0" fillId="0" borderId="0" xfId="0"/>
    <xf numFmtId="10" fontId="0" fillId="0" borderId="0" xfId="0" applyNumberFormat="1"/>
    <xf numFmtId="0" fontId="0" fillId="0" borderId="0" xfId="0" applyAlignment="1">
      <alignment horizontal="center" vertical="center" wrapText="1"/>
    </xf>
    <xf numFmtId="165" fontId="0" fillId="0" borderId="0" xfId="0" applyNumberFormat="1"/>
    <xf numFmtId="0" fontId="0" fillId="0" borderId="0" xfId="0" applyBorder="1"/>
    <xf numFmtId="0" fontId="0" fillId="34" borderId="0" xfId="0" applyFill="1"/>
    <xf numFmtId="0" fontId="0" fillId="0" borderId="25" xfId="0" applyBorder="1" applyAlignment="1">
      <alignment wrapText="1"/>
    </xf>
    <xf numFmtId="0" fontId="0" fillId="0" borderId="0" xfId="0" applyBorder="1" applyAlignment="1">
      <alignment wrapText="1"/>
    </xf>
    <xf numFmtId="0" fontId="7" fillId="6" borderId="28" xfId="7" applyBorder="1" applyAlignment="1">
      <alignment horizontal="center" vertical="center"/>
    </xf>
    <xf numFmtId="0" fontId="7" fillId="6" borderId="29" xfId="7" applyBorder="1" applyAlignment="1">
      <alignment horizontal="center" vertical="center"/>
    </xf>
    <xf numFmtId="0" fontId="0" fillId="0" borderId="30" xfId="0" applyBorder="1"/>
    <xf numFmtId="0" fontId="0" fillId="0" borderId="31" xfId="0" applyBorder="1"/>
    <xf numFmtId="0" fontId="7" fillId="6" borderId="33" xfId="7" applyBorder="1" applyAlignment="1">
      <alignment horizontal="center" vertical="center"/>
    </xf>
    <xf numFmtId="2" fontId="7" fillId="34" borderId="28" xfId="7" applyNumberFormat="1" applyFill="1" applyBorder="1" applyAlignment="1">
      <alignment horizontal="center" vertical="center"/>
    </xf>
    <xf numFmtId="164" fontId="7" fillId="34" borderId="28" xfId="7" applyNumberFormat="1" applyFill="1" applyBorder="1" applyAlignment="1">
      <alignment horizontal="center" vertical="center"/>
    </xf>
    <xf numFmtId="164" fontId="7" fillId="34" borderId="32" xfId="7" applyNumberFormat="1" applyFill="1" applyBorder="1" applyAlignment="1">
      <alignment horizontal="center" vertical="center"/>
    </xf>
    <xf numFmtId="0" fontId="6" fillId="5" borderId="34" xfId="6" applyBorder="1" applyAlignment="1">
      <alignment horizontal="center"/>
    </xf>
    <xf numFmtId="0" fontId="7" fillId="6" borderId="34" xfId="7" applyBorder="1" applyAlignment="1">
      <alignment horizontal="center" vertical="center"/>
    </xf>
    <xf numFmtId="0" fontId="7" fillId="6" borderId="37" xfId="7" applyBorder="1" applyAlignment="1">
      <alignment horizontal="center" vertical="center"/>
    </xf>
    <xf numFmtId="0" fontId="7" fillId="6" borderId="38" xfId="7" applyBorder="1" applyAlignment="1">
      <alignment horizontal="center" vertical="center"/>
    </xf>
    <xf numFmtId="0" fontId="0" fillId="0" borderId="39" xfId="0" applyBorder="1"/>
    <xf numFmtId="0" fontId="0" fillId="0" borderId="40" xfId="0" applyBorder="1"/>
    <xf numFmtId="0" fontId="7" fillId="6" borderId="41" xfId="7" applyBorder="1" applyAlignment="1">
      <alignment horizontal="center" vertical="center"/>
    </xf>
    <xf numFmtId="10" fontId="0" fillId="0" borderId="0" xfId="0" applyNumberFormat="1" applyBorder="1" applyAlignment="1">
      <alignment wrapText="1"/>
    </xf>
    <xf numFmtId="0" fontId="6" fillId="5" borderId="0" xfId="6" applyBorder="1" applyAlignment="1"/>
    <xf numFmtId="164" fontId="7" fillId="34" borderId="30" xfId="7" applyNumberFormat="1" applyFill="1" applyBorder="1" applyAlignment="1">
      <alignment horizontal="center" vertical="center"/>
    </xf>
    <xf numFmtId="0" fontId="7" fillId="6" borderId="31" xfId="7" applyBorder="1" applyAlignment="1">
      <alignment horizontal="center" vertical="center"/>
    </xf>
    <xf numFmtId="0" fontId="7" fillId="6" borderId="0" xfId="7" applyBorder="1" applyAlignment="1">
      <alignment horizontal="center" vertical="center"/>
    </xf>
    <xf numFmtId="164" fontId="7" fillId="34" borderId="0" xfId="7" applyNumberFormat="1" applyFill="1" applyBorder="1" applyAlignment="1">
      <alignment horizontal="center" vertical="center"/>
    </xf>
    <xf numFmtId="0" fontId="7" fillId="6" borderId="40" xfId="7" applyBorder="1" applyAlignment="1">
      <alignment horizontal="center" vertical="center"/>
    </xf>
    <xf numFmtId="0" fontId="34" fillId="8" borderId="0" xfId="0" applyFont="1" applyFill="1" applyBorder="1" applyAlignment="1">
      <alignment horizontal="left"/>
    </xf>
    <xf numFmtId="0" fontId="38" fillId="0" borderId="0" xfId="0" applyFont="1"/>
    <xf numFmtId="0" fontId="39" fillId="0" borderId="0" xfId="0" applyFont="1"/>
    <xf numFmtId="2" fontId="0" fillId="0" borderId="0" xfId="0" applyNumberFormat="1"/>
    <xf numFmtId="0" fontId="29" fillId="35" borderId="7" xfId="0" applyFont="1" applyFill="1" applyBorder="1" applyAlignment="1">
      <alignment horizontal="center" vertical="center" wrapText="1"/>
    </xf>
    <xf numFmtId="0" fontId="34" fillId="8" borderId="3" xfId="0" applyFont="1" applyFill="1" applyBorder="1" applyAlignment="1">
      <alignment horizontal="left"/>
    </xf>
    <xf numFmtId="0" fontId="32" fillId="8" borderId="10" xfId="0" applyFont="1" applyFill="1" applyBorder="1" applyAlignment="1">
      <alignment vertical="center" wrapText="1"/>
    </xf>
    <xf numFmtId="0" fontId="32" fillId="8" borderId="0" xfId="0" applyFont="1" applyFill="1" applyBorder="1" applyAlignment="1">
      <alignment vertical="center" wrapText="1"/>
    </xf>
    <xf numFmtId="0" fontId="10" fillId="8" borderId="10" xfId="0" applyFont="1" applyFill="1" applyBorder="1" applyAlignment="1">
      <alignment horizontal="left"/>
    </xf>
    <xf numFmtId="0" fontId="10" fillId="8" borderId="0" xfId="0" applyFont="1" applyFill="1" applyBorder="1" applyAlignment="1">
      <alignment horizontal="left"/>
    </xf>
    <xf numFmtId="0" fontId="33" fillId="8" borderId="0" xfId="0" applyFont="1" applyFill="1" applyBorder="1" applyAlignment="1">
      <alignment horizontal="center" vertical="center" wrapText="1"/>
    </xf>
    <xf numFmtId="0" fontId="0" fillId="8" borderId="10" xfId="0" applyFill="1" applyBorder="1" applyAlignment="1">
      <alignment horizontal="left"/>
    </xf>
    <xf numFmtId="0" fontId="0" fillId="8" borderId="0" xfId="0" applyFill="1" applyBorder="1"/>
    <xf numFmtId="0" fontId="32" fillId="8" borderId="9" xfId="0" applyFont="1" applyFill="1" applyBorder="1" applyAlignment="1">
      <alignment vertical="center" wrapText="1"/>
    </xf>
    <xf numFmtId="0" fontId="33" fillId="8" borderId="9" xfId="0" applyFont="1" applyFill="1" applyBorder="1" applyAlignment="1">
      <alignment horizontal="center" vertical="center" wrapText="1"/>
    </xf>
    <xf numFmtId="0" fontId="0" fillId="8" borderId="9" xfId="0" applyFill="1" applyBorder="1"/>
    <xf numFmtId="0" fontId="0" fillId="8" borderId="14" xfId="0" applyFill="1" applyBorder="1"/>
    <xf numFmtId="0" fontId="0" fillId="8" borderId="2" xfId="0" applyFill="1" applyBorder="1"/>
    <xf numFmtId="0" fontId="17" fillId="8" borderId="2" xfId="0" applyFont="1" applyFill="1" applyBorder="1" applyAlignment="1">
      <alignment horizontal="center"/>
    </xf>
    <xf numFmtId="0" fontId="17" fillId="8" borderId="12" xfId="0" applyFont="1" applyFill="1" applyBorder="1" applyAlignment="1">
      <alignment horizontal="center"/>
    </xf>
    <xf numFmtId="0" fontId="33" fillId="8" borderId="2" xfId="0" applyFont="1" applyFill="1" applyBorder="1" applyAlignment="1">
      <alignment horizontal="center" vertical="center" wrapText="1"/>
    </xf>
    <xf numFmtId="0" fontId="25" fillId="8" borderId="0" xfId="0" applyFont="1" applyFill="1" applyBorder="1" applyAlignment="1"/>
    <xf numFmtId="0" fontId="25" fillId="8" borderId="2" xfId="0" applyFont="1" applyFill="1" applyBorder="1" applyAlignment="1"/>
    <xf numFmtId="0" fontId="0" fillId="0" borderId="0" xfId="0" pivotButton="1"/>
    <xf numFmtId="0" fontId="0" fillId="0" borderId="0" xfId="0" applyAlignment="1">
      <alignment vertical="top"/>
    </xf>
    <xf numFmtId="0" fontId="0" fillId="0" borderId="0" xfId="0" applyAlignment="1">
      <alignment vertical="top" wrapText="1"/>
    </xf>
    <xf numFmtId="0" fontId="0" fillId="0" borderId="0" xfId="0" applyAlignment="1">
      <alignment horizontal="fill" vertical="top" wrapText="1"/>
    </xf>
    <xf numFmtId="0" fontId="0" fillId="0" borderId="0" xfId="0" applyAlignment="1">
      <alignment horizontal="fill" wrapText="1"/>
    </xf>
    <xf numFmtId="0" fontId="0" fillId="0" borderId="0" xfId="0" applyAlignment="1"/>
    <xf numFmtId="0" fontId="42" fillId="0" borderId="0" xfId="42" applyFont="1"/>
    <xf numFmtId="0" fontId="44" fillId="39" borderId="18" xfId="0" applyFont="1" applyFill="1" applyBorder="1" applyAlignment="1"/>
    <xf numFmtId="0" fontId="44" fillId="39" borderId="4" xfId="0" applyFont="1" applyFill="1" applyBorder="1" applyAlignment="1">
      <alignment horizontal="center"/>
    </xf>
    <xf numFmtId="0" fontId="44" fillId="39" borderId="18" xfId="0" applyFont="1" applyFill="1" applyBorder="1" applyAlignment="1">
      <alignment horizontal="left"/>
    </xf>
    <xf numFmtId="0" fontId="44" fillId="39" borderId="14" xfId="0" applyFont="1" applyFill="1" applyBorder="1" applyAlignment="1"/>
    <xf numFmtId="0" fontId="44" fillId="39" borderId="2" xfId="0" applyFont="1" applyFill="1" applyBorder="1" applyAlignment="1"/>
    <xf numFmtId="0" fontId="44" fillId="39" borderId="12" xfId="0" applyFont="1" applyFill="1" applyBorder="1" applyAlignment="1"/>
    <xf numFmtId="0" fontId="44" fillId="39" borderId="17" xfId="0" applyFont="1" applyFill="1" applyBorder="1" applyAlignment="1"/>
    <xf numFmtId="0" fontId="45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29" fillId="35" borderId="17" xfId="0" applyFont="1" applyFill="1" applyBorder="1" applyAlignment="1">
      <alignment horizontal="left" vertical="center"/>
    </xf>
    <xf numFmtId="0" fontId="44" fillId="0" borderId="16" xfId="0" applyFont="1" applyBorder="1"/>
    <xf numFmtId="0" fontId="25" fillId="0" borderId="10" xfId="0" applyFont="1" applyBorder="1" applyAlignment="1"/>
    <xf numFmtId="0" fontId="44" fillId="39" borderId="7" xfId="0" applyFont="1" applyFill="1" applyBorder="1" applyAlignment="1">
      <alignment horizontal="left"/>
    </xf>
    <xf numFmtId="14" fontId="0" fillId="0" borderId="10" xfId="0" applyNumberFormat="1" applyFont="1" applyBorder="1"/>
    <xf numFmtId="0" fontId="0" fillId="0" borderId="0" xfId="0" applyFont="1" applyBorder="1"/>
    <xf numFmtId="0" fontId="0" fillId="0" borderId="9" xfId="0" applyBorder="1"/>
    <xf numFmtId="0" fontId="44" fillId="39" borderId="16" xfId="0" applyFont="1" applyFill="1" applyBorder="1" applyAlignment="1"/>
    <xf numFmtId="0" fontId="0" fillId="0" borderId="10" xfId="0" applyBorder="1"/>
    <xf numFmtId="0" fontId="0" fillId="0" borderId="12" xfId="0" applyBorder="1"/>
    <xf numFmtId="0" fontId="0" fillId="0" borderId="3" xfId="0" applyBorder="1"/>
    <xf numFmtId="0" fontId="0" fillId="0" borderId="15" xfId="0" applyBorder="1"/>
    <xf numFmtId="0" fontId="0" fillId="0" borderId="2" xfId="0" applyBorder="1"/>
    <xf numFmtId="0" fontId="44" fillId="39" borderId="3" xfId="0" applyFont="1" applyFill="1" applyBorder="1" applyAlignment="1"/>
    <xf numFmtId="0" fontId="0" fillId="0" borderId="4" xfId="0" applyBorder="1"/>
    <xf numFmtId="0" fontId="44" fillId="0" borderId="4" xfId="0" applyFont="1" applyBorder="1"/>
    <xf numFmtId="0" fontId="44" fillId="0" borderId="18" xfId="0" applyFont="1" applyBorder="1" applyAlignment="1"/>
    <xf numFmtId="0" fontId="0" fillId="0" borderId="4" xfId="0" applyBorder="1" applyAlignment="1"/>
    <xf numFmtId="0" fontId="0" fillId="0" borderId="19" xfId="0" applyBorder="1" applyAlignment="1"/>
    <xf numFmtId="0" fontId="0" fillId="0" borderId="16" xfId="0" applyBorder="1"/>
    <xf numFmtId="0" fontId="44" fillId="0" borderId="14" xfId="0" applyFont="1" applyBorder="1"/>
    <xf numFmtId="0" fontId="44" fillId="39" borderId="4" xfId="0" applyFont="1" applyFill="1" applyBorder="1" applyAlignment="1"/>
    <xf numFmtId="0" fontId="44" fillId="39" borderId="19" xfId="0" applyFont="1" applyFill="1" applyBorder="1" applyAlignment="1"/>
    <xf numFmtId="0" fontId="44" fillId="0" borderId="18" xfId="0" applyFont="1" applyBorder="1" applyAlignment="1">
      <alignment vertical="top"/>
    </xf>
    <xf numFmtId="0" fontId="0" fillId="0" borderId="18" xfId="0" applyBorder="1"/>
    <xf numFmtId="0" fontId="29" fillId="35" borderId="18" xfId="0" applyFont="1" applyFill="1" applyBorder="1" applyAlignment="1">
      <alignment horizontal="center" vertical="center" wrapText="1"/>
    </xf>
    <xf numFmtId="0" fontId="0" fillId="0" borderId="17" xfId="0" applyBorder="1"/>
    <xf numFmtId="0" fontId="0" fillId="0" borderId="14" xfId="0" applyBorder="1"/>
    <xf numFmtId="0" fontId="29" fillId="35" borderId="17" xfId="0" applyFont="1" applyFill="1" applyBorder="1" applyAlignment="1">
      <alignment vertical="center" wrapText="1"/>
    </xf>
    <xf numFmtId="0" fontId="25" fillId="0" borderId="10" xfId="0" applyFont="1" applyBorder="1" applyAlignment="1">
      <alignment horizontal="center"/>
    </xf>
    <xf numFmtId="0" fontId="29" fillId="35" borderId="13" xfId="0" applyFont="1" applyFill="1" applyBorder="1" applyAlignment="1">
      <alignment horizontal="center" vertical="center" wrapText="1"/>
    </xf>
    <xf numFmtId="0" fontId="0" fillId="0" borderId="19" xfId="0" applyBorder="1"/>
    <xf numFmtId="0" fontId="0" fillId="0" borderId="17" xfId="0" applyBorder="1" applyAlignment="1">
      <alignment vertical="top" wrapText="1"/>
    </xf>
    <xf numFmtId="0" fontId="0" fillId="0" borderId="3" xfId="0" applyBorder="1" applyAlignment="1">
      <alignment vertical="top"/>
    </xf>
    <xf numFmtId="0" fontId="0" fillId="0" borderId="10" xfId="0" applyBorder="1" applyAlignment="1">
      <alignment vertical="top"/>
    </xf>
    <xf numFmtId="0" fontId="0" fillId="0" borderId="0" xfId="0" applyBorder="1" applyAlignment="1">
      <alignment vertical="top"/>
    </xf>
    <xf numFmtId="0" fontId="0" fillId="0" borderId="2" xfId="0" applyBorder="1" applyAlignment="1">
      <alignment vertical="top"/>
    </xf>
    <xf numFmtId="0" fontId="0" fillId="0" borderId="0" xfId="0" applyNumberFormat="1"/>
    <xf numFmtId="2" fontId="41" fillId="34" borderId="0" xfId="0" applyNumberFormat="1" applyFont="1" applyFill="1"/>
    <xf numFmtId="0" fontId="44" fillId="39" borderId="19" xfId="0" applyFont="1" applyFill="1" applyBorder="1" applyAlignment="1">
      <alignment horizontal="left"/>
    </xf>
    <xf numFmtId="0" fontId="44" fillId="39" borderId="18" xfId="0" applyFont="1" applyFill="1" applyBorder="1" applyAlignment="1">
      <alignment horizontal="center"/>
    </xf>
    <xf numFmtId="0" fontId="44" fillId="39" borderId="19" xfId="0" applyFont="1" applyFill="1" applyBorder="1" applyAlignment="1">
      <alignment horizontal="center"/>
    </xf>
    <xf numFmtId="166" fontId="29" fillId="35" borderId="18" xfId="0" applyNumberFormat="1" applyFont="1" applyFill="1" applyBorder="1" applyAlignment="1">
      <alignment horizontal="center" vertical="center" wrapText="1"/>
    </xf>
    <xf numFmtId="0" fontId="29" fillId="35" borderId="16" xfId="0" applyFont="1" applyFill="1" applyBorder="1" applyAlignment="1">
      <alignment horizontal="center" vertical="center" wrapText="1"/>
    </xf>
    <xf numFmtId="0" fontId="29" fillId="35" borderId="11" xfId="0" applyFont="1" applyFill="1" applyBorder="1" applyAlignment="1">
      <alignment horizontal="center" vertical="center" wrapText="1"/>
    </xf>
    <xf numFmtId="0" fontId="44" fillId="39" borderId="18" xfId="0" applyFont="1" applyFill="1" applyBorder="1" applyAlignment="1">
      <alignment horizontal="center"/>
    </xf>
    <xf numFmtId="0" fontId="44" fillId="39" borderId="19" xfId="0" applyFont="1" applyFill="1" applyBorder="1" applyAlignment="1">
      <alignment horizontal="center"/>
    </xf>
    <xf numFmtId="0" fontId="0" fillId="0" borderId="19" xfId="0" applyBorder="1"/>
    <xf numFmtId="0" fontId="0" fillId="0" borderId="7" xfId="0" applyBorder="1"/>
    <xf numFmtId="0" fontId="49" fillId="0" borderId="43" xfId="0" applyFont="1" applyBorder="1"/>
    <xf numFmtId="0" fontId="49" fillId="0" borderId="44" xfId="0" applyFont="1" applyBorder="1"/>
    <xf numFmtId="0" fontId="49" fillId="41" borderId="44" xfId="0" applyFont="1" applyFill="1" applyBorder="1"/>
    <xf numFmtId="0" fontId="0" fillId="42" borderId="0" xfId="0" applyFill="1"/>
    <xf numFmtId="0" fontId="43" fillId="42" borderId="0" xfId="0" applyFont="1" applyFill="1"/>
    <xf numFmtId="0" fontId="29" fillId="35" borderId="7" xfId="0" applyFont="1" applyFill="1" applyBorder="1" applyAlignment="1">
      <alignment vertical="center" wrapText="1"/>
    </xf>
    <xf numFmtId="0" fontId="29" fillId="35" borderId="7" xfId="0" applyFont="1" applyFill="1" applyBorder="1" applyAlignment="1">
      <alignment horizontal="left" vertical="center" wrapText="1"/>
    </xf>
    <xf numFmtId="2" fontId="37" fillId="35" borderId="7" xfId="0" applyNumberFormat="1" applyFont="1" applyFill="1" applyBorder="1" applyAlignment="1">
      <alignment horizontal="right"/>
    </xf>
    <xf numFmtId="1" fontId="28" fillId="35" borderId="7" xfId="0" applyNumberFormat="1" applyFont="1" applyFill="1" applyBorder="1" applyAlignment="1">
      <alignment horizontal="right"/>
    </xf>
    <xf numFmtId="2" fontId="37" fillId="35" borderId="7" xfId="0" applyNumberFormat="1" applyFont="1" applyFill="1" applyBorder="1" applyAlignment="1">
      <alignment horizontal="left"/>
    </xf>
    <xf numFmtId="0" fontId="26" fillId="35" borderId="7" xfId="0" applyFont="1" applyFill="1" applyBorder="1" applyAlignment="1">
      <alignment horizontal="center"/>
    </xf>
    <xf numFmtId="0" fontId="26" fillId="8" borderId="7" xfId="0" applyFont="1" applyFill="1" applyBorder="1"/>
    <xf numFmtId="0" fontId="24" fillId="8" borderId="7" xfId="0" applyFont="1" applyFill="1" applyBorder="1"/>
    <xf numFmtId="0" fontId="26" fillId="8" borderId="7" xfId="0" applyFont="1" applyFill="1" applyBorder="1" applyAlignment="1">
      <alignment horizontal="right"/>
    </xf>
    <xf numFmtId="0" fontId="0" fillId="8" borderId="14" xfId="0" applyFill="1" applyBorder="1" applyAlignment="1">
      <alignment horizontal="left"/>
    </xf>
    <xf numFmtId="0" fontId="34" fillId="8" borderId="2" xfId="0" applyFont="1" applyFill="1" applyBorder="1" applyAlignment="1">
      <alignment horizontal="left"/>
    </xf>
    <xf numFmtId="0" fontId="0" fillId="8" borderId="12" xfId="0" applyFill="1" applyBorder="1"/>
    <xf numFmtId="0" fontId="33" fillId="8" borderId="12" xfId="0" applyFont="1" applyFill="1" applyBorder="1" applyAlignment="1">
      <alignment horizontal="center" vertical="center" wrapText="1"/>
    </xf>
    <xf numFmtId="0" fontId="43" fillId="37" borderId="0" xfId="0" applyFont="1" applyFill="1"/>
    <xf numFmtId="0" fontId="43" fillId="0" borderId="0" xfId="0" applyFont="1"/>
    <xf numFmtId="0" fontId="0" fillId="0" borderId="45" xfId="0" applyBorder="1"/>
    <xf numFmtId="0" fontId="0" fillId="0" borderId="46" xfId="0" applyBorder="1"/>
    <xf numFmtId="0" fontId="0" fillId="0" borderId="47" xfId="0" applyBorder="1"/>
    <xf numFmtId="0" fontId="0" fillId="0" borderId="48" xfId="0" applyBorder="1"/>
    <xf numFmtId="0" fontId="0" fillId="0" borderId="49" xfId="0" applyBorder="1"/>
    <xf numFmtId="0" fontId="0" fillId="0" borderId="50" xfId="0" applyBorder="1"/>
    <xf numFmtId="0" fontId="0" fillId="0" borderId="51" xfId="0" applyBorder="1"/>
    <xf numFmtId="0" fontId="0" fillId="0" borderId="52" xfId="0" applyBorder="1"/>
    <xf numFmtId="0" fontId="0" fillId="0" borderId="53" xfId="0" applyBorder="1"/>
    <xf numFmtId="0" fontId="29" fillId="35" borderId="11" xfId="0" applyFont="1" applyFill="1" applyBorder="1" applyAlignment="1">
      <alignment horizontal="center" vertical="center" wrapText="1"/>
    </xf>
    <xf numFmtId="0" fontId="29" fillId="35" borderId="13" xfId="0" applyFont="1" applyFill="1" applyBorder="1" applyAlignment="1">
      <alignment horizontal="center" vertical="center" wrapText="1"/>
    </xf>
    <xf numFmtId="0" fontId="44" fillId="39" borderId="18" xfId="0" applyFont="1" applyFill="1" applyBorder="1" applyAlignment="1">
      <alignment horizontal="center"/>
    </xf>
    <xf numFmtId="0" fontId="44" fillId="39" borderId="19" xfId="0" applyFont="1" applyFill="1" applyBorder="1" applyAlignment="1">
      <alignment horizontal="center"/>
    </xf>
    <xf numFmtId="0" fontId="29" fillId="35" borderId="16" xfId="0" applyFont="1" applyFill="1" applyBorder="1" applyAlignment="1">
      <alignment horizontal="center" vertical="center" wrapText="1"/>
    </xf>
    <xf numFmtId="0" fontId="0" fillId="0" borderId="7" xfId="0" applyBorder="1"/>
    <xf numFmtId="0" fontId="26" fillId="35" borderId="7" xfId="0" applyFont="1" applyFill="1" applyBorder="1" applyAlignment="1">
      <alignment horizontal="center"/>
    </xf>
    <xf numFmtId="0" fontId="16" fillId="43" borderId="54" xfId="0" applyFont="1" applyFill="1" applyBorder="1"/>
    <xf numFmtId="2" fontId="29" fillId="8" borderId="7" xfId="0" applyNumberFormat="1" applyFont="1" applyFill="1" applyBorder="1" applyAlignment="1">
      <alignment horizontal="center" vertical="center" wrapText="1"/>
    </xf>
    <xf numFmtId="2" fontId="44" fillId="0" borderId="7" xfId="0" applyNumberFormat="1" applyFont="1" applyBorder="1"/>
    <xf numFmtId="2" fontId="29" fillId="35" borderId="18" xfId="0" applyNumberFormat="1" applyFont="1" applyFill="1" applyBorder="1" applyAlignment="1">
      <alignment horizontal="center" vertical="center" wrapText="1"/>
    </xf>
    <xf numFmtId="2" fontId="29" fillId="35" borderId="17" xfId="0" applyNumberFormat="1" applyFont="1" applyFill="1" applyBorder="1" applyAlignment="1">
      <alignment horizontal="left" vertical="center"/>
    </xf>
    <xf numFmtId="2" fontId="44" fillId="0" borderId="16" xfId="0" applyNumberFormat="1" applyFont="1" applyBorder="1"/>
    <xf numFmtId="0" fontId="44" fillId="0" borderId="7" xfId="0" applyFont="1" applyBorder="1" applyAlignment="1"/>
    <xf numFmtId="0" fontId="0" fillId="0" borderId="7" xfId="0" applyBorder="1" applyAlignment="1"/>
    <xf numFmtId="0" fontId="44" fillId="0" borderId="7" xfId="0" applyFont="1" applyBorder="1"/>
    <xf numFmtId="0" fontId="44" fillId="39" borderId="7" xfId="0" applyFont="1" applyFill="1" applyBorder="1" applyAlignment="1"/>
    <xf numFmtId="0" fontId="44" fillId="0" borderId="18" xfId="0" applyFont="1" applyBorder="1"/>
    <xf numFmtId="0" fontId="44" fillId="0" borderId="19" xfId="0" applyFont="1" applyBorder="1"/>
    <xf numFmtId="0" fontId="43" fillId="0" borderId="19" xfId="0" applyFont="1" applyBorder="1"/>
    <xf numFmtId="166" fontId="37" fillId="35" borderId="7" xfId="0" applyNumberFormat="1" applyFont="1" applyFill="1" applyBorder="1" applyAlignment="1">
      <alignment horizontal="right"/>
    </xf>
    <xf numFmtId="0" fontId="44" fillId="39" borderId="15" xfId="0" applyFont="1" applyFill="1" applyBorder="1" applyAlignment="1"/>
    <xf numFmtId="0" fontId="43" fillId="0" borderId="2" xfId="0" applyFont="1" applyBorder="1"/>
    <xf numFmtId="0" fontId="17" fillId="0" borderId="49" xfId="0" applyFont="1" applyBorder="1"/>
    <xf numFmtId="0" fontId="46" fillId="0" borderId="4" xfId="0" applyFont="1" applyBorder="1" applyAlignment="1">
      <alignment horizontal="center" vertical="center"/>
    </xf>
    <xf numFmtId="2" fontId="48" fillId="0" borderId="19" xfId="0" applyNumberFormat="1" applyFont="1" applyBorder="1" applyAlignment="1">
      <alignment horizontal="center" vertical="center"/>
    </xf>
    <xf numFmtId="0" fontId="0" fillId="0" borderId="7" xfId="0" applyBorder="1"/>
    <xf numFmtId="0" fontId="0" fillId="42" borderId="0" xfId="0" applyFill="1" applyBorder="1"/>
    <xf numFmtId="0" fontId="0" fillId="35" borderId="0" xfId="0" applyFill="1" applyBorder="1"/>
    <xf numFmtId="0" fontId="0" fillId="0" borderId="55" xfId="0" applyBorder="1"/>
    <xf numFmtId="2" fontId="0" fillId="0" borderId="55" xfId="0" applyNumberFormat="1" applyBorder="1"/>
    <xf numFmtId="0" fontId="29" fillId="35" borderId="55" xfId="0" applyFont="1" applyFill="1" applyBorder="1" applyAlignment="1">
      <alignment horizontal="center" vertical="center" wrapText="1"/>
    </xf>
    <xf numFmtId="166" fontId="29" fillId="35" borderId="55" xfId="0" applyNumberFormat="1" applyFont="1" applyFill="1" applyBorder="1" applyAlignment="1">
      <alignment horizontal="center" vertical="center" wrapText="1"/>
    </xf>
    <xf numFmtId="1" fontId="29" fillId="35" borderId="55" xfId="0" applyNumberFormat="1" applyFont="1" applyFill="1" applyBorder="1" applyAlignment="1">
      <alignment horizontal="center" vertical="center" wrapText="1"/>
    </xf>
    <xf numFmtId="2" fontId="29" fillId="35" borderId="55" xfId="0" applyNumberFormat="1" applyFont="1" applyFill="1" applyBorder="1" applyAlignment="1">
      <alignment horizontal="center" vertical="center" wrapText="1"/>
    </xf>
    <xf numFmtId="2" fontId="0" fillId="0" borderId="7" xfId="0" applyNumberFormat="1" applyBorder="1"/>
    <xf numFmtId="0" fontId="29" fillId="35" borderId="16" xfId="0" applyFont="1" applyFill="1" applyBorder="1" applyAlignment="1">
      <alignment horizontal="center" vertical="center" wrapText="1"/>
    </xf>
    <xf numFmtId="0" fontId="0" fillId="44" borderId="0" xfId="0" applyFill="1" applyBorder="1"/>
    <xf numFmtId="0" fontId="0" fillId="0" borderId="56" xfId="0" applyBorder="1"/>
    <xf numFmtId="2" fontId="0" fillId="0" borderId="56" xfId="0" applyNumberFormat="1" applyBorder="1"/>
    <xf numFmtId="0" fontId="29" fillId="35" borderId="56" xfId="0" applyFont="1" applyFill="1" applyBorder="1" applyAlignment="1">
      <alignment horizontal="center" vertical="center" wrapText="1"/>
    </xf>
    <xf numFmtId="166" fontId="29" fillId="35" borderId="56" xfId="0" applyNumberFormat="1" applyFont="1" applyFill="1" applyBorder="1" applyAlignment="1">
      <alignment horizontal="center" vertical="center" wrapText="1"/>
    </xf>
    <xf numFmtId="2" fontId="29" fillId="35" borderId="56" xfId="0" applyNumberFormat="1" applyFont="1" applyFill="1" applyBorder="1" applyAlignment="1">
      <alignment horizontal="center" vertical="center" wrapText="1"/>
    </xf>
    <xf numFmtId="2" fontId="29" fillId="8" borderId="56" xfId="0" applyNumberFormat="1" applyFont="1" applyFill="1" applyBorder="1" applyAlignment="1">
      <alignment horizontal="center" vertical="center" wrapText="1"/>
    </xf>
    <xf numFmtId="2" fontId="44" fillId="0" borderId="55" xfId="0" applyNumberFormat="1" applyFont="1" applyBorder="1"/>
    <xf numFmtId="14" fontId="0" fillId="0" borderId="56" xfId="0" applyNumberFormat="1" applyFont="1" applyBorder="1"/>
    <xf numFmtId="0" fontId="0" fillId="0" borderId="56" xfId="0" applyFont="1" applyBorder="1"/>
    <xf numFmtId="0" fontId="43" fillId="0" borderId="56" xfId="0" applyFont="1" applyBorder="1"/>
    <xf numFmtId="0" fontId="0" fillId="0" borderId="57" xfId="0" applyBorder="1"/>
    <xf numFmtId="0" fontId="0" fillId="0" borderId="57" xfId="0" applyBorder="1" applyAlignment="1">
      <alignment horizontal="center" vertical="center"/>
    </xf>
    <xf numFmtId="2" fontId="0" fillId="0" borderId="57" xfId="0" applyNumberFormat="1" applyBorder="1" applyAlignment="1">
      <alignment horizontal="center" vertical="center"/>
    </xf>
    <xf numFmtId="2" fontId="0" fillId="0" borderId="57" xfId="0" applyNumberFormat="1" applyBorder="1" applyAlignment="1">
      <alignment horizontal="center" vertical="center" wrapText="1"/>
    </xf>
    <xf numFmtId="14" fontId="0" fillId="46" borderId="0" xfId="0" applyNumberFormat="1" applyFill="1" applyAlignment="1">
      <alignment horizontal="center" vertical="center"/>
    </xf>
    <xf numFmtId="0" fontId="0" fillId="0" borderId="58" xfId="0" applyBorder="1" applyAlignment="1">
      <alignment horizontal="center" vertical="center"/>
    </xf>
    <xf numFmtId="2" fontId="0" fillId="0" borderId="58" xfId="0" applyNumberFormat="1" applyBorder="1" applyAlignment="1">
      <alignment horizontal="center" vertical="center" wrapText="1"/>
    </xf>
    <xf numFmtId="0" fontId="0" fillId="0" borderId="59" xfId="0" applyBorder="1"/>
    <xf numFmtId="2" fontId="0" fillId="0" borderId="59" xfId="0" applyNumberFormat="1" applyBorder="1"/>
    <xf numFmtId="0" fontId="29" fillId="35" borderId="59" xfId="0" applyFont="1" applyFill="1" applyBorder="1" applyAlignment="1">
      <alignment horizontal="center" vertical="center" wrapText="1"/>
    </xf>
    <xf numFmtId="166" fontId="29" fillId="35" borderId="59" xfId="0" applyNumberFormat="1" applyFont="1" applyFill="1" applyBorder="1" applyAlignment="1">
      <alignment horizontal="center" vertical="center" wrapText="1"/>
    </xf>
    <xf numFmtId="2" fontId="29" fillId="35" borderId="59" xfId="0" applyNumberFormat="1" applyFont="1" applyFill="1" applyBorder="1" applyAlignment="1">
      <alignment horizontal="center" vertical="center" wrapText="1"/>
    </xf>
    <xf numFmtId="2" fontId="29" fillId="8" borderId="59" xfId="0" applyNumberFormat="1" applyFont="1" applyFill="1" applyBorder="1" applyAlignment="1">
      <alignment horizontal="center" vertical="center" wrapText="1"/>
    </xf>
    <xf numFmtId="0" fontId="0" fillId="45" borderId="0" xfId="0" applyFill="1"/>
    <xf numFmtId="0" fontId="0" fillId="46" borderId="0" xfId="0" applyFill="1"/>
    <xf numFmtId="0" fontId="54" fillId="45" borderId="0" xfId="0" applyFont="1" applyFill="1"/>
    <xf numFmtId="0" fontId="55" fillId="45" borderId="0" xfId="0" applyFont="1" applyFill="1"/>
    <xf numFmtId="0" fontId="0" fillId="0" borderId="60" xfId="0" applyBorder="1"/>
    <xf numFmtId="0" fontId="0" fillId="0" borderId="61" xfId="0" applyBorder="1"/>
    <xf numFmtId="2" fontId="0" fillId="0" borderId="61" xfId="0" applyNumberFormat="1" applyBorder="1"/>
    <xf numFmtId="0" fontId="29" fillId="35" borderId="61" xfId="0" applyFont="1" applyFill="1" applyBorder="1" applyAlignment="1">
      <alignment horizontal="center" vertical="center" wrapText="1"/>
    </xf>
    <xf numFmtId="166" fontId="29" fillId="35" borderId="61" xfId="0" applyNumberFormat="1" applyFont="1" applyFill="1" applyBorder="1" applyAlignment="1">
      <alignment horizontal="center" vertical="center" wrapText="1"/>
    </xf>
    <xf numFmtId="2" fontId="29" fillId="35" borderId="61" xfId="0" applyNumberFormat="1" applyFont="1" applyFill="1" applyBorder="1" applyAlignment="1">
      <alignment horizontal="center" vertical="center" wrapText="1"/>
    </xf>
    <xf numFmtId="2" fontId="29" fillId="8" borderId="61" xfId="0" applyNumberFormat="1" applyFont="1" applyFill="1" applyBorder="1" applyAlignment="1">
      <alignment horizontal="center" vertical="center" wrapText="1"/>
    </xf>
    <xf numFmtId="0" fontId="6" fillId="5" borderId="37" xfId="6" applyBorder="1" applyAlignment="1">
      <alignment horizontal="center"/>
    </xf>
    <xf numFmtId="0" fontId="6" fillId="5" borderId="38" xfId="6" applyBorder="1" applyAlignment="1">
      <alignment horizontal="center"/>
    </xf>
    <xf numFmtId="0" fontId="6" fillId="5" borderId="28" xfId="6" applyBorder="1" applyAlignment="1">
      <alignment horizontal="center"/>
    </xf>
    <xf numFmtId="0" fontId="6" fillId="5" borderId="29" xfId="6" applyBorder="1" applyAlignment="1">
      <alignment horizontal="center"/>
    </xf>
    <xf numFmtId="0" fontId="1" fillId="0" borderId="0" xfId="1" applyBorder="1" applyAlignment="1">
      <alignment horizontal="center" vertical="center" wrapText="1"/>
    </xf>
    <xf numFmtId="0" fontId="6" fillId="5" borderId="35" xfId="6" applyBorder="1" applyAlignment="1">
      <alignment horizontal="center"/>
    </xf>
    <xf numFmtId="0" fontId="6" fillId="5" borderId="36" xfId="6" applyBorder="1" applyAlignment="1">
      <alignment horizontal="center"/>
    </xf>
    <xf numFmtId="0" fontId="6" fillId="5" borderId="26" xfId="6" applyBorder="1" applyAlignment="1">
      <alignment horizontal="center"/>
    </xf>
    <xf numFmtId="0" fontId="6" fillId="5" borderId="27" xfId="6" applyBorder="1" applyAlignment="1">
      <alignment horizontal="center"/>
    </xf>
    <xf numFmtId="0" fontId="0" fillId="37" borderId="0" xfId="0" applyFill="1" applyAlignment="1">
      <alignment horizontal="center"/>
    </xf>
    <xf numFmtId="0" fontId="50" fillId="42" borderId="0" xfId="0" applyFont="1" applyFill="1" applyBorder="1" applyAlignment="1">
      <alignment horizontal="center"/>
    </xf>
    <xf numFmtId="0" fontId="0" fillId="38" borderId="0" xfId="0" applyFill="1" applyAlignment="1">
      <alignment horizontal="left" vertical="top" wrapText="1"/>
    </xf>
    <xf numFmtId="0" fontId="0" fillId="45" borderId="0" xfId="0" applyFill="1" applyAlignment="1">
      <alignment horizontal="left" vertical="top" wrapText="1"/>
    </xf>
    <xf numFmtId="0" fontId="46" fillId="0" borderId="17" xfId="0" applyFont="1" applyBorder="1" applyAlignment="1">
      <alignment horizontal="center" vertical="center"/>
    </xf>
    <xf numFmtId="0" fontId="46" fillId="0" borderId="3" xfId="0" applyFont="1" applyBorder="1" applyAlignment="1">
      <alignment horizontal="center" vertical="center"/>
    </xf>
    <xf numFmtId="0" fontId="46" fillId="0" borderId="10" xfId="0" applyFont="1" applyBorder="1" applyAlignment="1">
      <alignment horizontal="center" vertical="center"/>
    </xf>
    <xf numFmtId="0" fontId="46" fillId="0" borderId="0" xfId="0" applyFont="1" applyBorder="1" applyAlignment="1">
      <alignment horizontal="center" vertical="center"/>
    </xf>
    <xf numFmtId="0" fontId="46" fillId="0" borderId="14" xfId="0" applyFont="1" applyBorder="1" applyAlignment="1">
      <alignment horizontal="center" vertical="center"/>
    </xf>
    <xf numFmtId="0" fontId="46" fillId="0" borderId="2" xfId="0" applyFont="1" applyBorder="1" applyAlignment="1">
      <alignment horizontal="center" vertical="center"/>
    </xf>
    <xf numFmtId="0" fontId="17" fillId="40" borderId="17" xfId="0" applyFont="1" applyFill="1" applyBorder="1" applyAlignment="1">
      <alignment horizontal="center"/>
    </xf>
    <xf numFmtId="0" fontId="17" fillId="40" borderId="3" xfId="0" applyFont="1" applyFill="1" applyBorder="1" applyAlignment="1">
      <alignment horizontal="center"/>
    </xf>
    <xf numFmtId="0" fontId="17" fillId="40" borderId="15" xfId="0" applyFont="1" applyFill="1" applyBorder="1" applyAlignment="1">
      <alignment horizontal="center"/>
    </xf>
    <xf numFmtId="0" fontId="0" fillId="0" borderId="17" xfId="0" applyBorder="1" applyAlignment="1">
      <alignment horizontal="left" vertical="top" wrapText="1"/>
    </xf>
    <xf numFmtId="0" fontId="0" fillId="0" borderId="3" xfId="0" applyBorder="1" applyAlignment="1">
      <alignment horizontal="left" vertical="top" wrapText="1"/>
    </xf>
    <xf numFmtId="0" fontId="0" fillId="0" borderId="10" xfId="0" applyBorder="1" applyAlignment="1">
      <alignment horizontal="left" vertical="top" wrapText="1"/>
    </xf>
    <xf numFmtId="0" fontId="0" fillId="0" borderId="0" xfId="0" applyBorder="1" applyAlignment="1">
      <alignment horizontal="left" vertical="top" wrapText="1"/>
    </xf>
    <xf numFmtId="0" fontId="0" fillId="0" borderId="14" xfId="0" applyBorder="1" applyAlignment="1">
      <alignment horizontal="left" vertical="top" wrapText="1"/>
    </xf>
    <xf numFmtId="0" fontId="0" fillId="0" borderId="2" xfId="0" applyBorder="1" applyAlignment="1">
      <alignment horizontal="left" vertical="top" wrapText="1"/>
    </xf>
    <xf numFmtId="0" fontId="0" fillId="0" borderId="9" xfId="0" applyBorder="1" applyAlignment="1">
      <alignment horizontal="left" vertical="top" wrapText="1"/>
    </xf>
    <xf numFmtId="0" fontId="43" fillId="0" borderId="0" xfId="0" applyFont="1" applyBorder="1" applyAlignment="1">
      <alignment horizontal="left" vertical="center" wrapText="1"/>
    </xf>
    <xf numFmtId="0" fontId="43" fillId="0" borderId="9" xfId="0" applyFont="1" applyBorder="1" applyAlignment="1">
      <alignment horizontal="left" vertical="center" wrapText="1"/>
    </xf>
    <xf numFmtId="0" fontId="31" fillId="0" borderId="10" xfId="0" applyFont="1" applyBorder="1" applyAlignment="1">
      <alignment horizontal="center"/>
    </xf>
    <xf numFmtId="2" fontId="48" fillId="0" borderId="15" xfId="0" applyNumberFormat="1" applyFont="1" applyBorder="1" applyAlignment="1">
      <alignment horizontal="center" vertical="center"/>
    </xf>
    <xf numFmtId="2" fontId="48" fillId="0" borderId="9" xfId="0" applyNumberFormat="1" applyFont="1" applyBorder="1" applyAlignment="1">
      <alignment horizontal="center" vertical="center"/>
    </xf>
    <xf numFmtId="2" fontId="48" fillId="0" borderId="12" xfId="0" applyNumberFormat="1" applyFont="1" applyBorder="1" applyAlignment="1">
      <alignment horizontal="center" vertical="center"/>
    </xf>
    <xf numFmtId="0" fontId="44" fillId="39" borderId="18" xfId="0" applyFont="1" applyFill="1" applyBorder="1" applyAlignment="1">
      <alignment horizontal="center"/>
    </xf>
    <xf numFmtId="0" fontId="44" fillId="39" borderId="19" xfId="0" applyFont="1" applyFill="1" applyBorder="1" applyAlignment="1">
      <alignment horizontal="center"/>
    </xf>
    <xf numFmtId="0" fontId="9" fillId="0" borderId="17" xfId="0" applyFont="1" applyBorder="1" applyAlignment="1">
      <alignment horizontal="center" vertical="top" wrapText="1"/>
    </xf>
    <xf numFmtId="0" fontId="0" fillId="0" borderId="3" xfId="0" applyBorder="1" applyAlignment="1">
      <alignment horizontal="center" vertical="top" wrapText="1"/>
    </xf>
    <xf numFmtId="0" fontId="0" fillId="0" borderId="15" xfId="0" applyBorder="1" applyAlignment="1">
      <alignment horizontal="center" vertical="top" wrapText="1"/>
    </xf>
    <xf numFmtId="0" fontId="0" fillId="0" borderId="10" xfId="0" applyBorder="1" applyAlignment="1">
      <alignment horizontal="center" vertical="top" wrapText="1"/>
    </xf>
    <xf numFmtId="0" fontId="0" fillId="0" borderId="0" xfId="0" applyBorder="1" applyAlignment="1">
      <alignment horizontal="center" vertical="top" wrapText="1"/>
    </xf>
    <xf numFmtId="0" fontId="0" fillId="0" borderId="9" xfId="0" applyBorder="1" applyAlignment="1">
      <alignment horizontal="center" vertical="top" wrapText="1"/>
    </xf>
    <xf numFmtId="0" fontId="0" fillId="0" borderId="14" xfId="0" applyBorder="1" applyAlignment="1">
      <alignment horizontal="center" vertical="top" wrapText="1"/>
    </xf>
    <xf numFmtId="0" fontId="0" fillId="0" borderId="2" xfId="0" applyBorder="1" applyAlignment="1">
      <alignment horizontal="center" vertical="top" wrapText="1"/>
    </xf>
    <xf numFmtId="0" fontId="0" fillId="0" borderId="12" xfId="0" applyBorder="1" applyAlignment="1">
      <alignment horizontal="center" vertical="top" wrapText="1"/>
    </xf>
    <xf numFmtId="0" fontId="0" fillId="0" borderId="3" xfId="0" applyBorder="1" applyAlignment="1">
      <alignment horizontal="left" vertical="top"/>
    </xf>
    <xf numFmtId="0" fontId="0" fillId="0" borderId="15" xfId="0" applyBorder="1" applyAlignment="1">
      <alignment horizontal="left" vertical="top"/>
    </xf>
    <xf numFmtId="0" fontId="0" fillId="0" borderId="10" xfId="0" applyBorder="1" applyAlignment="1">
      <alignment horizontal="left" vertical="top"/>
    </xf>
    <xf numFmtId="0" fontId="0" fillId="0" borderId="0" xfId="0" applyBorder="1" applyAlignment="1">
      <alignment horizontal="left" vertical="top"/>
    </xf>
    <xf numFmtId="0" fontId="0" fillId="0" borderId="9" xfId="0" applyBorder="1" applyAlignment="1">
      <alignment horizontal="left" vertical="top"/>
    </xf>
    <xf numFmtId="0" fontId="0" fillId="0" borderId="14" xfId="0" applyBorder="1" applyAlignment="1">
      <alignment horizontal="left" vertical="top"/>
    </xf>
    <xf numFmtId="0" fontId="0" fillId="0" borderId="2" xfId="0" applyBorder="1" applyAlignment="1">
      <alignment horizontal="left" vertical="top"/>
    </xf>
    <xf numFmtId="0" fontId="0" fillId="0" borderId="12" xfId="0" applyBorder="1" applyAlignment="1">
      <alignment horizontal="left" vertical="top"/>
    </xf>
    <xf numFmtId="0" fontId="0" fillId="0" borderId="15" xfId="0" applyBorder="1" applyAlignment="1">
      <alignment horizontal="left" vertical="top" wrapText="1"/>
    </xf>
    <xf numFmtId="0" fontId="0" fillId="0" borderId="12" xfId="0" applyBorder="1" applyAlignment="1">
      <alignment horizontal="left" vertical="top" wrapText="1"/>
    </xf>
    <xf numFmtId="2" fontId="47" fillId="0" borderId="17" xfId="0" applyNumberFormat="1" applyFont="1" applyBorder="1" applyAlignment="1">
      <alignment horizontal="center" vertical="center"/>
    </xf>
    <xf numFmtId="2" fontId="47" fillId="0" borderId="15" xfId="0" applyNumberFormat="1" applyFont="1" applyBorder="1" applyAlignment="1">
      <alignment horizontal="center" vertical="center"/>
    </xf>
    <xf numFmtId="2" fontId="47" fillId="0" borderId="10" xfId="0" applyNumberFormat="1" applyFont="1" applyBorder="1" applyAlignment="1">
      <alignment horizontal="center" vertical="center"/>
    </xf>
    <xf numFmtId="2" fontId="47" fillId="0" borderId="9" xfId="0" applyNumberFormat="1" applyFont="1" applyBorder="1" applyAlignment="1">
      <alignment horizontal="center" vertical="center"/>
    </xf>
    <xf numFmtId="2" fontId="47" fillId="0" borderId="14" xfId="0" applyNumberFormat="1" applyFont="1" applyBorder="1" applyAlignment="1">
      <alignment horizontal="center" vertical="center"/>
    </xf>
    <xf numFmtId="2" fontId="47" fillId="0" borderId="12" xfId="0" applyNumberFormat="1" applyFont="1" applyBorder="1" applyAlignment="1">
      <alignment horizontal="center" vertical="center"/>
    </xf>
    <xf numFmtId="0" fontId="26" fillId="35" borderId="16" xfId="0" applyFont="1" applyFill="1" applyBorder="1" applyAlignment="1">
      <alignment horizontal="left"/>
    </xf>
    <xf numFmtId="0" fontId="22" fillId="36" borderId="7" xfId="0" applyFont="1" applyFill="1" applyBorder="1" applyAlignment="1">
      <alignment horizontal="center" vertical="center"/>
    </xf>
    <xf numFmtId="0" fontId="23" fillId="36" borderId="7" xfId="0" applyFont="1" applyFill="1" applyBorder="1" applyAlignment="1">
      <alignment horizontal="center" vertical="center"/>
    </xf>
    <xf numFmtId="0" fontId="24" fillId="35" borderId="7" xfId="0" applyFont="1" applyFill="1" applyBorder="1" applyAlignment="1">
      <alignment horizontal="left" vertical="center"/>
    </xf>
    <xf numFmtId="0" fontId="25" fillId="35" borderId="7" xfId="0" applyFont="1" applyFill="1" applyBorder="1" applyAlignment="1">
      <alignment horizontal="center" vertical="center"/>
    </xf>
    <xf numFmtId="14" fontId="24" fillId="8" borderId="7" xfId="0" applyNumberFormat="1" applyFont="1" applyFill="1" applyBorder="1" applyAlignment="1">
      <alignment horizontal="left" vertical="center"/>
    </xf>
    <xf numFmtId="0" fontId="24" fillId="8" borderId="7" xfId="0" applyFont="1" applyFill="1" applyBorder="1" applyAlignment="1">
      <alignment horizontal="left"/>
    </xf>
    <xf numFmtId="0" fontId="27" fillId="8" borderId="17" xfId="0" applyFont="1" applyFill="1" applyBorder="1" applyAlignment="1">
      <alignment horizontal="left"/>
    </xf>
    <xf numFmtId="0" fontId="27" fillId="0" borderId="3" xfId="0" applyFont="1" applyBorder="1" applyAlignment="1">
      <alignment horizontal="left"/>
    </xf>
    <xf numFmtId="0" fontId="27" fillId="0" borderId="15" xfId="0" applyFont="1" applyBorder="1" applyAlignment="1">
      <alignment horizontal="left"/>
    </xf>
    <xf numFmtId="0" fontId="27" fillId="8" borderId="3" xfId="0" applyFont="1" applyFill="1" applyBorder="1" applyAlignment="1">
      <alignment horizontal="center" wrapText="1"/>
    </xf>
    <xf numFmtId="0" fontId="27" fillId="8" borderId="15" xfId="0" applyFont="1" applyFill="1" applyBorder="1" applyAlignment="1">
      <alignment horizontal="center" wrapText="1"/>
    </xf>
    <xf numFmtId="0" fontId="27" fillId="8" borderId="10" xfId="0" applyFont="1" applyFill="1" applyBorder="1" applyAlignment="1">
      <alignment horizontal="left"/>
    </xf>
    <xf numFmtId="0" fontId="27" fillId="0" borderId="0" xfId="0" applyFont="1" applyBorder="1" applyAlignment="1">
      <alignment horizontal="left"/>
    </xf>
    <xf numFmtId="0" fontId="27" fillId="0" borderId="9" xfId="0" applyFont="1" applyBorder="1" applyAlignment="1">
      <alignment horizontal="left"/>
    </xf>
    <xf numFmtId="0" fontId="27" fillId="8" borderId="0" xfId="0" applyFont="1" applyFill="1" applyBorder="1" applyAlignment="1">
      <alignment horizontal="left" wrapText="1"/>
    </xf>
    <xf numFmtId="0" fontId="27" fillId="8" borderId="9" xfId="0" applyFont="1" applyFill="1" applyBorder="1" applyAlignment="1">
      <alignment horizontal="left" wrapText="1"/>
    </xf>
    <xf numFmtId="0" fontId="27" fillId="8" borderId="14" xfId="0" applyFont="1" applyFill="1" applyBorder="1" applyAlignment="1">
      <alignment horizontal="left"/>
    </xf>
    <xf numFmtId="0" fontId="27" fillId="0" borderId="2" xfId="0" applyFont="1" applyBorder="1" applyAlignment="1">
      <alignment horizontal="left"/>
    </xf>
    <xf numFmtId="0" fontId="27" fillId="0" borderId="12" xfId="0" applyFont="1" applyBorder="1" applyAlignment="1">
      <alignment horizontal="left"/>
    </xf>
    <xf numFmtId="0" fontId="27" fillId="8" borderId="2" xfId="0" applyFont="1" applyFill="1" applyBorder="1" applyAlignment="1">
      <alignment horizontal="left" wrapText="1"/>
    </xf>
    <xf numFmtId="0" fontId="27" fillId="8" borderId="12" xfId="0" applyFont="1" applyFill="1" applyBorder="1" applyAlignment="1">
      <alignment horizontal="left" wrapText="1"/>
    </xf>
    <xf numFmtId="0" fontId="26" fillId="35" borderId="13" xfId="0" applyFont="1" applyFill="1" applyBorder="1" applyAlignment="1">
      <alignment horizontal="left"/>
    </xf>
    <xf numFmtId="0" fontId="40" fillId="0" borderId="7" xfId="0" applyFont="1" applyBorder="1" applyAlignment="1">
      <alignment horizontal="center" vertical="center"/>
    </xf>
    <xf numFmtId="1" fontId="40" fillId="0" borderId="7" xfId="0" applyNumberFormat="1" applyFont="1" applyBorder="1" applyAlignment="1">
      <alignment horizontal="center" vertical="center"/>
    </xf>
    <xf numFmtId="0" fontId="30" fillId="35" borderId="7" xfId="0" applyFont="1" applyFill="1" applyBorder="1"/>
    <xf numFmtId="0" fontId="0" fillId="0" borderId="7" xfId="0" applyBorder="1"/>
    <xf numFmtId="0" fontId="26" fillId="35" borderId="7" xfId="0" applyFont="1" applyFill="1" applyBorder="1" applyAlignment="1">
      <alignment horizontal="center"/>
    </xf>
    <xf numFmtId="0" fontId="51" fillId="0" borderId="17" xfId="0" applyFont="1" applyBorder="1" applyAlignment="1">
      <alignment horizontal="left" vertical="top" wrapText="1"/>
    </xf>
    <xf numFmtId="0" fontId="26" fillId="35" borderId="7" xfId="0" applyFont="1" applyFill="1" applyBorder="1" applyAlignment="1">
      <alignment horizontal="left"/>
    </xf>
    <xf numFmtId="0" fontId="43" fillId="0" borderId="56" xfId="0" applyFont="1" applyBorder="1" applyAlignment="1">
      <alignment horizontal="left" vertical="center" wrapText="1"/>
    </xf>
    <xf numFmtId="0" fontId="52" fillId="0" borderId="17" xfId="0" applyFont="1" applyBorder="1" applyAlignment="1">
      <alignment horizontal="left" vertical="top" wrapText="1"/>
    </xf>
    <xf numFmtId="0" fontId="53" fillId="0" borderId="3" xfId="0" applyFont="1" applyBorder="1" applyAlignment="1">
      <alignment horizontal="left" vertical="top" wrapText="1"/>
    </xf>
    <xf numFmtId="0" fontId="53" fillId="0" borderId="15" xfId="0" applyFont="1" applyBorder="1" applyAlignment="1">
      <alignment horizontal="left" vertical="top" wrapText="1"/>
    </xf>
    <xf numFmtId="0" fontId="53" fillId="0" borderId="10" xfId="0" applyFont="1" applyBorder="1" applyAlignment="1">
      <alignment horizontal="left" vertical="top" wrapText="1"/>
    </xf>
    <xf numFmtId="0" fontId="53" fillId="0" borderId="0" xfId="0" applyFont="1" applyBorder="1" applyAlignment="1">
      <alignment horizontal="left" vertical="top" wrapText="1"/>
    </xf>
    <xf numFmtId="0" fontId="53" fillId="0" borderId="9" xfId="0" applyFont="1" applyBorder="1" applyAlignment="1">
      <alignment horizontal="left" vertical="top" wrapText="1"/>
    </xf>
    <xf numFmtId="0" fontId="53" fillId="0" borderId="14" xfId="0" applyFont="1" applyBorder="1" applyAlignment="1">
      <alignment horizontal="left" vertical="top" wrapText="1"/>
    </xf>
    <xf numFmtId="0" fontId="53" fillId="0" borderId="2" xfId="0" applyFont="1" applyBorder="1" applyAlignment="1">
      <alignment horizontal="left" vertical="top" wrapText="1"/>
    </xf>
    <xf numFmtId="0" fontId="53" fillId="0" borderId="12" xfId="0" applyFont="1" applyBorder="1" applyAlignment="1">
      <alignment horizontal="left" vertical="top" wrapText="1"/>
    </xf>
    <xf numFmtId="0" fontId="27" fillId="8" borderId="17" xfId="0" applyFont="1" applyFill="1" applyBorder="1" applyAlignment="1">
      <alignment horizontal="left" wrapText="1"/>
    </xf>
    <xf numFmtId="0" fontId="27" fillId="8" borderId="3" xfId="0" applyFont="1" applyFill="1" applyBorder="1" applyAlignment="1">
      <alignment horizontal="left"/>
    </xf>
    <xf numFmtId="0" fontId="27" fillId="8" borderId="15" xfId="0" applyFont="1" applyFill="1" applyBorder="1" applyAlignment="1">
      <alignment horizontal="left"/>
    </xf>
    <xf numFmtId="0" fontId="27" fillId="8" borderId="0" xfId="0" applyFont="1" applyFill="1" applyBorder="1" applyAlignment="1">
      <alignment horizontal="left"/>
    </xf>
    <xf numFmtId="0" fontId="27" fillId="8" borderId="9" xfId="0" applyFont="1" applyFill="1" applyBorder="1" applyAlignment="1">
      <alignment horizontal="left"/>
    </xf>
    <xf numFmtId="0" fontId="27" fillId="8" borderId="2" xfId="0" applyFont="1" applyFill="1" applyBorder="1" applyAlignment="1">
      <alignment horizontal="left"/>
    </xf>
    <xf numFmtId="0" fontId="27" fillId="8" borderId="12" xfId="0" applyFont="1" applyFill="1" applyBorder="1" applyAlignment="1">
      <alignment horizontal="left"/>
    </xf>
    <xf numFmtId="0" fontId="27" fillId="8" borderId="17" xfId="0" applyFont="1" applyFill="1" applyBorder="1" applyAlignment="1">
      <alignment horizontal="left" vertical="center" wrapText="1"/>
    </xf>
    <xf numFmtId="0" fontId="27" fillId="8" borderId="3" xfId="0" applyFont="1" applyFill="1" applyBorder="1" applyAlignment="1">
      <alignment horizontal="left" vertical="center" wrapText="1"/>
    </xf>
    <xf numFmtId="0" fontId="27" fillId="8" borderId="15" xfId="0" applyFont="1" applyFill="1" applyBorder="1" applyAlignment="1">
      <alignment horizontal="left" vertical="center" wrapText="1"/>
    </xf>
    <xf numFmtId="0" fontId="27" fillId="8" borderId="10" xfId="0" applyFont="1" applyFill="1" applyBorder="1" applyAlignment="1">
      <alignment horizontal="left" vertical="center" wrapText="1"/>
    </xf>
    <xf numFmtId="0" fontId="27" fillId="8" borderId="0" xfId="0" applyFont="1" applyFill="1" applyBorder="1" applyAlignment="1">
      <alignment horizontal="left" vertical="center" wrapText="1"/>
    </xf>
    <xf numFmtId="0" fontId="27" fillId="8" borderId="9" xfId="0" applyFont="1" applyFill="1" applyBorder="1" applyAlignment="1">
      <alignment horizontal="left" vertical="center" wrapText="1"/>
    </xf>
    <xf numFmtId="0" fontId="27" fillId="8" borderId="14" xfId="0" applyFont="1" applyFill="1" applyBorder="1" applyAlignment="1">
      <alignment horizontal="left" vertical="center" wrapText="1"/>
    </xf>
    <xf numFmtId="0" fontId="27" fillId="8" borderId="2" xfId="0" applyFont="1" applyFill="1" applyBorder="1" applyAlignment="1">
      <alignment horizontal="left" vertical="center" wrapText="1"/>
    </xf>
    <xf numFmtId="0" fontId="27" fillId="8" borderId="12" xfId="0" applyFont="1" applyFill="1" applyBorder="1" applyAlignment="1">
      <alignment horizontal="left" vertical="center" wrapText="1"/>
    </xf>
    <xf numFmtId="0" fontId="44" fillId="0" borderId="14" xfId="0" applyNumberFormat="1" applyFont="1" applyBorder="1" applyAlignment="1">
      <alignment horizontal="center"/>
    </xf>
    <xf numFmtId="0" fontId="44" fillId="0" borderId="2" xfId="0" applyNumberFormat="1" applyFont="1" applyBorder="1" applyAlignment="1">
      <alignment horizontal="center"/>
    </xf>
    <xf numFmtId="0" fontId="9" fillId="0" borderId="17" xfId="0" applyFont="1" applyBorder="1" applyAlignment="1">
      <alignment horizontal="left" vertical="top" wrapText="1"/>
    </xf>
  </cellXfs>
  <cellStyles count="45">
    <cellStyle name="20% - Accent1" xfId="18" builtinId="30" customBuiltin="1"/>
    <cellStyle name="20% - Accent2" xfId="22" builtinId="34" customBuiltin="1"/>
    <cellStyle name="20% - Accent3" xfId="26" builtinId="38" customBuiltin="1"/>
    <cellStyle name="20% - Accent4" xfId="30" builtinId="42" customBuiltin="1"/>
    <cellStyle name="20% - Accent5" xfId="34" builtinId="46" customBuiltin="1"/>
    <cellStyle name="20% - Accent6" xfId="38" builtinId="50" customBuiltin="1"/>
    <cellStyle name="40% - Accent1" xfId="19" builtinId="31" customBuiltin="1"/>
    <cellStyle name="40% - Accent2" xfId="23" builtinId="35" customBuiltin="1"/>
    <cellStyle name="40% - Accent3" xfId="27" builtinId="39" customBuiltin="1"/>
    <cellStyle name="40% - Accent4" xfId="31" builtinId="43" customBuiltin="1"/>
    <cellStyle name="40% - Accent5" xfId="35" builtinId="47" customBuiltin="1"/>
    <cellStyle name="40% - Accent6" xfId="39" builtinId="51" customBuiltin="1"/>
    <cellStyle name="60% - Accent1" xfId="20" builtinId="32" customBuiltin="1"/>
    <cellStyle name="60% - Accent2" xfId="24" builtinId="36" customBuiltin="1"/>
    <cellStyle name="60% - Accent3" xfId="28" builtinId="40" customBuiltin="1"/>
    <cellStyle name="60% - Accent4" xfId="32" builtinId="44" customBuiltin="1"/>
    <cellStyle name="60% - Accent5" xfId="36" builtinId="48" customBuiltin="1"/>
    <cellStyle name="60% - Accent6" xfId="40" builtinId="52" customBuiltin="1"/>
    <cellStyle name="Accent1" xfId="17" builtinId="29" customBuiltin="1"/>
    <cellStyle name="Accent2" xfId="21" builtinId="33" customBuiltin="1"/>
    <cellStyle name="Accent3" xfId="25" builtinId="37" customBuiltin="1"/>
    <cellStyle name="Accent4" xfId="29" builtinId="41" customBuiltin="1"/>
    <cellStyle name="Accent5" xfId="33" builtinId="45" customBuiltin="1"/>
    <cellStyle name="Accent6" xfId="37" builtinId="49" customBuiltin="1"/>
    <cellStyle name="Bad" xfId="3" builtinId="27" customBuiltin="1"/>
    <cellStyle name="Calculation" xfId="7" builtinId="22" customBuiltin="1"/>
    <cellStyle name="Check Cell" xfId="16" builtinId="23" customBuiltin="1"/>
    <cellStyle name="Excel Built-in Explanatory Text" xfId="43" xr:uid="{00000000-0005-0000-0000-00001E000000}"/>
    <cellStyle name="Explanatory Text" xfId="9" builtinId="53" customBuiltin="1"/>
    <cellStyle name="Good" xfId="2" builtinId="26" customBuiltin="1"/>
    <cellStyle name="Heading 1" xfId="13" builtinId="16" customBuiltin="1"/>
    <cellStyle name="Heading 2" xfId="11" builtinId="17" customBuiltin="1"/>
    <cellStyle name="Heading 3" xfId="1" builtinId="18" customBuiltin="1"/>
    <cellStyle name="Heading 4" xfId="5" builtinId="19" customBuiltin="1"/>
    <cellStyle name="Input" xfId="6" builtinId="20" customBuiltin="1"/>
    <cellStyle name="Linked Cell" xfId="15" builtinId="24" customBuiltin="1"/>
    <cellStyle name="Neutral 2" xfId="41" xr:uid="{00000000-0005-0000-0000-000021000000}"/>
    <cellStyle name="Normal" xfId="0" builtinId="0"/>
    <cellStyle name="Normal 2" xfId="42" xr:uid="{00000000-0005-0000-0000-000023000000}"/>
    <cellStyle name="Normal 3" xfId="44" xr:uid="{51E25523-B92B-4898-8985-6EF2970D0ED4}"/>
    <cellStyle name="Note" xfId="8" builtinId="10" customBuiltin="1"/>
    <cellStyle name="Output" xfId="14" builtinId="21" customBuiltin="1"/>
    <cellStyle name="Title" xfId="12" builtinId="15" customBuiltin="1"/>
    <cellStyle name="Total" xfId="10" builtinId="25" customBuiltin="1"/>
    <cellStyle name="Warning Text" xfId="4" builtinId="11" customBuiltin="1"/>
  </cellStyles>
  <dxfs count="58"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0" formatCode="General"/>
    </dxf>
    <dxf>
      <numFmt numFmtId="0" formatCode="General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" formatCode="0.00"/>
    </dxf>
    <dxf>
      <numFmt numFmtId="2" formatCode="0.00"/>
    </dxf>
    <dxf>
      <border>
        <bottom style="thin">
          <color indexed="64"/>
        </bottom>
      </border>
    </dxf>
    <dxf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</font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indexed="13"/>
        </patternFill>
      </fill>
    </dxf>
    <dxf>
      <fill>
        <patternFill patternType="solid">
          <fgColor indexed="64"/>
          <bgColor indexed="13"/>
        </patternFill>
      </fill>
    </dxf>
    <dxf>
      <fill>
        <patternFill patternType="solid">
          <fgColor indexed="64"/>
          <bgColor indexed="13"/>
        </patternFill>
      </fill>
    </dxf>
    <dxf>
      <fill>
        <patternFill patternType="solid">
          <fgColor indexed="64"/>
          <bgColor indexed="13"/>
        </patternFill>
      </fill>
    </dxf>
    <dxf>
      <fill>
        <patternFill patternType="solid">
          <fgColor indexed="64"/>
          <bgColor indexed="9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indexed="9"/>
        </patternFill>
      </fill>
      <alignment horizontal="center" vertical="center" textRotation="0" wrapText="0" indent="0" justifyLastLine="0" shrinkToFit="0" readingOrder="0"/>
    </dxf>
    <dxf>
      <alignment horizontal="fil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444444"/>
        <name val="Arial"/>
        <family val="2"/>
        <scheme val="none"/>
      </font>
    </dxf>
    <dxf>
      <alignment horizontal="fill" vertical="bottom" textRotation="0" wrapText="1" indent="0" justifyLastLine="0" shrinkToFit="0" readingOrder="0"/>
    </dxf>
    <dxf>
      <alignment horizontal="general" vertical="bottom" textRotation="0" indent="0" justifyLastLine="0" shrinkToFit="0" readingOrder="0"/>
    </dxf>
    <dxf>
      <alignment horizontal="general" vertical="bottom" textRotation="0" indent="0" justifyLastLine="0" shrinkToFit="0" readingOrder="0"/>
    </dxf>
    <dxf>
      <numFmt numFmtId="0" formatCode="General"/>
      <alignment horizontal="fill" vertical="bottom" textRotation="0" wrapText="1" indent="0" justifyLastLine="0" shrinkToFit="0" readingOrder="0"/>
    </dxf>
    <dxf>
      <alignment horizontal="general" vertical="top" textRotation="0" indent="0" justifyLastLine="0" shrinkToFit="0" readingOrder="0"/>
    </dxf>
    <dxf>
      <alignment horizontal="general" vertical="top" textRotation="0" indent="0" justifyLastLine="0" shrinkToFit="0" readingOrder="0"/>
    </dxf>
    <dxf>
      <fill>
        <patternFill>
          <bgColor theme="4" tint="0.39994506668294322"/>
        </patternFill>
      </fill>
    </dxf>
  </dxfs>
  <tableStyles count="1" defaultTableStyle="TableStyleMedium2" defaultPivotStyle="PivotStyleLight16">
    <tableStyle name="Table Style 1" pivot="0" count="1" xr9:uid="{6FB8E121-9ECE-4202-A254-2E9F44CB6EDA}">
      <tableStyleElement type="headerRow" dxfId="57"/>
    </tableStyle>
  </tableStyles>
  <colors>
    <mruColors>
      <color rgb="FFFF66FF"/>
      <color rgb="FFFF99FF"/>
      <color rgb="FF339933"/>
      <color rgb="FF9900CC"/>
      <color rgb="FF33CCCC"/>
      <color rgb="FFFF7C80"/>
      <color rgb="FFFFCCFF"/>
      <color rgb="FFCC9900"/>
      <color rgb="FFFF33CC"/>
      <color rgb="FFCC00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pivotCacheDefinition" Target="pivotCache/pivotCacheDefinition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onnections" Target="connections.xml"/><Relationship Id="rId27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2.svg"/><Relationship Id="rId3" Type="http://schemas.openxmlformats.org/officeDocument/2006/relationships/image" Target="../media/image7.png"/><Relationship Id="rId7" Type="http://schemas.openxmlformats.org/officeDocument/2006/relationships/image" Target="../media/image11.png"/><Relationship Id="rId12" Type="http://schemas.openxmlformats.org/officeDocument/2006/relationships/image" Target="../media/image16.svg"/><Relationship Id="rId2" Type="http://schemas.openxmlformats.org/officeDocument/2006/relationships/image" Target="../media/image6.svg"/><Relationship Id="rId1" Type="http://schemas.openxmlformats.org/officeDocument/2006/relationships/image" Target="../media/image5.png"/><Relationship Id="rId6" Type="http://schemas.openxmlformats.org/officeDocument/2006/relationships/image" Target="../media/image10.svg"/><Relationship Id="rId11" Type="http://schemas.openxmlformats.org/officeDocument/2006/relationships/image" Target="../media/image15.png"/><Relationship Id="rId5" Type="http://schemas.openxmlformats.org/officeDocument/2006/relationships/image" Target="../media/image9.png"/><Relationship Id="rId10" Type="http://schemas.openxmlformats.org/officeDocument/2006/relationships/image" Target="../media/image14.svg"/><Relationship Id="rId4" Type="http://schemas.openxmlformats.org/officeDocument/2006/relationships/image" Target="../media/image8.svg"/><Relationship Id="rId9" Type="http://schemas.openxmlformats.org/officeDocument/2006/relationships/image" Target="../media/image13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pn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pn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pn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4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76200</xdr:colOff>
      <xdr:row>3</xdr:row>
      <xdr:rowOff>53340</xdr:rowOff>
    </xdr:from>
    <xdr:to>
      <xdr:col>2</xdr:col>
      <xdr:colOff>251460</xdr:colOff>
      <xdr:row>3</xdr:row>
      <xdr:rowOff>160020</xdr:rowOff>
    </xdr:to>
    <xdr:sp macro="" textlink="">
      <xdr:nvSpPr>
        <xdr:cNvPr id="2" name="Arrow: Righ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899160" y="1219200"/>
          <a:ext cx="175260" cy="106680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</xdr:col>
      <xdr:colOff>60960</xdr:colOff>
      <xdr:row>7</xdr:row>
      <xdr:rowOff>53340</xdr:rowOff>
    </xdr:from>
    <xdr:to>
      <xdr:col>2</xdr:col>
      <xdr:colOff>236220</xdr:colOff>
      <xdr:row>7</xdr:row>
      <xdr:rowOff>160020</xdr:rowOff>
    </xdr:to>
    <xdr:sp macro="" textlink="">
      <xdr:nvSpPr>
        <xdr:cNvPr id="3" name="Arrow: Righ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883920" y="1950720"/>
          <a:ext cx="175260" cy="106680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</xdr:col>
      <xdr:colOff>76200</xdr:colOff>
      <xdr:row>11</xdr:row>
      <xdr:rowOff>53340</xdr:rowOff>
    </xdr:from>
    <xdr:to>
      <xdr:col>2</xdr:col>
      <xdr:colOff>251460</xdr:colOff>
      <xdr:row>11</xdr:row>
      <xdr:rowOff>160020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899160" y="3048000"/>
          <a:ext cx="175260" cy="106680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</xdr:col>
      <xdr:colOff>83820</xdr:colOff>
      <xdr:row>15</xdr:row>
      <xdr:rowOff>45720</xdr:rowOff>
    </xdr:from>
    <xdr:to>
      <xdr:col>2</xdr:col>
      <xdr:colOff>259080</xdr:colOff>
      <xdr:row>15</xdr:row>
      <xdr:rowOff>152400</xdr:rowOff>
    </xdr:to>
    <xdr:sp macro="" textlink="">
      <xdr:nvSpPr>
        <xdr:cNvPr id="5" name="Arrow: Righ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906780" y="3771900"/>
          <a:ext cx="175260" cy="106680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</xdr:col>
      <xdr:colOff>76200</xdr:colOff>
      <xdr:row>21</xdr:row>
      <xdr:rowOff>45720</xdr:rowOff>
    </xdr:from>
    <xdr:to>
      <xdr:col>2</xdr:col>
      <xdr:colOff>251460</xdr:colOff>
      <xdr:row>21</xdr:row>
      <xdr:rowOff>152400</xdr:rowOff>
    </xdr:to>
    <xdr:sp macro="" textlink="">
      <xdr:nvSpPr>
        <xdr:cNvPr id="6" name="Arrow: Right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899160" y="4503420"/>
          <a:ext cx="175260" cy="106680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</xdr:col>
      <xdr:colOff>76200</xdr:colOff>
      <xdr:row>25</xdr:row>
      <xdr:rowOff>53340</xdr:rowOff>
    </xdr:from>
    <xdr:to>
      <xdr:col>2</xdr:col>
      <xdr:colOff>251460</xdr:colOff>
      <xdr:row>25</xdr:row>
      <xdr:rowOff>160020</xdr:rowOff>
    </xdr:to>
    <xdr:sp macro="" textlink="">
      <xdr:nvSpPr>
        <xdr:cNvPr id="7" name="Arrow: Right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899160" y="5242560"/>
          <a:ext cx="175260" cy="106680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</xdr:col>
      <xdr:colOff>68580</xdr:colOff>
      <xdr:row>29</xdr:row>
      <xdr:rowOff>45720</xdr:rowOff>
    </xdr:from>
    <xdr:to>
      <xdr:col>2</xdr:col>
      <xdr:colOff>243840</xdr:colOff>
      <xdr:row>29</xdr:row>
      <xdr:rowOff>152400</xdr:rowOff>
    </xdr:to>
    <xdr:sp macro="" textlink="">
      <xdr:nvSpPr>
        <xdr:cNvPr id="8" name="Arrow: Right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891540" y="6149340"/>
          <a:ext cx="175260" cy="106680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</xdr:col>
      <xdr:colOff>53340</xdr:colOff>
      <xdr:row>33</xdr:row>
      <xdr:rowOff>45720</xdr:rowOff>
    </xdr:from>
    <xdr:to>
      <xdr:col>2</xdr:col>
      <xdr:colOff>228600</xdr:colOff>
      <xdr:row>33</xdr:row>
      <xdr:rowOff>152400</xdr:rowOff>
    </xdr:to>
    <xdr:sp macro="" textlink="">
      <xdr:nvSpPr>
        <xdr:cNvPr id="9" name="Arrow: Right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876300" y="7437120"/>
          <a:ext cx="175260" cy="106680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</xdr:col>
      <xdr:colOff>68580</xdr:colOff>
      <xdr:row>37</xdr:row>
      <xdr:rowOff>38100</xdr:rowOff>
    </xdr:from>
    <xdr:to>
      <xdr:col>2</xdr:col>
      <xdr:colOff>243840</xdr:colOff>
      <xdr:row>37</xdr:row>
      <xdr:rowOff>144780</xdr:rowOff>
    </xdr:to>
    <xdr:sp macro="" textlink="">
      <xdr:nvSpPr>
        <xdr:cNvPr id="10" name="Arrow: Right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891540" y="7604760"/>
          <a:ext cx="175260" cy="106680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333375</xdr:colOff>
      <xdr:row>11</xdr:row>
      <xdr:rowOff>57150</xdr:rowOff>
    </xdr:from>
    <xdr:ext cx="184731" cy="264560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7667625" y="4381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GB" sz="1100"/>
        </a:p>
      </xdr:txBody>
    </xdr:sp>
    <xdr:clientData/>
  </xdr:oneCellAnchor>
  <xdr:twoCellAnchor>
    <xdr:from>
      <xdr:col>3</xdr:col>
      <xdr:colOff>9524</xdr:colOff>
      <xdr:row>6</xdr:row>
      <xdr:rowOff>104775</xdr:rowOff>
    </xdr:from>
    <xdr:to>
      <xdr:col>5</xdr:col>
      <xdr:colOff>476250</xdr:colOff>
      <xdr:row>13</xdr:row>
      <xdr:rowOff>104775</xdr:rowOff>
    </xdr:to>
    <xdr:grpSp>
      <xdr:nvGrpSpPr>
        <xdr:cNvPr id="3" name="step1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pSpPr/>
      </xdr:nvGrpSpPr>
      <xdr:grpSpPr>
        <a:xfrm>
          <a:off x="5295899" y="1390650"/>
          <a:ext cx="2514601" cy="1333500"/>
          <a:chOff x="7534274" y="257175"/>
          <a:chExt cx="2514601" cy="1419225"/>
        </a:xfrm>
      </xdr:grpSpPr>
      <xdr:sp macro="" textlink="">
        <xdr:nvSpPr>
          <xdr:cNvPr id="4" name="Flowchart: Document 3">
            <a:extLst>
              <a:ext uri="{FF2B5EF4-FFF2-40B4-BE49-F238E27FC236}">
                <a16:creationId xmlns:a16="http://schemas.microsoft.com/office/drawing/2014/main" id="{00000000-0008-0000-0200-000004000000}"/>
              </a:ext>
            </a:extLst>
          </xdr:cNvPr>
          <xdr:cNvSpPr/>
        </xdr:nvSpPr>
        <xdr:spPr>
          <a:xfrm>
            <a:off x="7620000" y="609600"/>
            <a:ext cx="2428875" cy="1066800"/>
          </a:xfrm>
          <a:prstGeom prst="flowChartDocument">
            <a:avLst/>
          </a:prstGeom>
        </xdr:spPr>
        <xdr:style>
          <a:lnRef idx="2">
            <a:schemeClr val="accent3">
              <a:shade val="50000"/>
            </a:schemeClr>
          </a:lnRef>
          <a:fillRef idx="1">
            <a:schemeClr val="accent3"/>
          </a:fillRef>
          <a:effectRef idx="0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GB" sz="1400"/>
              <a:t>CLEAN</a:t>
            </a:r>
            <a:r>
              <a:rPr lang="en-GB" sz="1400" baseline="0"/>
              <a:t> SKUS:</a:t>
            </a:r>
          </a:p>
          <a:p>
            <a:pPr algn="ctr"/>
            <a:r>
              <a:rPr lang="en-GB" sz="1400" baseline="0"/>
              <a:t>Removes Country and - FBA extensions.</a:t>
            </a:r>
            <a:endParaRPr lang="en-GB" sz="1400"/>
          </a:p>
        </xdr:txBody>
      </xdr:sp>
      <xdr:sp macro="" textlink="">
        <xdr:nvSpPr>
          <xdr:cNvPr id="5" name="Oval 4">
            <a:extLst>
              <a:ext uri="{FF2B5EF4-FFF2-40B4-BE49-F238E27FC236}">
                <a16:creationId xmlns:a16="http://schemas.microsoft.com/office/drawing/2014/main" id="{00000000-0008-0000-0200-000005000000}"/>
              </a:ext>
            </a:extLst>
          </xdr:cNvPr>
          <xdr:cNvSpPr/>
        </xdr:nvSpPr>
        <xdr:spPr>
          <a:xfrm>
            <a:off x="7534274" y="257175"/>
            <a:ext cx="581025" cy="600075"/>
          </a:xfrm>
          <a:prstGeom prst="ellipse">
            <a:avLst/>
          </a:prstGeom>
          <a:ln w="57150">
            <a:solidFill>
              <a:schemeClr val="bg1"/>
            </a:solidFill>
          </a:ln>
        </xdr:spPr>
        <xdr:style>
          <a:lnRef idx="2">
            <a:schemeClr val="accent3">
              <a:shade val="50000"/>
            </a:schemeClr>
          </a:lnRef>
          <a:fillRef idx="1">
            <a:schemeClr val="accent3"/>
          </a:fillRef>
          <a:effectRef idx="0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GB" sz="1800"/>
              <a:t>2</a:t>
            </a:r>
          </a:p>
        </xdr:txBody>
      </xdr:sp>
    </xdr:grpSp>
    <xdr:clientData/>
  </xdr:twoCellAnchor>
  <xdr:twoCellAnchor>
    <xdr:from>
      <xdr:col>2</xdr:col>
      <xdr:colOff>561974</xdr:colOff>
      <xdr:row>13</xdr:row>
      <xdr:rowOff>133350</xdr:rowOff>
    </xdr:from>
    <xdr:to>
      <xdr:col>5</xdr:col>
      <xdr:colOff>419100</xdr:colOff>
      <xdr:row>21</xdr:row>
      <xdr:rowOff>28575</xdr:rowOff>
    </xdr:to>
    <xdr:grpSp>
      <xdr:nvGrpSpPr>
        <xdr:cNvPr id="6" name="step1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pSpPr/>
      </xdr:nvGrpSpPr>
      <xdr:grpSpPr>
        <a:xfrm>
          <a:off x="5238749" y="2752725"/>
          <a:ext cx="2514601" cy="1438275"/>
          <a:chOff x="7534274" y="257175"/>
          <a:chExt cx="2514601" cy="1419225"/>
        </a:xfrm>
      </xdr:grpSpPr>
      <xdr:sp macro="" textlink="">
        <xdr:nvSpPr>
          <xdr:cNvPr id="7" name="Flowchart: Document 6">
            <a:extLst>
              <a:ext uri="{FF2B5EF4-FFF2-40B4-BE49-F238E27FC236}">
                <a16:creationId xmlns:a16="http://schemas.microsoft.com/office/drawing/2014/main" id="{00000000-0008-0000-0200-000007000000}"/>
              </a:ext>
            </a:extLst>
          </xdr:cNvPr>
          <xdr:cNvSpPr/>
        </xdr:nvSpPr>
        <xdr:spPr>
          <a:xfrm>
            <a:off x="7620000" y="609600"/>
            <a:ext cx="2428875" cy="1066800"/>
          </a:xfrm>
          <a:prstGeom prst="flowChartDocument">
            <a:avLst/>
          </a:prstGeom>
        </xdr:spPr>
        <xdr:style>
          <a:lnRef idx="2">
            <a:schemeClr val="accent3">
              <a:shade val="50000"/>
            </a:schemeClr>
          </a:lnRef>
          <a:fillRef idx="1">
            <a:schemeClr val="accent3"/>
          </a:fillRef>
          <a:effectRef idx="0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GB" sz="1400"/>
              <a:t>Select Country and</a:t>
            </a:r>
            <a:br>
              <a:rPr lang="en-GB" sz="1400"/>
            </a:br>
            <a:r>
              <a:rPr lang="en-GB" sz="1400"/>
              <a:t>Shipment Center</a:t>
            </a:r>
          </a:p>
        </xdr:txBody>
      </xdr:sp>
      <xdr:sp macro="" textlink="">
        <xdr:nvSpPr>
          <xdr:cNvPr id="8" name="Oval 7">
            <a:extLst>
              <a:ext uri="{FF2B5EF4-FFF2-40B4-BE49-F238E27FC236}">
                <a16:creationId xmlns:a16="http://schemas.microsoft.com/office/drawing/2014/main" id="{00000000-0008-0000-0200-000008000000}"/>
              </a:ext>
            </a:extLst>
          </xdr:cNvPr>
          <xdr:cNvSpPr/>
        </xdr:nvSpPr>
        <xdr:spPr>
          <a:xfrm>
            <a:off x="7534274" y="257175"/>
            <a:ext cx="581025" cy="600075"/>
          </a:xfrm>
          <a:prstGeom prst="ellipse">
            <a:avLst/>
          </a:prstGeom>
          <a:ln w="57150">
            <a:solidFill>
              <a:schemeClr val="bg1"/>
            </a:solidFill>
          </a:ln>
        </xdr:spPr>
        <xdr:style>
          <a:lnRef idx="2">
            <a:schemeClr val="accent3">
              <a:shade val="50000"/>
            </a:schemeClr>
          </a:lnRef>
          <a:fillRef idx="1">
            <a:schemeClr val="accent3"/>
          </a:fillRef>
          <a:effectRef idx="0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GB" sz="1800"/>
              <a:t>3</a:t>
            </a:r>
          </a:p>
        </xdr:txBody>
      </xdr:sp>
    </xdr:grpSp>
    <xdr:clientData/>
  </xdr:twoCellAnchor>
  <xdr:twoCellAnchor>
    <xdr:from>
      <xdr:col>2</xdr:col>
      <xdr:colOff>590549</xdr:colOff>
      <xdr:row>24</xdr:row>
      <xdr:rowOff>28575</xdr:rowOff>
    </xdr:from>
    <xdr:to>
      <xdr:col>5</xdr:col>
      <xdr:colOff>447675</xdr:colOff>
      <xdr:row>31</xdr:row>
      <xdr:rowOff>114300</xdr:rowOff>
    </xdr:to>
    <xdr:grpSp>
      <xdr:nvGrpSpPr>
        <xdr:cNvPr id="9" name="step1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GrpSpPr/>
      </xdr:nvGrpSpPr>
      <xdr:grpSpPr>
        <a:xfrm>
          <a:off x="5267324" y="4762500"/>
          <a:ext cx="2514601" cy="1419225"/>
          <a:chOff x="7534274" y="257175"/>
          <a:chExt cx="2514601" cy="1419225"/>
        </a:xfrm>
      </xdr:grpSpPr>
      <xdr:sp macro="" textlink="">
        <xdr:nvSpPr>
          <xdr:cNvPr id="10" name="Flowchart: Document 9">
            <a:extLst>
              <a:ext uri="{FF2B5EF4-FFF2-40B4-BE49-F238E27FC236}">
                <a16:creationId xmlns:a16="http://schemas.microsoft.com/office/drawing/2014/main" id="{00000000-0008-0000-0200-00000A000000}"/>
              </a:ext>
            </a:extLst>
          </xdr:cNvPr>
          <xdr:cNvSpPr/>
        </xdr:nvSpPr>
        <xdr:spPr>
          <a:xfrm>
            <a:off x="7620000" y="609600"/>
            <a:ext cx="2428875" cy="1066800"/>
          </a:xfrm>
          <a:prstGeom prst="flowChartDocument">
            <a:avLst/>
          </a:prstGeom>
        </xdr:spPr>
        <xdr:style>
          <a:lnRef idx="2">
            <a:schemeClr val="accent3">
              <a:shade val="50000"/>
            </a:schemeClr>
          </a:lnRef>
          <a:fillRef idx="1">
            <a:schemeClr val="accent3"/>
          </a:fillRef>
          <a:effectRef idx="0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GB" sz="1400"/>
              <a:t>FILL</a:t>
            </a:r>
            <a:r>
              <a:rPr lang="en-GB" sz="1400" baseline="0"/>
              <a:t> THE FIELDS</a:t>
            </a:r>
            <a:endParaRPr lang="en-GB" sz="1400"/>
          </a:p>
        </xdr:txBody>
      </xdr:sp>
      <xdr:sp macro="" textlink="">
        <xdr:nvSpPr>
          <xdr:cNvPr id="11" name="Oval 10">
            <a:extLst>
              <a:ext uri="{FF2B5EF4-FFF2-40B4-BE49-F238E27FC236}">
                <a16:creationId xmlns:a16="http://schemas.microsoft.com/office/drawing/2014/main" id="{00000000-0008-0000-0200-00000B000000}"/>
              </a:ext>
            </a:extLst>
          </xdr:cNvPr>
          <xdr:cNvSpPr/>
        </xdr:nvSpPr>
        <xdr:spPr>
          <a:xfrm>
            <a:off x="7534274" y="257175"/>
            <a:ext cx="581025" cy="600075"/>
          </a:xfrm>
          <a:prstGeom prst="ellipse">
            <a:avLst/>
          </a:prstGeom>
          <a:ln w="57150">
            <a:solidFill>
              <a:schemeClr val="bg1"/>
            </a:solidFill>
          </a:ln>
        </xdr:spPr>
        <xdr:style>
          <a:lnRef idx="2">
            <a:schemeClr val="accent3">
              <a:shade val="50000"/>
            </a:schemeClr>
          </a:lnRef>
          <a:fillRef idx="1">
            <a:schemeClr val="accent3"/>
          </a:fillRef>
          <a:effectRef idx="0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GB" sz="1800"/>
              <a:t>4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85725</xdr:colOff>
          <xdr:row>8</xdr:row>
          <xdr:rowOff>95250</xdr:rowOff>
        </xdr:from>
        <xdr:to>
          <xdr:col>6</xdr:col>
          <xdr:colOff>1314450</xdr:colOff>
          <xdr:row>11</xdr:row>
          <xdr:rowOff>114300</xdr:rowOff>
        </xdr:to>
        <xdr:sp macro="" textlink="">
          <xdr:nvSpPr>
            <xdr:cNvPr id="229377" name="cleanSku" hidden="1">
              <a:extLst>
                <a:ext uri="{63B3BB69-23CF-44E3-9099-C40C66FF867C}">
                  <a14:compatExt spid="_x0000_s229377"/>
                </a:ext>
                <a:ext uri="{FF2B5EF4-FFF2-40B4-BE49-F238E27FC236}">
                  <a16:creationId xmlns:a16="http://schemas.microsoft.com/office/drawing/2014/main" id="{00000000-0008-0000-0200-0000018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15</xdr:row>
          <xdr:rowOff>9525</xdr:rowOff>
        </xdr:from>
        <xdr:to>
          <xdr:col>6</xdr:col>
          <xdr:colOff>1409700</xdr:colOff>
          <xdr:row>16</xdr:row>
          <xdr:rowOff>47625</xdr:rowOff>
        </xdr:to>
        <xdr:sp macro="" textlink="">
          <xdr:nvSpPr>
            <xdr:cNvPr id="229378" name="country" hidden="1">
              <a:extLst>
                <a:ext uri="{63B3BB69-23CF-44E3-9099-C40C66FF867C}">
                  <a14:compatExt spid="_x0000_s229378"/>
                </a:ext>
                <a:ext uri="{FF2B5EF4-FFF2-40B4-BE49-F238E27FC236}">
                  <a16:creationId xmlns:a16="http://schemas.microsoft.com/office/drawing/2014/main" id="{00000000-0008-0000-0200-0000028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600075</xdr:colOff>
          <xdr:row>18</xdr:row>
          <xdr:rowOff>142875</xdr:rowOff>
        </xdr:from>
        <xdr:to>
          <xdr:col>6</xdr:col>
          <xdr:colOff>2133600</xdr:colOff>
          <xdr:row>20</xdr:row>
          <xdr:rowOff>9525</xdr:rowOff>
        </xdr:to>
        <xdr:sp macro="" textlink="">
          <xdr:nvSpPr>
            <xdr:cNvPr id="229379" name="address" hidden="1">
              <a:extLst>
                <a:ext uri="{63B3BB69-23CF-44E3-9099-C40C66FF867C}">
                  <a14:compatExt spid="_x0000_s229379"/>
                </a:ext>
                <a:ext uri="{FF2B5EF4-FFF2-40B4-BE49-F238E27FC236}">
                  <a16:creationId xmlns:a16="http://schemas.microsoft.com/office/drawing/2014/main" id="{00000000-0008-0000-0200-0000038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57149</xdr:colOff>
      <xdr:row>35</xdr:row>
      <xdr:rowOff>133350</xdr:rowOff>
    </xdr:from>
    <xdr:to>
      <xdr:col>5</xdr:col>
      <xdr:colOff>523875</xdr:colOff>
      <xdr:row>43</xdr:row>
      <xdr:rowOff>28575</xdr:rowOff>
    </xdr:to>
    <xdr:grpSp>
      <xdr:nvGrpSpPr>
        <xdr:cNvPr id="18" name="step1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GrpSpPr/>
      </xdr:nvGrpSpPr>
      <xdr:grpSpPr>
        <a:xfrm>
          <a:off x="5343524" y="6962775"/>
          <a:ext cx="2514601" cy="1657350"/>
          <a:chOff x="7534274" y="257175"/>
          <a:chExt cx="2514601" cy="1419225"/>
        </a:xfrm>
      </xdr:grpSpPr>
      <xdr:sp macro="" textlink="">
        <xdr:nvSpPr>
          <xdr:cNvPr id="19" name="Flowchart: Document 18">
            <a:extLst>
              <a:ext uri="{FF2B5EF4-FFF2-40B4-BE49-F238E27FC236}">
                <a16:creationId xmlns:a16="http://schemas.microsoft.com/office/drawing/2014/main" id="{00000000-0008-0000-0200-000013000000}"/>
              </a:ext>
            </a:extLst>
          </xdr:cNvPr>
          <xdr:cNvSpPr/>
        </xdr:nvSpPr>
        <xdr:spPr>
          <a:xfrm>
            <a:off x="7620000" y="609600"/>
            <a:ext cx="2428875" cy="1066800"/>
          </a:xfrm>
          <a:prstGeom prst="flowChartDocument">
            <a:avLst/>
          </a:prstGeom>
        </xdr:spPr>
        <xdr:style>
          <a:lnRef idx="2">
            <a:schemeClr val="accent3">
              <a:shade val="50000"/>
            </a:schemeClr>
          </a:lnRef>
          <a:fillRef idx="1">
            <a:schemeClr val="accent3"/>
          </a:fillRef>
          <a:effectRef idx="0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GB" sz="1400"/>
              <a:t>Highlight</a:t>
            </a:r>
            <a:r>
              <a:rPr lang="en-GB" sz="1400" baseline="0"/>
              <a:t> the final </a:t>
            </a:r>
          </a:p>
          <a:p>
            <a:pPr algn="ctr"/>
            <a:r>
              <a:rPr lang="en-GB" sz="1400" baseline="0"/>
              <a:t>item in each box</a:t>
            </a:r>
            <a:endParaRPr lang="en-GB" sz="1400"/>
          </a:p>
        </xdr:txBody>
      </xdr:sp>
      <xdr:sp macro="" textlink="">
        <xdr:nvSpPr>
          <xdr:cNvPr id="20" name="Oval 19">
            <a:extLst>
              <a:ext uri="{FF2B5EF4-FFF2-40B4-BE49-F238E27FC236}">
                <a16:creationId xmlns:a16="http://schemas.microsoft.com/office/drawing/2014/main" id="{00000000-0008-0000-0200-000014000000}"/>
              </a:ext>
            </a:extLst>
          </xdr:cNvPr>
          <xdr:cNvSpPr/>
        </xdr:nvSpPr>
        <xdr:spPr>
          <a:xfrm>
            <a:off x="7534274" y="257175"/>
            <a:ext cx="581025" cy="600075"/>
          </a:xfrm>
          <a:prstGeom prst="ellipse">
            <a:avLst/>
          </a:prstGeom>
          <a:ln w="57150">
            <a:solidFill>
              <a:schemeClr val="bg1"/>
            </a:solidFill>
          </a:ln>
        </xdr:spPr>
        <xdr:style>
          <a:lnRef idx="2">
            <a:schemeClr val="accent3">
              <a:shade val="50000"/>
            </a:schemeClr>
          </a:lnRef>
          <a:fillRef idx="1">
            <a:schemeClr val="accent3"/>
          </a:fillRef>
          <a:effectRef idx="0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GB" sz="1800"/>
              <a:t>5</a:t>
            </a:r>
          </a:p>
        </xdr:txBody>
      </xdr:sp>
    </xdr:grpSp>
    <xdr:clientData/>
  </xdr:twoCellAnchor>
  <xdr:twoCellAnchor editAs="oneCell">
    <xdr:from>
      <xdr:col>7</xdr:col>
      <xdr:colOff>190500</xdr:colOff>
      <xdr:row>38</xdr:row>
      <xdr:rowOff>28575</xdr:rowOff>
    </xdr:from>
    <xdr:to>
      <xdr:col>7</xdr:col>
      <xdr:colOff>685800</xdr:colOff>
      <xdr:row>40</xdr:row>
      <xdr:rowOff>142875</xdr:rowOff>
    </xdr:to>
    <xdr:pic>
      <xdr:nvPicPr>
        <xdr:cNvPr id="13" name="Graphic 12" descr="Exclamation mark with solid fill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0315575" y="7439025"/>
          <a:ext cx="495300" cy="495300"/>
        </a:xfrm>
        <a:prstGeom prst="rect">
          <a:avLst/>
        </a:prstGeom>
      </xdr:spPr>
    </xdr:pic>
    <xdr:clientData/>
  </xdr:twoCellAnchor>
  <xdr:twoCellAnchor editAs="oneCell">
    <xdr:from>
      <xdr:col>8</xdr:col>
      <xdr:colOff>542925</xdr:colOff>
      <xdr:row>42</xdr:row>
      <xdr:rowOff>28575</xdr:rowOff>
    </xdr:from>
    <xdr:to>
      <xdr:col>9</xdr:col>
      <xdr:colOff>428625</xdr:colOff>
      <xdr:row>44</xdr:row>
      <xdr:rowOff>142875</xdr:rowOff>
    </xdr:to>
    <xdr:pic>
      <xdr:nvPicPr>
        <xdr:cNvPr id="21" name="Graphic 20" descr="Exclamation mark with solid fill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1553825" y="8524875"/>
          <a:ext cx="495300" cy="495300"/>
        </a:xfrm>
        <a:prstGeom prst="rect">
          <a:avLst/>
        </a:prstGeom>
      </xdr:spPr>
    </xdr:pic>
    <xdr:clientData/>
  </xdr:twoCellAnchor>
  <xdr:twoCellAnchor>
    <xdr:from>
      <xdr:col>15</xdr:col>
      <xdr:colOff>247650</xdr:colOff>
      <xdr:row>0</xdr:row>
      <xdr:rowOff>85725</xdr:rowOff>
    </xdr:from>
    <xdr:to>
      <xdr:col>16</xdr:col>
      <xdr:colOff>552450</xdr:colOff>
      <xdr:row>4</xdr:row>
      <xdr:rowOff>120346</xdr:rowOff>
    </xdr:to>
    <xdr:pic>
      <xdr:nvPicPr>
        <xdr:cNvPr id="14" name="Graphic 13" descr="Key with solid fill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6735425" y="85725"/>
          <a:ext cx="914400" cy="920446"/>
        </a:xfrm>
        <a:prstGeom prst="rect">
          <a:avLst/>
        </a:prstGeom>
      </xdr:spPr>
    </xdr:pic>
    <xdr:clientData/>
  </xdr:twoCellAnchor>
  <xdr:twoCellAnchor>
    <xdr:from>
      <xdr:col>12</xdr:col>
      <xdr:colOff>57150</xdr:colOff>
      <xdr:row>4</xdr:row>
      <xdr:rowOff>7289</xdr:rowOff>
    </xdr:from>
    <xdr:to>
      <xdr:col>16</xdr:col>
      <xdr:colOff>523875</xdr:colOff>
      <xdr:row>10</xdr:row>
      <xdr:rowOff>38100</xdr:rowOff>
    </xdr:to>
    <xdr:grpSp>
      <xdr:nvGrpSpPr>
        <xdr:cNvPr id="41" name="Group 40">
          <a:extLst>
            <a:ext uri="{FF2B5EF4-FFF2-40B4-BE49-F238E27FC236}">
              <a16:creationId xmlns:a16="http://schemas.microsoft.com/office/drawing/2014/main" id="{00000000-0008-0000-0200-000029000000}"/>
            </a:ext>
          </a:extLst>
        </xdr:cNvPr>
        <xdr:cNvGrpSpPr/>
      </xdr:nvGrpSpPr>
      <xdr:grpSpPr>
        <a:xfrm>
          <a:off x="13773150" y="893114"/>
          <a:ext cx="3333750" cy="1192861"/>
          <a:chOff x="14716125" y="893114"/>
          <a:chExt cx="2905125" cy="1192861"/>
        </a:xfrm>
      </xdr:grpSpPr>
      <xdr:sp macro="[0]!update_inventory" textlink="">
        <xdr:nvSpPr>
          <xdr:cNvPr id="28" name="Flowchart: Document 27">
            <a:extLst>
              <a:ext uri="{FF2B5EF4-FFF2-40B4-BE49-F238E27FC236}">
                <a16:creationId xmlns:a16="http://schemas.microsoft.com/office/drawing/2014/main" id="{00000000-0008-0000-0200-00001C000000}"/>
              </a:ext>
            </a:extLst>
          </xdr:cNvPr>
          <xdr:cNvSpPr/>
        </xdr:nvSpPr>
        <xdr:spPr>
          <a:xfrm>
            <a:off x="14716125" y="893114"/>
            <a:ext cx="2428875" cy="1011888"/>
          </a:xfrm>
          <a:prstGeom prst="flowChartDocument">
            <a:avLst/>
          </a:prstGeom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GB" sz="1400"/>
              <a:t>UPDATE</a:t>
            </a:r>
            <a:r>
              <a:rPr lang="en-GB" sz="1400" baseline="0"/>
              <a:t>  INVENTORY</a:t>
            </a:r>
          </a:p>
          <a:p>
            <a:pPr algn="ctr"/>
            <a:r>
              <a:rPr lang="en-GB" sz="1400" baseline="0"/>
              <a:t>(if needed)</a:t>
            </a:r>
            <a:endParaRPr lang="en-GB" sz="1400"/>
          </a:p>
        </xdr:txBody>
      </xdr:sp>
      <xdr:pic>
        <xdr:nvPicPr>
          <xdr:cNvPr id="17" name="Graphic 16" descr="Search Inventory with solid fill">
            <a:extLst>
              <a:ext uri="{FF2B5EF4-FFF2-40B4-BE49-F238E27FC236}">
                <a16:creationId xmlns:a16="http://schemas.microsoft.com/office/drawing/2014/main" id="{00000000-0008-0000-0200-00001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6706850" y="1171575"/>
            <a:ext cx="914400" cy="914400"/>
          </a:xfrm>
          <a:prstGeom prst="rect">
            <a:avLst/>
          </a:prstGeom>
        </xdr:spPr>
      </xdr:pic>
    </xdr:grpSp>
    <xdr:clientData/>
  </xdr:twoCellAnchor>
  <xdr:twoCellAnchor>
    <xdr:from>
      <xdr:col>12</xdr:col>
      <xdr:colOff>85725</xdr:colOff>
      <xdr:row>11</xdr:row>
      <xdr:rowOff>159690</xdr:rowOff>
    </xdr:from>
    <xdr:to>
      <xdr:col>16</xdr:col>
      <xdr:colOff>485775</xdr:colOff>
      <xdr:row>18</xdr:row>
      <xdr:rowOff>85725</xdr:rowOff>
    </xdr:to>
    <xdr:grpSp>
      <xdr:nvGrpSpPr>
        <xdr:cNvPr id="40" name="Group 39">
          <a:extLst>
            <a:ext uri="{FF2B5EF4-FFF2-40B4-BE49-F238E27FC236}">
              <a16:creationId xmlns:a16="http://schemas.microsoft.com/office/drawing/2014/main" id="{00000000-0008-0000-0200-000028000000}"/>
            </a:ext>
          </a:extLst>
        </xdr:cNvPr>
        <xdr:cNvGrpSpPr/>
      </xdr:nvGrpSpPr>
      <xdr:grpSpPr>
        <a:xfrm>
          <a:off x="13801725" y="2398065"/>
          <a:ext cx="3267075" cy="1278585"/>
          <a:chOff x="14744700" y="2398065"/>
          <a:chExt cx="2838450" cy="1259535"/>
        </a:xfrm>
      </xdr:grpSpPr>
      <xdr:sp macro="[0]!generate" textlink="">
        <xdr:nvSpPr>
          <xdr:cNvPr id="23" name="Flowchart: Document 22">
            <a:extLst>
              <a:ext uri="{FF2B5EF4-FFF2-40B4-BE49-F238E27FC236}">
                <a16:creationId xmlns:a16="http://schemas.microsoft.com/office/drawing/2014/main" id="{00000000-0008-0000-0200-000017000000}"/>
              </a:ext>
            </a:extLst>
          </xdr:cNvPr>
          <xdr:cNvSpPr/>
        </xdr:nvSpPr>
        <xdr:spPr>
          <a:xfrm>
            <a:off x="14744700" y="2398065"/>
            <a:ext cx="2428875" cy="1018579"/>
          </a:xfrm>
          <a:prstGeom prst="flowChartDocumen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GB" sz="1400" baseline="0"/>
              <a:t>GENERATE ALL REPORTS</a:t>
            </a:r>
          </a:p>
          <a:p>
            <a:pPr algn="ctr"/>
            <a:endParaRPr lang="en-GB" sz="1400"/>
          </a:p>
        </xdr:txBody>
      </xdr:sp>
      <xdr:pic>
        <xdr:nvPicPr>
          <xdr:cNvPr id="36" name="Graphic 35" descr="Register with solid fill">
            <a:extLst>
              <a:ext uri="{FF2B5EF4-FFF2-40B4-BE49-F238E27FC236}">
                <a16:creationId xmlns:a16="http://schemas.microsoft.com/office/drawing/2014/main" id="{00000000-0008-0000-0200-00002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16668750" y="2743200"/>
            <a:ext cx="914400" cy="914400"/>
          </a:xfrm>
          <a:prstGeom prst="rect">
            <a:avLst/>
          </a:prstGeom>
        </xdr:spPr>
      </xdr:pic>
    </xdr:grpSp>
    <xdr:clientData/>
  </xdr:twoCellAnchor>
  <xdr:twoCellAnchor>
    <xdr:from>
      <xdr:col>12</xdr:col>
      <xdr:colOff>28575</xdr:colOff>
      <xdr:row>19</xdr:row>
      <xdr:rowOff>131114</xdr:rowOff>
    </xdr:from>
    <xdr:to>
      <xdr:col>16</xdr:col>
      <xdr:colOff>533400</xdr:colOff>
      <xdr:row>26</xdr:row>
      <xdr:rowOff>9525</xdr:rowOff>
    </xdr:to>
    <xdr:grpSp>
      <xdr:nvGrpSpPr>
        <xdr:cNvPr id="39" name="Group 38">
          <a:extLst>
            <a:ext uri="{FF2B5EF4-FFF2-40B4-BE49-F238E27FC236}">
              <a16:creationId xmlns:a16="http://schemas.microsoft.com/office/drawing/2014/main" id="{00000000-0008-0000-0200-000027000000}"/>
            </a:ext>
          </a:extLst>
        </xdr:cNvPr>
        <xdr:cNvGrpSpPr/>
      </xdr:nvGrpSpPr>
      <xdr:grpSpPr>
        <a:xfrm>
          <a:off x="13744575" y="3912539"/>
          <a:ext cx="3371850" cy="1211911"/>
          <a:chOff x="14687550" y="3893489"/>
          <a:chExt cx="2943225" cy="1211911"/>
        </a:xfrm>
      </xdr:grpSpPr>
      <xdr:sp macro="[0]!Printing.printing" textlink="">
        <xdr:nvSpPr>
          <xdr:cNvPr id="25" name="Flowchart: Document 24">
            <a:extLst>
              <a:ext uri="{FF2B5EF4-FFF2-40B4-BE49-F238E27FC236}">
                <a16:creationId xmlns:a16="http://schemas.microsoft.com/office/drawing/2014/main" id="{00000000-0008-0000-0200-000019000000}"/>
              </a:ext>
            </a:extLst>
          </xdr:cNvPr>
          <xdr:cNvSpPr/>
        </xdr:nvSpPr>
        <xdr:spPr>
          <a:xfrm>
            <a:off x="14687550" y="3893489"/>
            <a:ext cx="2428875" cy="1018579"/>
          </a:xfrm>
          <a:prstGeom prst="flowChartDocument">
            <a:avLst/>
          </a:prstGeom>
        </xdr:spPr>
        <xdr:style>
          <a:lnRef idx="2">
            <a:schemeClr val="accent2">
              <a:shade val="50000"/>
            </a:schemeClr>
          </a:lnRef>
          <a:fillRef idx="1">
            <a:schemeClr val="accent2"/>
          </a:fillRef>
          <a:effectRef idx="0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GB" sz="1400" baseline="0"/>
          </a:p>
          <a:p>
            <a:pPr algn="ctr"/>
            <a:r>
              <a:rPr lang="en-GB" sz="1400" baseline="0"/>
              <a:t>GENERATE PDF</a:t>
            </a:r>
          </a:p>
          <a:p>
            <a:pPr algn="ctr"/>
            <a:endParaRPr lang="en-GB" sz="1400" baseline="0"/>
          </a:p>
          <a:p>
            <a:pPr algn="ctr"/>
            <a:endParaRPr lang="en-GB" sz="1400"/>
          </a:p>
        </xdr:txBody>
      </xdr:sp>
      <xdr:pic>
        <xdr:nvPicPr>
          <xdr:cNvPr id="38" name="Graphic 37" descr="Network diagram with solid fill">
            <a:extLst>
              <a:ext uri="{FF2B5EF4-FFF2-40B4-BE49-F238E27FC236}">
                <a16:creationId xmlns:a16="http://schemas.microsoft.com/office/drawing/2014/main" id="{00000000-0008-0000-0200-00002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6716375" y="4191000"/>
            <a:ext cx="914400" cy="914400"/>
          </a:xfrm>
          <a:prstGeom prst="rect">
            <a:avLst/>
          </a:prstGeom>
        </xdr:spPr>
      </xdr:pic>
    </xdr:grpSp>
    <xdr:clientData/>
  </xdr:twoCellAnchor>
  <xdr:twoCellAnchor>
    <xdr:from>
      <xdr:col>12</xdr:col>
      <xdr:colOff>38100</xdr:colOff>
      <xdr:row>26</xdr:row>
      <xdr:rowOff>150164</xdr:rowOff>
    </xdr:from>
    <xdr:to>
      <xdr:col>16</xdr:col>
      <xdr:colOff>438150</xdr:colOff>
      <xdr:row>33</xdr:row>
      <xdr:rowOff>95250</xdr:rowOff>
    </xdr:to>
    <xdr:grpSp>
      <xdr:nvGrpSpPr>
        <xdr:cNvPr id="44" name="Group 43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GrpSpPr/>
      </xdr:nvGrpSpPr>
      <xdr:grpSpPr>
        <a:xfrm>
          <a:off x="13754100" y="5265089"/>
          <a:ext cx="3267075" cy="1278586"/>
          <a:chOff x="14678025" y="5722289"/>
          <a:chExt cx="2838450" cy="1278586"/>
        </a:xfrm>
      </xdr:grpSpPr>
      <xdr:sp macro="[0]!store_sku" textlink="">
        <xdr:nvSpPr>
          <xdr:cNvPr id="32" name="Flowchart: Document 31">
            <a:extLst>
              <a:ext uri="{FF2B5EF4-FFF2-40B4-BE49-F238E27FC236}">
                <a16:creationId xmlns:a16="http://schemas.microsoft.com/office/drawing/2014/main" id="{00000000-0008-0000-0200-000020000000}"/>
              </a:ext>
            </a:extLst>
          </xdr:cNvPr>
          <xdr:cNvSpPr/>
        </xdr:nvSpPr>
        <xdr:spPr>
          <a:xfrm>
            <a:off x="14678025" y="5722289"/>
            <a:ext cx="2428875" cy="1018579"/>
          </a:xfrm>
          <a:prstGeom prst="flowChartDocument">
            <a:avLst/>
          </a:prstGeom>
        </xdr:spPr>
        <xdr:style>
          <a:lnRef idx="0">
            <a:schemeClr val="accent6"/>
          </a:lnRef>
          <a:fillRef idx="3">
            <a:schemeClr val="accent6"/>
          </a:fillRef>
          <a:effectRef idx="3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GB" sz="1400" baseline="0"/>
              <a:t>EXPORT SKU LIST FOR MONTHLY REPORT</a:t>
            </a:r>
          </a:p>
          <a:p>
            <a:pPr algn="ctr"/>
            <a:r>
              <a:rPr lang="en-GB" sz="1400"/>
              <a:t>(!</a:t>
            </a:r>
            <a:r>
              <a:rPr lang="en-GB" sz="1400" baseline="0"/>
              <a:t> Run only once!)</a:t>
            </a:r>
            <a:endParaRPr lang="en-GB" sz="1400"/>
          </a:p>
        </xdr:txBody>
      </xdr:sp>
      <xdr:pic>
        <xdr:nvPicPr>
          <xdr:cNvPr id="43" name="Graphic 42" descr="Monthly calendar with solid fill">
            <a:extLst>
              <a:ext uri="{FF2B5EF4-FFF2-40B4-BE49-F238E27FC236}">
                <a16:creationId xmlns:a16="http://schemas.microsoft.com/office/drawing/2014/main" id="{00000000-0008-0000-0200-00002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602075" y="6086475"/>
            <a:ext cx="914400" cy="9144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28574</xdr:colOff>
      <xdr:row>0</xdr:row>
      <xdr:rowOff>0</xdr:rowOff>
    </xdr:from>
    <xdr:to>
      <xdr:col>5</xdr:col>
      <xdr:colOff>495300</xdr:colOff>
      <xdr:row>6</xdr:row>
      <xdr:rowOff>47625</xdr:rowOff>
    </xdr:to>
    <xdr:grpSp>
      <xdr:nvGrpSpPr>
        <xdr:cNvPr id="33" name="step1">
          <a:extLst>
            <a:ext uri="{FF2B5EF4-FFF2-40B4-BE49-F238E27FC236}">
              <a16:creationId xmlns:a16="http://schemas.microsoft.com/office/drawing/2014/main" id="{00000000-0008-0000-0200-000021000000}"/>
            </a:ext>
          </a:extLst>
        </xdr:cNvPr>
        <xdr:cNvGrpSpPr/>
      </xdr:nvGrpSpPr>
      <xdr:grpSpPr>
        <a:xfrm>
          <a:off x="5314949" y="0"/>
          <a:ext cx="2514601" cy="1333500"/>
          <a:chOff x="7534274" y="257175"/>
          <a:chExt cx="2514601" cy="1419225"/>
        </a:xfrm>
      </xdr:grpSpPr>
      <xdr:sp macro="" textlink="">
        <xdr:nvSpPr>
          <xdr:cNvPr id="34" name="Flowchart: Document 33">
            <a:extLst>
              <a:ext uri="{FF2B5EF4-FFF2-40B4-BE49-F238E27FC236}">
                <a16:creationId xmlns:a16="http://schemas.microsoft.com/office/drawing/2014/main" id="{00000000-0008-0000-0200-000022000000}"/>
              </a:ext>
            </a:extLst>
          </xdr:cNvPr>
          <xdr:cNvSpPr/>
        </xdr:nvSpPr>
        <xdr:spPr>
          <a:xfrm>
            <a:off x="7620000" y="609600"/>
            <a:ext cx="2428875" cy="1066800"/>
          </a:xfrm>
          <a:prstGeom prst="flowChartDocument">
            <a:avLst/>
          </a:prstGeom>
        </xdr:spPr>
        <xdr:style>
          <a:lnRef idx="2">
            <a:schemeClr val="accent3">
              <a:shade val="50000"/>
            </a:schemeClr>
          </a:lnRef>
          <a:fillRef idx="1">
            <a:schemeClr val="accent3"/>
          </a:fillRef>
          <a:effectRef idx="0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GB" sz="1400"/>
              <a:t>CLEAR</a:t>
            </a:r>
            <a:r>
              <a:rPr lang="en-GB" sz="1400" baseline="0"/>
              <a:t> SKU LIST:</a:t>
            </a:r>
          </a:p>
          <a:p>
            <a:pPr algn="ctr"/>
            <a:r>
              <a:rPr lang="en-GB" sz="1400" baseline="0"/>
              <a:t>Clears formats and old skus.</a:t>
            </a:r>
            <a:endParaRPr lang="en-GB" sz="1400"/>
          </a:p>
        </xdr:txBody>
      </xdr:sp>
      <xdr:sp macro="" textlink="">
        <xdr:nvSpPr>
          <xdr:cNvPr id="35" name="Oval 34">
            <a:extLst>
              <a:ext uri="{FF2B5EF4-FFF2-40B4-BE49-F238E27FC236}">
                <a16:creationId xmlns:a16="http://schemas.microsoft.com/office/drawing/2014/main" id="{00000000-0008-0000-0200-000023000000}"/>
              </a:ext>
            </a:extLst>
          </xdr:cNvPr>
          <xdr:cNvSpPr/>
        </xdr:nvSpPr>
        <xdr:spPr>
          <a:xfrm>
            <a:off x="7534274" y="257175"/>
            <a:ext cx="581025" cy="600075"/>
          </a:xfrm>
          <a:prstGeom prst="ellipse">
            <a:avLst/>
          </a:prstGeom>
          <a:ln w="57150">
            <a:solidFill>
              <a:schemeClr val="bg1"/>
            </a:solidFill>
          </a:ln>
        </xdr:spPr>
        <xdr:style>
          <a:lnRef idx="2">
            <a:schemeClr val="accent3">
              <a:shade val="50000"/>
            </a:schemeClr>
          </a:lnRef>
          <a:fillRef idx="1">
            <a:schemeClr val="accent3"/>
          </a:fillRef>
          <a:effectRef idx="0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GB" sz="1800"/>
              <a:t>1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1</xdr:row>
          <xdr:rowOff>161925</xdr:rowOff>
        </xdr:from>
        <xdr:to>
          <xdr:col>6</xdr:col>
          <xdr:colOff>1295400</xdr:colOff>
          <xdr:row>5</xdr:row>
          <xdr:rowOff>57150</xdr:rowOff>
        </xdr:to>
        <xdr:sp macro="" textlink="">
          <xdr:nvSpPr>
            <xdr:cNvPr id="229380" name="clear_all" hidden="1">
              <a:extLst>
                <a:ext uri="{63B3BB69-23CF-44E3-9099-C40C66FF867C}">
                  <a14:compatExt spid="_x0000_s229380"/>
                </a:ext>
                <a:ext uri="{FF2B5EF4-FFF2-40B4-BE49-F238E27FC236}">
                  <a16:creationId xmlns:a16="http://schemas.microsoft.com/office/drawing/2014/main" id="{00000000-0008-0000-0200-0000048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133350</xdr:colOff>
      <xdr:row>46</xdr:row>
      <xdr:rowOff>76200</xdr:rowOff>
    </xdr:from>
    <xdr:ext cx="1285875" cy="895350"/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19425" y="38557200"/>
          <a:ext cx="1285875" cy="895350"/>
        </a:xfrm>
        <a:prstGeom prst="rect">
          <a:avLst/>
        </a:prstGeom>
      </xdr:spPr>
    </xdr:pic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142875</xdr:colOff>
      <xdr:row>128</xdr:row>
      <xdr:rowOff>133350</xdr:rowOff>
    </xdr:from>
    <xdr:ext cx="1285875" cy="895350"/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38475" y="18040350"/>
          <a:ext cx="1285875" cy="895350"/>
        </a:xfrm>
        <a:prstGeom prst="rect">
          <a:avLst/>
        </a:prstGeom>
      </xdr:spPr>
    </xdr:pic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70</xdr:row>
      <xdr:rowOff>47625</xdr:rowOff>
    </xdr:from>
    <xdr:to>
      <xdr:col>3</xdr:col>
      <xdr:colOff>57150</xdr:colOff>
      <xdr:row>74</xdr:row>
      <xdr:rowOff>180975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33675" y="22136100"/>
          <a:ext cx="1285875" cy="89535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142875</xdr:colOff>
      <xdr:row>58</xdr:row>
      <xdr:rowOff>133350</xdr:rowOff>
    </xdr:from>
    <xdr:ext cx="1285875" cy="895350"/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38475" y="18040350"/>
          <a:ext cx="1285875" cy="895350"/>
        </a:xfrm>
        <a:prstGeom prst="rect">
          <a:avLst/>
        </a:prstGeom>
      </xdr:spPr>
    </xdr:pic>
    <xdr:clientData/>
  </xdr:one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133350</xdr:colOff>
      <xdr:row>34</xdr:row>
      <xdr:rowOff>76200</xdr:rowOff>
    </xdr:from>
    <xdr:ext cx="1285875" cy="895350"/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66925" y="8934450"/>
          <a:ext cx="1285875" cy="895350"/>
        </a:xfrm>
        <a:prstGeom prst="rect">
          <a:avLst/>
        </a:prstGeom>
      </xdr:spPr>
    </xdr:pic>
    <xdr:clientData/>
  </xdr:one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49</xdr:row>
      <xdr:rowOff>47625</xdr:rowOff>
    </xdr:from>
    <xdr:to>
      <xdr:col>3</xdr:col>
      <xdr:colOff>57150</xdr:colOff>
      <xdr:row>53</xdr:row>
      <xdr:rowOff>180975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8800" y="7019925"/>
          <a:ext cx="1285875" cy="895350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142875</xdr:colOff>
      <xdr:row>232</xdr:row>
      <xdr:rowOff>133350</xdr:rowOff>
    </xdr:from>
    <xdr:ext cx="1285875" cy="895350"/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38475" y="18240375"/>
          <a:ext cx="1285875" cy="895350"/>
        </a:xfrm>
        <a:prstGeom prst="rect">
          <a:avLst/>
        </a:prstGeom>
      </xdr:spPr>
    </xdr:pic>
    <xdr:clientData/>
  </xdr:oneCellAnchor>
</xdr:wsDr>
</file>

<file path=xl/drawings/drawing10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133350</xdr:colOff>
      <xdr:row>47</xdr:row>
      <xdr:rowOff>76200</xdr:rowOff>
    </xdr:from>
    <xdr:ext cx="1285875" cy="895350"/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90775" y="8934450"/>
          <a:ext cx="1285875" cy="895350"/>
        </a:xfrm>
        <a:prstGeom prst="rect">
          <a:avLst/>
        </a:prstGeom>
      </xdr:spPr>
    </xdr:pic>
    <xdr:clientData/>
  </xdr:one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87</xdr:row>
      <xdr:rowOff>47625</xdr:rowOff>
    </xdr:from>
    <xdr:to>
      <xdr:col>3</xdr:col>
      <xdr:colOff>57150</xdr:colOff>
      <xdr:row>91</xdr:row>
      <xdr:rowOff>180975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8800" y="7019925"/>
          <a:ext cx="1285875" cy="895350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142875</xdr:colOff>
      <xdr:row>105</xdr:row>
      <xdr:rowOff>133350</xdr:rowOff>
    </xdr:from>
    <xdr:ext cx="1285875" cy="895350"/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38475" y="18240375"/>
          <a:ext cx="1285875" cy="895350"/>
        </a:xfrm>
        <a:prstGeom prst="rect">
          <a:avLst/>
        </a:prstGeom>
      </xdr:spPr>
    </xdr:pic>
    <xdr:clientData/>
  </xdr:oneCellAnchor>
</xdr:wsDr>
</file>

<file path=xl/drawings/drawing13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133350</xdr:colOff>
      <xdr:row>44</xdr:row>
      <xdr:rowOff>76200</xdr:rowOff>
    </xdr:from>
    <xdr:ext cx="1285875" cy="895350"/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90775" y="8934450"/>
          <a:ext cx="1285875" cy="895350"/>
        </a:xfrm>
        <a:prstGeom prst="rect">
          <a:avLst/>
        </a:prstGeom>
      </xdr:spPr>
    </xdr:pic>
    <xdr:clientData/>
  </xdr:one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96</xdr:row>
      <xdr:rowOff>47625</xdr:rowOff>
    </xdr:from>
    <xdr:to>
      <xdr:col>3</xdr:col>
      <xdr:colOff>57150</xdr:colOff>
      <xdr:row>100</xdr:row>
      <xdr:rowOff>180975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8800" y="7019925"/>
          <a:ext cx="1285875" cy="89535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NIKOTSY-PC\Amberta%20LTD%20-%20Working%20Files\4%20-%20FBA%20Documents\Kanifa%20-%20Shipments%20Duty%20and%20VAT\Others\Inventory%20files%20for%20updates\Inventory%20-%2025-10-21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Quality Control"/>
      <sheetName val="Values"/>
      <sheetName val="Dimensions"/>
      <sheetName val="Inventory"/>
      <sheetName val="Profitability by Parent"/>
      <sheetName val="Japan Invoice"/>
      <sheetName val="Mexico Invoice"/>
      <sheetName val="Advertising Groups"/>
      <sheetName val="Item Groups"/>
      <sheetName val="Sale Prices"/>
      <sheetName val="Sale Price Calculations"/>
      <sheetName val="List of Ebay Groups"/>
      <sheetName val="Monthly Stock Values"/>
      <sheetName val="MSV-file"/>
      <sheetName val="MSV-totals"/>
      <sheetName val="Purchase Orders"/>
      <sheetName val="Manufacturer Order Form"/>
      <sheetName val="Production Priorities"/>
      <sheetName val="MonthSales"/>
      <sheetName val="IN Invoice"/>
      <sheetName val="Sales Invoice Biamet Tags"/>
      <sheetName val="Sales Invoice BC"/>
      <sheetName val="Sales Invoice"/>
      <sheetName val="SPECIFICATION FOR Invoice"/>
      <sheetName val="Sales Invoice (2)"/>
      <sheetName val="Stock Ordering"/>
      <sheetName val="EU Invoice"/>
      <sheetName val="FBAProjections"/>
      <sheetName val="StockLevels"/>
      <sheetName val="SalesData"/>
      <sheetName val="Sales-Month1Data"/>
      <sheetName val="Sales-Month1Result"/>
      <sheetName val="Sales-Month2Data"/>
      <sheetName val="Sales-Month2Result"/>
      <sheetName val="Sales-Month3Data"/>
      <sheetName val="Sales-Month3Result"/>
      <sheetName val="SendToFBA"/>
      <sheetName val="Sales211023"/>
      <sheetName val="data211023"/>
      <sheetName val="result211023"/>
      <sheetName val="Sales211016"/>
      <sheetName val="data211016"/>
      <sheetName val="result211016"/>
      <sheetName val="Sales211009"/>
      <sheetName val="data211009"/>
      <sheetName val="result211009"/>
      <sheetName val="Sales211002"/>
      <sheetName val="Sales210925"/>
      <sheetName val="Sales210918"/>
      <sheetName val="Sales210911"/>
      <sheetName val="Sales210904"/>
      <sheetName val="Sales210828"/>
      <sheetName val="Sales210821"/>
      <sheetName val="Sales210814"/>
      <sheetName val="Sales210807"/>
      <sheetName val="Sales210731"/>
      <sheetName val="Sales210724"/>
      <sheetName val="Sales210717"/>
      <sheetName val="Sales210710"/>
      <sheetName val="Sales210703"/>
      <sheetName val="Sales210626"/>
      <sheetName val="Sales210619"/>
      <sheetName val="Sales210612"/>
      <sheetName val="Sales210605"/>
      <sheetName val="Sales210529"/>
      <sheetName val="Sales210522"/>
      <sheetName val="Sales210515"/>
      <sheetName val="Sales210508"/>
      <sheetName val="Sales210501"/>
      <sheetName val="Sales210424"/>
      <sheetName val="Sales210417"/>
      <sheetName val="Sales210410"/>
      <sheetName val="Sales210403"/>
      <sheetName val="Sales210327"/>
      <sheetName val="Sales210320"/>
      <sheetName val="Sales210313"/>
      <sheetName val="Sales210306"/>
      <sheetName val="Sales210227"/>
      <sheetName val="Sales210220"/>
      <sheetName val="Sales210213"/>
      <sheetName val="Sales210206"/>
      <sheetName val="Sales210130"/>
      <sheetName val="Sales210123"/>
      <sheetName val="Sales210116"/>
      <sheetName val="Sales210109"/>
      <sheetName val="Sales210102"/>
      <sheetName val="Sales201226"/>
      <sheetName val="Sales201219"/>
      <sheetName val="Sales201212"/>
      <sheetName val="Sales201205"/>
      <sheetName val="Sales201128"/>
      <sheetName val="Sales201121"/>
      <sheetName val="Sales201114"/>
      <sheetName val="Sales201107"/>
      <sheetName val="Sales201031"/>
      <sheetName val="Sales201024"/>
      <sheetName val="Sales201017"/>
      <sheetName val="Sales201010"/>
      <sheetName val="Sales201003"/>
      <sheetName val="Sales200926"/>
      <sheetName val="Sales200919"/>
      <sheetName val="Sales200912"/>
      <sheetName val="Sales200905"/>
      <sheetName val="Sales200829"/>
      <sheetName val="Sales200822"/>
      <sheetName val="Sales200815"/>
      <sheetName val="Sales200808"/>
      <sheetName val="Sales200801"/>
      <sheetName val="Sales200725"/>
      <sheetName val="Sales200718"/>
      <sheetName val="Sales200711"/>
      <sheetName val="Sales200704"/>
      <sheetName val="Sales200627"/>
      <sheetName val="Sales200620"/>
      <sheetName val="Sales200613"/>
      <sheetName val="Sales200606"/>
    </sheetNames>
    <sheetDataSet>
      <sheetData sheetId="0" refreshError="1"/>
      <sheetData sheetId="1">
        <row r="16">
          <cell r="S16">
            <v>0.68107132519453095</v>
          </cell>
        </row>
        <row r="17">
          <cell r="S17">
            <v>2.2702377506484366</v>
          </cell>
        </row>
      </sheetData>
      <sheetData sheetId="2"/>
      <sheetData sheetId="3"/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/>
      <sheetData sheetId="11" refreshError="1"/>
      <sheetData sheetId="12" refreshError="1"/>
      <sheetData sheetId="13" refreshError="1"/>
      <sheetData sheetId="14" refreshError="1"/>
      <sheetData sheetId="15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mberta Support8" refreshedDate="44607.707265856479" createdVersion="7" refreshedVersion="7" minRefreshableVersion="3" recordCount="1275" xr:uid="{6B974497-EEA0-4327-9F25-D841F44E8C76}">
  <cacheSource type="worksheet">
    <worksheetSource name="quantInv"/>
  </cacheSource>
  <cacheFields count="25">
    <cacheField name="Assigned Item SKU" numFmtId="0">
      <sharedItems/>
    </cacheField>
    <cacheField name="ASIN" numFmtId="0">
      <sharedItems containsBlank="1"/>
    </cacheField>
    <cacheField name="COO" numFmtId="0">
      <sharedItems containsBlank="1" count="6">
        <s v="Poland"/>
        <s v="Italy"/>
        <s v="Thailand"/>
        <s v="China"/>
        <s v="Spain"/>
        <m u="1"/>
      </sharedItems>
    </cacheField>
    <cacheField name="Short Description" numFmtId="0">
      <sharedItems containsBlank="1"/>
    </cacheField>
    <cacheField name="WEIGHT" numFmtId="0">
      <sharedItems containsSemiMixedTypes="0" containsString="0" containsNumber="1" minValue="0" maxValue="34.56" count="507">
        <n v="1.5"/>
        <n v="1.2"/>
        <n v="2"/>
        <n v="1.83"/>
        <n v="1.62"/>
        <n v="5.0901960784313696"/>
        <n v="5.6098039215686297"/>
        <n v="7.9039215686274504"/>
        <n v="1.86078431372549"/>
        <n v="1.53"/>
        <n v="1.36"/>
        <n v="1.7313725490196099"/>
        <n v="1.78571428571429"/>
        <n v="1.65"/>
        <n v="1.4921568627451001"/>
        <n v="1.62745098039216"/>
        <n v="1.83481012658228"/>
        <n v="2.3332007952286302"/>
        <n v="3.0333333333333301"/>
        <n v="4.55"/>
        <n v="1.8"/>
        <n v="2.23"/>
        <n v="2.3650602409638601"/>
        <n v="2.8584158415841601"/>
        <n v="10.26"/>
        <n v="11.06"/>
        <n v="0.64"/>
        <n v="1.95947712418301"/>
        <n v="2.42"/>
        <n v="4.05"/>
        <n v="4.5161290322580596"/>
        <n v="5.37"/>
        <n v="2.2627450980392201"/>
        <n v="2.3470588235294101"/>
        <n v="5.0941176470588196"/>
        <n v="4.0380000000000003"/>
        <n v="2.7946666666666702"/>
        <n v="1.6843137254902001"/>
        <n v="1.78823529411765"/>
        <n v="2.7071146245059299"/>
        <n v="3.8"/>
        <n v="5.98"/>
        <n v="1.36666666666667"/>
        <n v="1.43225806451613"/>
        <n v="1.42"/>
        <n v="2.5588235294117601"/>
        <n v="3.1823529411764699"/>
        <n v="3.6333333333333302"/>
        <n v="4.1588235294117704"/>
        <n v="3.5"/>
        <n v="1.8420000000000001"/>
        <n v="1.9319999999999999"/>
        <n v="2.024"/>
        <n v="2.58"/>
        <n v="4.2712871287128698"/>
        <n v="4.7475247524752504"/>
        <n v="5.5554455445544599"/>
        <n v="2.82"/>
        <n v="2.2137254901960799"/>
        <n v="3.2606232294617601"/>
        <n v="4.4050991501416403"/>
        <n v="5.83"/>
        <n v="2.04423076923077"/>
        <n v="2.42115384615385"/>
        <n v="2.1058823529411801"/>
        <n v="2.3108910891089098"/>
        <n v="3.28"/>
        <n v="1.94705882352941"/>
        <n v="8.8000000000000007"/>
        <n v="1.7851999999999999"/>
        <n v="6.8136666666666699"/>
        <n v="1.1599999999999999"/>
        <n v="2.71"/>
        <n v="1.86"/>
        <n v="4"/>
        <n v="2.61"/>
        <n v="1.1100000000000001"/>
        <n v="5.6764705882352899"/>
        <n v="7.8392156862745104"/>
        <n v="0.78"/>
        <n v="2.8969999999999998"/>
        <n v="2.33"/>
        <n v="5.0936170212766001"/>
        <n v="1.96"/>
        <n v="3.45"/>
        <n v="6.1576923076923098"/>
        <n v="3.4666666666666699"/>
        <n v="2.75"/>
        <n v="2.6538461538461502"/>
        <n v="3.8239999999999998"/>
        <n v="6.9294117647058799"/>
        <n v="1.66"/>
        <n v="4.4540540540540503"/>
        <n v="1"/>
        <n v="17.54"/>
        <n v="2.7608000000000001"/>
        <n v="3.7783037475345198"/>
        <n v="4.9435215946843902"/>
        <n v="5.4607973421926896"/>
        <n v="7.8724252491694404"/>
        <n v="3.66190476190476"/>
        <n v="2.2200000000000002"/>
        <n v="2.38"/>
        <n v="4.5599999999999996"/>
        <n v="2.16"/>
        <n v="3.6179999999999999"/>
        <n v="4.2220000000000004"/>
        <n v="8.9380000000000006"/>
        <n v="1.19354838709677"/>
        <n v="1.23548387096774"/>
        <n v="1.3"/>
        <n v="3.8263157894736799"/>
        <n v="1.78"/>
        <n v="5.2947368421052596"/>
        <n v="1.7148514851485099"/>
        <n v="2.0811881188118799"/>
        <n v="2.33217821782178"/>
        <n v="0.7"/>
        <n v="13.76"/>
        <n v="14.07"/>
        <n v="3.22"/>
        <n v="1.9379999999999999"/>
        <n v="5.117"/>
        <n v="4.9742574257425698"/>
        <n v="4.07"/>
        <n v="2.8559999999999999"/>
        <n v="3.1225806451612899"/>
        <n v="2.83"/>
        <n v="8.6196078431372491"/>
        <n v="16.28"/>
        <n v="0.42"/>
        <n v="1.6"/>
        <n v="13.59"/>
        <n v="2.7197183098591502"/>
        <n v="1.69"/>
        <n v="2.39387755102041"/>
        <n v="3.1354166666666701"/>
        <n v="5.3849999999999998"/>
        <n v="8.5882352941176503"/>
        <n v="3.7281553398058298"/>
        <n v="3.4520833333333298"/>
        <n v="2.54117647058824"/>
        <n v="7.2"/>
        <n v="2.1949999999999998"/>
        <n v="2.37307692307692"/>
        <n v="3.09607843137255"/>
        <n v="1.74"/>
        <n v="2.4500000000000002"/>
        <n v="1.88"/>
        <n v="29.57"/>
        <n v="4.5619047619047599"/>
        <n v="1.98367346938776"/>
        <n v="2.87254901960784"/>
        <n v="2.4603896103896101"/>
        <n v="14.14"/>
        <n v="1.385"/>
        <n v="1.4183673469387801"/>
        <n v="1.5180327868852499"/>
        <n v="2.2999999999999998"/>
        <n v="1.69384615384615"/>
        <n v="1.79019607843137"/>
        <n v="3.9780000000000002"/>
        <n v="4.49"/>
        <n v="5.3823529411764701"/>
        <n v="6.26"/>
        <n v="9.5318840579710091"/>
        <n v="1.84801587301587"/>
        <n v="2.8692307692307701"/>
        <n v="2.9627450980392198"/>
        <n v="1.9554455445544601"/>
        <n v="4.7414634146341497"/>
        <n v="2.1800000000000002"/>
        <n v="2.5"/>
        <n v="5.94"/>
        <n v="1.84516129032258"/>
        <n v="1.9366666666666701"/>
        <n v="2.02"/>
        <n v="4.13"/>
        <n v="5.48"/>
        <n v="2.0499999999999998"/>
        <n v="2.74"/>
        <n v="0.3"/>
        <n v="1.58"/>
        <n v="1.4339869281045801"/>
        <n v="1.49"/>
        <n v="1.82"/>
        <n v="4.8"/>
        <n v="3.6971751412429401"/>
        <n v="5.23"/>
        <n v="2.56"/>
        <n v="13.03"/>
        <n v="2.7291666666666701"/>
        <n v="5.79"/>
        <n v="4.0199999999999996"/>
        <n v="3.2"/>
        <n v="2.0642201834862401"/>
        <n v="4.5990000000000002"/>
        <n v="1.4464999999999999"/>
        <n v="2.0842105263157902"/>
        <n v="2.2039215686274498"/>
        <n v="1.5760000000000001"/>
        <n v="1.625"/>
        <n v="2.34"/>
        <n v="1.84313725490196"/>
        <n v="2.77"/>
        <n v="1.3839999999999999"/>
        <n v="1.42745098039216"/>
        <n v="1.5333333333333301"/>
        <n v="2.15"/>
        <n v="1.4"/>
        <n v="1.471875"/>
        <n v="1.54193548387097"/>
        <n v="3.1891089108910902"/>
        <n v="2.27"/>
        <n v="5.6520000000000001"/>
        <n v="3.3647058823529399"/>
        <n v="4.6287128712871297"/>
        <n v="5.6"/>
        <n v="4.78"/>
        <n v="2.97"/>
        <n v="14.61"/>
        <n v="5.1100000000000003"/>
        <n v="5.8"/>
        <n v="6.75"/>
        <n v="5.04"/>
        <n v="5.55"/>
        <n v="6.18"/>
        <n v="2.6571428571428601"/>
        <n v="19.86"/>
        <n v="12.48"/>
        <n v="12.2"/>
        <n v="4.0999999999999996"/>
        <n v="12.6"/>
        <n v="7.1"/>
        <n v="0.9"/>
        <n v="1.63"/>
        <n v="1.64"/>
        <n v="1.05"/>
        <n v="9.5"/>
        <n v="14"/>
        <n v="0.68"/>
        <n v="3.1"/>
        <n v="4.29"/>
        <n v="6.73"/>
        <n v="5.39"/>
        <n v="9.27"/>
        <n v="2.65"/>
        <n v="1.37"/>
        <n v="0.99"/>
        <n v="2.1659999999999999"/>
        <n v="1.9"/>
        <n v="6.7"/>
        <n v="2.6"/>
        <n v="3"/>
        <n v="1.7"/>
        <n v="1.1000000000000001"/>
        <n v="3.488"/>
        <n v="2.2000000000000002"/>
        <n v="4.4000000000000004"/>
        <n v="2.4"/>
        <n v="4.3"/>
        <n v="3.1294117647058801"/>
        <n v="2.0009803921568601"/>
        <n v="3.2775510204081599"/>
        <n v="2.8"/>
        <n v="2.7"/>
        <n v="3.4"/>
        <n v="4.5999999999999996"/>
        <n v="3.6"/>
        <n v="3.7"/>
        <n v="2.9"/>
        <n v="6.6950000000000003"/>
        <n v="3.3"/>
        <n v="5.2"/>
        <n v="3.9"/>
        <n v="5"/>
        <n v="3.65"/>
        <n v="5.5"/>
        <n v="1.26"/>
        <n v="1.22"/>
        <n v="1.0669999999999999"/>
        <n v="4.1851485148514804"/>
        <n v="1.35961538461538"/>
        <n v="0.97"/>
        <n v="1.1499999999999999"/>
        <n v="12.7"/>
        <n v="15.5"/>
        <n v="2.81"/>
        <n v="5.6041176470588203"/>
        <n v="0.81"/>
        <n v="1.33"/>
        <n v="1.72"/>
        <n v="3.19"/>
        <n v="5.31"/>
        <n v="5.71"/>
        <n v="6.32"/>
        <n v="23.65"/>
        <n v="3.61"/>
        <n v="20.329999999999998"/>
        <n v="29.18"/>
        <n v="5.45"/>
        <n v="6.12"/>
        <n v="18.23"/>
        <n v="0.35"/>
        <n v="0.46"/>
        <n v="0.25"/>
        <n v="0.41"/>
        <n v="0.24"/>
        <n v="0.45"/>
        <n v="17.82"/>
        <n v="12.1"/>
        <n v="17.02"/>
        <n v="1.07"/>
        <n v="2.35"/>
        <n v="0.74"/>
        <n v="1.54"/>
        <n v="2.92"/>
        <n v="6.4"/>
        <n v="2.1"/>
        <n v="0.6"/>
        <n v="0.89"/>
        <n v="5.65"/>
        <n v="6.29"/>
        <n v="3.11"/>
        <n v="1.43"/>
        <n v="3.05"/>
        <n v="3.53"/>
        <n v="17.940000000000001"/>
        <n v="23.37"/>
        <n v="3.74"/>
        <n v="2.0699999999999998"/>
        <n v="1.17"/>
        <n v="1.47"/>
        <n v="1.55"/>
        <n v="1.35"/>
        <n v="4.0599999999999996"/>
        <n v="6.61"/>
        <n v="7.01"/>
        <n v="9.11"/>
        <n v="7.81"/>
        <n v="2.37"/>
        <n v="2.62"/>
        <n v="10"/>
        <n v="1.23"/>
        <n v="2.31"/>
        <n v="3.13"/>
        <n v="2.04"/>
        <n v="2.06"/>
        <n v="2.11"/>
        <n v="1.94"/>
        <n v="7.07"/>
        <n v="3.07"/>
        <n v="2.95"/>
        <n v="2.73"/>
        <n v="1.85"/>
        <n v="2.21"/>
        <n v="1.48"/>
        <n v="3.93"/>
        <n v="1.48316831683168"/>
        <n v="3.0677631578947402"/>
        <n v="2.7440000000000002"/>
        <n v="6.65"/>
        <n v="6.37"/>
        <n v="4.01"/>
        <n v="2.93"/>
        <n v="9.94"/>
        <n v="20"/>
        <n v="4.0571428571428596"/>
        <n v="6.17"/>
        <n v="6.23"/>
        <n v="0.76"/>
        <n v="1.0900000000000001"/>
        <n v="4.6500000000000004"/>
        <n v="4.66"/>
        <n v="4.8899999999999997"/>
        <n v="15.46"/>
        <n v="3.1219999999999999"/>
        <n v="9.5950000000000006"/>
        <n v="6.2"/>
        <n v="8.5500000000000007"/>
        <n v="6.85"/>
        <n v="4.26"/>
        <n v="3.77"/>
        <n v="7.26"/>
        <n v="2.14"/>
        <n v="6.1"/>
        <n v="18.440000000000001"/>
        <n v="8.66"/>
        <n v="6.69"/>
        <n v="8.9"/>
        <n v="22.18"/>
        <n v="14.13"/>
        <n v="0.32"/>
        <n v="0.28999999999999998"/>
        <n v="0.26"/>
        <n v="0.44"/>
        <n v="0.39"/>
        <n v="1.67"/>
        <n v="3.44"/>
        <n v="2.5150000000000001"/>
        <n v="3.78"/>
        <n v="3.08"/>
        <n v="1.79"/>
        <n v="1.93"/>
        <n v="1.95"/>
        <n v="2.5894736842105299"/>
        <n v="4.2807692307692298"/>
        <n v="1.9117647058823499"/>
        <n v="3.35"/>
        <n v="0.72"/>
        <n v="1.56"/>
        <n v="2.0299999999999998"/>
        <n v="2.09"/>
        <n v="2.4900000000000002"/>
        <n v="2.79"/>
        <n v="1.31"/>
        <n v="1.59"/>
        <n v="33.31"/>
        <n v="0.98"/>
        <n v="4.3499999999999996"/>
        <n v="0.93"/>
        <n v="1.76"/>
        <n v="1.08"/>
        <n v="2.12"/>
        <n v="1.84"/>
        <n v="4.28"/>
        <n v="3.04"/>
        <n v="2.68"/>
        <n v="0"/>
        <n v="0.53"/>
        <n v="1.1399999999999999"/>
        <n v="1.61"/>
        <n v="0.62"/>
        <n v="1.81"/>
        <n v="2.5099999999999998"/>
        <n v="5.17"/>
        <n v="0.85"/>
        <n v="3.68"/>
        <n v="3.49"/>
        <n v="6.01"/>
        <n v="7.42"/>
        <n v="1.91"/>
        <n v="5.03"/>
        <n v="4.03"/>
        <n v="1.68"/>
        <n v="6.54"/>
        <n v="0.86"/>
        <n v="0.87"/>
        <n v="1.51"/>
        <n v="2.13"/>
        <n v="0.96"/>
        <n v="1.21"/>
        <n v="10.7"/>
        <n v="11.76"/>
        <n v="2.46"/>
        <n v="14.16"/>
        <n v="34.56"/>
        <n v="3.51"/>
        <n v="12.73"/>
        <n v="2.89"/>
        <n v="23.61"/>
        <n v="25.59"/>
        <n v="4.62"/>
        <n v="9.9600000000000009"/>
        <n v="1.32"/>
        <n v="8.6300000000000008"/>
        <n v="9.34"/>
        <n v="14.11"/>
        <n v="18.989999999999998"/>
        <n v="1.38"/>
        <n v="2.5499999999999998"/>
        <n v="2.4300000000000002"/>
        <n v="1.57"/>
        <n v="13.97"/>
        <n v="3.16"/>
        <n v="1.02"/>
        <n v="0.83"/>
        <n v="1.6279999999999999"/>
        <n v="1.744"/>
        <n v="1.806"/>
        <n v="0.8"/>
        <n v="0.38"/>
        <n v="3.23"/>
        <n v="3.33"/>
        <n v="3.38"/>
        <n v="3.42"/>
        <n v="3.55"/>
        <n v="3.63"/>
        <n v="0.88"/>
        <n v="0.6179"/>
        <n v="0.67330000000000001"/>
        <n v="0.74250000000000005"/>
        <n v="0.67079999999999995"/>
        <n v="0.73229999999999995"/>
        <n v="0.80910000000000004"/>
        <n v="0.67390000000000005"/>
        <n v="0.73570000000000002"/>
        <n v="0.81299999999999994"/>
        <n v="0.73"/>
        <n v="0.57999999999999996"/>
        <n v="1.45"/>
        <n v="0.56999999999999995"/>
        <n v="0.55000000000000004"/>
        <n v="0.75"/>
        <n v="6.25"/>
        <n v="0.08" u="1"/>
        <n v="0.2" u="1"/>
      </sharedItems>
    </cacheField>
    <cacheField name="UNIT_x000a_VALUE" numFmtId="2">
      <sharedItems containsSemiMixedTypes="0" containsString="0" containsNumber="1" minValue="7.0499999999999993E-2" maxValue="140.32079999999999"/>
    </cacheField>
    <cacheField name="Metal" numFmtId="2">
      <sharedItems/>
    </cacheField>
    <cacheField name="Item Type" numFmtId="0">
      <sharedItems/>
    </cacheField>
    <cacheField name="EU HS Code" numFmtId="0">
      <sharedItems count="2">
        <s v="7113.11.00"/>
        <s v=" 7113.19.00"/>
      </sharedItems>
    </cacheField>
    <cacheField name="CA HS Code" numFmtId="0">
      <sharedItems/>
    </cacheField>
    <cacheField name="AU HS Code" numFmtId="0">
      <sharedItems/>
    </cacheField>
    <cacheField name="US HS CODE" numFmtId="0">
      <sharedItems/>
    </cacheField>
    <cacheField name="GOODS DESCRIPTION" numFmtId="0">
      <sharedItems/>
    </cacheField>
    <cacheField name="UNIT_x000a_VALUE EUR" numFmtId="2">
      <sharedItems containsSemiMixedTypes="0" containsString="0" containsNumber="1" minValue="8.0025880710357392E-2" maxValue="159.28078868059455"/>
    </cacheField>
    <cacheField name="UNIT_x000a_VALUE USD" numFmtId="2">
      <sharedItems containsSemiMixedTypes="0" containsString="0" containsNumber="1" minValue="9.6643787449467625E-2" maxValue="192.35650453814549"/>
    </cacheField>
    <cacheField name="UNIT_x000a_VALUE CAD" numFmtId="2">
      <sharedItems containsSemiMixedTypes="0" containsString="0" containsNumber="1" minValue="0.1237096035502024" maxValue="246.2273835155637"/>
    </cacheField>
    <cacheField name="UNIT_x000a_VALUE AUD" numFmtId="2">
      <sharedItems containsSemiMixedTypes="0" containsString="0" containsNumber="1" minValue="0.12662547596810114" maxValue="252.03103671240746"/>
    </cacheField>
    <cacheField name="Quantity" numFmtId="0">
      <sharedItems containsSemiMixedTypes="0" containsString="0" containsNumber="1" containsInteger="1" minValue="0" maxValue="500000" count="32">
        <n v="10"/>
        <n v="200"/>
        <n v="0"/>
        <n v="100"/>
        <n v="60"/>
        <n v="15"/>
        <n v="25"/>
        <n v="20"/>
        <n v="30"/>
        <n v="5"/>
        <n v="50"/>
        <n v="80"/>
        <n v="40"/>
        <n v="500"/>
        <n v="2"/>
        <n v="600" u="1"/>
        <n v="501" u="1"/>
        <n v="500000" u="1"/>
        <n v="5000" u="1"/>
        <n v="70" u="1"/>
        <n v="95" u="1"/>
        <n v="6" u="1"/>
        <n v="300" u="1"/>
        <n v="400" u="1"/>
        <n v="35" u="1"/>
        <n v="3" u="1"/>
        <n v="8" u="1"/>
        <n v="45" u="1"/>
        <n v="10000" u="1"/>
        <n v="4" u="1"/>
        <n v="12" u="1"/>
        <n v="55" u="1"/>
      </sharedItems>
    </cacheField>
    <cacheField name="Description for New Invoice" numFmtId="0">
      <sharedItems count="94">
        <s v="925 Silver Chain"/>
        <s v="925 Silver Earrings"/>
        <s v="925 Silver Anklet"/>
        <s v="925 Silver Bracelet"/>
        <s v="925 Silver Pendant"/>
        <s v="925 Silver Locket"/>
        <s v="925 Silver Extender"/>
        <s v="9K Gold Earrings"/>
        <s v="925 Silver Ring"/>
        <s v="925 Silver Pin"/>
        <s v="9K Gold Chain"/>
        <s v="925 Silver Toe Ring"/>
        <s v="9K Gold Bracelet"/>
        <s v="925 Silver "/>
        <s v="9K Gold "/>
        <s v="9K Gold Pendant"/>
        <s v=" "/>
        <s v="2.4 3.1762" u="1"/>
        <s v=" none multiple tags 3.5" u="1"/>
        <s v="0 0.0705" u="1"/>
        <s v="2.7 3.5595" u="1"/>
        <s v=" no beads  2.7" u="1"/>
        <s v="10k Gold Earrings" u="1"/>
        <s v=" rings  3.7" u="1"/>
        <s v="10k Gold " u="1"/>
        <s v=" with beads  2" u="1"/>
        <s v=" none multiple tags 3.4" u="1"/>
        <s v=" none 5 lines 3.3" u="1"/>
        <s v="2.35 4.09" u="1"/>
        <s v=" none 5 lines 4" u="1"/>
        <s v=" rings  3.8" u="1"/>
        <s v=" none multiple tags 3.3" u="1"/>
        <s v=" Big Gap 0.26" u="1"/>
        <s v=" none multiple tags 4.8" u="1"/>
        <s v="10k Gold Chain" u="1"/>
        <s v=" with beads  3" u="1"/>
        <s v="2.1543 925 Silver" u="1"/>
        <s v="925 Silver Bangle" u="1"/>
        <s v=" none multiple tags 2.7" u="1"/>
        <s v=" none multiple tags 3.2" u="1"/>
        <s v="2.6653 925 Silver" u="1"/>
        <s v=" none multiple tags 5.2" u="1"/>
        <s v=" rings multiple tags 3.9" u="1"/>
        <s v=" with beads  2.3" u="1"/>
        <s v="0.32 0.8693" u="1"/>
        <s v=" Big Gap 0.29" u="1"/>
        <s v=" none multiple tags 2.6" u="1"/>
        <s v=" with beads  2.8" u="1"/>
        <s v=" rings multiple tags 3.2" u="1"/>
        <s v="1.74 3.1976" u="1"/>
        <s v=" with beads  1.9" u="1"/>
        <s v=" rings multiple tags 2.8" u="1"/>
        <s v="5.9865 925 Silver" u="1"/>
        <s v=" rings multiple tags 3.8" u="1"/>
        <s v=" none multiple tags 5" u="1"/>
        <s v="925 Silver Chain Extender" u="1"/>
        <s v=" no beads  2.4" u="1"/>
        <s v="0.8693 925 Silver" u="1"/>
        <s v=" with beads  2.4" u="1"/>
        <s v="3 3.9427" u="1"/>
        <s v="0.6503 925 Silver" u="1"/>
        <s v=" rings multiple tags 3.1" u="1"/>
        <s v="925 Silver necklace" u="1"/>
        <s v=" with beads  2.9" u="1"/>
        <s v=" rings multiple tags 2.7" u="1"/>
        <s v="0.29 0.8693" u="1"/>
        <s v="5.502 925 Silver" u="1"/>
        <s v=" 925 Silver" u="1"/>
        <s v="1.8988 925 Silver" u="1"/>
        <s v=" no beads  2.5" u="1"/>
        <s v=" Big Circles  4.3" u="1"/>
        <s v="925 Silver 925 Silver" u="1"/>
        <s v="3.304 925 Silver" u="1"/>
        <s v=" with beads  2.5" u="1"/>
        <s v=" rings multiple tags 2.6" u="1"/>
        <s v="925 Silver chai" u="1"/>
        <s v="4.7091 925 Silver" u="1"/>
        <s v=" stylish 3.8" u="1"/>
        <s v=" none 5 lines 4.1" u="1"/>
        <s v=" Ring multiple tags 4.1" u="1"/>
        <s v="2.4098 925 Silver" u="1"/>
        <s v=" no beads  2.6" u="1"/>
        <s v="5.2201 925 Silver" u="1"/>
        <s v="0.0705 " u="1"/>
        <s v="2.8 3.6872" u="1"/>
        <s v="3.8546 925 Silver" u="1"/>
        <s v=" Ring multiple tags 4" u="1"/>
        <s v=" none multiple tags 3.6" u="1"/>
        <s v=" none 5 lines 3" u="1"/>
        <s v="10k Gold bracelet" u="1"/>
        <s v="1.0478 925 Silver" u="1"/>
        <s v="4.5814 925 Silver" u="1"/>
        <s v="2.8062 925 Silver" u="1"/>
        <s v=" with beads  2.6" u="1"/>
      </sharedItems>
    </cacheField>
    <cacheField name="TOTAL WEIGHT" numFmtId="2">
      <sharedItems containsSemiMixedTypes="0" containsString="0" containsNumber="1" minValue="0" maxValue="2227027.0270270254" count="1070">
        <n v="15"/>
        <n v="240"/>
        <n v="0"/>
        <n v="183"/>
        <n v="153"/>
        <n v="136"/>
        <n v="165"/>
        <n v="89.529411764705998"/>
        <n v="183.481012658228"/>
        <n v="27"/>
        <n v="59.1265060240965"/>
        <n v="12.8"/>
        <n v="26.785714285714349"/>
        <n v="58.7843137254903"/>
        <n v="45.254901960784402"/>
        <n v="11.735294117647051"/>
        <n v="139.73333333333352"/>
        <n v="216.5691699604744"/>
        <n v="326.06232294617598"/>
        <n v="176"/>
        <n v="35.704000000000001"/>
        <n v="40"/>
        <n v="27.900000000000002"/>
        <n v="160"/>
        <n v="55.500000000000007"/>
        <n v="50.941176470588196"/>
        <n v="28.38235294117645"/>
        <n v="44.400000000000006"/>
        <n v="14.484999999999999"/>
        <n v="34.950000000000003"/>
        <n v="101.872340425532"/>
        <n v="555"/>
        <n v="19.600000000000001"/>
        <n v="86.25"/>
        <n v="92.365384615384642"/>
        <n v="34.6666666666667"/>
        <n v="41.25"/>
        <n v="53.076923076923002"/>
        <n v="24.9"/>
        <n v="22.270270270270252"/>
        <n v="25"/>
        <n v="55.216000000000001"/>
        <n v="56.674556213017794"/>
        <n v="222.00000000000003"/>
        <n v="113.99999999999999"/>
        <n v="32.400000000000006"/>
        <n v="36.18"/>
        <n v="53.4"/>
        <n v="105.89473684210519"/>
        <n v="11.660891089108901"/>
        <n v="38.76"/>
        <n v="102.34"/>
        <n v="124.35643564356424"/>
        <n v="28.56"/>
        <n v="11.55445544554455"/>
        <n v="132"/>
        <n v="6.3"/>
        <n v="16"/>
        <n v="27.197183098591502"/>
        <n v="10.22115384615385"/>
        <n v="23.938775510204099"/>
        <n v="47.03125000000005"/>
        <n v="26.924999999999997"/>
        <n v="257.64705882352951"/>
        <n v="18.64077669902915"/>
        <n v="86.302083333333243"/>
        <n v="12.705882352941201"/>
        <n v="8.6999999999999993"/>
        <n v="12.25"/>
        <n v="45.619047619047599"/>
        <n v="39.673469387755198"/>
        <n v="24.603896103896101"/>
        <n v="49.199999999999996"/>
        <n v="84.692307692307494"/>
        <n v="17.901960784313701"/>
        <n v="187.79999999999998"/>
        <n v="46.200396825396751"/>
        <n v="48.886138613861505"/>
        <n v="71.121951219512241"/>
        <n v="21.8"/>
        <n v="28.3"/>
        <n v="20.5"/>
        <n v="1.5"/>
        <n v="7.9"/>
        <n v="29.8"/>
        <n v="24"/>
        <n v="38.4"/>
        <n v="65.149999999999991"/>
        <n v="123.8532110091744"/>
        <n v="63.176470588235404"/>
        <n v="32.799999999999997"/>
        <n v="45.99"/>
        <n v="21.6"/>
        <n v="72.6666666666666"/>
        <n v="13.85"/>
        <n v="10.75"/>
        <n v="22.7"/>
        <n v="56.52"/>
        <n v="23.143564356435647"/>
        <n v="28"/>
        <n v="23.900000000000002"/>
        <n v="73.05"/>
        <n v="53.142857142857203"/>
        <n v="35.5"/>
        <n v="8.1499999999999986"/>
        <n v="3.4000000000000004"/>
        <n v="46.349999999999994"/>
        <n v="13.25"/>
        <n v="13.700000000000001"/>
        <n v="8"/>
        <n v="67.300000000000011"/>
        <n v="4.95"/>
        <n v="17.440000000000001"/>
        <n v="31.823529411764699"/>
        <n v="27.7"/>
        <n v="21.5"/>
        <n v="100.04901960784301"/>
        <n v="16.387755102040799"/>
        <n v="33.475000000000001"/>
        <n v="95.318840579710098"/>
        <n v="13.596153846153801"/>
        <n v="84.3"/>
        <n v="28.020588235294102"/>
        <n v="4.0500000000000007"/>
        <n v="14.2"/>
        <n v="30"/>
        <n v="45"/>
        <n v="118.25"/>
        <n v="72.2"/>
        <n v="37.5"/>
        <n v="18"/>
        <n v="60.5"/>
        <n v="63.5"/>
        <n v="16.05"/>
        <n v="58.75"/>
        <n v="64"/>
        <n v="3.7"/>
        <n v="27.5"/>
        <n v="31.099999999999998"/>
        <n v="22.3"/>
        <n v="12.5"/>
        <n v="15.25"/>
        <n v="17"/>
        <n v="18.700000000000003"/>
        <n v="10.35"/>
        <n v="5.85"/>
        <n v="13.5"/>
        <n v="50"/>
        <n v="8.9"/>
        <n v="28.7254901960784"/>
        <n v="14.2920792079208"/>
        <n v="16.843137254902"/>
        <n v="19"/>
        <n v="20.794117647058851"/>
        <n v="29.663366336633601"/>
        <n v="49.699999999999996"/>
        <n v="100"/>
        <n v="81.142857142857196"/>
        <n v="47.975000000000001"/>
        <n v="9.75"/>
        <n v="21.40384615384615"/>
        <n v="38.235294117647001"/>
        <n v="33.5"/>
        <n v="20"/>
        <n v="5"/>
        <n v="6.5500000000000007"/>
        <n v="9.5"/>
        <n v="4.8499999999999996"/>
        <n v="6.65"/>
        <n v="7"/>
        <n v="10.600000000000001"/>
        <n v="9.2000000000000011"/>
        <n v="10.9"/>
        <n v="5.6999999999999993"/>
        <n v="10.5"/>
        <n v="13"/>
        <n v="17.450000000000003"/>
        <n v="6.05"/>
        <n v="17.549999999999997"/>
        <n v="14.450000000000001"/>
        <n v="118.05"/>
        <n v="127.95"/>
        <n v="55.199999999999996"/>
        <n v="8.9499999999999993"/>
        <n v="17.649999999999999"/>
        <n v="12.75"/>
        <n v="6.75"/>
        <n v="69.850000000000009"/>
        <n v="10"/>
        <n v="4"/>
        <n v="2.34"/>
        <n v="445.40540540540502" u="1"/>
        <n v="19.6555" u="1"/>
        <n v="370.63157894736815" u="1"/>
        <n v="1.75" u="1"/>
        <n v="57.1965" u="1"/>
        <n v="133.6216216216215" u="1"/>
        <n v="15.988" u="1"/>
        <n v="29.982000000000003" u="1"/>
        <n v="5.7" u="1"/>
        <n v="21.299999999999997" u="1"/>
        <n v="53.9" u="1"/>
        <n v="9.8000000000000007" u="1"/>
        <n v="174" u="1"/>
        <n v="356.55319148936201" u="1"/>
        <n v="19.836734693877599" u="1"/>
        <n v="583" u="1"/>
        <n v="173.137254901961" u="1"/>
        <n v="56.764705882352899" u="1"/>
        <n v="25.468085106383" u="1"/>
        <n v="50.470588235294102" u="1"/>
        <n v="23" u="1"/>
        <n v="11.825301204819301" u="1"/>
        <n v="3.58" u="1"/>
        <n v="287.25490196078403" u="1"/>
        <n v="71.2" u="1"/>
        <n v="40.324999999999996" u="1"/>
        <n v="83.322000000000003" u="1"/>
        <n v="223" u="1"/>
        <n v="36.960317460317398" u="1"/>
        <n v="369.46153846153857" u="1"/>
        <n v="28.4" u="1"/>
        <n v="2.9843137254902001" u="1"/>
        <n v="101.88235294117639" u="1"/>
        <n v="11.047499999999999" u="1"/>
        <n v="7.7519999999999998" u="1"/>
        <n v="8.0404999999999998" u="1"/>
        <n v="59.5102040816328" u="1"/>
        <n v="78" u="1"/>
        <n v="280.64159999999998" u="1"/>
        <n v="8.1591549295774506" u="1"/>
        <n v="3.33" u="1"/>
        <n v="3.62" u="1"/>
        <n v="58.664999999999999" u="1"/>
        <n v="19.56373937677056" u="1"/>
        <n v="132.69230769230751" u="1"/>
        <n v="207" u="1"/>
        <n v="472.35294117647078" u="1"/>
        <n v="110.68627450980399" u="1"/>
        <n v="15.16666666666665" u="1"/>
        <n v="23.216000000000001" u="1"/>
        <n v="57.450980392156801" u="1"/>
        <n v="75.566074950690393" u="1"/>
        <n v="22.039215686274499" u="1"/>
        <n v="87.699999999999989" u="1"/>
        <n v="4.2" u="1"/>
        <n v="15.649999999999999" u="1"/>
        <n v="204.42307692307699" u="1"/>
        <n v="13.598591549295751" u="1"/>
        <n v="562.79999999999995" u="1"/>
        <n v="7.4" u="1"/>
        <n v="28.1" u="1"/>
        <n v="21.717499999999998" u="1"/>
        <n v="48.423076923076998" u="1"/>
        <n v="3.5703999999999998" u="1"/>
        <n v="19.438500000000001" u="1"/>
        <n v="9.0300000000000011" u="1"/>
        <n v="5.5500000000000007" u="1"/>
        <n v="20.7" u="1"/>
        <n v="13.301499999999999" u="1"/>
        <n v="198.79999999999998" u="1"/>
        <n v="11.184466019417489" u="1"/>
        <n v="22.846000000000004" u="1"/>
        <n v="53.424999999999997" u="1"/>
        <n v="23.034500000000001" u="1"/>
        <n v="63" u="1"/>
        <n v="285.95652173913027" u="1"/>
        <n v="54.15" u="1"/>
        <n v="85.882352941176507" u="1"/>
        <n v="14.65" u="1"/>
        <n v="23.108910891089099" u="1"/>
        <n v="6.8999999999999995" u="1"/>
        <n v="8.7200000000000006" u="1"/>
        <n v="14.78412698412696" u="1"/>
        <n v="265.97199999999998" u="1"/>
        <n v="13.959999999999999" u="1"/>
        <n v="20.825499999999998" u="1"/>
        <n v="68.8" u="1"/>
        <n v="71.7" u="1"/>
        <n v="15.5" u="1"/>
        <n v="166.55" u="1"/>
        <n v="3.5999999999999996" u="1"/>
        <n v="3.6" u="1"/>
        <n v="120.05800000000001" u="1"/>
        <n v="7.86" u="1"/>
        <n v="6.4" u="1"/>
        <n v="134.625" u="1"/>
        <n v="35.35" u="1"/>
        <n v="240.05600000000001" u="1"/>
        <n v="97.215000000000003" u="1"/>
        <n v="111.00000000000001" u="1"/>
        <n v="214.70588235294125" u="1"/>
        <n v="23.961000000000002" u="1"/>
        <n v="123.01948051948051" u="1"/>
        <n v="298.43137254902001" u="1"/>
        <n v="1" u="1"/>
        <n v="55.000000000000007" u="1"/>
        <n v="47.599999999999994" u="1"/>
        <n v="62.511000000000003" u="1"/>
        <n v="208.0000000000002" u="1"/>
        <n v="232.35999999999999" u="1"/>
        <n v="8.4215686274510002" u="1"/>
        <n v="145.9" u="1"/>
        <n v="7.4158415841584002" u="1"/>
        <n v="18.400000000000002" u="1"/>
        <n v="63.305999999999997" u="1"/>
        <n v="22270.270270270252" u="1"/>
        <n v="20.009803921568601" u="1"/>
        <n v="132.24" u="1"/>
        <n v="70.262999999999991" u="1"/>
        <n v="53.823529411764703" u="1"/>
        <n v="42.15" u="1"/>
        <n v="148.77000000000001" u="1"/>
        <n v="720" u="1"/>
        <n v="33.300000000000004" u="1"/>
        <n v="43.6" u="1"/>
        <n v="239.38775510204101" u="1"/>
        <n v="7.44" u="1"/>
        <n v="68.581699346405344" u="1"/>
        <n v="28.26" u="1"/>
        <n v="52.949999999999996" u="1"/>
        <n v="68.147058823529349" u="1"/>
        <n v="37.891500000000001" u="1"/>
        <n v="222.70270270270251" u="1"/>
        <n v="80.735294117647058" u="1"/>
        <n v="45.898000000000003" u="1"/>
        <n v="1.26" u="1"/>
        <n v="18.044499999999999" u="1"/>
        <n v="69.02000000000001" u="1"/>
        <n v="15.077999999999999" u="1"/>
        <n v="47" u="1"/>
        <n v="48.986928104575249" u="1"/>
        <n v="39.6" u="1"/>
        <n v="104.56" u="1"/>
        <n v="26.95" u="1"/>
        <n v="4.0019607843137202" u="1"/>
        <n v="23.517647058823531" u="1"/>
        <n v="9.9183673469387994" u="1"/>
        <n v="70.75" u="1"/>
        <n v="34.763999999999996" u="1"/>
        <n v="184.31372549019599" u="1"/>
        <n v="11.5" u="1"/>
        <n v="43" u="1"/>
        <n v="19.779500000000002" u="1"/>
        <n v="71.428571428571601" u="1"/>
        <n v="99.485148514851403" u="1"/>
        <n v="9.65" u="1"/>
        <n v="57.94" u="1"/>
        <n v="357.14285714285802" u="1"/>
        <n v="102.8505" u="1"/>
        <n v="4.4000000000000004" u="1"/>
        <n v="18.480158730158699" u="1"/>
        <n v="46.664015904572608" u="1"/>
        <n v="4.59" u="1"/>
        <n v="195.98039215686276" u="1"/>
        <n v="30.788461538461547" u="1"/>
        <n v="9.9634999999999998" u="1"/>
        <n v="29.7551020408164" u="1"/>
        <n v="39" u="1"/>
        <n v="11.66" u="1"/>
        <n v="100.60000000000001" u="1"/>
        <n v="455" u="1"/>
        <n v="2.64" u="1"/>
        <n v="9.1199999999999992" u="1"/>
        <n v="63.529411764705998" u="1"/>
        <n v="13.2" u="1"/>
        <n v="23.3475" u="1"/>
        <n v="54.142292490118599" u="1"/>
        <n v="244.06" u="1"/>
        <n v="37.783037475345196" u="1"/>
        <n v="46.941176470588204" u="1"/>
        <n v="11.01960784313725" u="1"/>
        <n v="128" u="1"/>
        <n v="2.0999999999999996" u="1"/>
        <n v="9.1549999999999994" u="1"/>
        <n v="2.1" u="1"/>
        <n v="4.8600000000000003" u="1"/>
        <n v="111.136" u="1"/>
        <n v="14.05" u="1"/>
        <n v="69.996023856858912" u="1"/>
        <n v="279.46666666666704" u="1"/>
        <n v="24.211538461538499" u="1"/>
        <n v="242" u="1"/>
        <n v="39.78" u="1"/>
        <n v="660" u="1"/>
        <n v="198.367346938776" u="1"/>
        <n v="99.399999999999991" u="1"/>
        <n v="36.862745098039198" u="1"/>
        <n v="13.269230769230751" u="1"/>
        <n v="8.5" u="1"/>
        <n v="27.074999999999999" u="1"/>
        <n v="120" u="1"/>
        <n v="42.941176470588253" u="1"/>
        <n v="1.56" u="1"/>
        <n v="22.382352941176499" u="1"/>
        <n v="69.947499999999991" u="1"/>
        <n v="13.049999999999999" u="1"/>
        <n v="18.260000000000002" u="1"/>
        <n v="59.5" u="1"/>
        <n v="205.82749999999999" u="1"/>
        <n v="38.941176470588196" u="1"/>
        <n v="7.75" u="1"/>
        <n v="40.838000000000001" u="1"/>
        <n v="43.32" u="1"/>
        <n v="156.78431372549022" u="1"/>
        <n v="3.2" u="1"/>
        <n v="4.4399999999999995" u="1"/>
        <n v="111.845" u="1"/>
        <n v="17.675000000000001" u="1"/>
        <n v="7.06" u="1"/>
        <n v="144.72" u="1"/>
        <n v="46.65" u="1"/>
        <n v="10.200000000000001" u="1"/>
        <n v="19.8415" u="1"/>
        <n v="61.938000000000002" u="1"/>
        <n v="118.80000000000001" u="1"/>
        <n v="7.83" u="1"/>
        <n v="44.274509803921596" u="1"/>
        <n v="23.799999999999997" u="1"/>
        <n v="85.686000000000007" u="1"/>
        <n v="33.799999999999997" u="1"/>
        <n v="56.041176470588205" u="1"/>
        <n v="598" u="1"/>
        <n v="35.25" u="1"/>
        <n v="43.098039215686242" u="1"/>
        <n v="96" u="1"/>
        <n v="16.2745098039216" u="1"/>
        <n v="23.409499999999998" u="1"/>
        <n v="27.4925" u="1"/>
        <n v="37.200000000000003" u="1"/>
        <n v="116.44499999999999" u="1"/>
        <n v="6.0600000000000005" u="1"/>
        <n v="8.1999999999999993" u="1"/>
        <n v="30.9" u="1"/>
        <n v="93.203883495145746" u="1"/>
        <n v="117.6" u="1"/>
        <n v="29.137" u="1"/>
        <n v="99.9" u="1"/>
        <n v="11.96938775510205" u="1"/>
        <n v="6.9333333333333398" u="1"/>
        <n v="70.16" u="1"/>
        <n v="27.200000000000003" u="1"/>
        <n v="23.5" u="1"/>
        <n v="13.3705" u="1"/>
        <n v="328" u="1"/>
        <n v="58.3" u="1"/>
        <n v="72.445999999999998" u="1"/>
        <n v="17.313725490196099" u="1"/>
        <n v="52.28" u="1"/>
        <n v="67.6875" u="1"/>
        <n v="100.557" u="1"/>
        <n v="265.71428571428601" u="1"/>
        <n v="45.161290322580598" u="1"/>
        <n v="43.5" u="1"/>
        <n v="162" u="1"/>
        <n v="600" u="1"/>
        <n v="36.1" u="1"/>
        <n v="25.2" u="1"/>
        <n v="27.52" u="1"/>
        <n v="49.742574257425701" u="1"/>
        <n v="1.3" u="1"/>
        <n v="205.2" u="1"/>
        <n v="28.97" u="1"/>
        <n v="178.57142857142901" u="1"/>
        <n v="17.8" u="1"/>
        <n v="28.28" u="1"/>
        <n v="30.6" u="1"/>
        <n v="9.2400793650793496" u="1"/>
        <n v="138.51300000000001" u="1"/>
        <n v="23.332007952286304" u="1"/>
        <n v="7.1" u="1"/>
        <n v="33.205882352941195" u="1"/>
        <n v="39.189542483660198" u="1"/>
        <n v="18.391999999999999" u="1"/>
        <n v="459" u="1"/>
        <n v="11.088095238095221" u="1"/>
        <n v="8.43" u="1"/>
        <n v="25.470588235294098" u="1"/>
        <n v="156.77083333333351" u="1"/>
        <n v="34.049999999999997" u="1"/>
        <n v="732" u="1"/>
        <n v="162.745098039216" u="1"/>
        <n v="537" u="1"/>
        <n v="130" u="1"/>
        <n v="9.9034999999999993" u="1"/>
        <n v="27.0711462450593" u="1"/>
        <n v="47.61" u="1"/>
        <n v="14.3627450980392" u="1"/>
        <n v="27.750499999999999" u="1"/>
        <n v="18.891518737672598" u="1"/>
        <n v="23.52" u="1"/>
        <n v="53.7" u="1"/>
        <n v="51.105769230769248" u="1"/>
        <n v="56.6" u="1"/>
        <n v="140.69999999999999" u="1"/>
        <n v="77.63" u="1"/>
        <n v="49.207792207792203" u="1"/>
        <n v="34.998011928429456" u="1"/>
        <n v="12.105769230769249" u="1"/>
        <n v="186.07843137254901" u="1"/>
        <n v="121" u="1"/>
        <n v="19.89" u="1"/>
        <n v="19.2" u="1"/>
        <n v="70.8" u="1"/>
        <n v="330" u="1"/>
        <n v="10.251999999999999" u="1"/>
        <n v="186.8" u="1"/>
        <n v="4.25" u="1"/>
        <n v="15.75" u="1"/>
        <n v="33.450000000000003" u="1"/>
        <n v="17.13" u="1"/>
        <n v="485.0588235294116" u="1"/>
        <n v="24.599999999999998" u="1"/>
        <n v="19.638500000000001" u="1"/>
        <n v="5.0199999999999996" u="1"/>
        <n v="270.71146245059299" u="1"/>
        <n v="211.78947368421038" u="1"/>
        <n v="292.2" u="1"/>
        <n v="19.470588235294098" u="1"/>
        <n v="23.254999999999999" u="1"/>
        <n v="5.79" u="1"/>
        <n v="21.66" u="1"/>
        <n v="12.9" u="1"/>
        <n v="153.94230769230774" u="1"/>
        <n v="8.129999999999999" u="1"/>
        <n v="473.012048192772" u="1"/>
        <n v="5.0999999999999996" u="1"/>
        <n v="96.727500000000006" u="1"/>
        <n v="154.636" u="1"/>
        <n v="13.75" u="1"/>
        <n v="22.137254901960798" u="1"/>
        <n v="17.555" u="1"/>
        <n v="22.247524752475201" u="1"/>
        <n v="3.28" u="1"/>
        <n v="132.2406311637082" u="1"/>
        <n v="6.64" u="1"/>
        <n v="4.4078431372548996" u="1"/>
        <n v="62.103999999999999" u="1"/>
        <n v="48" u="1"/>
        <n v="180" u="1"/>
        <n v="5.37" u="1"/>
        <n v="10.42105263157895" u="1"/>
        <n v="88.10198300283281" u="1"/>
        <n v="28.14" u="1"/>
        <n v="40.599999999999994" u="1"/>
        <n v="59.846938775510253" u="1"/>
        <n v="8.1372549019607998" u="1"/>
        <n v="68.399999999999991" u="1"/>
        <n v="58.8" u="1"/>
        <n v="14.5685" u="1"/>
        <n v="369.71751412429398" u="1"/>
        <n v="139.04999999999998" u="1"/>
        <n v="11.75" u="1"/>
        <n v="39.857142857142904" u="1"/>
        <n v="29.15" u="1"/>
        <n v="110.60000000000001" u="1"/>
        <n v="9.9" u="1"/>
        <n v="36.6" u="1"/>
        <n v="282.60000000000002" u="1"/>
        <n v="16.599999999999998" u="1"/>
        <n v="17.136499999999998" u="1"/>
        <n v="66.06" u="1"/>
        <n v="7.3943502824858802" u="1"/>
        <n v="54.800000000000004" u="1"/>
        <n v="18.05" u="1"/>
        <n v="12.6" u="1"/>
        <n v="17.8571428571429" u="1"/>
        <n v="24.871287128712851" u="1"/>
        <n v="102.6" u="1"/>
        <n v="84.9" u="1"/>
        <n v="305.61702127659601" u="1"/>
        <n v="10.06" u="1"/>
        <n v="59.58" u="1"/>
        <n v="25.77" u="1"/>
        <n v="88.941176470588402" u="1"/>
        <n v="403.8" u="1"/>
        <n v="21.171000000000003" u="1"/>
        <n v="55.922330097087446" u="1"/>
        <n v="1106" u="1"/>
        <n v="9.8194999999999997" u="1"/>
        <n v="191.2" u="1"/>
        <n v="11.6" u="1"/>
        <n v="13.554500000000001" u="1"/>
        <n v="78.385416666666757" u="1"/>
        <n v="19.805500000000002" u="1"/>
        <n v="99.176470588235247" u="1"/>
        <n v="36" u="1"/>
        <n v="25.150000000000002" u="1"/>
        <n v="7.9499999999999993" u="1"/>
        <n v="366" u="1"/>
        <n v="14.299999999999999" u="1"/>
        <n v="54.2" u="1"/>
        <n v="258.58823529411745" u="1"/>
        <n v="3.3" u="1"/>
        <n v="12.45" u="1"/>
        <n v="15000" u="1"/>
        <n v="5.22" u="1"/>
        <n v="153.0526315789472" u="1"/>
        <n v="19.38" u="1"/>
        <n v="181" u="1"/>
        <n v="154.96078431372558" u="1"/>
        <n v="48.827500000000001" u="1"/>
        <n v="67.294117647058798" u="1"/>
        <n v="32" u="1"/>
        <n v="165.55421686747022" u="1"/>
        <n v="56.098039215686299" u="1"/>
        <n v="70.349999999999994" u="1"/>
        <n v="8.06" u="1"/>
        <n v="13.3" u="1"/>
        <n v="43.454999999999998" u="1"/>
        <n v="50.199999999999996" u="1"/>
        <n v="52.493499999999997" u="1"/>
        <n v="226.274509803922" u="1"/>
        <n v="39.622" u="1"/>
        <n v="53.099999999999994" u="1"/>
        <n v="9.6" u="1"/>
        <n v="49.591836734693999" u="1"/>
        <n v="71.408000000000001" u="1"/>
        <n v="230.26499999999999" u="1"/>
        <n v="12.3" u="1"/>
        <n v="172.8" u="1"/>
        <n v="37.2815533980583" u="1"/>
        <n v="146.1" u="1"/>
        <n v="101.64999999999999" u="1"/>
        <n v="11.6275" u="1"/>
        <n v="13.666" u="1"/>
        <n v="10.83" u="1"/>
        <n v="17.540500000000002" u="1"/>
        <n v="39.196078431372555" u="1"/>
        <n v="400" u="1"/>
        <n v="24.3" u="1"/>
        <n v="73.5" u="1"/>
        <n v="68.905500000000004" u="1"/>
        <n v="62.116" u="1"/>
        <n v="174.09900990098996" u="1"/>
        <n v="7.8000000000000007" u="1"/>
        <n v="26" u="1"/>
        <n v="190.6376811594202" u="1"/>
        <n v="99.45" u="1"/>
        <n v="95.322000000000003" u="1"/>
        <n v="191.31578947368399" u="1"/>
        <n v="14.921568627451" u="1"/>
        <n v="66.95" u="1"/>
        <n v="148.67150000000001" u="1"/>
        <n v="8.4499999999999993" u="1"/>
        <n v="25.901999999999997" u="1"/>
        <n v="3.32" u="1"/>
        <n v="119.60000000000001" u="1"/>
        <n v="40.952500000000001" u="1"/>
        <n v="122.50000000000001" u="1"/>
        <n v="55.294117647058798" u="1"/>
        <n v="94.829268292682997" u="1"/>
        <n v="44.050991501416405" u="1"/>
        <n v="271" u="1"/>
        <n v="8.1399999999999988" u="1"/>
        <n v="9.3000000000000007" u="1"/>
        <n v="25.411764705882401" u="1"/>
        <n v="163.1" u="1"/>
        <n v="440.50991501416405" u="1"/>
        <n v="15.61" u="1"/>
        <n v="93.899999999999991" u="1"/>
        <n v="111.60000000000001" u="1"/>
        <n v="6.8000000000000007" u="1"/>
        <n v="451.61290322580595" u="1"/>
        <n v="22" u="1"/>
        <n v="4.9499999999999993" u="1"/>
        <n v="17.33333333333335" u="1"/>
        <n v="5.3571428571428701" u="1"/>
        <n v="212.10000000000002" u="1"/>
        <n v="76.47999999999999" u="1"/>
        <n v="877" u="1"/>
        <n v="8.2999999999999989" u="1"/>
        <n v="1.9" u="1"/>
        <n v="40.5" u="1"/>
        <n v="150" u="1"/>
        <n v="16.242687747035578" u="1"/>
        <n v="6.3000000000000007" u="1"/>
        <n v="106.5" u="1"/>
        <n v="366.96202531645599" u="1"/>
        <n v="90.25" u="1"/>
        <n v="15.282352941176459" u="1"/>
        <n v="17.874500000000001" u="1"/>
        <n v="43.83" u="1"/>
        <n v="6.7294117647058798" u="1"/>
        <n v="7.65" u="1"/>
        <n v="488.40000000000003" u="1"/>
        <n v="25.4" u="1"/>
        <n v="95.6" u="1"/>
        <n v="8.2568807339449606" u="1"/>
        <n v="68.136666666666699" u="1"/>
        <n v="39.76" u="1"/>
        <n v="47.836633663366349" u="1"/>
        <n v="66" u="1"/>
        <n v="12.575000000000001" u="1"/>
        <n v="68.758799999999994" u="1"/>
        <n v="41.28" u="1"/>
        <n v="173.33333333333348" u="1"/>
        <n v="27.1" u="1"/>
        <n v="32.5" u="1"/>
        <n v="53.46" u="1"/>
        <n v="28.55" u="1"/>
        <n v="5.3" u="1"/>
        <n v="84.84" u="1"/>
        <n v="5.88" u="1"/>
        <n v="33.647058823529399" u="1"/>
        <n v="880.00000000000011" u="1"/>
        <n v="14.15" u="1"/>
        <n v="70.034313725490108" u="1"/>
        <n v="750" u="1"/>
        <n v="170.0236686390534" u="1"/>
        <n v="76.2352941176472" u="1"/>
        <n v="418.6" u="1"/>
        <n v="41.920000000000051" u="1"/>
        <n v="40.606719367588951" u="1"/>
        <n v="26.549999999999997" u="1"/>
        <n v="3.38" u="1"/>
        <n v="51.257999999999996" u="1"/>
        <n v="4.8" u="1"/>
        <n v="4.8000000000000007" u="1"/>
        <n v="82.5" u="1"/>
        <n v="62.978999999999999" u="1"/>
        <n v="306" u="1"/>
        <n v="55.779500000000006" u="1"/>
        <n v="216" u="1"/>
        <n v="39.300000000000004" u="1"/>
        <n v="132.3684210526315" u="1"/>
        <n v="6.15" u="1"/>
        <n v="23.1" u="1"/>
        <n v="86.4" u="1"/>
        <n v="21.545999999999999" u="1"/>
        <n v="52.947368421052595" u="1"/>
        <n v="2227.0270270270253" u="1"/>
        <n v="84.117647058823493" u="1"/>
        <n v="14" u="1"/>
        <n v="53" u="1"/>
        <n v="219.14999999999998" u="1"/>
        <n v="200" u="1"/>
        <n v="35.299999999999997" u="1"/>
        <n v="12.15" u="1"/>
        <n v="128.81549999999999" u="1"/>
        <n v="0.4" u="1"/>
        <n v="7.11" u="1"/>
        <n v="18.78" u="1"/>
        <n v="69.12" u="1"/>
        <n v="17.399999999999999" u="1"/>
        <n v="20.285714285714299" u="1"/>
        <n v="14.85" u="1"/>
        <n v="67.95" u="1"/>
        <n v="178.2" u="1"/>
        <n v="49" u="1"/>
        <n v="19.233000000000001" u="1"/>
        <n v="129.45000000000002" u="1"/>
        <n v="11.15" u="1"/>
        <n v="143.07999999999998" u="1"/>
        <n v="95.657894736841996" u="1"/>
        <n v="7.4607843137255001" u="1"/>
        <n v="405" u="1"/>
        <n v="59.800000000000004" u="1"/>
        <n v="20.55" u="1"/>
        <n v="10.589473684210519" u="1"/>
        <n v="20.207999999999998" u="1"/>
        <n v="10.3065" u="1"/>
        <n v="61.250000000000007" u="1"/>
        <n v="69.747" u="1"/>
        <n v="17.099999999999998" u="1"/>
        <n v="19.897029702970279" u="1"/>
        <n v="12.31538461538462" u="1"/>
        <n v="83" u="1"/>
        <n v="21.56" u="1"/>
        <n v="346.47058823529397" u="1"/>
        <n v="3.4" u="1"/>
        <n v="560.98039215686299" u="1"/>
        <n v="5.42" u="1"/>
        <n v="11" u="1"/>
        <n v="41" u="1"/>
        <n v="104.60000000000001" u="1"/>
        <n v="57.361000000000004" u="1"/>
        <n v="109.965" u="1"/>
        <n v="125.19999999999999" u="1"/>
        <n v="106.05000000000001" u="1"/>
        <n v="4.1499999999999995" u="1"/>
        <n v="370.89500000000004" u="1"/>
        <n v="15.549999999999999" u="1"/>
        <n v="41.284403669724803" u="1"/>
        <n v="89.800000000000011" u="1"/>
        <n v="739.25" u="1"/>
        <n v="271.97183098591501" u="1"/>
        <n v="8.1213438735177892" u="1"/>
        <n v="14.599" u="1"/>
        <n v="15.93" u="1"/>
        <n v="20.442307692307701" u="1"/>
        <n v="76.404255319149001" u="1"/>
        <n v="9.0519999999999996" u="1"/>
        <n v="250" u="1"/>
        <n v="14.031000000000001" u="1"/>
        <n v="34.068333333333349" u="1"/>
        <n v="36.696202531645604" u="1"/>
        <n v="47.800000000000004" u="1"/>
        <n v="19.88" u="1"/>
        <n v="550.4" u="1"/>
        <n v="28.765000000000001" u="1"/>
        <n v="18.6078431372549" u="1"/>
        <n v="29.127499999999998" u="1"/>
        <n v="69.294117647058798" u="1"/>
        <n v="9" u="1"/>
        <n v="33" u="1"/>
        <n v="86.666666666666742" u="1"/>
        <n v="8.31" u="1"/>
        <n v="91.5" u="1"/>
        <n v="13.55" u="1"/>
        <n v="89.08108108108101" u="1"/>
        <n v="51.2" u="1"/>
        <n v="61.499999999999993" u="1"/>
        <n v="282.8" u="1"/>
        <n v="22.995000000000001" u="1"/>
        <n v="37.402999999999999" u="1"/>
        <n v="11.7" u="1"/>
        <n v="38.2631578947368" u="1"/>
        <n v="2.6500000000000004" u="1"/>
        <n v="36.4" u="1"/>
        <n v="71.491500000000002" u="1"/>
        <n v="115.99999999999999" u="1"/>
        <n v="30.5" u="1"/>
        <n v="10.1872340425532" u="1"/>
        <n v="440.00000000000006" u="1"/>
        <n v="36.322499999999998" u="1"/>
        <n v="21.8385" u="1"/>
        <n v="75.841499999999996" u="1"/>
        <n v="12.549999999999999" u="1"/>
        <n v="28.081999999999997" u="1"/>
        <n v="79.6153846153845" u="1"/>
        <n v="12.289000000000001" u="1"/>
        <n v="10.700000000000001" u="1"/>
        <n v="25.628999999999998" u="1"/>
        <n v="466.64015904572602" u="1"/>
        <n v="167.727" u="1"/>
        <n v="7.5" u="1"/>
        <n v="260.59999999999997" u="1"/>
        <n v="19.650000000000002" u="1"/>
        <n v="408.00000000000006" u="1"/>
        <n v="125.086" u="1"/>
        <n v="9.3328031809145209" u="1"/>
        <n v="84.78" u="1"/>
        <n v="43.2" u="1"/>
        <n v="79.039215686274503" u="1"/>
        <n v="53.5" u="1"/>
        <n v="9.6999999999999993" u="1"/>
        <n v="12.94736842105265" u="1"/>
        <n v="26.473684210526297" u="1"/>
        <n v="80.849999999999994" u="1"/>
        <n v="22.799999999999997" u="1"/>
        <n v="42.189500000000002" u="1"/>
        <n v="81.515580736543995" u="1"/>
        <n v="27.608000000000001" u="1"/>
        <n v="105.128" u="1"/>
        <n v="5.7299999999999995" u="1"/>
        <n v="40.998000000000005" u="1"/>
        <n v="49.5" u="1"/>
        <n v="69.326732673267301" u="1"/>
        <n v="186" u="1"/>
        <n v="15.529" u="1"/>
        <n v="9.5588235294117503" u="1"/>
        <n v="28.2" u="1"/>
        <n v="62.588235294117602" u="1"/>
        <n v="89.1" u="1"/>
        <n v="71.399999999999991" u="1"/>
        <n v="6.5" u="1"/>
        <n v="47.659420289855049" u="1"/>
        <n v="39.108910891089202" u="1"/>
        <n v="47.301204819277203" u="1"/>
        <n v="235" u="1"/>
        <n v="9.5499999999999989" u="1"/>
        <n v="26.571428571428601" u="1"/>
        <n v="45.5" u="1"/>
        <n v="29.900000000000002" u="1"/>
        <n v="38.099999999999994" u="1"/>
        <n v="285.84158415841603" u="1"/>
        <n v="6" u="1"/>
        <n v="27.655999999999999" u="1"/>
        <n v="84" u="1"/>
        <n v="18.799999999999997" u="1"/>
        <n v="182.09199999999998" u="1"/>
        <n v="31.6" u="1"/>
        <n v="41.5" u="1"/>
        <n v="7.3500000000000005" u="1"/>
        <n v="128.82352941176475" u="1"/>
        <n v="10.78" u="1"/>
        <n v="1.7" u="1"/>
        <n v="32.775510204081598" u="1"/>
        <n v="24.2" u="1"/>
        <n v="408.82000000000016" u="1"/>
        <n v="5.5" u="1"/>
        <n v="58.6633663366338" u="1"/>
        <n v="15.338815789473701" u="1"/>
        <n v="20.642201834862401" u="1"/>
        <n v="44.900000000000006" u="1"/>
        <n v="55.548000000000002" u="1"/>
        <n v="6.8500000000000005" u="1"/>
        <n v="303.33333333333303" u="1"/>
        <n v="20.788235294117641" u="1"/>
        <n v="22.200000000000003" u="1"/>
        <n v="121.124" u="1"/>
        <n v="9.884500000000001" u="1"/>
        <n v="42.21" u="1"/>
        <n v="3.48" u="1"/>
        <n v="5.58" u="1"/>
        <n v="1026" u="1"/>
        <n v="216.6" u="1"/>
        <n v="15.4" u="1"/>
        <n v="34.880000000000003" u="1"/>
        <n v="5.3142857142857203" u="1"/>
        <n v="125" u="1"/>
        <n v="20.2" u="1"/>
        <n v="28.5841584158416" u="1"/>
        <n v="38.746499999999997" u="1"/>
        <n v="65.978999999999999" u="1"/>
        <n v="78.235294117647001" u="1"/>
        <n v="9.3039215686274499" u="1"/>
        <n v="34.647058823529399" u="1"/>
        <n v="4.5" u="1"/>
        <n v="77.7" u="1"/>
        <n v="16.5" u="1"/>
        <n v="67.83" u="1"/>
        <n v="14.399999999999999" u="1"/>
        <n v="21.0588235294118" u="1"/>
        <n v="25.6" u="1"/>
        <n v="31.588235294117702" u="1"/>
        <n v="141.4" u="1"/>
        <n v="11.323499999999999" u="1"/>
        <n v="99.3" u="1"/>
        <n v="19.1315789473684" u="1"/>
        <n v="179.095" u="1"/>
        <n v="148.89130434782615" u="1"/>
        <n v="58" u="1"/>
        <n v="58.577500000000001" u="1"/>
        <n v="13.4" u="1"/>
        <n v="26.777999999999999" u="1"/>
        <n v="56.313000000000002" u="1"/>
        <n v="69.43069306930694" u="1"/>
        <n v="76.5" u="1"/>
        <n v="16.200000000000003" u="1"/>
        <n v="8.9260000000000002" u="1"/>
        <n v="51.17" u="1"/>
        <n v="54" u="1"/>
        <n v="130.29999999999998" u="1"/>
        <n v="6.12" u="1"/>
        <n v="2231.4810810810791" u="1"/>
        <n v="52.62" u="1"/>
        <n v="145.82249999999999" u="1"/>
        <n v="231.08910891089099" u="1"/>
        <n v="46.6" u="1"/>
        <n v="18.776470588235281" u="1"/>
        <n v="194.70588235294099" u="1"/>
        <n v="187.44" u="1"/>
        <n v="72.947368421052659" u="1"/>
        <n v="113.04" u="1"/>
        <n v="8.6159999999999997" u="1"/>
        <n v="29.07" u="1"/>
        <n v="14.34615384615385" u="1"/>
        <n v="65.599999999999994" u="1"/>
        <n v="10.483499999999999" u="1"/>
        <n v="10.3095" u="1"/>
        <n v="890.81081081081004" u="1"/>
        <n v="509.01960784313695" u="1"/>
        <n v="3.5" u="1"/>
        <n v="5.04" u="1"/>
        <n v="276.08000000000004" u="1"/>
        <n v="188" u="1"/>
        <n v="195.94771241830099" u="1"/>
        <n v="15.113214990138079" u="1"/>
        <n v="84.734999999999999" u="1"/>
        <n v="24.75" u="1"/>
        <n v="30.784500000000001" u="1"/>
        <n v="40.953999999999994" u="1"/>
        <n v="31.294117647058801" u="1"/>
        <n v="19.554455445544601" u="1"/>
        <n v="23.650602409638601" u="1"/>
        <n v="7.74" u="1"/>
        <n v="231.76" u="1"/>
        <n v="13.285714285714301" u="1"/>
        <n v="12.459" u="1"/>
        <n v="73.920634920634797" u="1"/>
        <n v="151.41176470588229" u="1"/>
        <n v="41.851485148514804" u="1"/>
        <n v="21.37" u="1"/>
        <n v="13.100000000000001" u="1"/>
        <n v="1.48" u="1"/>
        <n v="42.843499999999999" u="1"/>
        <n v="50.901960784313694" u="1"/>
        <n v="2672.4324324324302" u="1"/>
        <n v="22.094999999999999" u="1"/>
        <n v="3" u="1"/>
        <n v="4.62" u="1"/>
        <n v="16.318309859154901" u="1"/>
        <n v="9.3999999999999986" u="1"/>
        <n v="81.069999999999993" u="1"/>
        <n v="65.212464589235196" u="1"/>
        <n v="24.45" u="1"/>
        <n v="122.8425" u="1"/>
        <n v="15.8" u="1"/>
        <n v="186.15032679738596" u="1"/>
        <n v="112.56399999999999" u="1"/>
        <n v="221.37254901960799" u="1"/>
        <n v="30.3333333333333" u="1"/>
        <n v="12.1" u="1"/>
        <n v="82.823999999999998" u="1"/>
        <n v="44.078431372548998" u="1"/>
        <n v="2.75" u="1"/>
        <n v="10.25" u="1"/>
        <n v="38" u="1"/>
        <n v="8.4" u="1"/>
        <n v="31.299999999999997" u="1"/>
        <n v="9.56" u="1"/>
        <n v="10.321100917431201" u="1"/>
        <n v="22.627450980392201" u="1"/>
        <n v="67.992957746478751" u="1"/>
        <n v="69" u="1"/>
        <n v="4.8899999999999997" u="1"/>
        <n v="38.877000000000002" u="1"/>
        <n v="45.870253164556999" u="1"/>
        <n v="11.100000000000001" u="1"/>
        <n v="189" u="1"/>
        <n v="220.39215686274497" u="1"/>
        <n v="22.368932038834977" u="1"/>
        <n v="45.692000000000007" u="1"/>
        <n v="34" u="1"/>
        <n v="126" u="1"/>
        <n v="7.7" u="1"/>
        <n v="68.984999999999999" u="1"/>
        <n v="27.720238095238049" u="1"/>
        <n v="46.217821782178198" u="1"/>
        <n v="13.799999999999999" u="1"/>
        <n v="2227027.0270270254" u="1"/>
        <n v="16.75" u="1"/>
        <n v="178.51999999999998" u="1"/>
        <n v="16.596499999999999" u="1"/>
        <n v="242.11538461538501" u="1"/>
        <n v="10.1" u="1"/>
        <n v="37.400000000000006" u="1"/>
        <n v="8.25" u="1"/>
        <n v="3.56" u="1"/>
        <n v="96.385000000000005" u="1"/>
        <n v="7.1999999999999993" u="1"/>
        <n v="43.088235294117602" u="1"/>
        <n v="77.08" u="1"/>
        <n v="70.7" u="1"/>
        <n v="12.367999999999999" u="1"/>
        <n v="57.12" u="1"/>
        <n v="73.943502824858797" u="1"/>
        <n v="681.36666666666702" u="1"/>
        <n v="790.39215686274508" u="1"/>
        <n v="20.150000000000002" u="1"/>
        <n v="60.45" u="1"/>
        <n v="54.49999999999995" u="1"/>
        <n v="14.8316831683168" u="1"/>
        <n v="116.66003976143151" u="1"/>
        <n v="40.019607843137202" u="1"/>
        <n v="8.1000000000000014" u="1"/>
        <n v="81.400000000000006" u="1"/>
        <n v="25.585000000000001" u="1"/>
        <n v="18.149999999999999" u="1"/>
        <n v="66.600000000000009" u="1"/>
        <n v="83.368421052631604" u="1"/>
        <n v="4.74" u="1"/>
        <n v="23.3" u="1"/>
        <n v="10.09411764705882" u="1"/>
        <n v="13.72" u="1"/>
        <n v="10.8" u="1"/>
        <n v="208.42105263157902" u="1"/>
        <n v="210.58823529411802" u="1"/>
      </sharedItems>
    </cacheField>
    <cacheField name="Total Cost GBP" numFmtId="2">
      <sharedItems containsSemiMixedTypes="0" containsString="0" containsNumber="1" minValue="0" maxValue="1023.8499999999999"/>
    </cacheField>
    <cacheField name="Total Cost EUR" numFmtId="2">
      <sharedItems containsSemiMixedTypes="0" containsString="0" containsNumber="1" minValue="0" maxValue="2650218.7941632187" count="1052">
        <n v="23.753497585034594"/>
        <n v="371.88764593372042"/>
        <n v="0"/>
        <n v="226.19513828585696"/>
        <n v="195.60368459586928"/>
        <n v="187.46488225979468"/>
        <n v="207.84026607186436"/>
        <n v="111.46413308133694"/>
        <n v="219.35037146765194"/>
        <n v="42.110640036777852"/>
        <n v="69.01238982252417"/>
        <n v="43.125436311317699"/>
        <n v="41.555566906744303"/>
        <n v="69.469275169842163"/>
        <n v="66.286401843433055"/>
        <n v="17.115322402138563"/>
        <n v="166.48788544380309"/>
        <n v="248.2005528028923"/>
        <n v="398.21105265248906"/>
        <n v="169.91821468503289"/>
        <n v="46.796410754116224"/>
        <n v="70.509044059639152"/>
        <n v="49.610938005482623"/>
        <n v="261.21355558960914"/>
        <n v="132.87133995107638"/>
        <n v="68.649719341858074"/>
        <n v="38.022509407297676"/>
        <n v="106.2970719608611"/>
        <n v="17.186267331846327"/>
        <n v="41.230355348963919"/>
        <n v="116.36784662273756"/>
        <n v="1162.1914605007009"/>
        <n v="30.021624014574925"/>
        <n v="95.273365003149962"/>
        <n v="104.8322010522552"/>
        <n v="43.406945792398105"/>
        <n v="73.356489758389941"/>
        <n v="59.922925428365488"/>
        <n v="32.822529839437436"/>
        <n v="23.829550549681315"/>
        <n v="45.634616585221885"/>
        <n v="61.466687098806418"/>
        <n v="60.904803255520939"/>
        <n v="263.75622187033537"/>
        <n v="123.94646779383972"/>
        <n v="51.614990379867535"/>
        <n v="39.77229515360996"/>
        <n v="69.533976945735645"/>
        <n v="132.25270016402467"/>
        <n v="14.220769270061806"/>
        <n v="46.667007202329266"/>
        <n v="108.20180143365515"/>
        <n v="146.67722327220719"/>
        <n v="31.943380270498825"/>
        <n v="18.037606488339492"/>
        <n v="223.1552899377387"/>
        <n v="143.67029337147335"/>
        <n v="36.296561157367208"/>
        <n v="39.854023712633307"/>
        <n v="15.878042828035165"/>
        <n v="36.032078459416667"/>
        <n v="58.606187532989395"/>
        <n v="29.710033883298429"/>
        <n v="264.35783487425721"/>
        <n v="22.48159688523381"/>
        <n v="106.54225763793113"/>
        <n v="15.953528233244228"/>
        <n v="21.087103346898001"/>
        <n v="29.252013417105108"/>
        <n v="50.941864886800268"/>
        <n v="63.053583286509685"/>
        <n v="29.787789526258138"/>
        <n v="54.638947063731244"/>
        <n v="112.93297690600647"/>
        <n v="23.645661291878792"/>
        <n v="276.07226166760313"/>
        <n v="63.478685305318599"/>
        <n v="66.591748820895262"/>
        <n v="84.165091689227154"/>
        <n v="25.044127746278232"/>
        <n v="31.869597543602755"/>
        <n v="49.303888349707421"/>
        <n v="4.9337941915967152"/>
        <n v="22.522461164745479"/>
        <n v="42.476148314632255"/>
        <n v="39.507244896221756"/>
        <n v="59.970032861691436"/>
        <n v="66.492425919304395"/>
        <n v="37.678000828636776"/>
        <n v="36.335155199128224"/>
        <n v="167.39371030631185"/>
        <n v="99.67819379884557"/>
        <n v="49.545668670151478"/>
        <n v="67.420385599881939"/>
        <n v="34.62566617288995"/>
        <n v="108.91465608735875"/>
        <n v="21.22842564687587"/>
        <n v="15.951825554931242"/>
        <n v="28.242892736941876"/>
        <n v="59.344014801950138"/>
        <n v="25.583309212057234"/>
        <n v="30.536967983972122"/>
        <n v="25.932925825657097"/>
        <n v="82.234822041738326"/>
        <n v="67.548654032793593"/>
        <n v="29.439308031533606"/>
        <n v="40.127019802148773"/>
        <n v="11.702508045155028"/>
        <n v="48.632465534953148"/>
        <n v="20.289682336982743"/>
        <n v="22.292599592492323"/>
        <n v="14.602736771608408"/>
        <n v="82.533358305948596"/>
        <n v="16.619275453621881"/>
        <n v="26.044167475438865"/>
        <n v="26.218408222801138"/>
        <n v="48.189201614139044"/>
        <n v="52.70583961905411"/>
        <n v="24.982263767573055"/>
        <n v="124.82334712502767"/>
        <n v="20.331114175932072"/>
        <n v="37.125765495791548"/>
        <n v="106.38334099538574"/>
        <n v="19.726095815384266"/>
        <n v="123.98222403841243"/>
        <n v="32.799827461930946"/>
        <n v="10.275096059434825"/>
        <n v="29.2985532909934"/>
        <n v="34.731232228295113"/>
        <n v="113.38418665894784"/>
        <n v="134.67504384396656"/>
        <n v="94.557672552258026"/>
        <n v="65.631438252370984"/>
        <n v="31.853705879348215"/>
        <n v="67.51970850147282"/>
        <n v="64.92482675248165"/>
        <n v="47.53877849857826"/>
        <n v="111.46016016527332"/>
        <n v="132.295834681287"/>
        <n v="15.385968795582118"/>
        <n v="44.627198583371651"/>
        <n v="73.683971553920983"/>
        <n v="53.443666888014839"/>
        <n v="15.50175092086519"/>
        <n v="22.882293848223256"/>
        <n v="34.736907822671732"/>
        <n v="31.270254777431564"/>
        <n v="21.831741329110692"/>
        <n v="15.846259499526086"/>
        <n v="32.152242143558482"/>
        <n v="52.099686139630975"/>
        <n v="21.54682649140431"/>
        <n v="43.882560601158957"/>
        <n v="21.27156016413819"/>
        <n v="27.029450659220288"/>
        <n v="28.387052834108051"/>
        <n v="30.880909003195359"/>
        <n v="45.876964465103605"/>
        <n v="51.674016561384384"/>
        <n v="149.60015437616704"/>
        <n v="91.486040875630707"/>
        <n v="56.323463474712391"/>
        <n v="25.521445233352061"/>
        <n v="50.730732775989964"/>
        <n v="43.024410731413845"/>
        <n v="89.808335177901512"/>
        <n v="52.881783044729353"/>
        <n v="34.626801291765283"/>
        <n v="22.377165948703979"/>
        <n v="117.1312140663931"/>
        <n v="17.917851446992785"/>
        <n v="12.853518584733786"/>
        <n v="16.30655020347006"/>
        <n v="25.456743457458579"/>
        <n v="18.148280578683604"/>
        <n v="26.146895733655708"/>
        <n v="119.33277712508442"/>
        <n v="139.44084044201529"/>
        <n v="122.88115872934793"/>
        <n v="12.312066881204133"/>
        <n v="13.226972694715453"/>
        <n v="16.876947438320478"/>
        <n v="35.080281282457307"/>
        <n v="15.677126787102779"/>
        <n v="18.839000414318388"/>
        <n v="38.406747146594931"/>
        <n v="28.968233698274052"/>
        <n v="116.74754388653352"/>
        <n v="126.15257132803232"/>
        <n v="89.760660185137894"/>
        <n v="13.254215547723236"/>
        <n v="26.572565311902288"/>
        <n v="26.127031153337533"/>
        <n v="70.957416015392212"/>
        <n v="8.9396287026158809"/>
        <n v="61.411293297690598"/>
        <n v="17.365616114147553" u="1"/>
        <n v="40.797875057465397" u="1"/>
        <n v="36.987167481114462" u="1"/>
        <n v="45.54380707519595" u="1"/>
        <n v="82.339252978268149" u="1"/>
        <n v="63.707411758696431" u="1"/>
        <n v="44.610171800241787" u="1"/>
        <n v="33.063175041006168" u="1"/>
        <n v="95.721169399465353" u="1"/>
        <n v="126.9573706106372" u="1"/>
        <n v="99.635059281583267" u="1"/>
        <n v="4.6810032180620116" u="1"/>
        <n v="11.637238709823885" u="1"/>
        <n v="114.38195615035785" u="1"/>
        <n v="31.392847615966581" u="1"/>
        <n v="78.049411724642852" u="1"/>
        <n v="23.154154818863404" u="1"/>
        <n v="63.92194922613271" u="1"/>
        <n v="50.088255492556463" u="1"/>
        <n v="11.588996157622608" u="1"/>
        <n v="108.88968347210161" u="1"/>
        <n v="52.794378891329394" u="1"/>
        <n v="317.27934707962294" u="1"/>
        <n v="89.168128132218655" u="1"/>
        <n v="6.0708427690089852" u="1"/>
        <n v="31.500116349684721" u="1"/>
        <n v="2382.9550549681312" u="1"/>
        <n v="31.876408256854695" u="1"/>
        <n v="292.61094368107695" u="1"/>
        <n v="95.065638248965627" u="1"/>
        <n v="165.31587520503084" u="1"/>
        <n v="19.970827444904167" u="1"/>
        <n v="103.34803312276877" u="1"/>
        <n v="35.758514810463524" u="1"/>
        <n v="49.839096899422785" u="1"/>
        <n v="87.376342987519365" u="1"/>
        <n v="65.599654923861891" u="1"/>
        <n v="108.22563893003695" u="1"/>
        <n v="176.52006606391856" u="1"/>
        <n v="332.26064599615194" u="1"/>
        <n v="23.429534658017062" u="1"/>
        <n v="82.0480949867475" u="1"/>
        <n v="80.165500332022262" u="1"/>
        <n v="299.56241167356251" u="1"/>
        <n v="250.80451550288603" u="1"/>
        <n v="38.087211183191158" u="1"/>
        <n v="11.900018729461442" u="1"/>
        <n v="23.834545072732741" u="1"/>
        <n v="87.781580426010109" u="1"/>
        <n v="552.09911858019336" u="1"/>
        <n v="71.488651649043945" u="1"/>
        <n v="19.147752748406578" u="1"/>
        <n v="19.910552632624455" u="1"/>
        <n v="630.0023269936944" u="1"/>
        <n v="34.070025483418753" u="1"/>
        <n v="52.75124437406707" u="1"/>
        <n v="43.663482658221383" u="1"/>
        <n v="51.558801995538978" u="1"/>
        <n v="3180.2625529958627" u="1"/>
        <n v="20.877106354963022" u="1"/>
        <n v="31.231660735670541" u="1"/>
        <n v="162.70680447009812" u="1"/>
        <n v="6.3707411758696431" u="1"/>
        <n v="16.536979335160876" u="1"/>
        <n v="36.841985776960492" u="1"/>
        <n v="179.61667035580302" u="1"/>
        <n v="99.552763163122265" u="1"/>
        <n v="55.425016884893274" u="1"/>
        <n v="28.073760024518567" u="1"/>
        <n v="81.047487698149197" u="1"/>
        <n v="1607.2148155715608" u="1"/>
        <n v="90.703376411094652" u="1"/>
        <n v="269.01182226308646" u="1"/>
        <n v="368.82282497034504" u="1"/>
        <n v="97.801842297934641" u="1"/>
        <n v="70.306992899831442" u="1"/>
        <n v="132.95420362897505" u="1"/>
        <n v="72.150425953357967" u="1"/>
        <n v="180.12974408744955" u="1"/>
        <n v="76.558092546241909" u="1"/>
        <n v="28.397495927761035" u="1"/>
        <n v="22.487840039048088" u="1"/>
        <n v="34.059241854103171" u="1"/>
        <n v="111.48797057771876" u="1"/>
        <n v="287.3405867429467" u="1"/>
        <n v="6.7772272451232451" u="1"/>
        <n v="48.904326505593296" u="1"/>
        <n v="90.08019614854166" u="1"/>
        <n v="109.92661456471031" u="1"/>
        <n v="18.493583740557231" u="1"/>
        <n v="5.8681105378760794" u="1"/>
        <n v="41.169626489134075" u="1"/>
        <n v="238.3454507273274" u="1"/>
        <n v="31.896840396610536" u="1"/>
        <n v="22.305085900120893" u="1"/>
        <n v="27.525497607736973" u="1"/>
        <n v="22.938482232551802" u="1"/>
        <n v="73.567054309762597" u="1"/>
        <n v="93.592821508232447" u="1"/>
        <n v="13.2295834681287" u="1"/>
        <n v="16.815651019052972" u="1"/>
        <n v="331.43200921716527" u="1"/>
        <n v="94.580374929764517" u="1"/>
        <n v="45.035841378488357" u="1"/>
        <n v="76.749927636171705" u="1"/>
        <n v="132.92809589484258" u="1"/>
        <n v="274.98027730954124" u="1"/>
        <n v="31.960974613066355" u="1"/>
        <n v="68.066268239941436" u="1"/>
        <n v="84.201983052675189" u="1"/>
        <n v="550.50995215473938" u="1"/>
        <n v="30.064077460512049" u="1"/>
        <n v="54.444841736050805" u="1"/>
        <n v="26.397189445664697" u="1"/>
        <n v="158.34227239447651" u="1"/>
        <n v="55.797903435437284" u="1"/>
        <n v="112.05189763497982" u="1"/>
        <n v="41.247041596431181" u="1"/>
        <n v="149.80731357091372" u="1"/>
        <n v="109.79721101292334" u="1"/>
        <n v="44.584064066109327" u="1"/>
        <n v="75.47745937693324" u="1"/>
        <n v="318.56157736118911" u="1"/>
        <n v="36.507693268177512" u="1"/>
        <n v="6.2238567934026889" u="1"/>
        <n v="15.938204128427348" u="1"/>
        <n v="328.9392881669533" u="1"/>
        <n v="10.373170330262838" u="1"/>
        <n v="265.74267990215276" u="1"/>
        <n v="150.32038730256025" u="1"/>
        <n v="21.703472896199052" u="1"/>
        <n v="67.503930349105815" u="1"/>
        <n v="18.083011243352459" u="1"/>
        <n v="146.11670157157209" u="1"/>
        <n v="162.41280868138915" u="1"/>
        <n v="66.876096099163988" u="1"/>
        <n v="58.18392331136878" u="1"/>
        <n v="904.78055314342782" u="1"/>
        <n v="54.100900716827574" u="1"/>
        <n v="104.19937227926195" u="1"/>
        <n v="33.724949345320191" u="1"/>
        <n v="14.6492766454967" u="1"/>
        <n v="65.823840901738436" u="1"/>
        <n v="74.985952903917862" u="1"/>
        <n v="31.692518999052172" u="1"/>
        <n v="307.33343549403213" u="1"/>
        <n v="219.98603803783354" u="1"/>
        <n v="26502.187941632186" u="1"/>
        <n v="62.050138200723076" u="1"/>
        <n v="17.846906517285024" u="1"/>
        <n v="114.14414874597743" u="1"/>
        <n v="26.375622187033535" u="1"/>
        <n v="315.26791643254842" u="1"/>
        <n v="8.1158729347930958" u="1"/>
        <n v="658.25543580051431" u="1"/>
        <n v="212.76668199077147" u="1"/>
        <n v="82.200768475478597" u="1"/>
        <n v="562.39464677938395" u="1"/>
        <n v="225.48058095384036" u="1"/>
        <n v="29.672007400975069" u="1"/>
        <n v="46.485955741715053" u="1"/>
        <n v="104.58758293462283" u="1"/>
        <n v="110.52595733088148" u="1"/>
        <n v="15.86271872321829" u="1"/>
        <n v="15.424222301680544" u="1"/>
        <n v="13.677047328781509" u="1"/>
        <n v="31.286373465461171" u="1"/>
        <n v="110.81484508465148" u="1"/>
        <n v="495.4566867015148" u="1"/>
        <n v="60.45983665639384" u="1"/>
        <n v="31.907056466488456" u="1"/>
        <n v="42.45685129375174" u="1"/>
        <n v="11.636784662273756" u="1"/>
        <n v="91.61090395191637" u="1"/>
        <n v="96.184297900597642" u="1"/>
        <n v="35.153496449915721" u="1"/>
        <n v="8.732696531644276" u="1"/>
        <n v="36.075212976678984" u="1"/>
        <n v="90.064872043724776" u="1"/>
        <n v="51.865851651314195" u="1"/>
        <n v="12.436362398052136" u="1"/>
        <n v="220.6500825798982" u="1"/>
        <n v="23753.497585034595" u="1"/>
        <n v="332.97577088760619" u="1"/>
        <n v="50.661490524595187" u="1"/>
        <n v="21.873740727497687" u="1"/>
        <n v="16.999199741192896" u="1"/>
        <n v="18.135794271055033" u="1"/>
        <n v="31.668454478895303" u="1"/>
        <n v="594.39364787477371" u="1"/>
        <n v="956.39440840442012" u="1"/>
        <n v="694.7381564534345" u="1"/>
        <n v="169.28254811485132" u="1"/>
        <n v="45.722588298059506" u="1"/>
        <n v="39.941427866033273" u="1"/>
        <n v="24.452163252796648" u="1"/>
        <n v="21.77725562309513" u="1"/>
        <n v="35.097308065587171" u="1"/>
        <n v="8.9808335177901508" u="1"/>
        <n v="15.926852939674108" u="1"/>
        <n v="11.469241116275901" u="1"/>
        <n v="10.629026124760914" u="1"/>
        <n v="26.901182226308649" u="1"/>
        <n v="70.576016073283284" u="1"/>
        <n v="46.537603650542309" u="1"/>
        <n v="89.245316215740687" u="1"/>
        <n v="78.215933663652933" u="1"/>
        <n v="193.23469150306767" u="1"/>
        <n v="13.225270016402467" u="1"/>
        <n v="157.22872077778345" u="1"/>
        <n v="14.418961025693417" u="1"/>
        <n v="45.764587696446512" u="1"/>
        <n v="186.75316272496639" u="1"/>
        <n v="137.49013865477062" u="1"/>
        <n v="34.033134119970718" u="1"/>
        <n v="42.100991526337594" u="1"/>
        <n v="31.00350184173038" u="1"/>
        <n v="275.25497607736969" u="1"/>
        <n v="13.198594722832349" u="1"/>
        <n v="79.171136197238255" u="1"/>
        <n v="27.898951717718642" u="1"/>
        <n v="31.207255679851073" u="1"/>
        <n v="283.97495927761037" u="1"/>
        <n v="43.947829936490102" u="1"/>
        <n v="117.34177861776575" u="1"/>
        <n v="22.292032033054664" u="1"/>
        <n v="62.111434619990582" u="1"/>
        <n v="371.54711027112313" u="1"/>
        <n v="31.756085656070329" u="1"/>
        <n v="37.73872968846662" u="1"/>
        <n v="12.682683193997491" u="1"/>
        <n v="7.9722803970645826" u="1"/>
        <n v="18.253846634088756" u="1"/>
        <n v="505.21189831605119" u="1"/>
        <n v="98.459076126747377" u="1"/>
        <n v="29.198662829964867" u="1"/>
        <n v="164.46964408347665" u="1"/>
        <n v="11.159580687087455" u="1"/>
        <n v="775.22943590267494" u="1"/>
        <n v="84.69121928793993" u="1"/>
        <n v="26.352919809527055" u="1"/>
        <n v="35.000255401746955" u="1"/>
        <n v="65.825543580051416" u="1"/>
        <n v="75.160193651280125" u="1"/>
        <n v="301.9756744025018" u="1"/>
        <n v="831.36106428745745" u="1"/>
        <n v="44.754331897407958" u="1"/>
        <n v="70.278728439835859" u="1"/>
        <n v="2655.5192317515452" u="1"/>
        <n v="17.254942023803444" u="1"/>
        <n v="5.1415209457810471" u="1"/>
        <n v="14.722378301067579" u="1"/>
        <n v="81.206404340694576" u="1"/>
        <n v="53.304047266349976" u="1"/>
        <n v="44.130016515979641" u="1"/>
        <n v="29.09196165568439" u="1"/>
        <n v="59.575579052516275" u="1"/>
        <n v="66.254618514923976" u="1"/>
        <n v="452.39027657171391" u="1"/>
        <n v="27.050450358413787" u="1"/>
        <n v="62.540509554863128" u="1"/>
        <n v="7.1517029620927053" u="1"/>
        <n v="27.72698120810702" u="1"/>
        <n v="352.54522029819572" u="1"/>
        <n v="37.492976451958931" u="1"/>
        <n v="19.015511399431304" u="1"/>
        <n v="242.57490365678544" u="1"/>
        <n v="17.232807205734623" u="1"/>
        <n v="19.735176766386861" u="1"/>
        <n v="31.025069100361538" u="1"/>
        <n v="195.3346614224175" u="1"/>
        <n v="0.39729160636347643" u="1"/>
        <n v="23.333503601164633" u="1"/>
        <n v="49.929338850011071" u="1"/>
        <n v="6.1543875182328476" u="1"/>
        <n v="69.02771392734104" u="1"/>
        <n v="271.98583371643599" u="1"/>
        <n v="138.70187805417922" u="1"/>
        <n v="10.781359077829425" u="1"/>
        <n v="26.502187941632187" u="1"/>
        <n v="88.339491353231963" u="1"/>
        <n v="42.174206693796002" u="1"/>
        <n v="635.18982025392597" u="1"/>
        <n v="44.966599127093581" u="1"/>
        <n v="26.044621522988997" u="1"/>
        <n v="99.854137224520827" u="1"/>
        <n v="187.80485036295426" u="1"/>
        <n v="349.10353986821269" u="1"/>
        <n v="0.40012940355178694" u="1"/>
        <n v="223.10364202891148" u="1"/>
        <n v="48.092148950298821" u="1"/>
        <n v="33.238550907243763" u="1"/>
        <n v="79.960043815588591" u="1"/>
        <n v="245.96890909400486" u="1"/>
        <n v="110.3250412899491" u="1"/>
        <n v="1187.6748792517296" u="1"/>
        <n v="9.9157174235071768" u="1"/>
        <n v="22.871510218907677" u="1"/>
        <n v="29.401849108647902" u="1"/>
        <n v="101.13057839982292" u="1"/>
        <n v="317.56085656070331" u="1"/>
        <n v="150.10812007287464" u="1"/>
        <n v="189.3531525088965" u="1"/>
        <n v="12.037935672813337" u="1"/>
        <n v="18.747055785417128" u="1"/>
        <n v="205.4565164336835" u="1"/>
        <n v="314.07604161345796" u="1"/>
        <n v="56.460812858626625" u="1"/>
        <n v="910.62641535134765" u="1"/>
        <n v="22.861294149029753" u="1"/>
        <n v="24.183934662557537" u="1"/>
        <n v="27.866033270334235" u="1"/>
        <n v="8.6813891584796217" u="1"/>
        <n v="24.257490365678546" u="1"/>
        <n v="59.586362681831851" u="1"/>
        <n v="30.197567440250179" u="1"/>
        <n v="47.780558819022325" u="1"/>
        <n v="52.871566974851447" u="1"/>
        <n v="33.774327016396796" u="1"/>
        <n v="43.870074293530386" u="1"/>
        <n v="338.35623435664297" u="1"/>
        <n v="54.397166743287194" u="1"/>
        <n v="67.444790655701411" u="1"/>
        <n v="12.62308945304297" u="1"/>
        <n v="615.74636903849762" u="1"/>
        <n v="13.450591113154324" u="1"/>
        <n v="88.317924094600812" u="1"/>
        <n v="54.977212488577869" u="1"/>
        <n v="112.40798442616904" u="1"/>
        <n v="24.031601709489031" u="1"/>
        <n v="842.019830526752" u="1"/>
        <n v="446.10171800241778" u="1"/>
        <n v="524.09573592594484" u="1"/>
        <n v="36.028673102790691" u="1"/>
        <n v="1060.0875176652876" u="1"/>
        <n v="46.642034587072132" u="1"/>
        <n v="68.745069327385309" u="1"/>
        <n v="160.72148155715607" u="1"/>
        <n v="226.26892101275308" u="1"/>
        <n v="205.34811258109008" u="1"/>
        <n v="627.85695231933164" u="1"/>
        <n v="98.607776699414842" u="1"/>
        <n v="13.949475858859321" u="1"/>
        <n v="141.98747963880518" u="1"/>
        <n v="58.670889308882877" u="1"/>
        <n v="184.04817444506875" u="1"/>
        <n v="37.188764593372042" u="1"/>
        <n v="65.11155380747249" u="1"/>
        <n v="174.72033508709202" u="1"/>
        <n v="165.52587219696582" u="1"/>
        <n v="9.126923317044378" u="1"/>
        <n v="337.74327016396796" u="1"/>
        <n v="13.513476698847288" u="1"/>
        <n v="18.016039229708333" u="1"/>
        <n v="14.980731357091372" u="1"/>
        <n v="41.339213249107509" u="1"/>
        <n v="243.52783595262011" u="1"/>
        <n v="13.514725329610144" u="1"/>
        <n v="415.68053214372873" u="1"/>
        <n v="7.2593122314734408" u="1"/>
        <n v="14.183650882838705" u="1"/>
        <n v="19.068861986571545" u="1"/>
        <n v="34.944067017418398" u="1"/>
        <n v="330.73958670321753" u="1"/>
        <n v="81.158729347930972" u="1"/>
        <n v="30.733343549403209" u="1"/>
        <n v="13.099044797466414" u="1"/>
        <n v="198.44375202193049" u="1"/>
        <n v="100.32180620115442" u="1"/>
        <n v="18.799838813119703" u="1"/>
        <n v="40.603202170347288" u="1"/>
        <n v="22.06500825798982" u="1"/>
        <n v="344.09993586578355" u="1"/>
        <n v="47.639236519044452" u="1"/>
        <n v="351.53496449915718" u="1"/>
        <n v="12.173809402189645" u="1"/>
        <n v="175.9275340109993" u="1"/>
        <n v="340.6151209185382" u="1"/>
        <n v="73.790672728201471" u="1"/>
        <n v="11.146299796246161" u="1"/>
        <n v="76.833358873508033" u="1"/>
        <n v="19.927011856316653" u="1"/>
        <n v="7.301538653635502" u="1"/>
        <n v="103.12725250151823" u="1"/>
        <n v="15.512534550180769" u="1"/>
        <n v="82.049230105622811" u="1"/>
        <n v="17.757799685572071" u="1"/>
        <n v="42.257070371694681" u="1"/>
        <n v="101.56589648850976" u="1"/>
        <n v="78.816979108137105" u="1"/>
        <n v="0.56755943766210915" u="1"/>
        <n v="69.473815645343464" u="1"/>
        <n v="24.964669425005535" u="1"/>
        <n v="53.191670497692868" u="1"/>
        <n v="20.550192118869649" u="1"/>
        <n v="33.835623435664303" u="1"/>
        <n v="18.724353407910645" u="1"/>
        <n v="30.818477465052531" u="1"/>
        <n v="243.45405322572404" u="1"/>
        <n v="168.75982587276454" u="1"/>
        <n v="88.119278291419064" u="1"/>
        <n v="135.992916858218" u="1"/>
        <n v="137.63997434631341" u="1"/>
        <n v="75.356001657273552" u="1"/>
        <n v="76.218692002519958" u="1"/>
        <n v="112.20082523142236" u="1"/>
        <n v="14.142446067664435" u="1"/>
        <n v="22.452083794475378" u="1"/>
        <n v="53.171238357937035" u="1"/>
        <n v="111.6746976327096" u="1"/>
        <n v="35.254522029819576" u="1"/>
        <n v="26.393784089038729" u="1"/>
        <n v="263.97189445664696" u="1"/>
        <n v="22.48329956354679" u="1"/>
        <n v="22.440165046284474" u="1"/>
        <n v="27.70371127116287" u="1"/>
        <n v="97.561764655803572" u="1"/>
        <n v="54.845538699040247" u="1"/>
        <n v="25.806814118608571" u="1"/>
        <n v="235.64386780405579" u="1"/>
        <n v="8.9245316215740687" u="1"/>
        <n v="231.56425056614054" u="1"/>
        <n v="288.55289370179293" u="1"/>
        <n v="14.101808811927828" u="1"/>
        <n v="33.277144949004786" u="1"/>
        <n v="62.815208322691596" u="1"/>
        <n v="137.53588394544619" u="1"/>
        <n v="39.120736919173858" u="1"/>
        <n v="12.557139046386633" u="1"/>
        <n v="23.912414227579987" u="1"/>
        <n v="77.807858427973855" u="1"/>
        <n v="484.65603060280483" u="1"/>
        <n v="25.969930700992659" u="1"/>
        <n v="47.262944611874481" u="1"/>
        <n v="22.676837331789571" u="1"/>
        <n v="111.57764496886935" u="1"/>
        <n v="293.42595903355976" u="1"/>
        <n v="849.5910734251645" u="1"/>
        <n v="54.973807131951894" u="1"/>
        <n v="233.63868031079554" u="1"/>
        <n v="438.70074293530388" u="1"/>
        <n v="21.1410214934759" u="1"/>
        <n v="28.230406429313312" u="1"/>
        <n v="112.22012225230289" u="1"/>
        <n v="10.546048934974717" u="1"/>
        <n v="12.128745182839273" u="1"/>
        <n v="407.28746317958144" u="1"/>
        <n v="15.098783720125089" u="1"/>
        <n v="16.887163508198398" u="1"/>
        <n v="205.18408790360573" u="1"/>
        <n v="212.98121945820776" u="1"/>
        <n v="9.008984465898191" u="1"/>
        <n v="27.198583371643597" u="1"/>
        <n v="43.394459484769541" u="1"/>
        <n v="280.20409437378333" u="1"/>
        <n v="11.699102688529056" u="1"/>
        <n v="127.7735210819953" u="1"/>
        <n v="22.311329053935172" u="1"/>
        <n v="53.407343084004467" u="1"/>
        <n v="53.148535980430552" u="1"/>
        <n v="81.93061018315143" u="1"/>
        <n v="421.009915263376" u="1"/>
        <n v="16.114147554102605" u="1"/>
        <n v="175.53024240463583" u="1"/>
        <n v="73.764564994069019" u="1"/>
        <n v="419.3288042090208" u="1"/>
        <n v="21.881686559624956" u="1"/>
        <n v="18.014336551395346" u="1"/>
        <n v="194.52759190206197" u="1"/>
        <n v="530.04375883264379" u="1"/>
        <n v="34.372534663692655" u="1"/>
        <n v="109.40843279812479" u="1"/>
        <n v="33.438899388738484" u="1"/>
        <n v="29.261094368107699" u="1"/>
        <n v="14.426793345933152" u="1"/>
        <n v="256.82064554210444" u="1"/>
        <n v="70.993739819402592" u="1"/>
        <n v="187.998388131197" u="1"/>
        <n v="46.487658420028033" u="1"/>
        <n v="29.335444654441439" u="1"/>
        <n v="6.982343225894331" u="1"/>
        <n v="92.024087222534376" u="1"/>
        <n v="69.447707911210998" u="1"/>
        <n v="14.464819828256514" u="1"/>
        <n v="49.340893225042997" u="1"/>
        <n v="14.69524895994733" u="1"/>
        <n v="49.946365633140928" u="1"/>
        <n v="168.87163508198398" u="1"/>
        <n v="55.209911858019339" u="1"/>
        <n v="48.914542575471216" u="1"/>
        <n v="217.03472896199054" u="1"/>
        <n v="20.669606624553754" u="1"/>
        <n v="9.9221876010965246" u="1"/>
        <n v="258.86499463656332" u="1"/>
        <n v="10.634247671587406" u="1"/>
        <n v="79.910098585074323" u="1"/>
        <n v="12.784389845226542" u="1"/>
        <n v="140.88913861504145" u="1"/>
        <n v="5.5788822484434677" u="1"/>
        <n v="272.49209673483057" u="1"/>
        <n v="89.0160222029252" u="1"/>
        <n v="422.57070371694681" u="1"/>
        <n v="20.301601085173644" u="1"/>
        <n v="63.739195087205509" u="1"/>
        <n v="113.09756914292848" u="1"/>
        <n v="135.03941700294564" u="1"/>
        <n v="102.4132627289393" u="1"/>
        <n v="175.76748224957859" u="1"/>
        <n v="32.651694448701143" u="1"/>
        <n v="87.963767005499648" u="1"/>
        <n v="148.93894763129069" u="1"/>
        <n v="229.22647324241032" u="1"/>
        <n v="44.963193770467619" u="1"/>
        <n v="9.3732441129897328" u="1"/>
        <n v="27.380769951133132" u="1"/>
        <n v="23.513419942903521" u="1"/>
        <n v="67.567383494236438" u="1"/>
        <n v="110.35058146464389" u="1"/>
        <n v="60.643725914196359" u="1"/>
        <n v="46.723763146095472" u="1"/>
        <n v="69.253602583530565" u="1"/>
        <n v="35.17676638685986" u="1"/>
        <n v="476.5910109936263" u="1"/>
        <n v="79.756857536905542" u="1"/>
        <n v="50.782948244254882" u="1"/>
        <n v="10.727554443139057" u="1"/>
        <n v="16.241280868138915" u="1"/>
        <n v="16.917811717832151" u="1"/>
        <n v="264.50540032804935" u="1"/>
        <n v="44.059639145709532" u="1"/>
        <n v="492.28856992048497" u="1"/>
        <n v="33.940054372194133" u="1"/>
        <n v="26.585619178968518" u="1"/>
        <n v="462.88445057408632" u="1"/>
        <n v="17.627261014909788" u="1"/>
        <n v="13.196892044519364" u="1"/>
        <n v="52.436816445602275" u="1"/>
        <n v="95.780195580982223" u="1"/>
        <n v="158.79745506348149" u="1"/>
        <n v="11.241649781773395" u="1"/>
        <n v="8.2576492823210916" u="1"/>
        <n v="11.220082523142237" u="1"/>
        <n v="5.371382518034201" u="1"/>
        <n v="41.568053214372874" u="1"/>
        <n v="23.468355723553149" u="1"/>
        <n v="81.667262604076214" u="1"/>
        <n v="87.275884967053173" u="1"/>
        <n v="92.711969260980865" u="1"/>
        <n v="120.37935672813337" u="1"/>
        <n v="353.46580170608365" u="1"/>
        <n v="117.82193390202789" u="1"/>
        <n v="296.72007400975065" u="1"/>
        <n v="9.006487204372478" u="1"/>
        <n v="26.977916262280569" u="1"/>
        <n v="7.0509044059639141" u="1"/>
        <n v="31.407604161345798" u="1"/>
        <n v="19.990010953897148" u="1"/>
        <n v="2650218.7941632187" u="1"/>
        <n v="29.195257473338895" u="1"/>
        <n v="79.767641166221139" u="1"/>
        <n v="11.956207113789993" u="1"/>
        <n v="31.526791643254843" u="1"/>
        <n v="55.788822484434675" u="1"/>
        <n v="65.984460222596809" u="1"/>
        <n v="26.896641750807355" u="1"/>
        <n v="79.390214140175829" u="1"/>
        <n v="424.79553671258225" u="1"/>
        <n v="546.68914202039809" u="1"/>
        <n v="90.089844658981917" u="1"/>
        <n v="27.486903565975947" u="1"/>
        <n v="77.522943590267488" u="1"/>
        <n v="51.364129108420876" u="1"/>
        <n v="280.73760024518566" u="1"/>
        <n v="26.166760313973882" u="1"/>
        <n v="61.447957637363579" u="1"/>
        <n v="1115.6629378011612" u="1"/>
        <n v="6.7548654032793589" u="1"/>
        <n v="8.7526746238499822" u="1"/>
        <n v="40.126452242711117" u="1"/>
        <n v="234.81523102506907" u="1"/>
        <n v="53.273399056716215" u="1"/>
        <n v="63.886760540997649" u="1"/>
        <n v="303.54213845044927" u="1"/>
        <n v="13.492704023428855" u="1"/>
        <n v="26.574267990215276" u="1"/>
        <n v="40.965305091575715" u="1"/>
        <n v="87.765121202317914" u="1"/>
        <n v="36.88228249703451" u="1"/>
        <n v="49.193781818800979" u="1"/>
        <n v="69.2513323457799" u="1"/>
        <n v="97.263795951030986" u="1"/>
        <n v="265.02187941632189" u="1"/>
        <n v="54.704216399062396" u="1"/>
        <n v="77.393540038480523" u="1"/>
        <n v="14.630547184053849" u="1"/>
        <n v="74.318503005227214" u="1"/>
        <n v="639.2194922613271" u="1"/>
        <n v="24.65194417485371" u="1"/>
        <n v="149.76190881590074" u="1"/>
        <n v="23.243829210014017" u="1"/>
        <n v="91.269233170443769" u="1"/>
        <n v="9.2971911483430105" u="1"/>
        <n v="45.239027657171398" u="1"/>
        <n v="63.316363306147245" u="1"/>
        <n v="27.60495592900967" u="1"/>
        <n v="146.26006708552552" u="1"/>
        <n v="26.498782585006214" u="1"/>
        <n v="77.798777476971281" u="1"/>
        <n v="24.457271287735608" u="1"/>
        <n v="108.51736448099527" u="1"/>
        <n v="70.495422633135249" u="1"/>
        <n v="118.19709069032254" u="1"/>
        <n v="103.92013303593218" u="1"/>
        <n v="49.964527535146111" u="1"/>
        <n v="46.312850113228102" u="1"/>
        <n v="138.03613083380156" u="1"/>
        <n v="277.03711271162871" u="1"/>
        <n v="206.05415652154173" u="1"/>
        <n v="25.080451550288604" u="1"/>
        <n v="49.857826360865644" u="1"/>
        <n v="1497.6190881590073" u="1"/>
        <n v="14.674362772641363" u="1"/>
        <n v="59.439364787477366" u="1"/>
        <n v="182.7144097665628" u="1"/>
        <n v="79.717695935706857" u="1"/>
        <n v="43.981883502749824" u="1"/>
        <n v="85.153780229634549" u="1"/>
        <n v="445.84064066109329" u="1"/>
        <n v="475.64886232710717" u="1"/>
        <n v="238.1961825952223" u="1"/>
        <n v="148.55016941649214" u="1"/>
        <n v="4.6796410754116229" u="1"/>
        <n v="9.3334014404658525" u="1"/>
        <n v="17.551208050263064" u="1"/>
        <n v="19.176584767839813" u="1"/>
        <n v="20.31317929770195" u="1"/>
        <n v="23.405016090310056" u="1"/>
        <n v="238.29550549681315" u="1"/>
        <n v="39.878428768452771" u="1"/>
        <n v="25.391474122127441" u="1"/>
        <n v="183.91763577440648" u="1"/>
        <n v="79.126866561100613" u="1"/>
        <n v="14.03915025000993" u="1"/>
        <n v="78.098448860056877" u="1"/>
        <n v="158.02897958488703" u="1"/>
        <n v="33.143200921716527" u="1"/>
        <n v="83.68323372665202" u="1"/>
        <n v="398.54023712633307" u="1"/>
        <n v="34.409993586578352" u="1"/>
        <n v="60.468917607396435" u="1"/>
        <n v="155.31899678193798" u="1"/>
        <n v="146.22090548432683" u="1"/>
        <n v="47.890097790491112" u="1"/>
        <n v="92.467918702786164" u="1"/>
        <n v="79.398727531740747" u="1"/>
        <n v="260.44167475438866" u="1"/>
        <n v="9.059270232075054" u="1"/>
        <n v="46.355984630490433" u="1"/>
        <n v="13.488958131140285" u="1"/>
        <n v="57.891062641535136" u="1"/>
        <n v="41.327408012804142" u="1"/>
        <n v="360.75212976678984" u="1"/>
        <n v="74.251530991583095" u="1"/>
        <n v="9.7801842297934645" u="1"/>
        <n v="10.952307980453254" u="1"/>
        <n v="19.451964606993464" u="1"/>
        <n v="74.894008275016603" u="1"/>
        <n v="32.81969204224913" u="1"/>
        <n v="390.49224430028431" u="1"/>
        <n v="64.688154466976556" u="1"/>
        <n v="55.054400572099915" u="1"/>
        <n v="74.367880676303827" u="1"/>
        <n v="51.834068322805109" u="1"/>
        <n v="142.11120759621551" u="1"/>
        <n v="232.74477419647769" u="1"/>
        <n v="43.754292168247318" u="1"/>
        <n v="132.1789174371286" u="1"/>
        <n v="4.3763373119249911" u="1"/>
        <n v="45.773668647449099" u="1"/>
        <n v="145.89739660485944" u="1"/>
        <n v="879.63767005499642" u="1"/>
        <n v="28.734058674294669" u="1"/>
        <n v="61.650576356608944" u="1"/>
        <n v="20.063226121355559" u="1"/>
        <n v="86.022713728695237" u="1"/>
        <n v="72.593122314734416" u="1"/>
        <n v="26.636699528358108" u="1"/>
        <n v="43.808210314825224" u="1"/>
        <n v="13.287133995107638" u="1"/>
        <n v="20.482652545787857" u="1"/>
        <n v="13.977626806967359" u="1"/>
        <n v="40.662228351864144" u="1"/>
        <n v="18.441141248517255" u="1"/>
        <n v="47.278836276129013" u="1"/>
        <n v="98.376212448848719" u="1"/>
        <n v="51.938499259334932" u="1"/>
        <n v="20.442015290051252" u="1"/>
        <n v="38.696770019240262" u="1"/>
        <n v="15.42456283734314" u="1"/>
        <n v="9.7808653011186593" u="1"/>
        <n v="47.588156169654873" u="1"/>
        <n v="79.64221053049782" u="1"/>
        <n v="30.354213845044921" u="1"/>
        <n v="35.107524135465084" u="1"/>
        <n v="30.771937591164235" u="1"/>
        <n v="228.65607600755988" u="1"/>
        <n v="136.28010193367501" u="1"/>
        <n v="13.802477964504835" u="1"/>
        <n v="351.39364219917928" u="1"/>
        <n v="7.7807858427973864" u="1"/>
        <n v="218.7374072749769" u="1"/>
        <n v="35.247711316567624" u="1"/>
        <n v="66.147917340643502" u="1"/>
        <n v="586.81105378760799" u="1"/>
        <n v="104.81914718518897" u="1"/>
        <n v="12.540225775144302" u="1"/>
        <n v="18.615041460216922" u="1"/>
        <n v="68.123024183707642" u="1"/>
        <n v="12.526263812977813" u="1"/>
        <n v="15.934798771801377" u="1"/>
        <n v="391.20736919173856" u="1"/>
        <n v="52.08833495087773" u="1"/>
        <n v="58.358277570618583" u="1"/>
        <n v="68.47808936790905" u="1"/>
        <n v="246.70446612521496" u="1"/>
        <n v="56.159438797228042" u="1"/>
        <n v="72.851929418308345" u="1"/>
        <n v="120.38105940644634" u="1"/>
        <n v="65.878326607754005" u="1"/>
        <n v="81.151351075241351" u="1"/>
        <n v="144.49155187777041" u="1"/>
        <n v="24.789293558767941" u="1"/>
        <n v="27.464201188469463" u="1"/>
        <n v="33.226064599615192" u="1"/>
        <n v="102.19702258319002" u="1"/>
        <n v="195.35395844329801" u="1"/>
        <n v="9.1062641535134787" u="1"/>
        <n v="13.471250276685227" u="1"/>
        <n v="15.010812007287463" u="1"/>
        <n v="265.96970367721758" u="1"/>
        <n v="12.695737061063721" u="1"/>
        <n v="975.61764655803563" u="1"/>
        <n v="91.958817887203239" u="1"/>
        <n v="360.32078459416664" u="1"/>
        <n v="39.563433280550306" u="1"/>
        <n v="4.6355984630490426" u="1"/>
        <n v="66.126350082012337" u="1"/>
        <n v="39.049224430028438" u="1"/>
        <n v="653.03388897402272" u="1"/>
        <n v="79.014489792443513" u="1"/>
        <n v="238.66555425016884" u="1"/>
        <n v="16.571600460858264" u="1"/>
        <n v="690.2771392734104" u="1"/>
        <n v="41.84161686332601" u="1"/>
        <n v="17.204996793289176" u="1"/>
        <n v="71.85983552127496" u="1"/>
        <n v="23.892663159149343" u="1"/>
        <n v="190.39008360150518" u="1"/>
        <n v="625.72746930922347" u="1"/>
        <n v="62.785695231933161" u="1"/>
        <n v="220.91910575335004" u="1"/>
        <n v="51.756312679845401" u="1"/>
        <n v="46.233959351393082" u="1"/>
        <n v="54.043009654186037" u="1"/>
        <n v="159.08918061443984" u="1"/>
        <n v="180.14336551395343" u="1"/>
        <n v="431.25436311317702" u="1"/>
        <n v="10.392013303593219" u="1"/>
        <n v="531.71238357937034" u="1"/>
        <n v="127.84389845226542" u="1"/>
        <n v="23.177992315245216" u="1"/>
        <n v="633.36908957790604" u="1"/>
        <n v="34.407723348827702" u="1"/>
        <n v="5.476153990226627" u="1"/>
        <n v="301.90983750773296" u="1"/>
        <n v="63.000232699369441" u="1"/>
        <n v="13.947205621108669" u="1"/>
        <n v="55.783146890058056" u="1"/>
        <n v="145.34062079651289" u="1"/>
        <n v="233.98205377058116" u="1"/>
        <n v="190.13127649793125" u="1"/>
        <n v="54.837592866912985" u="1"/>
        <n v="95.31820219872526" u="1"/>
        <n v="21.877146084123659" u="1"/>
        <n v="95.639440840442006" u="1"/>
        <n v="220.29819572854765" u="1"/>
        <n v="206.69606624553754" u="1"/>
        <n v="172.38482800111242" u="1"/>
        <n v="30.825288178304472" u="1"/>
        <n v="43.011356864347619" u="1"/>
        <n v="12.289591527472716" u="1"/>
        <n v="90.507568405101225" u="1"/>
        <n v="105.43551673449001" u="1"/>
        <n v="21.941280300579479" u="1"/>
        <n v="184.34387291209075" u="1"/>
        <n v="4.7600074917845765" u="1"/>
        <n v="23.639418138064507" u="1"/>
        <n v="8.1930610183151433" u="1"/>
        <n v="3.7599677626239405" u="1"/>
        <n v="5.1414074338935141" u="1"/>
        <n v="8.4234901500059589" u="1"/>
        <n v="58.5971065819868" u="1"/>
        <n v="23.800037458922883" u="1"/>
        <n v="142.97730329808789" u="1"/>
        <n v="15.17710692252246" u="1"/>
        <n v="15.802897958488701" u="1"/>
        <n v="85.192487783283099" u="1"/>
        <n v="725.28704318559755" u="1"/>
        <n v="5.2794378891329394" u="1"/>
        <n v="89.884388142548232" u="1"/>
        <n v="16.657301935945242" u="1"/>
        <n v="11.30975691429285" u="1"/>
        <n v="34.278319797040744" u="1"/>
        <n v="15.811751885716232" u="1"/>
        <n v="192.40832496183162" u="1"/>
        <n v="38.954896051488987" u="1"/>
        <n v="81.685992065519073" u="1"/>
        <n v="118.68802960390028" u="1"/>
        <n v="33.073958670321751" u="1"/>
        <n v="185.94382296686021" u="1"/>
        <n v="467.23763146095473" u="1"/>
        <n v="4.9929338850011069" u="1"/>
        <n v="86.250872622635399" u="1"/>
        <n v="6.7187686230440482" u="1"/>
        <n v="21.148626789940575" u="1"/>
        <n v="11.571855862605211" u="1"/>
        <n v="46.929560198191751" u="1"/>
        <n v="310.25069100361537" u="1"/>
        <n v="10.888968347210161" u="1"/>
        <n v="52.409573592594484" u="1"/>
        <n v="9.307520730108461" u="1"/>
        <n v="34.061512091853821" u="1"/>
        <n v="21.512205365706922" u="1"/>
        <n v="61.991112019206213" u="1"/>
        <n v="118.78735250549113" u="1"/>
        <n v="42.364339105412817" u="1"/>
        <n v="6.2352079821559316" u="1"/>
        <n v="15.234884473276463" u="1"/>
        <n v="47.502681718342963" u="1"/>
        <n v="51.09851129159501" u="1"/>
        <n v="87.494962909990747" u="1"/>
        <n v="97.676979221649006" u="1"/>
        <n v="103.54599785462533" u="1"/>
        <n v="438.82560601158951" u="1"/>
        <n v="20.727270663420228" u="1"/>
        <n v="114.30647074514877" u="1"/>
        <n v="44.975680078096175" u="1"/>
        <n v="58.537058793482139" u="1"/>
        <n v="132.98485183860879" u="1"/>
        <n v="446.22658107870342" u="1"/>
        <n v="28.020409437378333" u="1"/>
        <n v="237.53497585034592" u="1"/>
        <n v="170.63788005198845" u="1"/>
        <n v="92.200030648209633" u="1"/>
        <n v="118.69029984165091" u="1"/>
        <n v="86.0891181829017" u="1"/>
      </sharedItems>
    </cacheField>
    <cacheField name="TOTAL VALUE USD" numFmtId="2">
      <sharedItems containsSemiMixedTypes="0" containsString="0" containsNumber="1" minValue="0" maxValue="1403.5282522005309"/>
    </cacheField>
    <cacheField name="Total Cost CAD" numFmtId="2">
      <sharedItems containsSemiMixedTypes="0" containsString="0" containsNumber="1" minValue="0" maxValue="1796.5968453173718"/>
    </cacheField>
    <cacheField name="Total Cost AUD" numFmtId="2">
      <sharedItems containsSemiMixedTypes="0" containsString="0" containsNumber="1" minValue="0" maxValue="1838.9431712048276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75">
  <r>
    <s v="BIA-GP-CHAIN-001-035-360"/>
    <s v="B00NG1HUX0"/>
    <x v="0"/>
    <s v="Curb Chain"/>
    <x v="0"/>
    <n v="2.0926"/>
    <s v="925 Silver"/>
    <s v="chain"/>
    <x v="0"/>
    <s v="7113.11.10.00"/>
    <s v="7113.11.00"/>
    <s v="7113.11.10.00"/>
    <s v="B00NG1HUX0 Curb Chain"/>
    <n v="2.3753497585034591"/>
    <n v="2.8686069449185245"/>
    <n v="3.6719817927539511"/>
    <n v="3.7585315036999782"/>
    <x v="0"/>
    <x v="0"/>
    <x v="0"/>
    <n v="20.926000000000002"/>
    <x v="0"/>
    <n v="28.686069449185247"/>
    <n v="36.719817927539516"/>
    <n v="37.585315036999781"/>
  </r>
  <r>
    <s v="BIA-S925-HOOP-HIN-010"/>
    <s v="B077MN9BHT"/>
    <x v="0"/>
    <s v="Hinged Hoop Earrings"/>
    <x v="1"/>
    <n v="1.6380999999999999"/>
    <s v="925 Silver"/>
    <s v="Earrings"/>
    <x v="0"/>
    <s v="7113.11.10.00"/>
    <s v="7113.11.00"/>
    <s v="7113.11.50.00"/>
    <s v="B077MN9BHT Hinged Hoop Earrings"/>
    <n v="1.8594382296686018"/>
    <n v="2.2455629534889776"/>
    <n v="2.874449667738816"/>
    <n v="2.9422013075651985"/>
    <x v="1"/>
    <x v="1"/>
    <x v="1"/>
    <n v="327.62"/>
    <x v="1"/>
    <n v="449.11259069779555"/>
    <n v="574.88993354776335"/>
    <n v="588.44026151303967"/>
  </r>
  <r>
    <s v="BIA-GP-CHAIN-001-035-500"/>
    <s v="B00NG1HXZ0"/>
    <x v="0"/>
    <s v="Curb Chain"/>
    <x v="2"/>
    <n v="2.6741000000000001"/>
    <s v="925 Silver"/>
    <s v="chain"/>
    <x v="0"/>
    <s v="7113.11.10.00"/>
    <s v="7113.11.00"/>
    <s v="7113.11.10.00"/>
    <s v="B00NG1HXZ0 Curb Chain"/>
    <n v="3.0354213845044926"/>
    <n v="3.6657468371435664"/>
    <n v="4.6923666787744152"/>
    <n v="4.8029671671815501"/>
    <x v="2"/>
    <x v="0"/>
    <x v="2"/>
    <n v="0"/>
    <x v="2"/>
    <n v="0"/>
    <n v="0"/>
    <n v="0"/>
  </r>
  <r>
    <s v="BIA-S925-CHAIN-001-030-600"/>
    <s v="B00D94C2N2"/>
    <x v="0"/>
    <s v="Curb Chain"/>
    <x v="3"/>
    <n v="1.9926999999999999"/>
    <s v="925 Silver"/>
    <s v="chain"/>
    <x v="0"/>
    <s v="7113.11.10.00"/>
    <s v="7113.11.00"/>
    <s v="7113.11.10.00"/>
    <s v="B00D94C2N2 Curb Chain"/>
    <n v="2.2619513828585696"/>
    <n v="2.7316606418518319"/>
    <n v="3.4966826524040897"/>
    <n v="3.5791005100941158"/>
    <x v="3"/>
    <x v="0"/>
    <x v="3"/>
    <n v="199.26999999999998"/>
    <x v="3"/>
    <n v="273.16606418518319"/>
    <n v="349.66826524040897"/>
    <n v="357.91005100941157"/>
  </r>
  <r>
    <s v="BIA-GP-CHAIN-001-040-250"/>
    <s v="B077MQ71G6"/>
    <x v="0"/>
    <s v="Curb Chain"/>
    <x v="4"/>
    <n v="2.6602999999999999"/>
    <s v="925 Silver"/>
    <s v="Anklet"/>
    <x v="0"/>
    <s v="7113.11.10.00"/>
    <s v="7113.11.00"/>
    <s v="7113.11.10.00"/>
    <s v="B077MQ71G6 Curb Chain"/>
    <n v="3.0197567440250177"/>
    <n v="3.6468293298130319"/>
    <n v="4.6681511819092689"/>
    <n v="4.7781809038005596"/>
    <x v="2"/>
    <x v="2"/>
    <x v="2"/>
    <n v="0"/>
    <x v="2"/>
    <n v="0"/>
    <n v="0"/>
    <n v="0"/>
  </r>
  <r>
    <s v="BIA-GP-CHAIN-001-060-450"/>
    <s v="B073G8ZSHF"/>
    <x v="0"/>
    <s v="Curb Chain"/>
    <x v="5"/>
    <n v="5.5500999999999996"/>
    <s v="925 Silver"/>
    <s v="chain"/>
    <x v="0"/>
    <s v="7113.11.10.00"/>
    <s v="7113.11.00"/>
    <s v="7113.11.10.00"/>
    <s v="B073G8ZSHF Curb Chain"/>
    <n v="6.3000232699369434"/>
    <n v="7.6082650315360327"/>
    <n v="9.7390166051628135"/>
    <n v="9.9685681442632355"/>
    <x v="2"/>
    <x v="0"/>
    <x v="2"/>
    <n v="0"/>
    <x v="2"/>
    <n v="0"/>
    <n v="0"/>
    <n v="0"/>
  </r>
  <r>
    <s v="BIA-GP-CHAIN-001-060-500"/>
    <s v="B073GCMSDH"/>
    <x v="0"/>
    <s v="Curb Chain"/>
    <x v="6"/>
    <n v="6.0811000000000002"/>
    <s v="925 Silver"/>
    <s v="chain"/>
    <x v="0"/>
    <s v="7113.11.10.00"/>
    <s v="7113.11.00"/>
    <s v="7113.11.10.00"/>
    <s v="B073GCMSDH Curb Chain"/>
    <n v="6.9027713927341043"/>
    <n v="8.3361778136022373"/>
    <n v="10.670786810626041"/>
    <n v="10.922300452618723"/>
    <x v="2"/>
    <x v="0"/>
    <x v="2"/>
    <n v="0"/>
    <x v="2"/>
    <n v="0"/>
    <n v="0"/>
    <n v="0"/>
  </r>
  <r>
    <s v="BIA-GP-CHAIN-001-060-700"/>
    <s v="B073G6KJ5M"/>
    <x v="0"/>
    <s v="Curb Chain"/>
    <x v="7"/>
    <n v="8.4254999999999995"/>
    <s v="925 Silver"/>
    <s v="chain"/>
    <x v="0"/>
    <s v="7113.11.10.00"/>
    <s v="7113.11.00"/>
    <s v="7113.11.10.00"/>
    <s v="B073G6KJ5M Curb Chain"/>
    <n v="9.5639440840442003"/>
    <n v="11.549960725609781"/>
    <n v="14.784613683861423"/>
    <n v="15.133091457719662"/>
    <x v="2"/>
    <x v="0"/>
    <x v="2"/>
    <n v="0"/>
    <x v="2"/>
    <n v="0"/>
    <n v="0"/>
    <n v="0"/>
  </r>
  <r>
    <s v="BIA-GP-CHAIN-004-040-450"/>
    <s v="B073G8S5JT"/>
    <x v="0"/>
    <s v="Figaro Chain"/>
    <x v="8"/>
    <n v="2.5777999999999999"/>
    <s v="925 Silver"/>
    <s v="chain"/>
    <x v="0"/>
    <s v="7113.11.10.00"/>
    <s v="7113.11.00"/>
    <s v="7113.11.10.00"/>
    <s v="B073G8S5JT Figaro Chain"/>
    <n v="2.9261094368107701"/>
    <n v="3.5337355359891869"/>
    <n v="4.5233846245632874"/>
    <n v="4.6300021553272499"/>
    <x v="2"/>
    <x v="0"/>
    <x v="2"/>
    <n v="0"/>
    <x v="2"/>
    <n v="0"/>
    <n v="0"/>
    <n v="0"/>
  </r>
  <r>
    <s v="BIA-S925-CHAIN-001-030-450"/>
    <s v="B00D94C3Y0"/>
    <x v="0"/>
    <s v="Curb Chain"/>
    <x v="9"/>
    <n v="1.7232000000000001"/>
    <s v="925 Silver"/>
    <s v="chain"/>
    <x v="0"/>
    <s v="7113.11.10.00"/>
    <s v="7113.11.00"/>
    <s v="7113.11.10.00"/>
    <s v="B00D94C3Y0 Curb Chain"/>
    <n v="1.9560368459586932"/>
    <n v="2.3622209153606049"/>
    <n v="3.0237785650738838"/>
    <n v="3.0950499317479703"/>
    <x v="3"/>
    <x v="0"/>
    <x v="4"/>
    <n v="172.32"/>
    <x v="4"/>
    <n v="236.22209153606047"/>
    <n v="302.37785650738834"/>
    <n v="309.50499317479705"/>
  </r>
  <r>
    <s v="BIA-S925-CHAIN-052-040-200"/>
    <s v="B01N360YYH"/>
    <x v="1"/>
    <s v="Heart Chain"/>
    <x v="10"/>
    <n v="1.6515"/>
    <s v="925 Silver"/>
    <s v="Bracelet"/>
    <x v="0"/>
    <s v="7113.11.10.00"/>
    <s v="7113.11.00"/>
    <s v="7113.11.10.00"/>
    <s v="B01N360YYH Heart Chain"/>
    <n v="1.8746488225979465"/>
    <n v="2.2639321272736992"/>
    <n v="2.897963266144103"/>
    <n v="2.9662691285293481"/>
    <x v="3"/>
    <x v="3"/>
    <x v="5"/>
    <n v="165.15"/>
    <x v="5"/>
    <n v="226.39321272736993"/>
    <n v="289.7963266144103"/>
    <n v="296.62691285293482"/>
  </r>
  <r>
    <s v="BIA-GP-CHAIN-007-040-360"/>
    <s v="B012HM885M"/>
    <x v="0"/>
    <s v="Belcher Chain"/>
    <x v="11"/>
    <n v="2.4685000000000001"/>
    <s v="925 Silver"/>
    <s v="chain"/>
    <x v="0"/>
    <s v="7113.11.10.00"/>
    <s v="7113.11.00"/>
    <s v="7113.11.10.00"/>
    <s v="B012HM885M Belcher Chain"/>
    <n v="2.8020409437378331"/>
    <n v="3.3839033945958992"/>
    <n v="4.3315908704067327"/>
    <n v="4.433687764925641"/>
    <x v="2"/>
    <x v="0"/>
    <x v="2"/>
    <n v="0"/>
    <x v="2"/>
    <n v="0"/>
    <n v="0"/>
    <n v="0"/>
  </r>
  <r>
    <s v="BIA-GP-CHAIN-001-035-450"/>
    <s v="B00NG1HX9Q"/>
    <x v="0"/>
    <s v="Curb Chain"/>
    <x v="12"/>
    <n v="2.4249000000000001"/>
    <s v="925 Silver"/>
    <s v="chain"/>
    <x v="0"/>
    <s v="7113.11.10.00"/>
    <s v="7113.11.00"/>
    <s v="7113.11.10.00"/>
    <s v="B00NG1HX9Q Curb Chain"/>
    <n v="2.7525497607736971"/>
    <n v="3.3241350381023276"/>
    <n v="4.255083938282068"/>
    <n v="4.3553775414900491"/>
    <x v="2"/>
    <x v="0"/>
    <x v="2"/>
    <n v="0"/>
    <x v="2"/>
    <n v="0"/>
    <n v="0"/>
    <n v="0"/>
  </r>
  <r>
    <s v="BIA-S925-CHAIN-001-030-500"/>
    <s v="B00D94BYVS"/>
    <x v="0"/>
    <s v="Curb Chain"/>
    <x v="13"/>
    <n v="1.831"/>
    <s v="925 Silver"/>
    <s v="chain"/>
    <x v="0"/>
    <s v="7113.11.10.00"/>
    <s v="7113.11.00"/>
    <s v="7113.11.10.00"/>
    <s v="B00D94BYVS Curb Chain"/>
    <n v="2.0784026607186439"/>
    <n v="2.5099968059570954"/>
    <n v="3.2129402000059657"/>
    <n v="3.2886701630864286"/>
    <x v="3"/>
    <x v="0"/>
    <x v="6"/>
    <n v="183.1"/>
    <x v="6"/>
    <n v="250.99968059570955"/>
    <n v="321.29402000059656"/>
    <n v="328.86701630864286"/>
  </r>
  <r>
    <s v="BIA-S925-CHAIN-001-035-360"/>
    <s v="B00D9BPSX6"/>
    <x v="0"/>
    <s v="Curb Chain"/>
    <x v="14"/>
    <n v="1.6366000000000001"/>
    <s v="925 Silver"/>
    <s v="chain"/>
    <x v="0"/>
    <s v="7113.11.10.00"/>
    <s v="7113.11.00"/>
    <s v="7113.11.10.00"/>
    <s v="B00D9BPSX6 Curb Chain"/>
    <n v="1.8577355513556157"/>
    <n v="2.2435067026921809"/>
    <n v="2.8718175485143442"/>
    <n v="2.9395071485020474"/>
    <x v="4"/>
    <x v="0"/>
    <x v="7"/>
    <n v="98.195999999999998"/>
    <x v="7"/>
    <n v="134.61040216153083"/>
    <n v="172.30905291086063"/>
    <n v="176.37042891012285"/>
  </r>
  <r>
    <s v="BIA-GP-CHAIN-008-030-360"/>
    <s v="B012HM8VWC"/>
    <x v="0"/>
    <s v="Singapore Chain"/>
    <x v="15"/>
    <n v="2.3698999999999999"/>
    <s v="925 Silver"/>
    <s v="chain"/>
    <x v="0"/>
    <s v="7113.11.10.00"/>
    <s v="7113.11.00"/>
    <s v="7113.11.10.00"/>
    <s v="B012HM8VWC Singapore Chain"/>
    <n v="2.6901182226308649"/>
    <n v="3.248739175553097"/>
    <n v="4.1585729000514133"/>
    <n v="4.2565917091745096"/>
    <x v="2"/>
    <x v="0"/>
    <x v="2"/>
    <n v="0"/>
    <x v="2"/>
    <n v="0"/>
    <n v="0"/>
    <n v="0"/>
  </r>
  <r>
    <s v="BIA-S925-CHAIN-001-035-450"/>
    <s v="B00D9BPYF8"/>
    <x v="0"/>
    <s v="Curb Chain"/>
    <x v="16"/>
    <n v="1.9323999999999999"/>
    <s v="925 Silver"/>
    <s v="chain"/>
    <x v="0"/>
    <s v="7113.11.10.00"/>
    <s v="7113.11.00"/>
    <s v="7113.11.10.00"/>
    <s v="B00D9BPYF8 Curb Chain"/>
    <n v="2.1935037146765195"/>
    <n v="2.6489993598205852"/>
    <n v="3.3908714595802993"/>
    <n v="3.4707953157554416"/>
    <x v="3"/>
    <x v="0"/>
    <x v="8"/>
    <n v="193.23999999999998"/>
    <x v="8"/>
    <n v="264.89993598205848"/>
    <n v="339.08714595802991"/>
    <n v="347.07953157554414"/>
  </r>
  <r>
    <s v="BIA-S925-CHAIN-001-040-450"/>
    <s v="B00D9BQHAO"/>
    <x v="0"/>
    <s v="Curb Chain"/>
    <x v="17"/>
    <n v="2.3420999999999998"/>
    <s v="925 Silver"/>
    <s v="chain"/>
    <x v="0"/>
    <s v="7113.11.10.00"/>
    <s v="7113.11.00"/>
    <s v="7113.11.10.00"/>
    <s v="B00D9BQHAO Curb Chain"/>
    <n v="2.6585619178968516"/>
    <n v="3.2106299941191225"/>
    <n v="4.1097909570911924"/>
    <n v="4.2066599612041093"/>
    <x v="2"/>
    <x v="0"/>
    <x v="2"/>
    <n v="0"/>
    <x v="2"/>
    <n v="0"/>
    <n v="0"/>
    <n v="0"/>
  </r>
  <r>
    <s v="BIA-GP-CHAIN-008-030-700"/>
    <s v="B012HM9DJ2"/>
    <x v="0"/>
    <s v="Singapore Chain"/>
    <x v="18"/>
    <n v="4.1162000000000001"/>
    <s v="925 Silver"/>
    <s v="chain"/>
    <x v="0"/>
    <s v="7113.11.10.00"/>
    <s v="7113.11.00"/>
    <s v="7113.11.10.00"/>
    <s v="B012HM9DJ2 Singapore Chain"/>
    <n v="4.6723763146095472"/>
    <n v="5.6426263531843786"/>
    <n v="7.2228861011821719"/>
    <n v="7.3931316904950064"/>
    <x v="2"/>
    <x v="0"/>
    <x v="2"/>
    <n v="0"/>
    <x v="2"/>
    <n v="0"/>
    <n v="0"/>
    <n v="0"/>
  </r>
  <r>
    <s v="BIA-GP-CHAIN-008-060-250"/>
    <s v="B0783QLT88"/>
    <x v="0"/>
    <s v="Singapore Chain"/>
    <x v="19"/>
    <n v="6.1204000000000001"/>
    <s v="925 Silver"/>
    <s v="Anklet"/>
    <x v="0"/>
    <s v="7113.11.10.00"/>
    <s v="7113.11.00"/>
    <s v="7113.11.10.00"/>
    <s v="B0783QLT88 Singapore Chain"/>
    <n v="6.9473815645343455"/>
    <n v="8.3900515844783232"/>
    <n v="10.739748334307217"/>
    <n v="10.992887420073281"/>
    <x v="2"/>
    <x v="2"/>
    <x v="2"/>
    <n v="0"/>
    <x v="2"/>
    <n v="0"/>
    <n v="0"/>
    <n v="0"/>
  </r>
  <r>
    <s v="BIA-GP-CHAIN-012-100-360"/>
    <s v="B012HM9HTI"/>
    <x v="0"/>
    <s v="Venice Box Chain"/>
    <x v="20"/>
    <n v="2.4731999999999998"/>
    <s v="925 Silver"/>
    <s v="chain"/>
    <x v="0"/>
    <s v="7113.11.10.00"/>
    <s v="7113.11.00"/>
    <s v="7113.11.10.00"/>
    <s v="B012HM9HTI Venice Box Chain"/>
    <n v="2.8073760024518566"/>
    <n v="3.3903463137591965"/>
    <n v="4.3398381773100789"/>
    <n v="4.4421294633235142"/>
    <x v="5"/>
    <x v="0"/>
    <x v="9"/>
    <n v="37.097999999999999"/>
    <x v="9"/>
    <n v="50.855194706387948"/>
    <n v="65.097572659651192"/>
    <n v="66.631941949852717"/>
  </r>
  <r>
    <s v="BIA-GP-CHAIN-012-100-450"/>
    <s v="B012HM9MVQ"/>
    <x v="0"/>
    <s v="Venice Box Chain"/>
    <x v="21"/>
    <n v="2.9807999999999999"/>
    <s v="925 Silver"/>
    <s v="chain"/>
    <x v="0"/>
    <s v="7113.11.10.00"/>
    <s v="7113.11.00"/>
    <s v="7113.11.10.00"/>
    <s v="B012HM9MVQ Venice Box Chain"/>
    <n v="3.3835623435664299"/>
    <n v="4.0861815833953639"/>
    <n v="5.2305473228715362"/>
    <n v="5.3538328902938428"/>
    <x v="2"/>
    <x v="0"/>
    <x v="2"/>
    <n v="0"/>
    <x v="2"/>
    <n v="0"/>
    <n v="0"/>
    <n v="0"/>
  </r>
  <r>
    <s v="BIA-S925-CHAIN-012-100-450"/>
    <s v="B012EOLJA4"/>
    <x v="0"/>
    <s v="Venice Box Chain"/>
    <x v="22"/>
    <n v="2.4319000000000002"/>
    <s v="925 Silver"/>
    <s v="chain"/>
    <x v="0"/>
    <s v="7113.11.10.00"/>
    <s v="7113.11.00"/>
    <s v="7113.11.10.00"/>
    <s v="B012EOLJA4 Venice Box Chain"/>
    <n v="2.7604955929009667"/>
    <n v="3.3337308751540475"/>
    <n v="4.2673671613296067"/>
    <n v="4.3679502837847544"/>
    <x v="6"/>
    <x v="0"/>
    <x v="10"/>
    <n v="60.797500000000007"/>
    <x v="10"/>
    <n v="83.343271878851198"/>
    <n v="106.68417903324016"/>
    <n v="109.19875709461886"/>
  </r>
  <r>
    <s v="BIA-GP-CHAIN-012-100-600"/>
    <s v="B012HM9VVC"/>
    <x v="0"/>
    <s v="Venice Box Chain"/>
    <x v="23"/>
    <n v="3.7227000000000001"/>
    <s v="925 Silver"/>
    <s v="chain"/>
    <x v="0"/>
    <s v="7113.11.10.00"/>
    <s v="7113.11.00"/>
    <s v="7113.11.10.00"/>
    <s v="B012HM9VVC Venice Box Chain"/>
    <n v="4.2257070371694674"/>
    <n v="5.1032032274912504"/>
    <n v="6.5323934912955819"/>
    <n v="6.6863639629283709"/>
    <x v="2"/>
    <x v="0"/>
    <x v="2"/>
    <n v="0"/>
    <x v="2"/>
    <n v="0"/>
    <n v="0"/>
    <n v="0"/>
  </r>
  <r>
    <s v="BIA-GP-CHAIN-013-075-190"/>
    <s v="B073V2KYM1"/>
    <x v="1"/>
    <s v="Byzantine Chain"/>
    <x v="24"/>
    <n v="13.1935"/>
    <s v="925 Silver"/>
    <s v="Bracelet"/>
    <x v="0"/>
    <s v="7113.11.10.00"/>
    <s v="7113.11.00"/>
    <s v="7113.11.10.00"/>
    <s v="B073V2KYM1 Byzantine Chain"/>
    <n v="14.976190881590075"/>
    <n v="18.086096591695764"/>
    <n v="23.151243325384332"/>
    <n v="23.696925066455922"/>
    <x v="2"/>
    <x v="3"/>
    <x v="2"/>
    <n v="0"/>
    <x v="2"/>
    <n v="0"/>
    <n v="0"/>
    <n v="0"/>
  </r>
  <r>
    <s v="BIA-GP-CHAIN-013-075-200"/>
    <s v="B073V3D571"/>
    <x v="1"/>
    <s v="Byzantine Chain"/>
    <x v="25"/>
    <n v="14.159000000000001"/>
    <s v="925 Silver"/>
    <s v="Bracelet"/>
    <x v="0"/>
    <s v="7113.11.10.00"/>
    <s v="7113.11.00"/>
    <s v="7113.11.10.00"/>
    <s v="B073V3D571 Byzantine Chain"/>
    <n v="16.07214815571561"/>
    <n v="19.409636687900885"/>
    <n v="24.845450732869729"/>
    <n v="25.431065450104175"/>
    <x v="2"/>
    <x v="3"/>
    <x v="2"/>
    <n v="0"/>
    <x v="2"/>
    <n v="0"/>
    <n v="0"/>
    <n v="0"/>
  </r>
  <r>
    <s v="PAV-S925-EAR-BALL-001-020-2PAIR"/>
    <s v="B07STWS287"/>
    <x v="2"/>
    <s v="Earrings - 2 mm CZ Stones"/>
    <x v="26"/>
    <n v="1.8996"/>
    <s v="925 Silver"/>
    <s v="Earrings"/>
    <x v="0"/>
    <s v="7113.11.10.00"/>
    <s v="7113.11.00"/>
    <s v="7113.11.50.00"/>
    <s v="B07STWS287 Earrings - 2 mm CZ Stones"/>
    <n v="2.1562718155658849"/>
    <n v="2.6040360090639534"/>
    <n v="3.3333157858718367"/>
    <n v="3.4118830375745381"/>
    <x v="7"/>
    <x v="1"/>
    <x v="11"/>
    <n v="37.991999999999997"/>
    <x v="11"/>
    <n v="52.080720181279069"/>
    <n v="66.666315717436731"/>
    <n v="68.237660751490765"/>
  </r>
  <r>
    <s v="BIA-ROSE-CHAIN-001-035-450"/>
    <s v="B073GBS69W"/>
    <x v="0"/>
    <s v="Curb Chain"/>
    <x v="12"/>
    <n v="2.4405999999999999"/>
    <s v="925 Silver"/>
    <s v="chain"/>
    <x v="0"/>
    <s v="7113.11.10.00"/>
    <s v="7113.11.00"/>
    <s v="7113.11.10.00"/>
    <s v="B073GBS69W Curb Chain"/>
    <n v="2.7703711271162872"/>
    <n v="3.3456571297754709"/>
    <n v="4.2826334528315453"/>
    <n v="4.3835764063510307"/>
    <x v="5"/>
    <x v="0"/>
    <x v="12"/>
    <n v="36.608999999999995"/>
    <x v="12"/>
    <n v="50.18485694663206"/>
    <n v="64.239501792473177"/>
    <n v="65.753646095265466"/>
  </r>
  <r>
    <s v="BIA-S925-CHAIN-001-035-500"/>
    <s v="B00D9BQ0W4"/>
    <x v="0"/>
    <s v="Curb Chain"/>
    <x v="27"/>
    <n v="2.04"/>
    <s v="925 Silver"/>
    <s v="chain"/>
    <x v="0"/>
    <s v="7113.11.10.00"/>
    <s v="7113.11.00"/>
    <s v="7113.11.10.00"/>
    <s v="B00D9BQ0W4 Curb Chain"/>
    <n v="2.3156425056614056"/>
    <n v="2.7965010836441699"/>
    <n v="3.5796821452824528"/>
    <n v="3.6640563258854799"/>
    <x v="8"/>
    <x v="0"/>
    <x v="13"/>
    <n v="61.2"/>
    <x v="13"/>
    <n v="83.895032509325105"/>
    <n v="107.39046435847358"/>
    <n v="109.92168977656439"/>
  </r>
  <r>
    <s v="BIA-GP-CHAIN-019-110-250"/>
    <s v="B077MBFMZS"/>
    <x v="1"/>
    <s v="Ball Chain"/>
    <x v="28"/>
    <n v="3.93"/>
    <s v="925 Silver"/>
    <s v="Anklet"/>
    <x v="0"/>
    <s v="7113.11.10.00"/>
    <s v="7113.11.00"/>
    <s v="7113.11.10.00"/>
    <s v="B077MBFMZS Ball Chain"/>
    <n v="4.4610171800241778"/>
    <n v="5.3873770876086216"/>
    <n v="6.896152368117666"/>
    <n v="7.058696745455852"/>
    <x v="2"/>
    <x v="2"/>
    <x v="2"/>
    <n v="0"/>
    <x v="2"/>
    <n v="0"/>
    <n v="0"/>
    <n v="0"/>
  </r>
  <r>
    <s v="BIA-GP-CHAIN-019-110-450"/>
    <s v="B073G9GG6N"/>
    <x v="1"/>
    <s v="Ball Chain"/>
    <x v="29"/>
    <n v="5.2363999999999997"/>
    <s v="925 Silver"/>
    <s v="chain"/>
    <x v="0"/>
    <s v="7113.11.10.00"/>
    <s v="7113.11.00"/>
    <s v="7113.11.10.00"/>
    <s v="B073G9GG6N Ball Chain"/>
    <n v="5.9439364787477365"/>
    <n v="7.1782344482325149"/>
    <n v="9.1885527380181529"/>
    <n v="9.4051296788562393"/>
    <x v="2"/>
    <x v="0"/>
    <x v="2"/>
    <n v="0"/>
    <x v="2"/>
    <n v="0"/>
    <n v="0"/>
    <n v="0"/>
  </r>
  <r>
    <s v="BIA-GP-CHAIN-019-110-500"/>
    <s v="B073G8L25J"/>
    <x v="1"/>
    <s v="Ball Chain"/>
    <x v="30"/>
    <n v="5.7990000000000004"/>
    <s v="925 Silver"/>
    <s v="chain"/>
    <x v="0"/>
    <s v="7113.11.10.00"/>
    <s v="7113.11.00"/>
    <s v="7113.11.10.00"/>
    <s v="B073G8L25J Ball Chain"/>
    <n v="6.5825543580051429"/>
    <n v="7.9494655804179128"/>
    <n v="10.175772921810266"/>
    <n v="10.415618938142108"/>
    <x v="2"/>
    <x v="0"/>
    <x v="2"/>
    <n v="0"/>
    <x v="2"/>
    <n v="0"/>
    <n v="0"/>
    <n v="0"/>
  </r>
  <r>
    <s v="BIA-GP-CHAIN-019-110-600"/>
    <s v="B073G9JZMK"/>
    <x v="1"/>
    <s v="Ball Chain"/>
    <x v="31"/>
    <n v="6.8295000000000003"/>
    <s v="925 Silver"/>
    <s v="chain"/>
    <x v="0"/>
    <s v="7113.11.10.00"/>
    <s v="7113.11.00"/>
    <s v="7113.11.10.00"/>
    <s v="B073G9JZMK Ball Chain"/>
    <n v="7.7522943590267497"/>
    <n v="9.3621098778175789"/>
    <n v="11.984038829022799"/>
    <n v="12.266506214526906"/>
    <x v="2"/>
    <x v="0"/>
    <x v="2"/>
    <n v="0"/>
    <x v="2"/>
    <n v="0"/>
    <n v="0"/>
    <n v="0"/>
  </r>
  <r>
    <s v="BIA-GP-CHAIN-020-200-180"/>
    <s v="B073V4NY79"/>
    <x v="1"/>
    <s v="Ball Chain"/>
    <x v="32"/>
    <n v="2.9198"/>
    <s v="925 Silver"/>
    <s v="Bracelet"/>
    <x v="0"/>
    <s v="7113.11.10.00"/>
    <s v="7113.11.00"/>
    <s v="7113.11.10.00"/>
    <s v="B073V4NY79 Ball Chain"/>
    <n v="3.3143200921716525"/>
    <n v="4.0025607176589446"/>
    <n v="5.1235078077429925"/>
    <n v="5.2442704217256981"/>
    <x v="7"/>
    <x v="3"/>
    <x v="14"/>
    <n v="58.396000000000001"/>
    <x v="14"/>
    <n v="80.051214353178892"/>
    <n v="102.47015615485985"/>
    <n v="104.88540843451396"/>
  </r>
  <r>
    <s v="BIA-GP-CHAIN-020-200-190"/>
    <s v="B073V368GD"/>
    <x v="1"/>
    <s v="Ball Chain"/>
    <x v="33"/>
    <n v="3.0156000000000001"/>
    <s v="925 Silver"/>
    <s v="Bracelet"/>
    <x v="0"/>
    <s v="7113.11.10.00"/>
    <s v="7113.11.00"/>
    <s v="7113.11.10.00"/>
    <s v="B073V368GD Ball Chain"/>
    <n v="3.4230644804277128"/>
    <n v="4.1338866018810583"/>
    <n v="5.2916124888792959"/>
    <n v="5.4163373805589483"/>
    <x v="9"/>
    <x v="3"/>
    <x v="15"/>
    <n v="15.077999999999999"/>
    <x v="15"/>
    <n v="20.669433009405292"/>
    <n v="26.458062444396479"/>
    <n v="27.081686902794743"/>
  </r>
  <r>
    <s v="BIA-GP-CHAIN-020-200-450"/>
    <s v="B073GBXF5Q"/>
    <x v="1"/>
    <s v="Ball Chain"/>
    <x v="34"/>
    <n v="6.0029000000000003"/>
    <s v="925 Silver"/>
    <s v="chain"/>
    <x v="0"/>
    <s v="7113.11.10.00"/>
    <s v="7113.11.00"/>
    <s v="7113.11.10.00"/>
    <s v="B073GBXF5Q Ball Chain"/>
    <n v="6.8140050966837507"/>
    <n v="8.2289786053958771"/>
    <n v="10.533565661723546"/>
    <n v="10.781844960126445"/>
    <x v="2"/>
    <x v="0"/>
    <x v="2"/>
    <n v="0"/>
    <x v="2"/>
    <n v="0"/>
    <n v="0"/>
    <n v="0"/>
  </r>
  <r>
    <s v="BIA-S925-CHAIN-005-060-190"/>
    <s v="B01MUCWVDN"/>
    <x v="0"/>
    <s v="Garibaldi Chain"/>
    <x v="35"/>
    <n v="4.1902999999999997"/>
    <s v="925 Silver"/>
    <s v="Bracelet"/>
    <x v="0"/>
    <s v="7113.11.10.00"/>
    <s v="7113.11.00"/>
    <s v="7113.11.10.00"/>
    <s v="B01MUCWVDN Garibaldi Chain"/>
    <n v="4.7564886232710721"/>
    <n v="5.7442051425461589"/>
    <n v="7.3529127908711081"/>
    <n v="7.5262231482146698"/>
    <x v="2"/>
    <x v="3"/>
    <x v="2"/>
    <n v="0"/>
    <x v="2"/>
    <n v="0"/>
    <n v="0"/>
    <n v="0"/>
  </r>
  <r>
    <s v="BIA-S925-CHAIN-006-035-500"/>
    <s v="B00DKCZEQ0"/>
    <x v="0"/>
    <s v="Rhombus Chain"/>
    <x v="36"/>
    <n v="2.9333999999999998"/>
    <s v="925 Silver"/>
    <s v="chain"/>
    <x v="0"/>
    <s v="7113.11.10.00"/>
    <s v="7113.11.00"/>
    <s v="7113.11.10.00"/>
    <s v="B00DKCZEQ0 Rhombus Chain"/>
    <n v="3.3297577088760617"/>
    <n v="4.021204058216572"/>
    <n v="5.1473723553782085"/>
    <n v="5.2686974638982678"/>
    <x v="10"/>
    <x v="0"/>
    <x v="16"/>
    <n v="146.66999999999999"/>
    <x v="16"/>
    <n v="201.06020291082862"/>
    <n v="257.36861776891044"/>
    <n v="263.43487319491339"/>
  </r>
  <r>
    <s v="BIA-GP-CHAIN-022-150-180"/>
    <s v="B073V2ZLZY"/>
    <x v="1"/>
    <s v="French Rope Chain"/>
    <x v="37"/>
    <n v="2.3662999999999998"/>
    <s v="925 Silver"/>
    <s v="Bracelet"/>
    <x v="0"/>
    <s v="7113.11.10.00"/>
    <s v="7113.11.00"/>
    <s v="7113.11.10.00"/>
    <s v="B073V2ZLZY French Rope Chain"/>
    <n v="2.6860317946796979"/>
    <n v="3.2438041736407839"/>
    <n v="4.1522558139126797"/>
    <n v="4.2501257274229465"/>
    <x v="2"/>
    <x v="3"/>
    <x v="2"/>
    <n v="0"/>
    <x v="2"/>
    <n v="0"/>
    <n v="0"/>
    <n v="0"/>
  </r>
  <r>
    <s v="BIA-GP-CHAIN-022-150-190"/>
    <s v="B073V3S8XH"/>
    <x v="1"/>
    <s v="French Rope Chain"/>
    <x v="38"/>
    <n v="2.4908000000000001"/>
    <s v="925 Silver"/>
    <s v="Bracelet"/>
    <x v="0"/>
    <s v="7113.11.10.00"/>
    <s v="7113.11.00"/>
    <s v="7113.11.10.00"/>
    <s v="B073V3S8XH French Rope Chain"/>
    <n v="2.8273540946575633"/>
    <n v="3.4144729897749504"/>
    <n v="4.3707217095438891"/>
    <n v="4.473740929664487"/>
    <x v="2"/>
    <x v="3"/>
    <x v="2"/>
    <n v="0"/>
    <x v="2"/>
    <n v="0"/>
    <n v="0"/>
    <n v="0"/>
  </r>
  <r>
    <s v="BIA-S925-CHAIN-012-100-500"/>
    <s v="B012EOLKEO"/>
    <x v="0"/>
    <s v="Venice Box Chain"/>
    <x v="39"/>
    <n v="2.7332000000000001"/>
    <s v="925 Silver"/>
    <s v="chain"/>
    <x v="0"/>
    <s v="7113.11.10.00"/>
    <s v="7113.11.00"/>
    <s v="7113.11.10.00"/>
    <s v="B012EOLKEO Venice Box Chain"/>
    <n v="3.1025069100361535"/>
    <n v="3.7467631185373751"/>
    <n v="4.7960721762186269"/>
    <n v="4.9091170342697028"/>
    <x v="11"/>
    <x v="0"/>
    <x v="17"/>
    <n v="218.65600000000001"/>
    <x v="17"/>
    <n v="299.74104948299004"/>
    <n v="383.6857740974902"/>
    <n v="392.72936274157621"/>
  </r>
  <r>
    <s v="BIA-GP-CHAIN-024-140-500"/>
    <s v="B073G8D9H6"/>
    <x v="1"/>
    <s v="Snake Chain"/>
    <x v="40"/>
    <n v="4.9680999999999997"/>
    <s v="925 Silver"/>
    <s v="chain"/>
    <x v="0"/>
    <s v="7113.11.10.00"/>
    <s v="7113.11.00"/>
    <s v="7113.11.10.00"/>
    <s v="B073G8D9H6 Snake Chain"/>
    <n v="5.639384084498249"/>
    <n v="6.8104397223787254"/>
    <n v="8.717754346067526"/>
    <n v="8.9232344277606135"/>
    <x v="2"/>
    <x v="0"/>
    <x v="2"/>
    <n v="0"/>
    <x v="2"/>
    <n v="0"/>
    <n v="0"/>
    <n v="0"/>
  </r>
  <r>
    <s v="BIA-S925-CHAIN-013-075-190"/>
    <s v="B00DKD02Z2"/>
    <x v="1"/>
    <s v="Byzantine Chain"/>
    <x v="41"/>
    <n v="7.7492999999999999"/>
    <s v="925 Silver"/>
    <s v="Bracelet"/>
    <x v="0"/>
    <s v="7113.11.10.00"/>
    <s v="7113.11.00"/>
    <s v="7113.11.10.00"/>
    <s v="B00DKD02Z2 Byzantine Chain"/>
    <n v="8.7963767005499651"/>
    <n v="10.623002866413611"/>
    <n v="13.59805433746927"/>
    <n v="13.918564552051151"/>
    <x v="2"/>
    <x v="3"/>
    <x v="2"/>
    <n v="0"/>
    <x v="2"/>
    <n v="0"/>
    <n v="0"/>
    <n v="0"/>
  </r>
  <r>
    <s v="BIA-GP-CHAIN-031-230-180"/>
    <s v="B073V3KRZ4"/>
    <x v="1"/>
    <s v="Heart Chain"/>
    <x v="42"/>
    <n v="2.0821000000000001"/>
    <s v="925 Silver"/>
    <s v="Bracelet"/>
    <x v="0"/>
    <s v="7113.11.10.00"/>
    <s v="7113.11.00"/>
    <s v="7113.11.10.00"/>
    <s v="B073V3KRZ4 Heart Chain"/>
    <n v="2.3634310103125551"/>
    <n v="2.8542131893409444"/>
    <n v="3.6535569581826444"/>
    <n v="3.7396723902579208"/>
    <x v="2"/>
    <x v="3"/>
    <x v="2"/>
    <n v="0"/>
    <x v="2"/>
    <n v="0"/>
    <n v="0"/>
    <n v="0"/>
  </r>
  <r>
    <s v="BIA-GP-CHAIN-031-230-190"/>
    <s v="B073V45K2H"/>
    <x v="1"/>
    <s v="Heart Chain"/>
    <x v="43"/>
    <n v="2.1652999999999998"/>
    <s v="925 Silver"/>
    <s v="Bracelet"/>
    <x v="0"/>
    <s v="7113.11.10.00"/>
    <s v="7113.11.00"/>
    <s v="7113.11.10.00"/>
    <s v="B073V45K2H Heart Chain"/>
    <n v="2.4578729007395297"/>
    <n v="2.968266566869961"/>
    <n v="3.7995518378333792"/>
    <n v="3.8891084129607005"/>
    <x v="2"/>
    <x v="3"/>
    <x v="2"/>
    <n v="0"/>
    <x v="2"/>
    <n v="0"/>
    <n v="0"/>
    <n v="0"/>
  </r>
  <r>
    <s v="BIA-GP-CHAIN-031-230-200"/>
    <s v="B073V3V133"/>
    <x v="1"/>
    <s v="Heart Chain"/>
    <x v="44"/>
    <n v="2.1497000000000002"/>
    <s v="925 Silver"/>
    <s v="Bracelet"/>
    <x v="0"/>
    <s v="7113.11.10.00"/>
    <s v="7113.11.00"/>
    <s v="7113.11.10.00"/>
    <s v="B073V3V133 Heart Chain"/>
    <n v="2.4401650462844722"/>
    <n v="2.9468815585832711"/>
    <n v="3.7721777978988671"/>
    <n v="3.8610891587039298"/>
    <x v="2"/>
    <x v="3"/>
    <x v="2"/>
    <n v="0"/>
    <x v="2"/>
    <n v="0"/>
    <n v="0"/>
    <n v="0"/>
  </r>
  <r>
    <s v="BIA-GP-CHAIN-031-230-360"/>
    <s v="B072NC1X39"/>
    <x v="1"/>
    <s v="Heart Chain"/>
    <x v="45"/>
    <n v="3.4592000000000001"/>
    <s v="925 Silver"/>
    <s v="chain"/>
    <x v="0"/>
    <s v="7113.11.10.00"/>
    <s v="7113.11.00"/>
    <s v="7113.11.10.00"/>
    <s v="B072NC1X39 Heart Chain"/>
    <n v="3.9266032135215361"/>
    <n v="4.7419885041872121"/>
    <n v="6.070017880863265"/>
    <n v="6.2130900208348301"/>
    <x v="2"/>
    <x v="0"/>
    <x v="2"/>
    <n v="0"/>
    <x v="2"/>
    <n v="0"/>
    <n v="0"/>
    <n v="0"/>
  </r>
  <r>
    <s v="BIA-GP-CHAIN-031-230-450"/>
    <s v="B0721Y53ZL"/>
    <x v="1"/>
    <s v="Heart Chain"/>
    <x v="46"/>
    <n v="4.2172000000000001"/>
    <s v="925 Silver"/>
    <s v="chain"/>
    <x v="0"/>
    <s v="7113.11.10.00"/>
    <s v="7113.11.00"/>
    <s v="7113.11.10.00"/>
    <s v="B0721Y53ZL Heart Chain"/>
    <n v="4.7870233210172932"/>
    <n v="5.7810805735020558"/>
    <n v="7.4001154622966467"/>
    <n v="7.5745384007471799"/>
    <x v="2"/>
    <x v="0"/>
    <x v="2"/>
    <n v="0"/>
    <x v="2"/>
    <n v="0"/>
    <n v="0"/>
    <n v="0"/>
  </r>
  <r>
    <s v="BIA-GP-CHAIN-031-230-500"/>
    <s v="B072KS699P"/>
    <x v="1"/>
    <s v="Heart Chain"/>
    <x v="47"/>
    <n v="4.7655000000000003"/>
    <s v="925 Silver"/>
    <s v="chain"/>
    <x v="0"/>
    <s v="7113.11.10.00"/>
    <s v="7113.11.00"/>
    <s v="7113.11.10.00"/>
    <s v="B072KS699P Heart Chain"/>
    <n v="5.409409000357563"/>
    <n v="6.5327087814246534"/>
    <n v="8.3622427761487881"/>
    <n v="8.5593433436310082"/>
    <x v="2"/>
    <x v="0"/>
    <x v="2"/>
    <n v="0"/>
    <x v="2"/>
    <n v="0"/>
    <n v="0"/>
    <n v="0"/>
  </r>
  <r>
    <s v="BIA-GP-CHAIN-031-230-600"/>
    <s v="B071GYZZV3"/>
    <x v="1"/>
    <s v="Heart Chain"/>
    <x v="48"/>
    <n v="5.4043999999999999"/>
    <s v="925 Silver"/>
    <s v="chain"/>
    <x v="0"/>
    <s v="7113.11.10.00"/>
    <s v="7113.11.00"/>
    <s v="7113.11.10.00"/>
    <s v="B071GYZZV3 Heart Chain"/>
    <n v="6.1346364498022057"/>
    <n v="7.4085345374738001"/>
    <n v="9.4833500911590622"/>
    <n v="9.7068754939291608"/>
    <x v="2"/>
    <x v="0"/>
    <x v="2"/>
    <n v="0"/>
    <x v="2"/>
    <n v="0"/>
    <n v="0"/>
    <n v="0"/>
  </r>
  <r>
    <s v="BIA-GP-CHAIN-036-140-250"/>
    <s v="B077MN5KDQ"/>
    <x v="1"/>
    <s v="Cube and Oval Link Chain"/>
    <x v="49"/>
    <n v="5.7442000000000002"/>
    <s v="925 Silver"/>
    <s v="Anklet"/>
    <x v="0"/>
    <s v="7113.11.10.00"/>
    <s v="7113.11.00"/>
    <s v="7113.11.10.00"/>
    <s v="B077MN5KDQ Cube and Oval Link Chain"/>
    <n v="6.5203498436373755"/>
    <n v="7.874343884641589"/>
    <n v="10.079612832809541"/>
    <n v="10.317192327034988"/>
    <x v="2"/>
    <x v="2"/>
    <x v="2"/>
    <n v="0"/>
    <x v="2"/>
    <n v="0"/>
    <n v="0"/>
    <n v="0"/>
  </r>
  <r>
    <s v="BIA-GP-CHAIN-041-220-180"/>
    <s v="B073V3Z6FW"/>
    <x v="1"/>
    <s v="Bismark Chain"/>
    <x v="50"/>
    <n v="2.6526000000000001"/>
    <s v="925 Silver"/>
    <s v="Bracelet"/>
    <x v="0"/>
    <s v="7113.11.10.00"/>
    <s v="7113.11.00"/>
    <s v="7113.11.10.00"/>
    <s v="B073V3Z6FW Bismark Chain"/>
    <n v="3.0110163286850216"/>
    <n v="3.6362739090561398"/>
    <n v="4.6546396365569773"/>
    <n v="4.7643508872763842"/>
    <x v="2"/>
    <x v="3"/>
    <x v="2"/>
    <n v="0"/>
    <x v="2"/>
    <n v="0"/>
    <n v="0"/>
    <n v="0"/>
  </r>
  <r>
    <s v="BIA-GP-CHAIN-041-220-190"/>
    <s v="B073V3RRL7"/>
    <x v="1"/>
    <s v="Bismark Chain"/>
    <x v="51"/>
    <n v="2.7652000000000001"/>
    <s v="925 Silver"/>
    <s v="Bracelet"/>
    <x v="0"/>
    <s v="7113.11.10.00"/>
    <s v="7113.11.00"/>
    <s v="7113.11.10.00"/>
    <s v="B073V3RRL7 Bismark Chain"/>
    <n v="3.1388307140465286"/>
    <n v="3.7906298022023819"/>
    <n v="4.8522240530073715"/>
    <n v="4.9665924276169262"/>
    <x v="2"/>
    <x v="3"/>
    <x v="2"/>
    <n v="0"/>
    <x v="2"/>
    <n v="0"/>
    <n v="0"/>
    <n v="0"/>
  </r>
  <r>
    <s v="BIA-GP-CHAIN-041-220-200"/>
    <s v="B073V437DQ"/>
    <x v="1"/>
    <s v="Bismark Chain"/>
    <x v="52"/>
    <n v="2.8803000000000001"/>
    <s v="925 Silver"/>
    <s v="Bracelet"/>
    <x v="0"/>
    <s v="7113.11.10.00"/>
    <s v="7113.11.00"/>
    <s v="7113.11.10.00"/>
    <s v="B073V437DQ Bismark Chain"/>
    <n v="3.2694828965963461"/>
    <n v="3.9484127800099524"/>
    <n v="5.0541953348318867"/>
    <n v="5.1733242330627203"/>
    <x v="2"/>
    <x v="3"/>
    <x v="2"/>
    <n v="0"/>
    <x v="2"/>
    <n v="0"/>
    <n v="0"/>
    <n v="0"/>
  </r>
  <r>
    <s v="BIA-GP-CHAIN-041-220-250"/>
    <s v="B0783Q52H9"/>
    <x v="1"/>
    <s v="Bismark Chain"/>
    <x v="53"/>
    <n v="3.9622000000000002"/>
    <s v="925 Silver"/>
    <s v="Anklet"/>
    <x v="0"/>
    <s v="7113.11.10.00"/>
    <s v="7113.11.00"/>
    <s v="7113.11.10.00"/>
    <s v="B0783Q52H9 Bismark Chain"/>
    <n v="4.4975680078096181"/>
    <n v="5.431517938046535"/>
    <n v="6.9526551941363399"/>
    <n v="7.1165313600114946"/>
    <x v="2"/>
    <x v="2"/>
    <x v="2"/>
    <n v="0"/>
    <x v="2"/>
    <n v="0"/>
    <n v="0"/>
    <n v="0"/>
  </r>
  <r>
    <s v="BIA-GP-CHAIN-041-220-450"/>
    <s v="B073G88P91"/>
    <x v="1"/>
    <s v="Bismark Chain"/>
    <x v="54"/>
    <n v="5.7291999999999996"/>
    <s v="925 Silver"/>
    <s v="chain"/>
    <x v="0"/>
    <s v="7113.11.10.00"/>
    <s v="7113.11.00"/>
    <s v="7113.11.10.00"/>
    <s v="B073G88P91 Bismark Chain"/>
    <n v="6.503323060507511"/>
    <n v="7.8537813766736164"/>
    <n v="10.053291640564817"/>
    <n v="10.290250736403475"/>
    <x v="2"/>
    <x v="0"/>
    <x v="2"/>
    <n v="0"/>
    <x v="2"/>
    <n v="0"/>
    <n v="0"/>
    <n v="0"/>
  </r>
  <r>
    <s v="BIA-GP-CHAIN-041-220-500"/>
    <s v="B073GBCXDL"/>
    <x v="1"/>
    <s v="Bismark Chain"/>
    <x v="55"/>
    <n v="6.3292000000000002"/>
    <s v="925 Silver"/>
    <s v="chain"/>
    <x v="0"/>
    <s v="7113.11.10.00"/>
    <s v="7113.11.00"/>
    <s v="7113.11.10.00"/>
    <s v="B073GBCXDL Bismark Chain"/>
    <n v="7.1843943857020429"/>
    <n v="8.6762816953924897"/>
    <n v="11.106139330353773"/>
    <n v="11.367914361663912"/>
    <x v="2"/>
    <x v="0"/>
    <x v="2"/>
    <n v="0"/>
    <x v="2"/>
    <n v="0"/>
    <n v="0"/>
    <n v="0"/>
  </r>
  <r>
    <s v="BIA-GP-CHAIN-041-220-600"/>
    <s v="B073GB5FK4"/>
    <x v="1"/>
    <s v="Bismark Chain"/>
    <x v="56"/>
    <n v="7.3470000000000004"/>
    <s v="925 Silver"/>
    <s v="chain"/>
    <x v="0"/>
    <s v="7113.11.10.00"/>
    <s v="7113.11.00"/>
    <s v="7113.11.10.00"/>
    <s v="B073GB5FK4 Bismark Chain"/>
    <n v="8.3397183770070331"/>
    <n v="10.071516402712607"/>
    <n v="12.892119961465774"/>
    <n v="13.195991091314031"/>
    <x v="2"/>
    <x v="0"/>
    <x v="2"/>
    <n v="0"/>
    <x v="2"/>
    <n v="0"/>
    <n v="0"/>
    <n v="0"/>
  </r>
  <r>
    <s v="BIA-GP-CHAIN-045-140-250"/>
    <s v="B0783RDF5M"/>
    <x v="1"/>
    <s v="Singapore with Beads Chain"/>
    <x v="57"/>
    <n v="4.6959"/>
    <s v="925 Silver"/>
    <s v="Anklet"/>
    <x v="0"/>
    <s v="7113.11.10.00"/>
    <s v="7113.11.00"/>
    <s v="7113.11.10.00"/>
    <s v="B0783RDF5M Singapore with Beads Chain"/>
    <n v="5.3304047266349972"/>
    <n v="6.4372987444532637"/>
    <n v="8.2401124441332687"/>
    <n v="8.4343343631007972"/>
    <x v="2"/>
    <x v="2"/>
    <x v="2"/>
    <n v="0"/>
    <x v="2"/>
    <n v="0"/>
    <n v="0"/>
    <n v="0"/>
  </r>
  <r>
    <s v="BIA-ROSE-CHAIN-001-035-360"/>
    <s v="B073G9J6QS"/>
    <x v="0"/>
    <s v="Curb Chain"/>
    <x v="14"/>
    <n v="2.0966999999999998"/>
    <s v="925 Silver"/>
    <s v="chain"/>
    <x v="0"/>
    <s v="7113.11.10.00"/>
    <s v="7113.11.00"/>
    <s v="7113.11.10.00"/>
    <s v="B073G9J6QS Curb Chain"/>
    <n v="2.3800037458922882"/>
    <n v="2.8742273637631031"/>
    <n v="3.6791762519675086"/>
    <n v="3.765895538472591"/>
    <x v="2"/>
    <x v="0"/>
    <x v="2"/>
    <n v="0"/>
    <x v="2"/>
    <n v="0"/>
    <n v="0"/>
    <n v="0"/>
  </r>
  <r>
    <s v="BIA-S925-CHAIN-015-120-500"/>
    <s v="B00DKD08U6"/>
    <x v="1"/>
    <s v="Ball Chain"/>
    <x v="58"/>
    <n v="2.3961000000000001"/>
    <s v="925 Silver"/>
    <s v="chain"/>
    <x v="0"/>
    <s v="7113.11.10.00"/>
    <s v="7113.11.00"/>
    <s v="7113.11.10.00"/>
    <s v="B00DKD08U6 Ball Chain"/>
    <n v="2.7198583371643599"/>
    <n v="3.2846550228038214"/>
    <n v="4.2045472491721982"/>
    <n v="4.3036496874775487"/>
    <x v="2"/>
    <x v="0"/>
    <x v="2"/>
    <n v="0"/>
    <x v="2"/>
    <n v="0"/>
    <n v="0"/>
    <n v="0"/>
  </r>
  <r>
    <s v="BIA-S925-CHAIN-031-230-450"/>
    <s v="B00DKCZKSC"/>
    <x v="1"/>
    <s v="Heart Chain"/>
    <x v="59"/>
    <n v="3.5081000000000002"/>
    <s v="925 Silver"/>
    <s v="chain"/>
    <x v="0"/>
    <s v="7113.11.10.00"/>
    <s v="7113.11.00"/>
    <s v="7113.11.10.00"/>
    <s v="B00DKCZKSC Heart Chain"/>
    <n v="3.9821105265248904"/>
    <n v="4.8090222801628002"/>
    <n v="6.155824967581065"/>
    <n v="6.3009196062935553"/>
    <x v="3"/>
    <x v="0"/>
    <x v="18"/>
    <n v="350.81"/>
    <x v="18"/>
    <n v="480.90222801628005"/>
    <n v="615.58249675810646"/>
    <n v="630.09196062935553"/>
  </r>
  <r>
    <s v="BIA-S925-CHAIN-031-230-600"/>
    <s v="B00DKCZMFI"/>
    <x v="1"/>
    <s v="Heart Chain"/>
    <x v="60"/>
    <n v="4.6170999999999998"/>
    <s v="925 Silver"/>
    <s v="chain"/>
    <x v="0"/>
    <s v="7113.11.10.00"/>
    <s v="7113.11.00"/>
    <s v="7113.11.10.00"/>
    <s v="B00DKCZMFI Heart Chain"/>
    <n v="5.2409573592594478"/>
    <n v="6.3292770359281842"/>
    <n v="8.1018384475409864"/>
    <n v="8.2928012069832597"/>
    <x v="2"/>
    <x v="0"/>
    <x v="2"/>
    <n v="0"/>
    <x v="2"/>
    <n v="0"/>
    <n v="0"/>
    <n v="0"/>
  </r>
  <r>
    <s v="BIA-S925-CHAIN-051-250-600"/>
    <s v="B01N34Q2U0"/>
    <x v="1"/>
    <s v="Popcorn Chain"/>
    <x v="61"/>
    <n v="5.5312000000000001"/>
    <s v="925 Silver"/>
    <s v="chain"/>
    <x v="0"/>
    <s v="7113.11.10.00"/>
    <s v="7113.11.00"/>
    <s v="7113.11.10.00"/>
    <s v="B01N34Q2U0 Popcorn Chain"/>
    <n v="6.2785695231933163"/>
    <n v="7.5823562714963888"/>
    <n v="9.7058519029344623"/>
    <n v="9.9346217400675325"/>
    <x v="2"/>
    <x v="0"/>
    <x v="2"/>
    <n v="0"/>
    <x v="2"/>
    <n v="0"/>
    <n v="0"/>
    <n v="0"/>
  </r>
  <r>
    <s v="BIA-ROSE-CHAIN-001-060-450"/>
    <s v="B073GBF888"/>
    <x v="0"/>
    <s v="Curb Chain"/>
    <x v="5"/>
    <n v="5.5949999999999998"/>
    <s v="925 Silver"/>
    <s v="chain"/>
    <x v="0"/>
    <s v="7113.11.10.00"/>
    <s v="7113.11.00"/>
    <s v="7113.11.10.00"/>
    <s v="B073GBF888 Curb Chain"/>
    <n v="6.3509901074390012"/>
    <n v="7.6698154720534948"/>
    <n v="9.8178047072820203"/>
    <n v="10.049213305553559"/>
    <x v="2"/>
    <x v="0"/>
    <x v="2"/>
    <n v="0"/>
    <x v="2"/>
    <n v="0"/>
    <n v="0"/>
    <n v="0"/>
  </r>
  <r>
    <s v="BIA-ROSE-CHAIN-001-060-500"/>
    <s v="B073G89MY6"/>
    <x v="0"/>
    <s v="Curb Chain"/>
    <x v="6"/>
    <n v="6.1304999999999996"/>
    <s v="925 Silver"/>
    <s v="chain"/>
    <x v="0"/>
    <s v="7113.11.10.00"/>
    <s v="7113.11.00"/>
    <s v="7113.11.10.00"/>
    <s v="B073G89MY6 Curb Chain"/>
    <n v="6.9588462651751204"/>
    <n v="8.4038970065100891"/>
    <n v="10.757471270418664"/>
    <n v="11.011028091098497"/>
    <x v="2"/>
    <x v="0"/>
    <x v="2"/>
    <n v="0"/>
    <x v="2"/>
    <n v="0"/>
    <n v="0"/>
    <n v="0"/>
  </r>
  <r>
    <s v="BIA-ROSE-CHAIN-001-060-700"/>
    <s v="B073G9BRC4"/>
    <x v="0"/>
    <s v="Curb Chain"/>
    <x v="7"/>
    <n v="8.4951000000000008"/>
    <s v="925 Silver"/>
    <s v="chain"/>
    <x v="0"/>
    <s v="7113.11.10.00"/>
    <s v="7113.11.00"/>
    <s v="7113.11.10.00"/>
    <s v="B073G9BRC4 Curb Chain"/>
    <n v="9.6429483577667678"/>
    <n v="11.645370762581171"/>
    <n v="14.906744015876944"/>
    <n v="15.258100438249874"/>
    <x v="2"/>
    <x v="0"/>
    <x v="2"/>
    <n v="0"/>
    <x v="2"/>
    <n v="0"/>
    <n v="0"/>
    <n v="0"/>
  </r>
  <r>
    <s v="BIA-ROSE-CHAIN-004-040-450"/>
    <s v="B073GBS6B1"/>
    <x v="0"/>
    <s v="Figaro Chain"/>
    <x v="8"/>
    <n v="2.5941999999999998"/>
    <s v="925 Silver"/>
    <s v="chain"/>
    <x v="0"/>
    <s v="7113.11.10.00"/>
    <s v="7113.11.00"/>
    <s v="7113.11.10.00"/>
    <s v="B073GBS6B1 Figaro Chain"/>
    <n v="2.9447253863660872"/>
    <n v="3.5562172113675024"/>
    <n v="4.5521624614175185"/>
    <n v="4.6594582944177017"/>
    <x v="2"/>
    <x v="0"/>
    <x v="2"/>
    <n v="0"/>
    <x v="2"/>
    <n v="0"/>
    <n v="0"/>
    <n v="0"/>
  </r>
  <r>
    <s v="BIA-ROSE-CHAIN-004-040-500"/>
    <s v="B073GBPP14"/>
    <x v="0"/>
    <s v="Figaro Chain"/>
    <x v="62"/>
    <n v="2.8155999999999999"/>
    <s v="925 Silver"/>
    <s v="chain"/>
    <x v="0"/>
    <s v="7113.11.10.00"/>
    <s v="7113.11.00"/>
    <s v="7113.11.10.00"/>
    <s v="B073GBPP14 Figaro Chain"/>
    <n v="3.196040705362869"/>
    <n v="3.8597198289747667"/>
    <n v="4.9406632589496438"/>
    <n v="5.0571161721388025"/>
    <x v="2"/>
    <x v="0"/>
    <x v="2"/>
    <n v="0"/>
    <x v="2"/>
    <n v="0"/>
    <n v="0"/>
    <n v="0"/>
  </r>
  <r>
    <s v="BIA-ROSE-CHAIN-004-040-600"/>
    <s v="B073G7SXJ1"/>
    <x v="0"/>
    <s v="Figaro Chain"/>
    <x v="63"/>
    <n v="3.2705000000000002"/>
    <s v="925 Silver"/>
    <s v="chain"/>
    <x v="0"/>
    <s v="7113.11.10.00"/>
    <s v="7113.11.00"/>
    <s v="7113.11.10.00"/>
    <s v="B073G7SXJ1 Figaro Chain"/>
    <n v="3.7124062817478563"/>
    <n v="4.4833121539501271"/>
    <n v="5.738897282424638"/>
    <n v="5.8741648106904227"/>
    <x v="2"/>
    <x v="0"/>
    <x v="2"/>
    <n v="0"/>
    <x v="2"/>
    <n v="0"/>
    <n v="0"/>
    <n v="0"/>
  </r>
  <r>
    <s v="BIA-ROSE-CHAIN-007-040-360"/>
    <s v="B073G9YP28"/>
    <x v="0"/>
    <s v="Trace Chain"/>
    <x v="11"/>
    <n v="2.4836999999999998"/>
    <s v="925 Silver"/>
    <s v="chain"/>
    <x v="0"/>
    <s v="7113.11.10.00"/>
    <s v="7113.11.00"/>
    <s v="7113.11.10.00"/>
    <s v="B073G9YP28 Trace Chain"/>
    <n v="2.819294750642761"/>
    <n v="3.4047400693367766"/>
    <n v="4.3582630118813857"/>
    <n v="4.4609885767655717"/>
    <x v="2"/>
    <x v="0"/>
    <x v="2"/>
    <n v="0"/>
    <x v="2"/>
    <n v="0"/>
    <n v="0"/>
    <n v="0"/>
  </r>
  <r>
    <s v="BIA-ROSE-CHAIN-007-040-450"/>
    <s v="B073GC16GF"/>
    <x v="0"/>
    <s v="Trace Chain"/>
    <x v="64"/>
    <n v="2.9456000000000002"/>
    <s v="925 Silver"/>
    <s v="chain"/>
    <x v="0"/>
    <s v="7113.11.10.00"/>
    <s v="7113.11.00"/>
    <s v="7113.11.10.00"/>
    <s v="B073GC16GF Trace Chain"/>
    <n v="3.3436061591550179"/>
    <n v="4.0379282313638569"/>
    <n v="5.1687802584039177"/>
    <n v="5.2906099576118972"/>
    <x v="2"/>
    <x v="0"/>
    <x v="2"/>
    <n v="0"/>
    <x v="2"/>
    <n v="0"/>
    <n v="0"/>
    <n v="0"/>
  </r>
  <r>
    <s v="BIA-ROSE-CHAIN-007-040-500"/>
    <s v="B073G8YFF5"/>
    <x v="0"/>
    <s v="Trace Chain"/>
    <x v="65"/>
    <n v="3.1985000000000001"/>
    <s v="925 Silver"/>
    <s v="chain"/>
    <x v="0"/>
    <s v="7113.11.10.00"/>
    <s v="7113.11.00"/>
    <s v="7113.11.10.00"/>
    <s v="B073G8YFF5 Trace Chain"/>
    <n v="3.6306777227245126"/>
    <n v="4.3846121157038613"/>
    <n v="5.6125555596499632"/>
    <n v="5.7448451756591705"/>
    <x v="2"/>
    <x v="0"/>
    <x v="2"/>
    <n v="0"/>
    <x v="2"/>
    <n v="0"/>
    <n v="0"/>
    <n v="0"/>
  </r>
  <r>
    <s v="BIA-ROSE-CHAIN-007-040-700"/>
    <s v="B073G8SNZ8"/>
    <x v="0"/>
    <s v="Trace Chain"/>
    <x v="66"/>
    <n v="4.3936999999999999"/>
    <s v="925 Silver"/>
    <s v="chain"/>
    <x v="0"/>
    <s v="7113.11.10.00"/>
    <s v="7113.11.00"/>
    <s v="7113.11.10.00"/>
    <s v="B073G8SNZ8 Trace Chain"/>
    <n v="4.9873718025120182"/>
    <n v="6.0230327505918577"/>
    <n v="7.7098281577095644"/>
    <n v="7.8915511171779578"/>
    <x v="2"/>
    <x v="0"/>
    <x v="2"/>
    <n v="0"/>
    <x v="2"/>
    <n v="0"/>
    <n v="0"/>
    <n v="0"/>
  </r>
  <r>
    <s v="BIA-ROSE-CHAIN-008-030-360"/>
    <s v="B073JGSYFH"/>
    <x v="0"/>
    <s v="Singapore Chain"/>
    <x v="15"/>
    <n v="2.3841999999999999"/>
    <s v="925 Silver"/>
    <s v="chain"/>
    <x v="0"/>
    <s v="7113.11.10.00"/>
    <s v="7113.11.00"/>
    <s v="7113.11.10.00"/>
    <s v="B073JGSYFH Singapore Chain"/>
    <n v="2.7063504225480011"/>
    <n v="3.268342099815897"/>
    <n v="4.183665769991384"/>
    <n v="4.2822760255765493"/>
    <x v="2"/>
    <x v="0"/>
    <x v="2"/>
    <n v="0"/>
    <x v="2"/>
    <n v="0"/>
    <n v="0"/>
    <n v="0"/>
  </r>
  <r>
    <s v="BIA-ROSE-CHAIN-008-030-450"/>
    <s v="B073JG8JLL"/>
    <x v="0"/>
    <s v="Singapore Chain"/>
    <x v="67"/>
    <n v="2.7841"/>
    <s v="925 Silver"/>
    <s v="chain"/>
    <x v="0"/>
    <s v="7113.11.10.00"/>
    <s v="7113.11.00"/>
    <s v="7113.11.10.00"/>
    <s v="B073JG8JLL Singapore Chain"/>
    <n v="3.1602844607901561"/>
    <n v="3.8165385622420263"/>
    <n v="4.8853887552357236"/>
    <n v="5.00053883181263"/>
    <x v="2"/>
    <x v="0"/>
    <x v="2"/>
    <n v="0"/>
    <x v="2"/>
    <n v="0"/>
    <n v="0"/>
    <n v="0"/>
  </r>
  <r>
    <s v="BIA-S925-CHAIN-056-100-500"/>
    <s v="B06Y5SQLLT"/>
    <x v="1"/>
    <s v="Flat Figaro Chain"/>
    <x v="68"/>
    <n v="7.4846000000000004"/>
    <s v="925 Silver"/>
    <s v="chain"/>
    <x v="0"/>
    <s v="7113.11.10.00"/>
    <s v="7113.11.00"/>
    <s v="7113.11.10.00"/>
    <s v="B06Y5SQLLT Flat Figaro Chain"/>
    <n v="8.4959107342516447"/>
    <n v="10.260143142472135"/>
    <n v="13.133573031657376"/>
    <n v="13.443135282707091"/>
    <x v="7"/>
    <x v="0"/>
    <x v="19"/>
    <n v="149.69200000000001"/>
    <x v="19"/>
    <n v="205.20286284944271"/>
    <n v="262.67146063314749"/>
    <n v="268.86270565414185"/>
  </r>
  <r>
    <s v="BIA-S925-HOOP-001"/>
    <s v="B00D0TO3G0"/>
    <x v="0"/>
    <s v="Circle Hoop Earrings"/>
    <x v="69"/>
    <n v="2.0613000000000001"/>
    <s v="925 Silver"/>
    <s v="Earrings"/>
    <x v="0"/>
    <s v="7113.11.10.00"/>
    <s v="7113.11.00"/>
    <s v="7113.11.50.00"/>
    <s v="B00D0TO3G0 Circle Hoop Earrings"/>
    <n v="2.3398205377058114"/>
    <n v="2.8256998449586903"/>
    <n v="3.6170582382699608"/>
    <n v="3.7023133845822258"/>
    <x v="7"/>
    <x v="1"/>
    <x v="20"/>
    <n v="41.225999999999999"/>
    <x v="20"/>
    <n v="56.513996899173797"/>
    <n v="72.341164765399213"/>
    <n v="74.046267691644516"/>
  </r>
  <r>
    <s v="BIA-ROSE-CHAIN-008-060-250"/>
    <s v="B077MRKPCW"/>
    <x v="0"/>
    <s v="Singapore Chain"/>
    <x v="19"/>
    <n v="6.1604999999999999"/>
    <s v="925 Silver"/>
    <s v="Anklet"/>
    <x v="0"/>
    <s v="7113.11.10.00"/>
    <s v="7113.11.00"/>
    <s v="7113.11.10.00"/>
    <s v="B077MRKPCW Singapore Chain"/>
    <n v="6.9928998314348467"/>
    <n v="8.4450220224460342"/>
    <n v="10.810113654908111"/>
    <n v="11.064911272361519"/>
    <x v="2"/>
    <x v="2"/>
    <x v="2"/>
    <n v="0"/>
    <x v="2"/>
    <n v="0"/>
    <n v="0"/>
    <n v="0"/>
  </r>
  <r>
    <s v="BIA-ROSE-CHAIN-012-100-360"/>
    <s v="B073G8X64Y"/>
    <x v="0"/>
    <s v="Box Chain"/>
    <x v="20"/>
    <n v="2.4891000000000001"/>
    <s v="925 Silver"/>
    <s v="chain"/>
    <x v="0"/>
    <s v="7113.11.10.00"/>
    <s v="7113.11.00"/>
    <s v="7113.11.10.00"/>
    <s v="B073G8X64Y Box Chain"/>
    <n v="2.8254243925695119"/>
    <n v="3.412142572205247"/>
    <n v="4.3677386410894865"/>
    <n v="4.4706875493929159"/>
    <x v="2"/>
    <x v="0"/>
    <x v="2"/>
    <n v="0"/>
    <x v="2"/>
    <n v="0"/>
    <n v="0"/>
    <n v="0"/>
  </r>
  <r>
    <s v="BIA-S925-HOOP-005"/>
    <s v="B00D0TO75M"/>
    <x v="0"/>
    <s v="Circle Hoop Earrings"/>
    <x v="70"/>
    <n v="7.4179000000000004"/>
    <s v="925 Silver"/>
    <s v="Earrings"/>
    <x v="0"/>
    <s v="7113.11.10.00"/>
    <s v="7113.11.00"/>
    <s v="7113.11.50.00"/>
    <s v="B00D0TO75M Circle Hoop Earrings"/>
    <n v="8.4201983052675189"/>
    <n v="10.168708523707886"/>
    <n v="13.016531463475836"/>
    <n v="13.323335009698972"/>
    <x v="2"/>
    <x v="1"/>
    <x v="2"/>
    <n v="0"/>
    <x v="2"/>
    <n v="0"/>
    <n v="0"/>
    <n v="0"/>
  </r>
  <r>
    <s v="GS-S925-HOOP-007"/>
    <s v="B06XYW4WQF"/>
    <x v="1"/>
    <s v="Hinged Hoop Earrings"/>
    <x v="71"/>
    <n v="1.927"/>
    <s v="925 Silver"/>
    <s v="Earrings"/>
    <x v="0"/>
    <s v="7113.11.10.00"/>
    <s v="7113.11.00"/>
    <s v="7113.11.50.00"/>
    <s v="B06XYW4WQF Hinged Hoop Earrings"/>
    <n v="2.1873740727497686"/>
    <n v="2.6415968569521153"/>
    <n v="3.3813958303721989"/>
    <n v="3.4610963431280983"/>
    <x v="2"/>
    <x v="1"/>
    <x v="2"/>
    <n v="0"/>
    <x v="2"/>
    <n v="0"/>
    <n v="0"/>
    <n v="0"/>
  </r>
  <r>
    <s v="S925-BC-1764-PEN-3H"/>
    <s v="B06ZZKTYLD"/>
    <x v="0"/>
    <s v="Pendant - SUN"/>
    <x v="2"/>
    <n v="3.1057999999999999"/>
    <s v="925 Silver"/>
    <s v="Pendant"/>
    <x v="0"/>
    <s v="7113.11.10.00"/>
    <s v="7113.11.00"/>
    <s v="7113.11.50.00"/>
    <s v="B06ZZKTYLD Pendant - SUN"/>
    <n v="3.5254522029819571"/>
    <n v="4.2575358164617958"/>
    <n v="5.4498905915775691"/>
    <n v="5.5783461455564334"/>
    <x v="7"/>
    <x v="4"/>
    <x v="21"/>
    <n v="62.116"/>
    <x v="21"/>
    <n v="85.150716329235905"/>
    <n v="108.99781183155139"/>
    <n v="111.56692291112867"/>
  </r>
  <r>
    <s v="BIA-ROSE-CHAIN-013-075-190"/>
    <s v="B073V3HM2F"/>
    <x v="1"/>
    <s v="Byzantine Chain"/>
    <x v="24"/>
    <n v="13.283899999999999"/>
    <s v="925 Silver"/>
    <s v="Bracelet"/>
    <x v="0"/>
    <s v="7113.11.10.00"/>
    <s v="7113.11.00"/>
    <s v="7113.11.10.00"/>
    <s v="B073V3HM2F Byzantine Chain"/>
    <n v="15.078805627919383"/>
    <n v="18.210019973049405"/>
    <n v="23.309872377312534"/>
    <n v="23.859293052661826"/>
    <x v="2"/>
    <x v="3"/>
    <x v="2"/>
    <n v="0"/>
    <x v="2"/>
    <n v="0"/>
    <n v="0"/>
    <n v="0"/>
  </r>
  <r>
    <s v="BIA-ROSE-CHAIN-013-075-200"/>
    <s v="B073V4L6B8"/>
    <x v="1"/>
    <s v="Byzantine Chain"/>
    <x v="25"/>
    <n v="14.256500000000001"/>
    <s v="925 Silver"/>
    <s v="Bracelet"/>
    <x v="0"/>
    <s v="7113.11.10.00"/>
    <s v="7113.11.00"/>
    <s v="7113.11.10.00"/>
    <s v="B073V4L6B8 Byzantine Chain"/>
    <n v="16.182822246059718"/>
    <n v="19.543292989692702"/>
    <n v="25.016538482460437"/>
    <n v="25.606185789208993"/>
    <x v="2"/>
    <x v="3"/>
    <x v="2"/>
    <n v="0"/>
    <x v="2"/>
    <n v="0"/>
    <n v="0"/>
    <n v="0"/>
  </r>
  <r>
    <s v="MS-S925-LOC-001"/>
    <s v="B07NT32JTG"/>
    <x v="2"/>
    <s v="Locket"/>
    <x v="72"/>
    <n v="5.6313000000000004"/>
    <s v="925 Silver"/>
    <s v="Locket"/>
    <x v="0"/>
    <s v="7113.11.10.00"/>
    <s v="7113.11.00"/>
    <s v="7113.11.10.00"/>
    <s v="B07NT32JTG Locket"/>
    <n v="6.392194922613271"/>
    <n v="7.7195767413359881"/>
    <n v="9.881501992514254"/>
    <n v="10.114411954881817"/>
    <x v="2"/>
    <x v="5"/>
    <x v="2"/>
    <n v="0"/>
    <x v="2"/>
    <n v="0"/>
    <n v="0"/>
    <n v="0"/>
  </r>
  <r>
    <s v="PAV-S925-HOOP-BALI-001-015"/>
    <s v="B07QS82H3S"/>
    <x v="2"/>
    <s v="Hoop Earrings - Bali - 15 mm"/>
    <x v="73"/>
    <n v="2.9137"/>
    <s v="925 Silver"/>
    <s v="Earrings"/>
    <x v="0"/>
    <s v="7113.11.10.00"/>
    <s v="7113.11.00"/>
    <s v="7113.11.50.00"/>
    <s v="B07QS82H3S Hoop Earrings - Bali - 15 mm"/>
    <n v="3.307395867032175"/>
    <n v="3.994198631085303"/>
    <n v="5.1128038562301379"/>
    <n v="5.2333141748688838"/>
    <x v="5"/>
    <x v="1"/>
    <x v="22"/>
    <n v="43.705500000000001"/>
    <x v="22"/>
    <n v="59.912979466279545"/>
    <n v="76.692057843452076"/>
    <n v="78.499712623033261"/>
  </r>
  <r>
    <s v="PAV-S925-HOOP-BALI-004-030"/>
    <s v="B07QT9RLZJ"/>
    <x v="2"/>
    <s v="Hoop Earrings - Bali - 30 mm"/>
    <x v="74"/>
    <n v="5.7530000000000001"/>
    <s v="925 Silver"/>
    <s v="Earrings"/>
    <x v="0"/>
    <s v="7113.11.10.00"/>
    <s v="7113.11.00"/>
    <s v="7113.11.50.00"/>
    <s v="B07QT9RLZJ Hoop Earrings - Bali - 30 mm"/>
    <n v="6.5303388897402286"/>
    <n v="7.8864072226494653"/>
    <n v="10.095054598926446"/>
    <n v="10.332998060205474"/>
    <x v="12"/>
    <x v="1"/>
    <x v="23"/>
    <n v="230.12"/>
    <x v="23"/>
    <n v="315.45628890597862"/>
    <n v="403.80218395705782"/>
    <n v="413.31992240821899"/>
  </r>
  <r>
    <s v="BIA-ROSE-CHAIN-019-110-250"/>
    <s v="B077MN5QL7"/>
    <x v="1"/>
    <s v="Ball Chain"/>
    <x v="75"/>
    <n v="4.2342000000000004"/>
    <s v="925 Silver"/>
    <s v="Anklet"/>
    <x v="0"/>
    <s v="7113.11.10.00"/>
    <s v="7113.11.00"/>
    <s v="7113.11.10.00"/>
    <s v="B077MN5QL7 Ball Chain"/>
    <n v="4.8063203418978055"/>
    <n v="5.804384749199091"/>
    <n v="7.4299461468406678"/>
    <n v="7.6050722034628926"/>
    <x v="2"/>
    <x v="2"/>
    <x v="2"/>
    <n v="0"/>
    <x v="2"/>
    <n v="0"/>
    <n v="0"/>
    <n v="0"/>
  </r>
  <r>
    <s v="BIA-ROSE-CHAIN-019-110-450"/>
    <s v="B073G8F8KW"/>
    <x v="1"/>
    <s v="Ball Chain"/>
    <x v="29"/>
    <n v="5.2721"/>
    <s v="925 Silver"/>
    <s v="chain"/>
    <x v="0"/>
    <s v="7113.11.10.00"/>
    <s v="7113.11.00"/>
    <s v="7113.11.10.00"/>
    <s v="B073G8F8KW Ball Chain"/>
    <n v="5.9844602225968115"/>
    <n v="7.2271732171962881"/>
    <n v="9.2511971755605966"/>
    <n v="9.4692506645592349"/>
    <x v="2"/>
    <x v="0"/>
    <x v="2"/>
    <n v="0"/>
    <x v="2"/>
    <n v="0"/>
    <n v="0"/>
    <n v="0"/>
  </r>
  <r>
    <s v="BIA-ROSE-CHAIN-019-110-500"/>
    <s v="B073G7TNMK"/>
    <x v="1"/>
    <s v="Ball Chain"/>
    <x v="30"/>
    <n v="5.8387000000000002"/>
    <s v="925 Silver"/>
    <s v="chain"/>
    <x v="0"/>
    <s v="7113.11.10.00"/>
    <s v="7113.11.00"/>
    <s v="7113.11.10.00"/>
    <s v="B073G7TNMK Ball Chain"/>
    <n v="6.6276185773555136"/>
    <n v="8.0038876848398122"/>
    <n v="10.245436343951303"/>
    <n v="10.486924348013506"/>
    <x v="2"/>
    <x v="0"/>
    <x v="2"/>
    <n v="0"/>
    <x v="2"/>
    <n v="0"/>
    <n v="0"/>
    <n v="0"/>
  </r>
  <r>
    <s v="BIA-ROSE-CHAIN-019-110-600"/>
    <s v="B073G8SYCQ"/>
    <x v="1"/>
    <s v="Ball Chain"/>
    <x v="31"/>
    <n v="6.8768000000000002"/>
    <s v="925 Silver"/>
    <s v="chain"/>
    <x v="0"/>
    <s v="7113.11.10.00"/>
    <s v="7113.11.00"/>
    <s v="7113.11.10.00"/>
    <s v="B073G8SYCQ Ball Chain"/>
    <n v="7.8059854818295848"/>
    <n v="9.4269503196099151"/>
    <n v="12.067038321901162"/>
    <n v="12.35146203031827"/>
    <x v="2"/>
    <x v="0"/>
    <x v="2"/>
    <n v="0"/>
    <x v="2"/>
    <n v="0"/>
    <n v="0"/>
    <n v="0"/>
  </r>
  <r>
    <s v="BIA-ROSE-CHAIN-020-200-180"/>
    <s v="B073V45Z21"/>
    <x v="1"/>
    <s v="Ball Chain"/>
    <x v="32"/>
    <n v="2.9398"/>
    <s v="925 Silver"/>
    <s v="Bracelet"/>
    <x v="0"/>
    <s v="7113.11.10.00"/>
    <s v="7113.11.00"/>
    <s v="7113.11.10.00"/>
    <s v="B073V45Z21 Ball Chain"/>
    <n v="3.337022469678137"/>
    <n v="4.0299773949495741"/>
    <n v="5.1586027307359581"/>
    <n v="5.280192542567713"/>
    <x v="2"/>
    <x v="3"/>
    <x v="2"/>
    <n v="0"/>
    <x v="2"/>
    <n v="0"/>
    <n v="0"/>
    <n v="0"/>
  </r>
  <r>
    <s v="GS-GP-CHAIN-EXT-001"/>
    <s v="B07RZR27NP"/>
    <x v="1"/>
    <s v="Chain Extender - 3 sizes together - gold plated"/>
    <x v="76"/>
    <n v="2.3411"/>
    <s v="925 Silver"/>
    <s v="Extender"/>
    <x v="0"/>
    <s v="7113.11.10.00"/>
    <s v="7113.11.00"/>
    <s v="7113.11.10.00"/>
    <s v="B07RZR27NP Chain Extender - 3 sizes together - gold plated"/>
    <n v="2.6574267990215277"/>
    <n v="3.2092591602545912"/>
    <n v="4.1080362109415436"/>
    <n v="4.2048638551620083"/>
    <x v="10"/>
    <x v="6"/>
    <x v="24"/>
    <n v="117.05499999999999"/>
    <x v="24"/>
    <n v="160.46295801272956"/>
    <n v="205.40181054707719"/>
    <n v="210.24319275810041"/>
  </r>
  <r>
    <s v="BIA-ROSE-CHAIN-020-200-450"/>
    <s v="B073G86JDQ"/>
    <x v="1"/>
    <s v="Ball Chain"/>
    <x v="34"/>
    <n v="6.0477999999999996"/>
    <s v="925 Silver"/>
    <s v="chain"/>
    <x v="0"/>
    <s v="7113.11.10.00"/>
    <s v="7113.11.00"/>
    <s v="7113.11.10.00"/>
    <s v="B073G86JDQ Ball Chain"/>
    <n v="6.8649719341858075"/>
    <n v="8.2905290459133383"/>
    <n v="10.612353763842753"/>
    <n v="10.862490121416768"/>
    <x v="0"/>
    <x v="0"/>
    <x v="25"/>
    <n v="60.477999999999994"/>
    <x v="25"/>
    <n v="82.905290459133383"/>
    <n v="106.12353763842752"/>
    <n v="108.62490121416768"/>
  </r>
  <r>
    <s v="BIA-ROSE-CHAIN-020-200-500"/>
    <s v="B073GC44K1"/>
    <x v="1"/>
    <s v="Ball Chain"/>
    <x v="77"/>
    <n v="6.6993"/>
    <s v="925 Silver"/>
    <s v="chain"/>
    <x v="0"/>
    <s v="7113.11.10.00"/>
    <s v="7113.11.00"/>
    <s v="7113.11.10.00"/>
    <s v="B073GC44K1 Ball Chain"/>
    <n v="7.6045018814595355"/>
    <n v="9.1836273086555824"/>
    <n v="11.755570880338595"/>
    <n v="12.03265320784539"/>
    <x v="9"/>
    <x v="0"/>
    <x v="26"/>
    <n v="33.496499999999997"/>
    <x v="26"/>
    <n v="45.91813654327791"/>
    <n v="58.77785440169297"/>
    <n v="60.163266039226954"/>
  </r>
  <r>
    <s v="BIA-ROSE-CHAIN-020-200-700"/>
    <s v="B073G9QLKH"/>
    <x v="1"/>
    <s v="Ball Chain"/>
    <x v="78"/>
    <n v="9.1190999999999995"/>
    <s v="925 Silver"/>
    <s v="chain"/>
    <x v="0"/>
    <s v="7113.11.10.00"/>
    <s v="7113.11.00"/>
    <s v="7113.11.10.00"/>
    <s v="B073G9QLKH Ball Chain"/>
    <n v="10.351262535969079"/>
    <n v="12.500771094048799"/>
    <n v="16.001705613257457"/>
    <n v="16.378870608520725"/>
    <x v="2"/>
    <x v="0"/>
    <x v="2"/>
    <n v="0"/>
    <x v="2"/>
    <n v="0"/>
    <n v="0"/>
    <n v="0"/>
  </r>
  <r>
    <s v="GS-ROSE-CHAIN-EXT-001"/>
    <s v="B07S1SVY6L"/>
    <x v="1"/>
    <s v="Chain Extender - 3 sizes together - rose plated"/>
    <x v="76"/>
    <n v="2.3411"/>
    <s v="925 Silver"/>
    <s v="Extender"/>
    <x v="0"/>
    <s v="7113.11.10.00"/>
    <s v="7113.11.00"/>
    <s v="7113.11.10.00"/>
    <s v="B07S1SVY6L Chain Extender - 3 sizes together - rose plated"/>
    <n v="2.6574267990215277"/>
    <n v="3.2092591602545912"/>
    <n v="4.1080362109415436"/>
    <n v="4.2048638551620083"/>
    <x v="12"/>
    <x v="6"/>
    <x v="27"/>
    <n v="93.644000000000005"/>
    <x v="27"/>
    <n v="128.37036641018366"/>
    <n v="164.32144843766176"/>
    <n v="168.19455420648035"/>
  </r>
  <r>
    <s v="BIA-ROSE-CHAIN-022-150-190"/>
    <s v="B073V39GF8"/>
    <x v="1"/>
    <s v="French Rope Chain"/>
    <x v="38"/>
    <n v="2.5066000000000002"/>
    <s v="925 Silver"/>
    <s v="Bracelet"/>
    <x v="0"/>
    <s v="7113.11.10.00"/>
    <s v="7113.11.00"/>
    <s v="7113.11.10.00"/>
    <s v="B073V39GF8 French Rope Chain"/>
    <n v="2.845288972887686"/>
    <n v="3.4361321648345475"/>
    <n v="4.398446698708331"/>
    <n v="4.5021194051296787"/>
    <x v="2"/>
    <x v="3"/>
    <x v="2"/>
    <n v="0"/>
    <x v="2"/>
    <n v="0"/>
    <n v="0"/>
    <n v="0"/>
  </r>
  <r>
    <s v="PAV-S925-EAR-BALL-002-020-2PAIR"/>
    <s v="B081VK8FXV"/>
    <x v="2"/>
    <s v="Earrings - Silver Ball studs 2 mm - 2 pair"/>
    <x v="79"/>
    <n v="1.6561999999999999"/>
    <s v="925 Silver"/>
    <s v="Earrings"/>
    <x v="0"/>
    <s v="7113.11.10.00"/>
    <s v="7113.11.00"/>
    <s v="7113.11.50.00"/>
    <s v="B081VK8FXV Earrings - Silver Ball studs 2 mm - 2 pair"/>
    <n v="1.8799838813119703"/>
    <n v="2.2703750464369969"/>
    <n v="2.9062105730474497"/>
    <n v="2.9747108269272213"/>
    <x v="2"/>
    <x v="1"/>
    <x v="2"/>
    <n v="0"/>
    <x v="2"/>
    <n v="0"/>
    <n v="0"/>
    <n v="0"/>
  </r>
  <r>
    <s v="BIA-S925-CHAIN-015-120-700"/>
    <s v="B00JCW1GI2"/>
    <x v="1"/>
    <s v="Ball Chain"/>
    <x v="80"/>
    <n v="3.0280999999999998"/>
    <s v="925 Silver"/>
    <s v="chain"/>
    <x v="0"/>
    <s v="7113.11.10.00"/>
    <s v="7113.11.00"/>
    <s v="7113.11.10.00"/>
    <s v="B00JCW1GI2 Ball Chain"/>
    <n v="3.4372534663692651"/>
    <n v="4.151022025187701"/>
    <n v="5.3135468157498993"/>
    <n v="5.4387887060852069"/>
    <x v="9"/>
    <x v="0"/>
    <x v="28"/>
    <n v="15.140499999999999"/>
    <x v="28"/>
    <n v="20.755110125938508"/>
    <n v="26.567734078749496"/>
    <n v="27.193943530426033"/>
  </r>
  <r>
    <s v="BIA-S925-CHAIN-020-200-190"/>
    <s v="B00JCW1XMQ"/>
    <x v="1"/>
    <s v="Ball Chain"/>
    <x v="81"/>
    <n v="2.4215"/>
    <s v="925 Silver"/>
    <s v="Bracelet"/>
    <x v="0"/>
    <s v="7113.11.10.00"/>
    <s v="7113.11.00"/>
    <s v="7113.11.10.00"/>
    <s v="B00JCW1XMQ Ball Chain"/>
    <n v="2.7486903565975949"/>
    <n v="3.3194742029629203"/>
    <n v="4.2491178013732638"/>
    <n v="4.3492707809469069"/>
    <x v="5"/>
    <x v="3"/>
    <x v="29"/>
    <n v="36.322499999999998"/>
    <x v="29"/>
    <n v="49.792113044443802"/>
    <n v="63.736767020598961"/>
    <n v="65.239061714203601"/>
  </r>
  <r>
    <s v="BIA-ROSE-CHAIN-031-230-180"/>
    <s v="B073V3LQMF"/>
    <x v="1"/>
    <s v="Heart Chain"/>
    <x v="42"/>
    <n v="2.0941000000000001"/>
    <s v="925 Silver"/>
    <s v="Bracelet"/>
    <x v="0"/>
    <s v="7113.11.10.00"/>
    <s v="7113.11.00"/>
    <s v="7113.11.10.00"/>
    <s v="B073V3LQMF Heart Chain"/>
    <n v="2.3770524368164456"/>
    <n v="2.8706631957153217"/>
    <n v="3.6746139119784238"/>
    <n v="3.7612256627631293"/>
    <x v="2"/>
    <x v="3"/>
    <x v="2"/>
    <n v="0"/>
    <x v="2"/>
    <n v="0"/>
    <n v="0"/>
    <n v="0"/>
  </r>
  <r>
    <s v="BIA-ROSE-CHAIN-031-230-190"/>
    <s v="B073V39W6Q"/>
    <x v="1"/>
    <s v="Heart Chain"/>
    <x v="43"/>
    <n v="2.1779000000000002"/>
    <s v="925 Silver"/>
    <s v="Bracelet"/>
    <x v="0"/>
    <s v="7113.11.10.00"/>
    <s v="7113.11.00"/>
    <s v="7113.11.10.00"/>
    <s v="B073V39W6Q Heart Chain"/>
    <n v="2.4721753985686155"/>
    <n v="2.985539073563058"/>
    <n v="3.8216616393189482"/>
    <n v="3.9117393490911705"/>
    <x v="2"/>
    <x v="3"/>
    <x v="2"/>
    <n v="0"/>
    <x v="2"/>
    <n v="0"/>
    <n v="0"/>
    <n v="0"/>
  </r>
  <r>
    <s v="BIA-ROSE-CHAIN-031-230-200"/>
    <s v="B073V3W1QD"/>
    <x v="1"/>
    <s v="Heart Chain"/>
    <x v="44"/>
    <n v="2.1621999999999999"/>
    <s v="925 Silver"/>
    <s v="Bracelet"/>
    <x v="0"/>
    <s v="7113.11.10.00"/>
    <s v="7113.11.00"/>
    <s v="7113.11.10.00"/>
    <s v="B073V3W1QD Heart Chain"/>
    <n v="2.4543540322260249"/>
    <n v="2.9640169818899138"/>
    <n v="3.79411212476947"/>
    <n v="3.8835404842301884"/>
    <x v="2"/>
    <x v="3"/>
    <x v="2"/>
    <n v="0"/>
    <x v="2"/>
    <n v="0"/>
    <n v="0"/>
    <n v="0"/>
  </r>
  <r>
    <s v="BIA-ROSE-CHAIN-031-230-360"/>
    <s v="B072NCX43X"/>
    <x v="1"/>
    <s v="Heart Chain"/>
    <x v="45"/>
    <n v="3.4817"/>
    <s v="925 Silver"/>
    <s v="chain"/>
    <x v="0"/>
    <s v="7113.11.10.00"/>
    <s v="7113.11.00"/>
    <s v="7113.11.10.00"/>
    <s v="B072NCX43X Heart Chain"/>
    <n v="3.952143388216331"/>
    <n v="4.7728322661391696"/>
    <n v="6.1094996692303507"/>
    <n v="6.2535024067820961"/>
    <x v="2"/>
    <x v="0"/>
    <x v="2"/>
    <n v="0"/>
    <x v="2"/>
    <n v="0"/>
    <n v="0"/>
    <n v="0"/>
  </r>
  <r>
    <s v="BIA-S925-CHAIN-043-200-450"/>
    <s v="B01IBQX9EI"/>
    <x v="1"/>
    <s v="Popcorn Chain"/>
    <x v="82"/>
    <n v="5.1257999999999999"/>
    <s v="925 Silver"/>
    <s v="chain"/>
    <x v="0"/>
    <s v="7113.11.10.00"/>
    <s v="7113.11.00"/>
    <s v="7113.11.10.00"/>
    <s v="B01IBQX9EI Popcorn Chain"/>
    <n v="5.8183923311368781"/>
    <n v="7.0266202228153363"/>
    <n v="8.9944778138670571"/>
    <n v="9.2064803505998984"/>
    <x v="7"/>
    <x v="0"/>
    <x v="30"/>
    <n v="102.51599999999999"/>
    <x v="30"/>
    <n v="140.53240445630672"/>
    <n v="179.88955627734111"/>
    <n v="184.12960701199796"/>
  </r>
  <r>
    <s v="GS-S925-CHAIN-EXT-001"/>
    <s v="B07RZRK41J"/>
    <x v="1"/>
    <s v="Chain Extender - 3 sizes together - silver"/>
    <x v="76"/>
    <n v="2.0476999999999999"/>
    <s v="925 Silver"/>
    <s v="Extender"/>
    <x v="0"/>
    <s v="7113.11.10.00"/>
    <s v="7113.11.00"/>
    <s v="7113.11.10.00"/>
    <s v="B07RZRK41J Chain Extender - 3 sizes together - silver"/>
    <n v="2.3243829210014018"/>
    <n v="2.807056504401062"/>
    <n v="3.5931936906347439"/>
    <n v="3.6778863424096553"/>
    <x v="13"/>
    <x v="6"/>
    <x v="31"/>
    <n v="1023.8499999999999"/>
    <x v="31"/>
    <n v="1403.5282522005309"/>
    <n v="1796.5968453173718"/>
    <n v="1838.9431712048276"/>
  </r>
  <r>
    <s v="BIA-ROSE-CHAIN-001-035-500"/>
    <s v="B073G73T3D"/>
    <x v="0"/>
    <s v="Curb Chain"/>
    <x v="83"/>
    <n v="2.6448"/>
    <s v="925 Silver"/>
    <s v="chain"/>
    <x v="0"/>
    <s v="7113.11.10.00"/>
    <s v="7113.11.00"/>
    <s v="7113.11.10.00"/>
    <s v="B073G73T3D Curb Chain"/>
    <n v="3.0021624014574928"/>
    <n v="3.6255814049127943"/>
    <n v="4.640952616589721"/>
    <n v="4.7503412601479988"/>
    <x v="0"/>
    <x v="0"/>
    <x v="32"/>
    <n v="26.448"/>
    <x v="32"/>
    <n v="36.255814049127942"/>
    <n v="46.409526165897212"/>
    <n v="47.503412601479987"/>
  </r>
  <r>
    <s v="BIA-ROSE-CHAIN-036-140-250"/>
    <s v="B077MN3FMF"/>
    <x v="1"/>
    <s v="Cube and Oval Link Chain"/>
    <x v="49"/>
    <n v="5.7751000000000001"/>
    <s v="925 Silver"/>
    <s v="Anklet"/>
    <x v="0"/>
    <s v="7113.11.10.00"/>
    <s v="7113.11.00"/>
    <s v="7113.11.10.00"/>
    <s v="B077MN3FMF Cube and Oval Link Chain"/>
    <n v="6.5554250168848931"/>
    <n v="7.9167026510556111"/>
    <n v="10.133834488833672"/>
    <n v="10.372692003735899"/>
    <x v="2"/>
    <x v="2"/>
    <x v="2"/>
    <n v="0"/>
    <x v="2"/>
    <n v="0"/>
    <n v="0"/>
    <n v="0"/>
  </r>
  <r>
    <s v="BIA-ROSE-CHAIN-041-220-180"/>
    <s v="B073V3CL2H"/>
    <x v="1"/>
    <s v="Bismark Chain"/>
    <x v="50"/>
    <n v="2.6688999999999998"/>
    <s v="925 Silver"/>
    <s v="Bracelet"/>
    <x v="0"/>
    <s v="7113.11.10.00"/>
    <s v="7113.11.00"/>
    <s v="7113.11.10.00"/>
    <s v="B073V3CL2H Bismark Chain"/>
    <n v="3.029518766352806"/>
    <n v="3.6586185010480023"/>
    <n v="4.6832419987962437"/>
    <n v="4.793627415762626"/>
    <x v="2"/>
    <x v="3"/>
    <x v="2"/>
    <n v="0"/>
    <x v="2"/>
    <n v="0"/>
    <n v="0"/>
    <n v="0"/>
  </r>
  <r>
    <s v="BIA-ROSE-CHAIN-041-220-190"/>
    <s v="B073V3Q7XP"/>
    <x v="1"/>
    <s v="Bismark Chain"/>
    <x v="51"/>
    <n v="2.7822"/>
    <s v="925 Silver"/>
    <s v="Bracelet"/>
    <x v="0"/>
    <s v="7113.11.10.00"/>
    <s v="7113.11.00"/>
    <s v="7113.11.10.00"/>
    <s v="B073V3Q7XP Bismark Chain"/>
    <n v="3.1581277349270405"/>
    <n v="3.8139339778994166"/>
    <n v="4.8820547375513916"/>
    <n v="4.9971262303326389"/>
    <x v="2"/>
    <x v="3"/>
    <x v="2"/>
    <n v="0"/>
    <x v="2"/>
    <n v="0"/>
    <n v="0"/>
    <n v="0"/>
  </r>
  <r>
    <s v="BIA-ROSE-CHAIN-041-220-200"/>
    <s v="B073V45DL8"/>
    <x v="1"/>
    <s v="Bismark Chain"/>
    <x v="52"/>
    <n v="2.8980999999999999"/>
    <s v="925 Silver"/>
    <s v="Bracelet"/>
    <x v="0"/>
    <s v="7113.11.10.00"/>
    <s v="7113.11.00"/>
    <s v="7113.11.10.00"/>
    <s v="B073V45DL8 Bismark Chain"/>
    <n v="3.2896880125771171"/>
    <n v="3.9728136227986122"/>
    <n v="5.0854298162956253"/>
    <n v="5.2052949206121122"/>
    <x v="2"/>
    <x v="3"/>
    <x v="2"/>
    <n v="0"/>
    <x v="2"/>
    <n v="0"/>
    <n v="0"/>
    <n v="0"/>
  </r>
  <r>
    <s v="BIA-S925-CHAIN-008-060-190"/>
    <s v="B01N366D90"/>
    <x v="0"/>
    <s v="Singapore Chain"/>
    <x v="84"/>
    <n v="3.3573"/>
    <s v="925 Silver"/>
    <s v="Bracelet"/>
    <x v="0"/>
    <s v="7113.11.10.00"/>
    <s v="7113.11.00"/>
    <s v="7113.11.10.00"/>
    <s v="B01N366D90 Singapore Chain"/>
    <n v="3.8109346001259983"/>
    <n v="4.6023005333914568"/>
    <n v="5.891209248214107"/>
    <n v="6.0300668151447656"/>
    <x v="6"/>
    <x v="3"/>
    <x v="33"/>
    <n v="83.932500000000005"/>
    <x v="33"/>
    <n v="115.05751333478642"/>
    <n v="147.28023120535269"/>
    <n v="150.75167037861914"/>
  </r>
  <r>
    <s v="BIA-ROSE-CHAIN-041-220-450"/>
    <s v="B073G944DQ"/>
    <x v="1"/>
    <s v="Bismark Chain"/>
    <x v="54"/>
    <n v="5.5034000000000001"/>
    <s v="925 Silver"/>
    <s v="chain"/>
    <x v="0"/>
    <s v="7113.11.10.00"/>
    <s v="7113.11.00"/>
    <s v="7113.11.10.00"/>
    <s v="B073G944DQ Bismark Chain"/>
    <n v="6.247013218459303"/>
    <n v="7.5442470900624139"/>
    <n v="9.6570699599742404"/>
    <n v="9.8846899920971332"/>
    <x v="2"/>
    <x v="0"/>
    <x v="2"/>
    <n v="0"/>
    <x v="2"/>
    <n v="0"/>
    <n v="0"/>
    <n v="0"/>
  </r>
  <r>
    <s v="BIA-ROSE-CHAIN-041-220-500"/>
    <s v="B073G8W1SH"/>
    <x v="1"/>
    <s v="Bismark Chain"/>
    <x v="55"/>
    <n v="6.0781999999999998"/>
    <s v="925 Silver"/>
    <s v="chain"/>
    <x v="0"/>
    <s v="7113.11.10.00"/>
    <s v="7113.11.00"/>
    <s v="7113.11.10.00"/>
    <s v="B073G8W1SH Bismark Chain"/>
    <n v="6.8994795479956634"/>
    <n v="8.332202395395095"/>
    <n v="10.665698046792061"/>
    <n v="10.917091745096629"/>
    <x v="2"/>
    <x v="0"/>
    <x v="2"/>
    <n v="0"/>
    <x v="2"/>
    <n v="0"/>
    <n v="0"/>
    <n v="0"/>
  </r>
  <r>
    <s v="BIA-ROSE-CHAIN-041-220-600"/>
    <s v="B073G969T6"/>
    <x v="1"/>
    <s v="Bismark Chain"/>
    <x v="56"/>
    <n v="7.0533000000000001"/>
    <s v="925 Silver"/>
    <s v="chain"/>
    <x v="0"/>
    <s v="7113.11.10.00"/>
    <s v="7113.11.00"/>
    <s v="7113.11.10.00"/>
    <s v="B073G969T6 Bismark Chain"/>
    <n v="8.0063339633243089"/>
    <n v="9.668902496699717"/>
    <n v="12.37675101731408"/>
    <n v="12.668474746749048"/>
    <x v="2"/>
    <x v="0"/>
    <x v="2"/>
    <n v="0"/>
    <x v="2"/>
    <n v="0"/>
    <n v="0"/>
    <n v="0"/>
  </r>
  <r>
    <s v="BIA-S925-CHAIN-043-200-550"/>
    <s v="B01IBQXBDC"/>
    <x v="1"/>
    <s v="Popcorn Chain"/>
    <x v="85"/>
    <n v="6.1569000000000003"/>
    <s v="925 Silver"/>
    <s v="chain"/>
    <x v="0"/>
    <s v="7113.11.10.00"/>
    <s v="7113.11.00"/>
    <s v="7113.11.10.00"/>
    <s v="B01IBQXBDC Popcorn Chain"/>
    <n v="6.9888134034836797"/>
    <n v="8.4400870205337206"/>
    <n v="10.803796568769378"/>
    <n v="11.058445290609958"/>
    <x v="5"/>
    <x v="0"/>
    <x v="34"/>
    <n v="92.353499999999997"/>
    <x v="34"/>
    <n v="126.60130530800581"/>
    <n v="162.05694853154068"/>
    <n v="165.87667935914936"/>
  </r>
  <r>
    <s v="BIA-S925-HOOP-003"/>
    <s v="B00D0TO5KY"/>
    <x v="0"/>
    <s v="Circle Hoop Earrings"/>
    <x v="86"/>
    <n v="3.8239999999999998"/>
    <s v="925 Silver"/>
    <s v="Earrings"/>
    <x v="0"/>
    <s v="7113.11.10.00"/>
    <s v="7113.11.00"/>
    <s v="7113.11.50.00"/>
    <s v="B00D0TO5KY Circle Hoop Earrings"/>
    <n v="4.3406945792398108"/>
    <n v="5.2420686979682873"/>
    <n v="6.7101492762549499"/>
    <n v="6.8683095049931744"/>
    <x v="0"/>
    <x v="1"/>
    <x v="35"/>
    <n v="38.239999999999995"/>
    <x v="35"/>
    <n v="52.420686979682863"/>
    <n v="67.101492762549498"/>
    <n v="68.683095049931751"/>
  </r>
  <r>
    <s v="GS-S925-PEN-COIN-001"/>
    <s v="B07Z591N8W"/>
    <x v="1"/>
    <s v="Coin Pendant - St Christopher - Silver"/>
    <x v="87"/>
    <n v="4.3083"/>
    <s v="925 Silver"/>
    <s v="Pendant"/>
    <x v="0"/>
    <s v="7113.11.10.00"/>
    <s v="7113.11.00"/>
    <s v="7113.11.50.00"/>
    <s v="B07Z591N8W Coin Pendant - St Christopher - Silver"/>
    <n v="4.8904326505593296"/>
    <n v="5.9059635385608713"/>
    <n v="7.5599728365296031"/>
    <n v="7.7381636611825559"/>
    <x v="5"/>
    <x v="4"/>
    <x v="36"/>
    <n v="64.624499999999998"/>
    <x v="36"/>
    <n v="88.589453078413072"/>
    <n v="113.39959254794404"/>
    <n v="116.07245491773834"/>
  </r>
  <r>
    <s v="BIA-S925-CHAIN-001-035-700"/>
    <s v="B00D9BQ9AW"/>
    <x v="0"/>
    <s v="Curb Chain"/>
    <x v="88"/>
    <n v="2.6395"/>
    <s v="925 Silver"/>
    <s v="chain"/>
    <x v="0"/>
    <s v="7113.11.10.00"/>
    <s v="7113.11.00"/>
    <s v="7113.11.10.00"/>
    <s v="B00D9BQ9AW Curb Chain"/>
    <n v="2.9961462714182741"/>
    <n v="3.6183159854307778"/>
    <n v="4.6316524619965849"/>
    <n v="4.7408218981248647"/>
    <x v="7"/>
    <x v="0"/>
    <x v="37"/>
    <n v="52.79"/>
    <x v="37"/>
    <n v="72.366319708615549"/>
    <n v="92.633049239931694"/>
    <n v="94.81643796249729"/>
  </r>
  <r>
    <s v="BIA-S925-CHAIN-005-060-180"/>
    <s v="B01N7UGF1G"/>
    <x v="0"/>
    <s v="Garibaldi Chain"/>
    <x v="89"/>
    <n v="3.9866999999999999"/>
    <s v="925 Silver"/>
    <s v="Bracelet"/>
    <x v="0"/>
    <s v="7113.11.10.00"/>
    <s v="7113.11.00"/>
    <s v="7113.11.10.00"/>
    <s v="B01N7UGF1G Garibaldi Chain"/>
    <n v="4.5253784202550609"/>
    <n v="5.4651033677275551"/>
    <n v="6.9956464748027223"/>
    <n v="7.1605359580429626"/>
    <x v="2"/>
    <x v="3"/>
    <x v="2"/>
    <n v="0"/>
    <x v="2"/>
    <n v="0"/>
    <n v="0"/>
    <n v="0"/>
  </r>
  <r>
    <s v="BIA-S925-CHAIN-016-350-450"/>
    <s v="B00DKD0AGI"/>
    <x v="1"/>
    <s v="Ball and Bar Chain"/>
    <x v="90"/>
    <n v="6.8802000000000003"/>
    <s v="925 Silver"/>
    <s v="chain"/>
    <x v="0"/>
    <s v="7113.11.10.00"/>
    <s v="7113.11.00"/>
    <s v="7113.11.10.00"/>
    <s v="B00DKD0AGI Ball and Bar Chain"/>
    <n v="7.8098448860056875"/>
    <n v="9.4316111547493229"/>
    <n v="12.073004458809967"/>
    <n v="12.357568790861412"/>
    <x v="2"/>
    <x v="0"/>
    <x v="2"/>
    <n v="0"/>
    <x v="2"/>
    <n v="0"/>
    <n v="0"/>
    <n v="0"/>
  </r>
  <r>
    <s v="BIA-S925-CHAIN-019-110-180"/>
    <s v="B01MYAH6T3"/>
    <x v="1"/>
    <s v="Ball Chain"/>
    <x v="91"/>
    <n v="1.9277"/>
    <s v="925 Silver"/>
    <s v="Bracelet"/>
    <x v="0"/>
    <s v="7113.11.10.00"/>
    <s v="7113.11.00"/>
    <s v="7113.11.10.00"/>
    <s v="B01MYAH6T3 Ball Chain"/>
    <n v="2.1881686559624955"/>
    <n v="2.6425564406572875"/>
    <n v="3.3826241526769527"/>
    <n v="3.4623536173575684"/>
    <x v="5"/>
    <x v="3"/>
    <x v="38"/>
    <n v="28.915499999999998"/>
    <x v="38"/>
    <n v="39.638346609859312"/>
    <n v="50.73936229015429"/>
    <n v="51.935304260363523"/>
  </r>
  <r>
    <s v="BIA-S925-CHAIN-029-500-190"/>
    <s v="B00DKCZIS4"/>
    <x v="1"/>
    <s v="Herringbone Chain"/>
    <x v="92"/>
    <n v="4.1985999999999999"/>
    <s v="925 Silver"/>
    <s v="Bracelet"/>
    <x v="0"/>
    <s v="7113.11.10.00"/>
    <s v="7113.11.00"/>
    <s v="7113.11.10.00"/>
    <s v="B00DKCZIS4 Herringbone Chain"/>
    <n v="4.7659101099362626"/>
    <n v="5.7555830636217706"/>
    <n v="7.3674771839131887"/>
    <n v="7.5411308283641061"/>
    <x v="9"/>
    <x v="3"/>
    <x v="39"/>
    <n v="20.992999999999999"/>
    <x v="39"/>
    <n v="28.77791531810885"/>
    <n v="36.837385919565939"/>
    <n v="37.705654141820531"/>
  </r>
  <r>
    <s v="S925-BC-0396-PEN-3H"/>
    <s v="B06ZYZSY83"/>
    <x v="0"/>
    <s v="Pen - Oval"/>
    <x v="93"/>
    <n v="1.6081000000000001"/>
    <s v="925 Silver"/>
    <s v="Pendant"/>
    <x v="0"/>
    <s v="7113.11.10.00"/>
    <s v="7113.11.00"/>
    <s v="7113.11.50.00"/>
    <s v="B06ZYZSY83 Pen - Oval"/>
    <n v="1.8253846634088755"/>
    <n v="2.2044379375530343"/>
    <n v="2.8218072832493686"/>
    <n v="2.8883181263021767"/>
    <x v="6"/>
    <x v="4"/>
    <x v="40"/>
    <n v="40.202500000000001"/>
    <x v="40"/>
    <n v="55.110948438825858"/>
    <n v="70.545182081234216"/>
    <n v="72.207953157554414"/>
  </r>
  <r>
    <s v="BIA-GP-CHAIN-060-150-650"/>
    <s v="B07RMXGTQJ"/>
    <x v="1"/>
    <s v="Chain - Super Flat Curb - Gauge 150 - Width 5 mm"/>
    <x v="94"/>
    <n v="17.189699999999998"/>
    <s v="925 Silver"/>
    <s v="chain"/>
    <x v="0"/>
    <s v="7113.11.10.00"/>
    <s v="7113.11.00"/>
    <s v="7113.11.10.00"/>
    <s v="B07RMXGTQJ Chain - Super Flat Curb - Gauge 150 - Width 5 mm"/>
    <n v="19.512352931160713"/>
    <n v="23.564222881136363"/>
    <n v="30.16355988860871"/>
    <n v="30.87452403189884"/>
    <x v="2"/>
    <x v="0"/>
    <x v="2"/>
    <n v="0"/>
    <x v="2"/>
    <n v="0"/>
    <n v="0"/>
    <n v="0"/>
  </r>
  <r>
    <s v="BIA-S925-CHAIN-001-040-500"/>
    <s v="B00D9BQK60"/>
    <x v="0"/>
    <s v="Curb Chain"/>
    <x v="95"/>
    <n v="2.7075"/>
    <s v="925 Silver"/>
    <s v="chain"/>
    <x v="0"/>
    <s v="7113.11.10.00"/>
    <s v="7113.11.00"/>
    <s v="7113.11.10.00"/>
    <s v="B00D9BQK60 Curb Chain"/>
    <n v="3.0733343549403211"/>
    <n v="3.7115326882189166"/>
    <n v="4.7509752001726664"/>
    <n v="4.8629571089877146"/>
    <x v="7"/>
    <x v="0"/>
    <x v="41"/>
    <n v="54.15"/>
    <x v="41"/>
    <n v="74.230653764378332"/>
    <n v="95.019504003453335"/>
    <n v="97.259142179754292"/>
  </r>
  <r>
    <s v="BIA-S925-CHAIN-001-040-700"/>
    <s v="B00D9BQPME"/>
    <x v="0"/>
    <s v="Curb Chain"/>
    <x v="96"/>
    <n v="3.577"/>
    <s v="925 Silver"/>
    <s v="chain"/>
    <x v="0"/>
    <s v="7113.11.10.00"/>
    <s v="7113.11.00"/>
    <s v="7113.11.10.00"/>
    <s v="B00D9BQPME Curb Chain"/>
    <n v="4.0603202170347288"/>
    <n v="4.9034727334290178"/>
    <n v="6.2767269772918297"/>
    <n v="6.4246713125942954"/>
    <x v="5"/>
    <x v="0"/>
    <x v="42"/>
    <n v="53.655000000000001"/>
    <x v="42"/>
    <n v="73.552091001435272"/>
    <n v="94.150904659377446"/>
    <n v="96.370069688914427"/>
  </r>
  <r>
    <s v="BIA-S925-CHAIN-001-060-450"/>
    <s v="B00D9BSYQY"/>
    <x v="0"/>
    <s v="Curb Chain"/>
    <x v="97"/>
    <n v="4.4420999999999999"/>
    <s v="925 Silver"/>
    <s v="chain"/>
    <x v="0"/>
    <s v="7113.11.10.00"/>
    <s v="7113.11.00"/>
    <s v="7113.11.10.00"/>
    <s v="B00D9BSYQY Curb Chain"/>
    <n v="5.0423115560777099"/>
    <n v="6.0893811096351795"/>
    <n v="7.7947578713525401"/>
    <n v="7.9784826496156329"/>
    <x v="2"/>
    <x v="0"/>
    <x v="2"/>
    <n v="0"/>
    <x v="2"/>
    <n v="0"/>
    <n v="0"/>
    <n v="0"/>
  </r>
  <r>
    <s v="BIA-S925-CHAIN-001-060-500"/>
    <s v="B00D9BT23I"/>
    <x v="0"/>
    <s v="Curb Chain"/>
    <x v="98"/>
    <n v="4.8704999999999998"/>
    <s v="925 Silver"/>
    <s v="chain"/>
    <x v="0"/>
    <s v="7113.11.10.00"/>
    <s v="7113.11.00"/>
    <s v="7113.11.10.00"/>
    <s v="B00D9BT23I Curb Chain"/>
    <n v="5.5285964822666056"/>
    <n v="6.6766463372004559"/>
    <n v="8.5464911218618553"/>
    <n v="8.7479344780515831"/>
    <x v="2"/>
    <x v="0"/>
    <x v="2"/>
    <n v="0"/>
    <x v="2"/>
    <n v="0"/>
    <n v="0"/>
    <n v="0"/>
  </r>
  <r>
    <s v="BIA-S925-CHAIN-001-060-700"/>
    <s v="B073D7GH98"/>
    <x v="0"/>
    <s v="Curb Chain"/>
    <x v="99"/>
    <n v="6.8674999999999997"/>
    <s v="925 Silver"/>
    <s v="chain"/>
    <x v="0"/>
    <s v="7113.11.10.00"/>
    <s v="7113.11.00"/>
    <s v="7113.11.10.00"/>
    <s v="B073D7GH98 Curb Chain"/>
    <n v="7.7954288762890691"/>
    <n v="9.4142015646697725"/>
    <n v="12.050719182709432"/>
    <n v="12.334758244126732"/>
    <x v="2"/>
    <x v="0"/>
    <x v="2"/>
    <n v="0"/>
    <x v="2"/>
    <n v="0"/>
    <n v="0"/>
    <n v="0"/>
  </r>
  <r>
    <s v="BIA-S925-CHAIN-003-095-450"/>
    <s v="B00DKCYOQG"/>
    <x v="0"/>
    <s v="Square Snake"/>
    <x v="100"/>
    <n v="3.4129999999999998"/>
    <s v="925 Silver"/>
    <s v="chain"/>
    <x v="0"/>
    <s v="7113.11.10.00"/>
    <s v="7113.11.00"/>
    <s v="7113.11.10.00"/>
    <s v="B00DKCYOQG Square Snake"/>
    <n v="3.874160721481557"/>
    <n v="4.6786559796458587"/>
    <n v="5.9889486087495145"/>
    <n v="6.1301099216897761"/>
    <x v="2"/>
    <x v="0"/>
    <x v="2"/>
    <n v="0"/>
    <x v="2"/>
    <n v="0"/>
    <n v="0"/>
    <n v="0"/>
  </r>
  <r>
    <s v="BIA-S925-CHAIN-020-200-180"/>
    <s v="B00JCW1X12"/>
    <x v="1"/>
    <s v="Ball Chain"/>
    <x v="101"/>
    <n v="2.3235999999999999"/>
    <s v="925 Silver"/>
    <s v="Bracelet"/>
    <x v="0"/>
    <s v="7113.11.10.00"/>
    <s v="7113.11.00"/>
    <s v="7113.11.10.00"/>
    <s v="B00JCW1X12 Ball Chain"/>
    <n v="2.6375622187033536"/>
    <n v="3.1852695676252907"/>
    <n v="4.077328153322699"/>
    <n v="4.1734319994252456"/>
    <x v="3"/>
    <x v="3"/>
    <x v="43"/>
    <n v="232.35999999999999"/>
    <x v="43"/>
    <n v="318.52695676252904"/>
    <n v="407.73281533226992"/>
    <n v="417.34319994252456"/>
  </r>
  <r>
    <s v="BIA-S925-CHAIN-004-040-500"/>
    <s v="B00DKCYXQM"/>
    <x v="0"/>
    <s v="Figaro Chain"/>
    <x v="102"/>
    <n v="2.4870000000000001"/>
    <s v="925 Silver"/>
    <s v="chain"/>
    <x v="0"/>
    <s v="7113.11.10.00"/>
    <s v="7113.11.00"/>
    <s v="7113.11.10.00"/>
    <s v="B00DKCYXQM Figaro Chain"/>
    <n v="2.8230406429313311"/>
    <n v="3.409263821089731"/>
    <n v="4.3640536741752252"/>
    <n v="4.4669157267045048"/>
    <x v="2"/>
    <x v="0"/>
    <x v="2"/>
    <n v="0"/>
    <x v="2"/>
    <n v="0"/>
    <n v="0"/>
    <n v="0"/>
  </r>
  <r>
    <s v="BIA-S925-CHAIN-051-250-450"/>
    <s v="B01NAU1MJ3"/>
    <x v="1"/>
    <s v="Popcorn Chain"/>
    <x v="103"/>
    <n v="4.3677000000000001"/>
    <s v="925 Silver"/>
    <s v="chain"/>
    <x v="0"/>
    <s v="7113.11.10.00"/>
    <s v="7113.11.00"/>
    <s v="7113.11.10.00"/>
    <s v="B01NAU1MJ3 Popcorn Chain"/>
    <n v="4.9578587117535884"/>
    <n v="5.9873910701140396"/>
    <n v="7.6642047578187098"/>
    <n v="7.8448523600833395"/>
    <x v="6"/>
    <x v="0"/>
    <x v="44"/>
    <n v="109.19250000000001"/>
    <x v="44"/>
    <n v="149.68477675285101"/>
    <n v="191.60511894546775"/>
    <n v="196.12130900208348"/>
  </r>
  <r>
    <s v="BIA-GP-CHAIN-008-030-500"/>
    <s v="B012HM95PO"/>
    <x v="0"/>
    <s v="Singapore Chain"/>
    <x v="104"/>
    <n v="3.0314000000000001"/>
    <s v="925 Silver"/>
    <s v="chain"/>
    <x v="0"/>
    <s v="7113.11.10.00"/>
    <s v="7113.11.00"/>
    <s v="7113.11.10.00"/>
    <s v="B012HM95PO Singapore Chain"/>
    <n v="3.4409993586578356"/>
    <n v="4.155545776940655"/>
    <n v="5.3193374780437388"/>
    <n v="5.4447158560241391"/>
    <x v="5"/>
    <x v="0"/>
    <x v="45"/>
    <n v="45.471000000000004"/>
    <x v="45"/>
    <n v="62.333186654109831"/>
    <n v="79.790062170656086"/>
    <n v="81.670737840362079"/>
  </r>
  <r>
    <s v="BIA-S925-CHAIN-008-060-200"/>
    <s v="B01N5RK65Z"/>
    <x v="0"/>
    <s v="Singapore Chain"/>
    <x v="105"/>
    <n v="3.5038"/>
    <s v="925 Silver"/>
    <s v="Bracelet"/>
    <x v="0"/>
    <s v="7113.11.10.00"/>
    <s v="7113.11.00"/>
    <s v="7113.11.10.00"/>
    <s v="B01N5RK65Z Singapore Chain"/>
    <n v="3.977229515360996"/>
    <n v="4.8031276945453154"/>
    <n v="6.1482795591375767"/>
    <n v="6.2931963503125221"/>
    <x v="0"/>
    <x v="3"/>
    <x v="46"/>
    <n v="35.037999999999997"/>
    <x v="46"/>
    <n v="48.031276945453143"/>
    <n v="61.482795591375762"/>
    <n v="62.931963503125218"/>
  </r>
  <r>
    <s v="BIA-S925-CHAIN-005-060-200"/>
    <s v="B01MYAH5VX"/>
    <x v="0"/>
    <s v="Garibaldi Chain"/>
    <x v="106"/>
    <n v="4.3653000000000004"/>
    <s v="925 Silver"/>
    <s v="Bracelet"/>
    <x v="0"/>
    <s v="7113.11.10.00"/>
    <s v="7113.11.00"/>
    <s v="7113.11.10.00"/>
    <s v="B01MYAH5VX Garibaldi Chain"/>
    <n v="4.955134426452811"/>
    <n v="5.9841010688391645"/>
    <n v="7.6599933670595544"/>
    <n v="7.8405417055822975"/>
    <x v="2"/>
    <x v="3"/>
    <x v="2"/>
    <n v="0"/>
    <x v="2"/>
    <n v="0"/>
    <n v="0"/>
    <n v="0"/>
  </r>
  <r>
    <s v="BIA-S925-CHAIN-005-060-450"/>
    <s v="B00DKCZ8GQ"/>
    <x v="0"/>
    <s v="Garibaldi Chain"/>
    <x v="107"/>
    <n v="8.4586000000000006"/>
    <s v="925 Silver"/>
    <s v="chain"/>
    <x v="0"/>
    <s v="7113.11.10.00"/>
    <s v="7113.11.00"/>
    <s v="7113.11.10.00"/>
    <s v="B00DKCZ8GQ Garibaldi Chain"/>
    <n v="9.6015165188174336"/>
    <n v="11.595335326525774"/>
    <n v="14.842695781414783"/>
    <n v="15.192542567713199"/>
    <x v="2"/>
    <x v="0"/>
    <x v="2"/>
    <n v="0"/>
    <x v="2"/>
    <n v="0"/>
    <n v="0"/>
    <n v="0"/>
  </r>
  <r>
    <s v="BIA-S925-CHAIN-006-035-180"/>
    <s v="B01N24LCKI"/>
    <x v="0"/>
    <s v="Rhombus Chain"/>
    <x v="108"/>
    <n v="1.5049999999999999"/>
    <s v="925 Silver"/>
    <s v="Bracelet"/>
    <x v="0"/>
    <s v="7113.11.10.00"/>
    <s v="7113.11.00"/>
    <s v="7113.11.10.00"/>
    <s v="B01N24LCKI Rhombus Chain"/>
    <n v="1.7083539073629486"/>
    <n v="2.0631049661198411"/>
    <n v="2.6408929552206328"/>
    <n v="2.7031395933615916"/>
    <x v="2"/>
    <x v="3"/>
    <x v="2"/>
    <n v="0"/>
    <x v="2"/>
    <n v="0"/>
    <n v="0"/>
    <n v="0"/>
  </r>
  <r>
    <s v="BIA-S925-CHAIN-006-035-190"/>
    <s v="B01MUCWUT4"/>
    <x v="0"/>
    <s v="Rhombus Chain"/>
    <x v="109"/>
    <n v="1.5456000000000001"/>
    <s v="925 Silver"/>
    <s v="Bracelet"/>
    <x v="0"/>
    <s v="7113.11.10.00"/>
    <s v="7113.11.00"/>
    <s v="7113.11.10.00"/>
    <s v="B01MUCWUT4 Rhombus Chain"/>
    <n v="1.7544397337011119"/>
    <n v="2.1187608210198183"/>
    <n v="2.7121356488963526"/>
    <n v="2.7760614986708814"/>
    <x v="2"/>
    <x v="3"/>
    <x v="2"/>
    <n v="0"/>
    <x v="2"/>
    <n v="0"/>
    <n v="0"/>
    <n v="0"/>
  </r>
  <r>
    <s v="BIA-S925-CHAIN-006-035-200"/>
    <s v="B01MR89U2X"/>
    <x v="0"/>
    <s v="Rhombus Chain"/>
    <x v="110"/>
    <n v="1.6081000000000001"/>
    <s v="925 Silver"/>
    <s v="Bracelet"/>
    <x v="0"/>
    <s v="7113.11.10.00"/>
    <s v="7113.11.00"/>
    <s v="7113.11.10.00"/>
    <s v="B01MR89U2X Rhombus Chain"/>
    <n v="1.8253846634088755"/>
    <n v="2.2044379375530343"/>
    <n v="2.8218072832493686"/>
    <n v="2.8883181263021767"/>
    <x v="2"/>
    <x v="3"/>
    <x v="2"/>
    <n v="0"/>
    <x v="2"/>
    <n v="0"/>
    <n v="0"/>
    <n v="0"/>
  </r>
  <r>
    <s v="BIA-S925-CHAIN-015-120-900"/>
    <s v="B01NBWIM7J"/>
    <x v="1"/>
    <s v="Ball Chain"/>
    <x v="111"/>
    <n v="3.8877000000000002"/>
    <s v="925 Silver"/>
    <s v="chain"/>
    <x v="0"/>
    <s v="7113.11.10.00"/>
    <s v="7113.11.00"/>
    <s v="7113.11.10.00"/>
    <s v="B01NBWIM7J Ball Chain"/>
    <n v="4.4130016515979635"/>
    <n v="5.3293908151389413"/>
    <n v="6.821926605987545"/>
    <n v="6.9827214598749912"/>
    <x v="2"/>
    <x v="0"/>
    <x v="2"/>
    <n v="0"/>
    <x v="2"/>
    <n v="0"/>
    <n v="0"/>
    <n v="0"/>
  </r>
  <r>
    <s v="BIA-S925-CHAIN-019-110-190"/>
    <s v="B01N4Q9ZOM"/>
    <x v="1"/>
    <s v="Ball Chain"/>
    <x v="112"/>
    <n v="2.0419"/>
    <s v="925 Silver"/>
    <s v="Bracelet"/>
    <x v="0"/>
    <s v="7113.11.10.00"/>
    <s v="7113.11.00"/>
    <s v="7113.11.10.00"/>
    <s v="B01N4Q9ZOM Ball Chain"/>
    <n v="2.3177992315245213"/>
    <n v="2.7991056679867796"/>
    <n v="3.5830161629667843"/>
    <n v="3.6674689273654715"/>
    <x v="8"/>
    <x v="3"/>
    <x v="47"/>
    <n v="61.257000000000005"/>
    <x v="47"/>
    <n v="83.973170039603403"/>
    <n v="107.49048488900354"/>
    <n v="110.02406782096415"/>
  </r>
  <r>
    <s v="BIA-S925-HOOP-004"/>
    <s v="B00D0TO6G2"/>
    <x v="0"/>
    <s v="Circle Hoop Earrings"/>
    <x v="113"/>
    <n v="5.8254999999999999"/>
    <s v="925 Silver"/>
    <s v="Earrings"/>
    <x v="0"/>
    <s v="7113.11.10.00"/>
    <s v="7113.11.00"/>
    <s v="7113.11.50.00"/>
    <s v="B00D0TO6G2 Circle Hoop Earrings"/>
    <n v="6.6126350082012335"/>
    <n v="7.9857926778279955"/>
    <n v="10.222273694775945"/>
    <n v="10.463215748257776"/>
    <x v="7"/>
    <x v="1"/>
    <x v="48"/>
    <n v="116.50999999999999"/>
    <x v="48"/>
    <n v="159.71585355655992"/>
    <n v="204.44547389551889"/>
    <n v="209.26431496515551"/>
  </r>
  <r>
    <s v="BIA-S925-CHAIN-007-040-360"/>
    <s v="B00JCW2KC8"/>
    <x v="0"/>
    <s v="Belcher Chain"/>
    <x v="114"/>
    <n v="1.9346000000000001"/>
    <s v="925 Silver"/>
    <s v="chain"/>
    <x v="0"/>
    <s v="7113.11.10.00"/>
    <s v="7113.11.00"/>
    <s v="7113.11.10.00"/>
    <s v="B00JCW2KC8 Belcher Chain"/>
    <n v="2.196000976202233"/>
    <n v="2.6520151943225545"/>
    <n v="3.3947319011095258"/>
    <n v="3.4747467490480637"/>
    <x v="2"/>
    <x v="0"/>
    <x v="2"/>
    <n v="0"/>
    <x v="2"/>
    <n v="0"/>
    <n v="0"/>
    <n v="0"/>
  </r>
  <r>
    <s v="BIA-S925-CHAIN-007-040-450"/>
    <s v="B00DKCZH5I"/>
    <x v="0"/>
    <s v="Belcher Chain"/>
    <x v="115"/>
    <n v="2.2734999999999999"/>
    <s v="925 Silver"/>
    <s v="chain"/>
    <x v="0"/>
    <s v="7113.11.10.00"/>
    <s v="7113.11.00"/>
    <s v="7113.11.10.00"/>
    <s v="B00DKCZH5I Belcher Chain"/>
    <n v="2.5806927630496102"/>
    <n v="3.1165907910122645"/>
    <n v="3.9894153712253213"/>
    <n v="4.0834470867159993"/>
    <x v="2"/>
    <x v="0"/>
    <x v="2"/>
    <n v="0"/>
    <x v="2"/>
    <n v="0"/>
    <n v="0"/>
    <n v="0"/>
  </r>
  <r>
    <s v="BIA-S925-CHAIN-007-040-500"/>
    <s v="B00DKCZHX0"/>
    <x v="0"/>
    <s v="Belcher Chain"/>
    <x v="116"/>
    <n v="2.5055999999999998"/>
    <s v="925 Silver"/>
    <s v="chain"/>
    <x v="0"/>
    <s v="7113.11.10.00"/>
    <s v="7113.11.00"/>
    <s v="7113.11.10.00"/>
    <s v="B00DKCZHX0 Belcher Chain"/>
    <n v="2.8441538540123612"/>
    <n v="3.4347613309700153"/>
    <n v="4.3966919525586823"/>
    <n v="4.5003232990875777"/>
    <x v="9"/>
    <x v="0"/>
    <x v="49"/>
    <n v="12.527999999999999"/>
    <x v="49"/>
    <n v="17.173806654850075"/>
    <n v="21.983459762793412"/>
    <n v="22.501616495437887"/>
  </r>
  <r>
    <s v="CS-9K-HOOP-015"/>
    <s v="B07R7LVTVV"/>
    <x v="1"/>
    <s v="9K Circle Hoop Earrings"/>
    <x v="117"/>
    <n v="13.9895"/>
    <s v="9K Gold"/>
    <s v="Earrings"/>
    <x v="1"/>
    <s v=" 7113.19.10.00"/>
    <s v=" 7113.19.00"/>
    <s v="7113.19.29.00"/>
    <s v="B07R7LVTVV 9K Circle Hoop Earrings"/>
    <n v="15.879745506348153"/>
    <n v="19.177280347862801"/>
    <n v="24.548021260504346"/>
    <n v="25.126625475968098"/>
    <x v="2"/>
    <x v="7"/>
    <x v="2"/>
    <n v="0"/>
    <x v="2"/>
    <n v="0"/>
    <n v="0"/>
    <n v="0"/>
  </r>
  <r>
    <s v="BIA-BRP-CHAIN-060-150-500"/>
    <s v="B07RK8BTHX"/>
    <x v="1"/>
    <s v="Chain - Super Flat Curb - Gauge 150 - Width 5 mm"/>
    <x v="118"/>
    <n v="13.7811"/>
    <s v="925 Silver"/>
    <s v="chain"/>
    <x v="0"/>
    <s v="7113.11.10.00"/>
    <s v="7113.11.00"/>
    <s v="7113.11.10.00"/>
    <s v="B07RK8BTHX Chain - Super Flat Curb - Gauge 150 - Width 5 mm"/>
    <n v="15.643186732730586"/>
    <n v="18.891598570494448"/>
    <n v="24.18233216291765"/>
    <n v="24.752316976794308"/>
    <x v="2"/>
    <x v="0"/>
    <x v="2"/>
    <n v="0"/>
    <x v="2"/>
    <n v="0"/>
    <n v="0"/>
    <n v="0"/>
  </r>
  <r>
    <s v="BIA-GP-CHAIN-060-150-500"/>
    <s v="B07RNZ643Y"/>
    <x v="1"/>
    <s v="Chain - Super Flat Curb - Gauge 150 - Width 5 mm"/>
    <x v="119"/>
    <n v="13.949400000000001"/>
    <s v="925 Silver"/>
    <s v="chain"/>
    <x v="0"/>
    <s v="7113.11.10.00"/>
    <s v="7113.11.00"/>
    <s v="7113.11.10.00"/>
    <s v="B07RNZ643Y Chain - Super Flat Curb - Gauge 150 - Width 5 mm"/>
    <n v="15.834227239447651"/>
    <n v="19.12230990989509"/>
    <n v="24.477655939903453"/>
    <n v="25.054601623679861"/>
    <x v="2"/>
    <x v="0"/>
    <x v="2"/>
    <n v="0"/>
    <x v="2"/>
    <n v="0"/>
    <n v="0"/>
    <n v="0"/>
  </r>
  <r>
    <s v="BIA-S925-CHAIN-008-035-500"/>
    <s v="B00DKCZLFE"/>
    <x v="0"/>
    <s v="Singapore Chain"/>
    <x v="120"/>
    <n v="3.3835999999999999"/>
    <s v="925 Silver"/>
    <s v="chain"/>
    <x v="0"/>
    <s v="7113.11.10.00"/>
    <s v="7113.11.00"/>
    <s v="7113.11.10.00"/>
    <s v="B00DKCZLFE Singapore Chain"/>
    <n v="3.840788226547025"/>
    <n v="4.6383534640286337"/>
    <n v="5.9373590719498557"/>
    <n v="6.0773044040520148"/>
    <x v="2"/>
    <x v="0"/>
    <x v="2"/>
    <n v="0"/>
    <x v="2"/>
    <n v="0"/>
    <n v="0"/>
    <n v="0"/>
  </r>
  <r>
    <s v="BIA-GP-CHAIN-008-030-450"/>
    <s v="B012HM918U"/>
    <x v="0"/>
    <s v="Singapore Chain"/>
    <x v="67"/>
    <n v="2.7669000000000001"/>
    <s v="925 Silver"/>
    <s v="chain"/>
    <x v="0"/>
    <s v="7113.11.10.00"/>
    <s v="7113.11.00"/>
    <s v="7113.11.10.00"/>
    <s v="B012HM918U Singapore Chain"/>
    <n v="3.1407604161345799"/>
    <n v="3.7929602197720853"/>
    <n v="4.855207121461774"/>
    <n v="4.9696458078884973"/>
    <x v="2"/>
    <x v="0"/>
    <x v="2"/>
    <n v="0"/>
    <x v="2"/>
    <n v="0"/>
    <n v="0"/>
    <n v="0"/>
  </r>
  <r>
    <s v="BIA-S925-CHAIN-012-100-360"/>
    <s v="B012EOLGES"/>
    <x v="0"/>
    <s v="Venice Box Chain"/>
    <x v="121"/>
    <n v="2.0556000000000001"/>
    <s v="925 Silver"/>
    <s v="chain"/>
    <x v="0"/>
    <s v="7113.11.10.00"/>
    <s v="7113.11.00"/>
    <s v="7113.11.10.00"/>
    <s v="B012EOLGES Venice Box Chain"/>
    <n v="2.3333503601164631"/>
    <n v="2.8178860919308608"/>
    <n v="3.6070561852169654"/>
    <n v="3.6920755801422516"/>
    <x v="7"/>
    <x v="0"/>
    <x v="50"/>
    <n v="41.112000000000002"/>
    <x v="50"/>
    <n v="56.357721838617216"/>
    <n v="72.141123704339307"/>
    <n v="73.841511602845031"/>
  </r>
  <r>
    <s v="BIA-S925-CHAIN-020-200-450"/>
    <s v="B00DKD0OZU"/>
    <x v="1"/>
    <s v="Ball Chain"/>
    <x v="122"/>
    <n v="4.7660999999999998"/>
    <s v="925 Silver"/>
    <s v="chain"/>
    <x v="0"/>
    <s v="7113.11.10.00"/>
    <s v="7113.11.00"/>
    <s v="7113.11.10.00"/>
    <s v="B00DKD0OZU Ball Chain"/>
    <n v="5.4100900716827569"/>
    <n v="6.5335312817433717"/>
    <n v="8.3632956238385763"/>
    <n v="8.5604210072562683"/>
    <x v="7"/>
    <x v="0"/>
    <x v="51"/>
    <n v="95.322000000000003"/>
    <x v="51"/>
    <n v="130.67062563486743"/>
    <n v="167.26591247677155"/>
    <n v="171.20842014512536"/>
  </r>
  <r>
    <s v="BIA-S925-CHAIN-024-140-600"/>
    <s v="B012EOJDUC"/>
    <x v="1"/>
    <s v="Rat Tail"/>
    <x v="123"/>
    <n v="5.1687000000000003"/>
    <s v="925 Silver"/>
    <s v="chain"/>
    <x v="0"/>
    <s v="7113.11.10.00"/>
    <s v="7113.11.00"/>
    <s v="7113.11.10.00"/>
    <s v="B012EOJDUC Rat Tail"/>
    <n v="5.8670889308882872"/>
    <n v="7.0854289956037366"/>
    <n v="9.0697564236869681"/>
    <n v="9.2835332998060203"/>
    <x v="6"/>
    <x v="0"/>
    <x v="52"/>
    <n v="129.2175"/>
    <x v="52"/>
    <n v="177.1357248900934"/>
    <n v="226.74391059217416"/>
    <n v="232.0883324951505"/>
  </r>
  <r>
    <s v="BIA-S925-CHAIN-008-060-220-250"/>
    <s v="B071F7MDJP"/>
    <x v="0"/>
    <s v="Singapore Chain"/>
    <x v="19"/>
    <n v="5.0781999999999998"/>
    <s v="925 Silver"/>
    <s v="Anklet"/>
    <x v="0"/>
    <s v="7113.11.10.00"/>
    <s v="7113.11.00"/>
    <s v="7113.11.10.00"/>
    <s v="B071F7MDJP Singapore Chain"/>
    <n v="5.7643606726714456"/>
    <n v="6.9613685308636386"/>
    <n v="8.9109518971437982"/>
    <n v="9.1209857029959043"/>
    <x v="2"/>
    <x v="2"/>
    <x v="2"/>
    <n v="0"/>
    <x v="2"/>
    <n v="0"/>
    <n v="0"/>
    <n v="0"/>
  </r>
  <r>
    <s v="BIA-S925-CHAIN-009-140-450"/>
    <s v="B00DKCZOUQ"/>
    <x v="0"/>
    <s v="Wheat Chain"/>
    <x v="124"/>
    <n v="3.8262999999999998"/>
    <s v="925 Silver"/>
    <s v="chain"/>
    <x v="0"/>
    <s v="7113.11.10.00"/>
    <s v="7113.11.00"/>
    <s v="7113.11.10.00"/>
    <s v="B00DKCZOUQ Wheat Chain"/>
    <n v="4.3433053526530561"/>
    <n v="5.2452216158567095"/>
    <n v="6.7141851923991407"/>
    <n v="6.8724405488900056"/>
    <x v="2"/>
    <x v="0"/>
    <x v="2"/>
    <n v="0"/>
    <x v="2"/>
    <n v="0"/>
    <n v="0"/>
    <n v="0"/>
  </r>
  <r>
    <s v="BIA-S925-CHAIN-010-080-200"/>
    <s v="B01N366CM3"/>
    <x v="0"/>
    <s v="Open Curb Chain"/>
    <x v="125"/>
    <n v="2.8140999999999998"/>
    <s v="925 Silver"/>
    <s v="Bracelet"/>
    <x v="0"/>
    <s v="7113.11.10.00"/>
    <s v="7113.11.00"/>
    <s v="7113.11.10.00"/>
    <s v="B01N366CM3 Open Curb Chain"/>
    <n v="3.1943380270498825"/>
    <n v="3.8576635781779696"/>
    <n v="4.9380311397251715"/>
    <n v="5.0544220130756514"/>
    <x v="0"/>
    <x v="3"/>
    <x v="53"/>
    <n v="28.140999999999998"/>
    <x v="53"/>
    <n v="38.5766357817797"/>
    <n v="49.38031139725171"/>
    <n v="50.544220130756514"/>
  </r>
  <r>
    <s v="BIA-S925-CHAIN-011-050-450"/>
    <s v="B00DKCZX0W"/>
    <x v="0"/>
    <s v="Beading Chain"/>
    <x v="126"/>
    <n v="2.9617"/>
    <s v="925 Silver"/>
    <s v="chain"/>
    <x v="0"/>
    <s v="7113.11.10.00"/>
    <s v="7113.11.00"/>
    <s v="7113.11.10.00"/>
    <s v="B00DKCZX0W Beading Chain"/>
    <n v="3.3618815730477376"/>
    <n v="4.0599986565828132"/>
    <n v="5.1970316714132547"/>
    <n v="5.3195272648897189"/>
    <x v="2"/>
    <x v="0"/>
    <x v="2"/>
    <n v="0"/>
    <x v="2"/>
    <n v="0"/>
    <n v="0"/>
    <n v="0"/>
  </r>
  <r>
    <s v="S925-BC-5940-EAR-3H"/>
    <s v="B071R9GF2X"/>
    <x v="0"/>
    <s v="Earrings - Round Stud  petals"/>
    <x v="20"/>
    <n v="2.8062"/>
    <s v="925 Silver"/>
    <s v="Earrings"/>
    <x v="0"/>
    <s v="7113.11.10.00"/>
    <s v="7113.11.00"/>
    <s v="7113.11.50.00"/>
    <s v="B071R9GF2X Earrings - Round Stud  petals"/>
    <n v="3.1853705879348215"/>
    <n v="3.8468339906481717"/>
    <n v="4.9241686451429505"/>
    <n v="5.040232775343056"/>
    <x v="2"/>
    <x v="1"/>
    <x v="2"/>
    <n v="0"/>
    <x v="2"/>
    <n v="0"/>
    <n v="0"/>
    <n v="0"/>
  </r>
  <r>
    <s v="BIA-GP-CHAIN-007-040-500"/>
    <s v="B012HM8JBA"/>
    <x v="0"/>
    <s v="Belcher Chain"/>
    <x v="65"/>
    <n v="3.1781000000000001"/>
    <s v="925 Silver"/>
    <s v="chain"/>
    <x v="0"/>
    <s v="7113.11.10.00"/>
    <s v="7113.11.00"/>
    <s v="7113.11.10.00"/>
    <s v="B012HM8JBA Belcher Chain"/>
    <n v="3.6075212976678985"/>
    <n v="4.3566471048674202"/>
    <n v="5.5767587381971389"/>
    <n v="5.7082046124003156"/>
    <x v="9"/>
    <x v="0"/>
    <x v="54"/>
    <n v="15.890500000000001"/>
    <x v="54"/>
    <n v="21.783235524337101"/>
    <n v="27.883793690985694"/>
    <n v="28.541023062001578"/>
  </r>
  <r>
    <s v="BIA-S925-CHAIN-004-040-600"/>
    <s v="B00DKCYZOW"/>
    <x v="0"/>
    <s v="Figaro Chain"/>
    <x v="127"/>
    <n v="2.8913000000000002"/>
    <s v="925 Silver"/>
    <s v="chain"/>
    <x v="0"/>
    <s v="7113.11.10.00"/>
    <s v="7113.11.00"/>
    <s v="7113.11.10.00"/>
    <s v="B00DKCYZOW Figaro Chain"/>
    <n v="3.2819692042249127"/>
    <n v="3.9634919525197985"/>
    <n v="5.0734975424780178"/>
    <n v="5.1930813995258278"/>
    <x v="2"/>
    <x v="0"/>
    <x v="2"/>
    <n v="0"/>
    <x v="2"/>
    <n v="0"/>
    <n v="0"/>
    <n v="0"/>
  </r>
  <r>
    <s v="BIA-S925-CHAIN-016-350-550"/>
    <s v="B00DKD0C66"/>
    <x v="1"/>
    <s v="Ball and Bar Chain"/>
    <x v="128"/>
    <n v="8.4734999999999996"/>
    <s v="925 Silver"/>
    <s v="chain"/>
    <x v="0"/>
    <s v="7113.11.10.00"/>
    <s v="7113.11.00"/>
    <s v="7113.11.10.00"/>
    <s v="B00DKD0C66 Ball and Bar Chain"/>
    <n v="9.6184297900597642"/>
    <n v="11.61576075110729"/>
    <n v="14.868841499044539"/>
    <n v="15.219304547740498"/>
    <x v="2"/>
    <x v="0"/>
    <x v="2"/>
    <n v="0"/>
    <x v="2"/>
    <n v="0"/>
    <n v="0"/>
    <n v="0"/>
  </r>
  <r>
    <s v="BIA-S925-CHAIN-057-100-700"/>
    <s v="B06Y5TBM6K"/>
    <x v="1"/>
    <s v="Flat Curb Chain"/>
    <x v="129"/>
    <n v="14.456300000000001"/>
    <s v="925 Silver"/>
    <s v="chain"/>
    <x v="0"/>
    <s v="7113.11.10.00"/>
    <s v="7113.11.00"/>
    <s v="7113.11.10.00"/>
    <s v="B06Y5TBM6K Flat Curb Chain"/>
    <n v="16.409618997349497"/>
    <n v="19.817185595826086"/>
    <n v="25.367136763160158"/>
    <n v="25.965047776420718"/>
    <x v="2"/>
    <x v="0"/>
    <x v="2"/>
    <n v="0"/>
    <x v="2"/>
    <n v="0"/>
    <n v="0"/>
    <n v="0"/>
  </r>
  <r>
    <s v="GS-S925-HOOP-015"/>
    <s v="B06XYVM7F4"/>
    <x v="1"/>
    <s v="Hinged Hoop Earrings"/>
    <x v="13"/>
    <n v="2.4573999999999998"/>
    <s v="925 Silver"/>
    <s v="Earrings"/>
    <x v="0"/>
    <s v="7113.11.10.00"/>
    <s v="7113.11.00"/>
    <s v="7113.11.50.00"/>
    <s v="B06XYVM7F4 Hinged Hoop Earrings"/>
    <n v="2.7894411242217338"/>
    <n v="3.3686871386995993"/>
    <n v="4.312113188145636"/>
    <n v="4.4137509878583225"/>
    <x v="11"/>
    <x v="1"/>
    <x v="55"/>
    <n v="196.59199999999998"/>
    <x v="55"/>
    <n v="269.49497109596797"/>
    <n v="344.96905505165091"/>
    <n v="353.10007902866579"/>
  </r>
  <r>
    <s v="CS-9K-HOOP-010"/>
    <s v="B07R4JXTFS"/>
    <x v="1"/>
    <s v="9K Circle Hoop Earrings"/>
    <x v="130"/>
    <n v="8.4379000000000008"/>
    <s v="9K Gold"/>
    <s v="Earrings"/>
    <x v="1"/>
    <s v=" 7113.19.10.00"/>
    <s v=" 7113.19.00"/>
    <s v="7113.19.29.00"/>
    <s v="B07R4JXTFS 9K Circle Hoop Earrings"/>
    <n v="9.578019558098223"/>
    <n v="11.566959065529973"/>
    <n v="14.806372536117063"/>
    <n v="15.155363172641714"/>
    <x v="5"/>
    <x v="7"/>
    <x v="56"/>
    <n v="126.56850000000001"/>
    <x v="56"/>
    <n v="173.5043859829496"/>
    <n v="222.09558804175595"/>
    <n v="227.33044758962569"/>
  </r>
  <r>
    <s v="PAV-S925-EAR-CRAW-001"/>
    <s v="B07Z57WC8L"/>
    <x v="2"/>
    <s v="Earrings - Crawler - Sprig with cz"/>
    <x v="131"/>
    <n v="3.1976"/>
    <s v="925 Silver"/>
    <s v="Earrings"/>
    <x v="0"/>
    <s v="7113.11.10.00"/>
    <s v="7113.11.00"/>
    <s v="7113.11.50.00"/>
    <s v="B07Z57WC8L Earrings - Crawler - Sprig with cz"/>
    <n v="3.6296561157367204"/>
    <n v="4.3833783652257834"/>
    <n v="5.6109762881152792"/>
    <n v="5.7432286802212795"/>
    <x v="0"/>
    <x v="1"/>
    <x v="57"/>
    <n v="31.975999999999999"/>
    <x v="57"/>
    <n v="43.833783652257829"/>
    <n v="56.109762881152797"/>
    <n v="57.432286802212793"/>
  </r>
  <r>
    <s v="BIA-S925-CHAIN-013-075-450"/>
    <s v="B073D7ZZVJ"/>
    <x v="1"/>
    <s v="Byzantine Chain"/>
    <x v="132"/>
    <n v="18.170300000000001"/>
    <s v="925 Silver"/>
    <s v="chain"/>
    <x v="0"/>
    <s v="7113.11.10.00"/>
    <s v="7113.11.00"/>
    <s v="7113.11.10.00"/>
    <s v="B073D7ZZVJ Byzantine Chain"/>
    <n v="20.625450500303646"/>
    <n v="24.908462568695914"/>
    <n v="31.884263962953799"/>
    <n v="32.635785616782812"/>
    <x v="2"/>
    <x v="0"/>
    <x v="2"/>
    <n v="0"/>
    <x v="2"/>
    <n v="0"/>
    <n v="0"/>
    <n v="0"/>
  </r>
  <r>
    <s v="BIA-GP-CHAIN-001-035-700"/>
    <s v="B00NG1I1NI"/>
    <x v="0"/>
    <s v="Curb Chain"/>
    <x v="133"/>
    <n v="3.5110000000000001"/>
    <s v="925 Silver"/>
    <s v="chain"/>
    <x v="0"/>
    <s v="7113.11.10.00"/>
    <s v="7113.11.00"/>
    <s v="7113.11.10.00"/>
    <s v="B00NG1I1NI Curb Chain"/>
    <n v="3.9854023712633309"/>
    <n v="4.8129976983699416"/>
    <n v="6.1609137314150448"/>
    <n v="6.3061283138156474"/>
    <x v="0"/>
    <x v="0"/>
    <x v="58"/>
    <n v="35.11"/>
    <x v="58"/>
    <n v="48.129976983699414"/>
    <n v="61.609137314150445"/>
    <n v="63.061283138156476"/>
  </r>
  <r>
    <s v="BIA-S925-CHAIN-015-120-360"/>
    <s v="B00JCW1CDQ"/>
    <x v="1"/>
    <s v="Ball Chain"/>
    <x v="134"/>
    <n v="1.9116"/>
    <s v="925 Silver"/>
    <s v="chain"/>
    <x v="0"/>
    <s v="7113.11.10.00"/>
    <s v="7113.11.00"/>
    <s v="7113.11.10.00"/>
    <s v="B00JCW1CDQ Ball Chain"/>
    <n v="2.1698932420697759"/>
    <n v="2.6204860154383312"/>
    <n v="3.3543727396676157"/>
    <n v="3.4334363100797467"/>
    <x v="2"/>
    <x v="0"/>
    <x v="2"/>
    <n v="0"/>
    <x v="2"/>
    <n v="0"/>
    <n v="0"/>
    <n v="0"/>
  </r>
  <r>
    <s v="BIA-GP-CHAIN-004-040-500"/>
    <s v="B073G9X78M"/>
    <x v="0"/>
    <s v="Figaro Chain"/>
    <x v="62"/>
    <n v="2.7976000000000001"/>
    <s v="925 Silver"/>
    <s v="chain"/>
    <x v="0"/>
    <s v="7113.11.10.00"/>
    <s v="7113.11.00"/>
    <s v="7113.11.10.00"/>
    <s v="B073G9X78M Figaro Chain"/>
    <n v="3.1756085656070332"/>
    <n v="3.8350448194132012"/>
    <n v="4.9090778282559748"/>
    <n v="5.0247862633809897"/>
    <x v="9"/>
    <x v="0"/>
    <x v="59"/>
    <n v="13.988"/>
    <x v="59"/>
    <n v="19.175224097066003"/>
    <n v="24.545389141279873"/>
    <n v="25.123931316904947"/>
  </r>
  <r>
    <s v="BIA-GP-CHAIN-012-100-500"/>
    <s v="B012HM9PMW"/>
    <x v="0"/>
    <s v="Venice Box Chain"/>
    <x v="135"/>
    <n v="3.1743000000000001"/>
    <s v="925 Silver"/>
    <s v="chain"/>
    <x v="0"/>
    <s v="7113.11.10.00"/>
    <s v="7113.11.00"/>
    <s v="7113.11.10.00"/>
    <s v="B012HM9PMW Venice Box Chain"/>
    <n v="3.6032078459416663"/>
    <n v="4.3514379361822009"/>
    <n v="5.570090702828475"/>
    <n v="5.7013794094403334"/>
    <x v="0"/>
    <x v="0"/>
    <x v="60"/>
    <n v="31.743000000000002"/>
    <x v="60"/>
    <n v="43.514379361822009"/>
    <n v="55.700907028284753"/>
    <n v="57.013794094403337"/>
  </r>
  <r>
    <s v="BIA-S925-CHAIN-016-350-180"/>
    <s v="B01N366DR8"/>
    <x v="1"/>
    <s v="Ball and Bar Chain"/>
    <x v="136"/>
    <n v="3.4420000000000002"/>
    <s v="925 Silver"/>
    <s v="Bracelet"/>
    <x v="0"/>
    <s v="7113.11.10.00"/>
    <s v="7113.11.00"/>
    <s v="7113.11.10.00"/>
    <s v="B01N366DR8 Ball and Bar Chain"/>
    <n v="3.9070791688659599"/>
    <n v="4.7184101617172711"/>
    <n v="6.0398362470893145"/>
    <n v="6.1821969969106974"/>
    <x v="5"/>
    <x v="3"/>
    <x v="61"/>
    <n v="51.63"/>
    <x v="61"/>
    <n v="70.776152425759065"/>
    <n v="90.597543706339721"/>
    <n v="92.732954953660453"/>
  </r>
  <r>
    <s v="BIA-S925-CHAIN-019-110-600"/>
    <s v="B00DKD0NJ2"/>
    <x v="1"/>
    <s v="Ball Chain"/>
    <x v="137"/>
    <n v="5.2347000000000001"/>
    <s v="925 Silver"/>
    <s v="chain"/>
    <x v="0"/>
    <s v="7113.11.10.00"/>
    <s v="7113.11.00"/>
    <s v="7113.11.10.00"/>
    <s v="B00DKD0NJ2 Ball Chain"/>
    <n v="5.942006776659686"/>
    <n v="7.1759040306628119"/>
    <n v="9.185569669563753"/>
    <n v="9.4020762985846673"/>
    <x v="9"/>
    <x v="0"/>
    <x v="62"/>
    <n v="26.173500000000001"/>
    <x v="62"/>
    <n v="35.879520153314061"/>
    <n v="45.92784834781876"/>
    <n v="47.010381492923337"/>
  </r>
  <r>
    <s v="BIA-S925-CHAIN-020-200-700"/>
    <s v="B073D6W5P5"/>
    <x v="1"/>
    <s v="Ball Chain"/>
    <x v="138"/>
    <n v="7.7629999999999999"/>
    <s v="925 Silver"/>
    <s v="chain"/>
    <x v="0"/>
    <s v="7113.11.10.00"/>
    <s v="7113.11.00"/>
    <s v="7113.11.10.00"/>
    <s v="B073D6W5P5 Ball Chain"/>
    <n v="8.8119278291419061"/>
    <n v="10.641783290357692"/>
    <n v="13.622094359719449"/>
    <n v="13.943171204827932"/>
    <x v="8"/>
    <x v="0"/>
    <x v="63"/>
    <n v="232.89"/>
    <x v="63"/>
    <n v="319.25349871073075"/>
    <n v="408.66283079158347"/>
    <n v="418.29513614483795"/>
  </r>
  <r>
    <s v="BIA-S925-CHAIN-024-140-500"/>
    <s v="B012EOJB36"/>
    <x v="1"/>
    <s v="Rat Tail"/>
    <x v="139"/>
    <n v="3.9611000000000001"/>
    <s v="925 Silver"/>
    <s v="chain"/>
    <x v="0"/>
    <s v="7113.11.10.00"/>
    <s v="7113.11.00"/>
    <s v="7113.11.10.00"/>
    <s v="B012EOJB36 Rat Tail"/>
    <n v="4.4963193770467615"/>
    <n v="5.4300100207955495"/>
    <n v="6.9507249733717273"/>
    <n v="7.1145556433651844"/>
    <x v="9"/>
    <x v="0"/>
    <x v="64"/>
    <n v="19.805500000000002"/>
    <x v="64"/>
    <n v="27.150050103977751"/>
    <n v="34.753624866858637"/>
    <n v="35.572778216825924"/>
  </r>
  <r>
    <s v="BIA-S925-CHAIN-016-350-200"/>
    <s v="B01MUCWT7T"/>
    <x v="1"/>
    <s v="Ball and Bar Chain"/>
    <x v="140"/>
    <n v="3.7544"/>
    <s v="925 Silver"/>
    <s v="Bracelet"/>
    <x v="0"/>
    <s v="7113.11.10.00"/>
    <s v="7113.11.00"/>
    <s v="7113.11.10.00"/>
    <s v="B01MUCWT7T Ball and Bar Chain"/>
    <n v="4.261690305517245"/>
    <n v="5.1466586609968976"/>
    <n v="6.5880189442394315"/>
    <n v="6.7433005244629642"/>
    <x v="6"/>
    <x v="3"/>
    <x v="65"/>
    <n v="93.86"/>
    <x v="65"/>
    <n v="128.66646652492244"/>
    <n v="164.70047360598579"/>
    <n v="168.58251311157412"/>
  </r>
  <r>
    <s v="BIA-S925-CHAIN-031-230-360"/>
    <s v="B072VPJQ62"/>
    <x v="1"/>
    <s v="Heart Chain"/>
    <x v="141"/>
    <n v="2.8109000000000002"/>
    <s v="925 Silver"/>
    <s v="chain"/>
    <x v="0"/>
    <s v="7113.11.10.00"/>
    <s v="7113.11.00"/>
    <s v="7113.11.10.00"/>
    <s v="B072VPJQ62 Heart Chain"/>
    <n v="3.1907056466488455"/>
    <n v="3.8532769098114694"/>
    <n v="4.9324159520462976"/>
    <n v="5.0486744737409293"/>
    <x v="9"/>
    <x v="0"/>
    <x v="66"/>
    <n v="14.054500000000001"/>
    <x v="66"/>
    <n v="19.266384549057346"/>
    <n v="24.662079760231485"/>
    <n v="25.243372368704648"/>
  </r>
  <r>
    <s v="GS-S925-BRA-027-190"/>
    <s v="B07WW6XF5J"/>
    <x v="1"/>
    <s v="Silver Bracelet - Hollow - Thick and Heavy - Round Cable"/>
    <x v="142"/>
    <n v="7.2304000000000004"/>
    <s v="925 Silver"/>
    <s v="Bracelet"/>
    <x v="0"/>
    <s v="7113.11.10.00"/>
    <s v="7113.11.00"/>
    <s v="7113.11.10.00"/>
    <s v="B07WW6XF5J Silver Bracelet - Hollow - Thick and Heavy - Round Cable"/>
    <n v="8.2073635161442287"/>
    <n v="9.9116771741082381"/>
    <n v="12.687516560416787"/>
    <n v="12.986565126805086"/>
    <x v="2"/>
    <x v="3"/>
    <x v="2"/>
    <n v="0"/>
    <x v="2"/>
    <n v="0"/>
    <n v="0"/>
    <n v="0"/>
  </r>
  <r>
    <s v="BIA-S925-CHAIN-018-120-450"/>
    <s v="B00DKD0GGC"/>
    <x v="1"/>
    <s v="Ball and Bar Chain"/>
    <x v="143"/>
    <n v="2.3786999999999998"/>
    <s v="925 Silver"/>
    <s v="chain"/>
    <x v="0"/>
    <s v="7113.11.10.00"/>
    <s v="7113.11.00"/>
    <s v="7113.11.10.00"/>
    <s v="B00DKD0GGC Ball and Bar Chain"/>
    <n v="2.700107268733718"/>
    <n v="3.2608025135609737"/>
    <n v="4.1740146661683184"/>
    <n v="4.2723974423449951"/>
    <x v="2"/>
    <x v="0"/>
    <x v="2"/>
    <n v="0"/>
    <x v="2"/>
    <n v="0"/>
    <n v="0"/>
    <n v="0"/>
  </r>
  <r>
    <s v="BIA-S925-CHAIN-018-120-500"/>
    <s v="B00DKD0H3O"/>
    <x v="1"/>
    <s v="Ball and Bar Chain"/>
    <x v="144"/>
    <n v="2.5434999999999999"/>
    <s v="925 Silver"/>
    <s v="chain"/>
    <x v="0"/>
    <s v="7113.11.10.00"/>
    <s v="7113.11.00"/>
    <s v="7113.11.10.00"/>
    <s v="B00DKD0H3O Ball and Bar Chain"/>
    <n v="2.8871748593871494"/>
    <n v="3.4867159344357579"/>
    <n v="4.4631968316303521"/>
    <n v="4.5683957180831953"/>
    <x v="2"/>
    <x v="0"/>
    <x v="2"/>
    <n v="0"/>
    <x v="2"/>
    <n v="0"/>
    <n v="0"/>
    <n v="0"/>
  </r>
  <r>
    <s v="BIA-S925-CHAIN-018-120-700"/>
    <s v="B01N9TYXR7"/>
    <x v="1"/>
    <s v="Ball and Bar Chain"/>
    <x v="145"/>
    <n v="3.2122999999999999"/>
    <s v="925 Silver"/>
    <s v="chain"/>
    <x v="0"/>
    <s v="7113.11.10.00"/>
    <s v="7113.11.00"/>
    <s v="7113.11.10.00"/>
    <s v="B01N9TYXR7 Ball and Bar Chain"/>
    <n v="3.6463423632039866"/>
    <n v="4.4035296230343954"/>
    <n v="5.6367710565151086"/>
    <n v="5.7696314390401602"/>
    <x v="2"/>
    <x v="0"/>
    <x v="2"/>
    <n v="0"/>
    <x v="2"/>
    <n v="0"/>
    <n v="0"/>
    <n v="0"/>
  </r>
  <r>
    <s v="S925-WHI-PEN-LET-001-J"/>
    <s v="B082BFGR3M"/>
    <x v="1"/>
    <s v="Pendant - Letter - J"/>
    <x v="146"/>
    <n v="3.7153999999999998"/>
    <s v="925 Silver"/>
    <s v="Pendant"/>
    <x v="0"/>
    <s v="7113.11.10.00"/>
    <s v="7113.11.00"/>
    <s v="7113.11.50.00"/>
    <s v="B082BFGR3M Pendant - Letter - J"/>
    <n v="4.2174206693796004"/>
    <n v="5.0931961402801704"/>
    <n v="6.5195838444031491"/>
    <n v="6.6732523888210356"/>
    <x v="9"/>
    <x v="4"/>
    <x v="67"/>
    <n v="18.576999999999998"/>
    <x v="67"/>
    <n v="25.465980701400852"/>
    <n v="32.59791922201574"/>
    <n v="33.366261944105176"/>
  </r>
  <r>
    <s v="S925-WHI-PEN-LET-001-S"/>
    <s v="B082BCKF59"/>
    <x v="1"/>
    <s v="Pendant - Letter - S"/>
    <x v="147"/>
    <n v="5.1539999999999999"/>
    <s v="925 Silver"/>
    <s v="Pendant"/>
    <x v="0"/>
    <s v="7113.11.10.00"/>
    <s v="7113.11.00"/>
    <s v="7113.11.50.00"/>
    <s v="B082BCKF59 Pendant - Letter - S"/>
    <n v="5.850402683421021"/>
    <n v="7.0652777377951237"/>
    <n v="9.0439616552871378"/>
    <n v="9.2571305409871396"/>
    <x v="9"/>
    <x v="4"/>
    <x v="68"/>
    <n v="25.77"/>
    <x v="68"/>
    <n v="35.326388688975619"/>
    <n v="45.219808276435685"/>
    <n v="46.2856527049357"/>
  </r>
  <r>
    <s v="BIA-S925-CHAIN-019-110-200"/>
    <s v="B01MZC1QYT"/>
    <x v="1"/>
    <s v="Ball Chain"/>
    <x v="148"/>
    <n v="2.137"/>
    <s v="925 Silver"/>
    <s v="Bracelet"/>
    <x v="0"/>
    <s v="7113.11.10.00"/>
    <s v="7113.11.00"/>
    <s v="7113.11.10.00"/>
    <s v="B01MZC1QYT Ball Chain"/>
    <n v="2.4257490365678547"/>
    <n v="2.9294719685037212"/>
    <n v="3.7498925217983339"/>
    <n v="3.8382786119692502"/>
    <x v="2"/>
    <x v="3"/>
    <x v="2"/>
    <n v="0"/>
    <x v="2"/>
    <n v="0"/>
    <n v="0"/>
    <n v="0"/>
  </r>
  <r>
    <s v="BIA-S925-CHAIN-019-110-220-250"/>
    <s v="B0719HGZ9V"/>
    <x v="1"/>
    <s v="Ball Chain"/>
    <x v="147"/>
    <n v="3.2404999999999999"/>
    <s v="925 Silver"/>
    <s v="Anklet"/>
    <x v="0"/>
    <s v="7113.11.10.00"/>
    <s v="7113.11.00"/>
    <s v="7113.11.10.00"/>
    <s v="B0719HGZ9V Ball Chain"/>
    <n v="3.6783527154881295"/>
    <n v="4.4421871380141829"/>
    <n v="5.6862548979351901"/>
    <n v="5.8202816294274013"/>
    <x v="2"/>
    <x v="2"/>
    <x v="2"/>
    <n v="0"/>
    <x v="2"/>
    <n v="0"/>
    <n v="0"/>
    <n v="0"/>
  </r>
  <r>
    <s v="S925-WHI-NEC-CHA-024-079-500"/>
    <s v="B08LW65TPH"/>
    <x v="1"/>
    <s v="Chain - Super Flat Curb - Gauge 200 - Width 7.9 mm - Length 50 cm"/>
    <x v="149"/>
    <n v="25.5581"/>
    <s v="925 Silver"/>
    <s v="chain"/>
    <x v="0"/>
    <s v="7113.11.10.00"/>
    <s v="7113.11.00"/>
    <s v="7113.11.10.00"/>
    <s v="B08LW65TPH Chain - Super Flat Curb - Gauge 200 - Width 7.9 mm - Length 50 cm"/>
    <n v="29.011481727423902"/>
    <n v="35.035908993081399"/>
    <n v="44.847977567325223"/>
    <n v="45.905057834614553"/>
    <x v="2"/>
    <x v="0"/>
    <x v="2"/>
    <n v="0"/>
    <x v="2"/>
    <n v="0"/>
    <n v="0"/>
    <n v="0"/>
  </r>
  <r>
    <s v="BIA-S925-CHAIN-019-110-500"/>
    <s v="B00DKD0LXK"/>
    <x v="1"/>
    <s v="Ball Chain"/>
    <x v="150"/>
    <n v="4.4878"/>
    <s v="925 Silver"/>
    <s v="chain"/>
    <x v="0"/>
    <s v="7113.11.10.00"/>
    <s v="7113.11.00"/>
    <s v="7113.11.10.00"/>
    <s v="B00DKD0LXK Ball Chain"/>
    <n v="5.0941864886800268"/>
    <n v="6.1520282172442675"/>
    <n v="7.8749497703914662"/>
    <n v="8.060564695739636"/>
    <x v="0"/>
    <x v="0"/>
    <x v="69"/>
    <n v="44.878"/>
    <x v="69"/>
    <n v="61.520282172442677"/>
    <n v="78.749497703914656"/>
    <n v="80.60564695739636"/>
  </r>
  <r>
    <s v="BIA-GP-CHAIN-015-120-450"/>
    <s v="B073GC9FWC"/>
    <x v="1"/>
    <s v="Ball Chain"/>
    <x v="151"/>
    <n v="2.7774000000000001"/>
    <s v="925 Silver"/>
    <s v="chain"/>
    <x v="0"/>
    <s v="7113.11.10.00"/>
    <s v="7113.11.00"/>
    <s v="7113.11.10.00"/>
    <s v="B073GC9FWC Ball Chain"/>
    <n v="3.1526791643254839"/>
    <n v="3.8073539753496655"/>
    <n v="4.8736319560330807"/>
    <n v="4.9885049213305548"/>
    <x v="7"/>
    <x v="0"/>
    <x v="70"/>
    <n v="55.548000000000002"/>
    <x v="70"/>
    <n v="76.147079506993308"/>
    <n v="97.472639120661611"/>
    <n v="99.770098426611099"/>
  </r>
  <r>
    <s v="BIA-GP-CHAIN-020-200-700"/>
    <s v="B073G82B65"/>
    <x v="1"/>
    <s v="Ball Chain"/>
    <x v="78"/>
    <n v="9.0500000000000007"/>
    <s v="925 Silver"/>
    <s v="chain"/>
    <x v="0"/>
    <s v="7113.11.10.00"/>
    <s v="7113.11.00"/>
    <s v="7113.11.10.00"/>
    <s v="B073G82B65 Ball Chain"/>
    <n v="10.272825821684176"/>
    <n v="12.406046474009676"/>
    <n v="15.880452654316764"/>
    <n v="16.254759681011567"/>
    <x v="2"/>
    <x v="0"/>
    <x v="2"/>
    <n v="0"/>
    <x v="2"/>
    <n v="0"/>
    <n v="0"/>
    <n v="0"/>
  </r>
  <r>
    <s v="BIA-ROSE-CHAIN-015-120-700"/>
    <s v="B073GBG13N"/>
    <x v="1"/>
    <s v="Ball Chain"/>
    <x v="152"/>
    <n v="3.8912"/>
    <s v="925 Silver"/>
    <s v="chain"/>
    <x v="0"/>
    <s v="7113.11.10.00"/>
    <s v="7113.11.00"/>
    <s v="7113.11.10.00"/>
    <s v="B073GBG13N Ball Chain"/>
    <n v="4.4169745676615983"/>
    <n v="5.3341887336648011"/>
    <n v="6.828068217511313"/>
    <n v="6.9890078310223434"/>
    <x v="2"/>
    <x v="0"/>
    <x v="2"/>
    <n v="0"/>
    <x v="2"/>
    <n v="0"/>
    <n v="0"/>
    <n v="0"/>
  </r>
  <r>
    <s v="BIA-S925-CHAIN-006-035-450"/>
    <s v="B00DKCZE3I"/>
    <x v="0"/>
    <s v="Rhombus Chain"/>
    <x v="153"/>
    <n v="2.6242000000000001"/>
    <s v="925 Silver"/>
    <s v="chain"/>
    <x v="0"/>
    <s v="7113.11.10.00"/>
    <s v="7113.11.00"/>
    <s v="7113.11.10.00"/>
    <s v="B00DKCZE3I Rhombus Chain"/>
    <n v="2.9787789526258139"/>
    <n v="3.5973422273034465"/>
    <n v="4.6048048459069664"/>
    <n v="4.7133414756807239"/>
    <x v="0"/>
    <x v="0"/>
    <x v="71"/>
    <n v="26.242000000000001"/>
    <x v="71"/>
    <n v="35.973422273034465"/>
    <n v="46.048048459069669"/>
    <n v="47.133414756807241"/>
  </r>
  <r>
    <s v="BIA-S925-CHAIN-008-060-180"/>
    <s v="B01NBWW1WR"/>
    <x v="0"/>
    <s v="Singapore Chain"/>
    <x v="66"/>
    <n v="3.2090000000000001"/>
    <s v="925 Silver"/>
    <s v="Bracelet"/>
    <x v="0"/>
    <s v="7113.11.10.00"/>
    <s v="7113.11.00"/>
    <s v="7113.11.10.00"/>
    <s v="B01NBWW1WR Singapore Chain"/>
    <n v="3.6425964709154166"/>
    <n v="4.3990058712814415"/>
    <n v="5.6309803942212699"/>
    <n v="5.763704289101228"/>
    <x v="5"/>
    <x v="3"/>
    <x v="72"/>
    <n v="48.134999999999998"/>
    <x v="72"/>
    <n v="65.985088069221618"/>
    <n v="84.464705913319037"/>
    <n v="86.455564336518421"/>
  </r>
  <r>
    <s v="BIA-S925-CHAIN-012-200-650"/>
    <s v="B073D8F8RV"/>
    <x v="0"/>
    <s v="Venice Box Chain"/>
    <x v="154"/>
    <n v="12.508599999999999"/>
    <s v="925 Silver"/>
    <s v="chain"/>
    <x v="0"/>
    <s v="7113.11.10.00"/>
    <s v="7113.11.00"/>
    <s v="7113.11.10.00"/>
    <s v="B073D8F8RV Venice Box Chain"/>
    <n v="14.198747963880518"/>
    <n v="17.147212477878167"/>
    <n v="21.949417687490236"/>
    <n v="22.466772038221134"/>
    <x v="2"/>
    <x v="0"/>
    <x v="2"/>
    <n v="0"/>
    <x v="2"/>
    <n v="0"/>
    <n v="0"/>
    <n v="0"/>
  </r>
  <r>
    <s v="BIA-S925-CHAIN-021-080-180"/>
    <s v="B00DKCY40C"/>
    <x v="1"/>
    <s v="Trottolino Chain"/>
    <x v="155"/>
    <n v="1.7149000000000001"/>
    <s v="925 Silver"/>
    <s v="Bracelet"/>
    <x v="0"/>
    <s v="7113.11.10.00"/>
    <s v="7113.11.00"/>
    <s v="7113.11.10.00"/>
    <s v="B00DKCY40C Trottolino Chain"/>
    <n v="1.946615359293502"/>
    <n v="2.3508429942849935"/>
    <n v="3.0092141720318031"/>
    <n v="3.0801422515985344"/>
    <x v="2"/>
    <x v="3"/>
    <x v="2"/>
    <n v="0"/>
    <x v="2"/>
    <n v="0"/>
    <n v="0"/>
    <n v="0"/>
  </r>
  <r>
    <s v="BIA-S925-CHAIN-021-080-190"/>
    <s v="B00DKCY5KQ"/>
    <x v="1"/>
    <s v="Trottolino Chain"/>
    <x v="156"/>
    <n v="1.7478"/>
    <s v="925 Silver"/>
    <s v="Bracelet"/>
    <x v="0"/>
    <s v="7113.11.10.00"/>
    <s v="7113.11.00"/>
    <s v="7113.11.10.00"/>
    <s v="B00DKCY5KQ Trottolino Chain"/>
    <n v="1.9839607702916688"/>
    <n v="2.3959434284280787"/>
    <n v="3.0669453203552308"/>
    <n v="3.1392341403836479"/>
    <x v="2"/>
    <x v="3"/>
    <x v="2"/>
    <n v="0"/>
    <x v="2"/>
    <n v="0"/>
    <n v="0"/>
    <n v="0"/>
  </r>
  <r>
    <s v="BIA-S925-CHAIN-021-080-200"/>
    <s v="B00DKCY7NQ"/>
    <x v="1"/>
    <s v="Trottolino Chain"/>
    <x v="157"/>
    <n v="1.8462000000000001"/>
    <s v="925 Silver"/>
    <s v="Bracelet"/>
    <x v="0"/>
    <s v="7113.11.10.00"/>
    <s v="7113.11.00"/>
    <s v="7113.11.10.00"/>
    <s v="B00DKCY7NQ Trottolino Chain"/>
    <n v="2.0956564676235718"/>
    <n v="2.5308334806979738"/>
    <n v="3.2396123414806195"/>
    <n v="3.3159709749263597"/>
    <x v="2"/>
    <x v="3"/>
    <x v="2"/>
    <n v="0"/>
    <x v="2"/>
    <n v="0"/>
    <n v="0"/>
    <n v="0"/>
  </r>
  <r>
    <s v="BIA-S925-CHAIN-021-080-220-250"/>
    <s v="B0719HGPZW"/>
    <x v="1"/>
    <s v="Trottolino Chain"/>
    <x v="158"/>
    <n v="3.1444999999999999"/>
    <s v="925 Silver"/>
    <s v="Anklet"/>
    <x v="0"/>
    <s v="7113.11.10.00"/>
    <s v="7113.11.00"/>
    <s v="7113.11.10.00"/>
    <s v="B0719HGPZW Trottolino Chain"/>
    <n v="3.5693813034570043"/>
    <n v="4.3105870870191625"/>
    <n v="5.5177992675689564"/>
    <n v="5.6478554493857311"/>
    <x v="2"/>
    <x v="2"/>
    <x v="2"/>
    <n v="0"/>
    <x v="2"/>
    <n v="0"/>
    <n v="0"/>
    <n v="0"/>
  </r>
  <r>
    <s v="BIA-S925-CHAIN-022-150-180"/>
    <s v="B00JCW27OE"/>
    <x v="1"/>
    <s v="Twisted Rope Chain"/>
    <x v="159"/>
    <n v="1.9898"/>
    <s v="925 Silver"/>
    <s v="Bracelet"/>
    <x v="0"/>
    <s v="7113.11.10.00"/>
    <s v="7113.11.00"/>
    <s v="7113.11.10.00"/>
    <s v="B00JCW27OE Twisted Rope Chain"/>
    <n v="2.2586595381201295"/>
    <n v="2.7276852236446909"/>
    <n v="3.4915938885701099"/>
    <n v="3.5738918025720237"/>
    <x v="10"/>
    <x v="3"/>
    <x v="73"/>
    <n v="99.49"/>
    <x v="73"/>
    <n v="136.38426118223452"/>
    <n v="174.57969442850549"/>
    <n v="178.69459012860119"/>
  </r>
  <r>
    <s v="BIA-S925-CHAIN-022-150-190"/>
    <s v="B00JCW2820"/>
    <x v="1"/>
    <s v="Twisted Rope Chain"/>
    <x v="160"/>
    <n v="2.0831"/>
    <s v="925 Silver"/>
    <s v="Bracelet"/>
    <x v="0"/>
    <s v="7113.11.10.00"/>
    <s v="7113.11.00"/>
    <s v="7113.11.10.00"/>
    <s v="B00JCW2820 Twisted Rope Chain"/>
    <n v="2.364566129187879"/>
    <n v="2.8555840232054757"/>
    <n v="3.6553117043322927"/>
    <n v="3.7414684963000213"/>
    <x v="0"/>
    <x v="3"/>
    <x v="74"/>
    <n v="20.831"/>
    <x v="74"/>
    <n v="28.555840232054756"/>
    <n v="36.553117043322928"/>
    <n v="37.414684963000212"/>
  </r>
  <r>
    <s v="BIA-S925-CHAIN-022-150-450"/>
    <s v="B00DKCYB8C"/>
    <x v="1"/>
    <s v="Twisted Rope Chain"/>
    <x v="161"/>
    <n v="4.0279999999999996"/>
    <s v="925 Silver"/>
    <s v="chain"/>
    <x v="0"/>
    <s v="7113.11.10.00"/>
    <s v="7113.11.00"/>
    <s v="7113.11.10.00"/>
    <s v="B00DKCYB8C Twisted Rope Chain"/>
    <n v="4.5722588298059508"/>
    <n v="5.5217188063327036"/>
    <n v="7.0681174907831945"/>
    <n v="7.2347151375817216"/>
    <x v="2"/>
    <x v="0"/>
    <x v="2"/>
    <n v="0"/>
    <x v="2"/>
    <n v="0"/>
    <n v="0"/>
    <n v="0"/>
  </r>
  <r>
    <s v="BIA-S925-CHAIN-022-150-500"/>
    <s v="B00DKCYBSW"/>
    <x v="1"/>
    <s v="Twisted Rope Chain"/>
    <x v="162"/>
    <n v="4.5015999999999998"/>
    <s v="925 Silver"/>
    <s v="chain"/>
    <x v="0"/>
    <s v="7113.11.10.00"/>
    <s v="7113.11.00"/>
    <s v="7113.11.10.00"/>
    <s v="B00DKCYBSW Twisted Rope Chain"/>
    <n v="5.1098511291595008"/>
    <n v="6.1709457245748016"/>
    <n v="7.8991652672566115"/>
    <n v="8.0853509591206265"/>
    <x v="2"/>
    <x v="0"/>
    <x v="2"/>
    <n v="0"/>
    <x v="2"/>
    <n v="0"/>
    <n v="0"/>
    <n v="0"/>
  </r>
  <r>
    <s v="BIA-S925-CHAIN-022-150-600"/>
    <s v="B00DKCYE8O"/>
    <x v="1"/>
    <s v="Twisted Rope Chain"/>
    <x v="163"/>
    <n v="5.3270999999999997"/>
    <s v="925 Silver"/>
    <s v="chain"/>
    <x v="0"/>
    <s v="7113.11.10.00"/>
    <s v="7113.11.00"/>
    <s v="7113.11.10.00"/>
    <s v="B00DKCYE8O Twisted Rope Chain"/>
    <n v="6.0468917607396433"/>
    <n v="7.3025690797455178"/>
    <n v="9.3477082137912504"/>
    <n v="9.5680364968747753"/>
    <x v="2"/>
    <x v="0"/>
    <x v="2"/>
    <n v="0"/>
    <x v="2"/>
    <n v="0"/>
    <n v="0"/>
    <n v="0"/>
  </r>
  <r>
    <s v="BIA-S925-CHAIN-013-075-200"/>
    <s v="B00DKD03D8"/>
    <x v="1"/>
    <s v="Byzantine Chain"/>
    <x v="164"/>
    <n v="8.1069999999999993"/>
    <s v="925 Silver"/>
    <s v="Bracelet"/>
    <x v="0"/>
    <s v="7113.11.10.00"/>
    <s v="7113.11.00"/>
    <s v="7113.11.10.00"/>
    <s v="B00DKD03D8 Byzantine Chain"/>
    <n v="9.2024087222534376"/>
    <n v="11.113350139756511"/>
    <n v="14.225727035198451"/>
    <n v="14.561031683310581"/>
    <x v="8"/>
    <x v="3"/>
    <x v="75"/>
    <n v="243.20999999999998"/>
    <x v="75"/>
    <n v="333.40050419269534"/>
    <n v="426.77181105595355"/>
    <n v="436.83095049931745"/>
  </r>
  <r>
    <s v="BIA-S925-CHAIN-029-500-COL-450"/>
    <s v="B0164MQCAY"/>
    <x v="1"/>
    <s v="Herringbone Chain"/>
    <x v="165"/>
    <n v="10.3797"/>
    <s v="925 Silver"/>
    <s v="chain"/>
    <x v="0"/>
    <s v="7113.11.10.00"/>
    <s v="7113.11.00"/>
    <s v="7113.11.10.00"/>
    <s v="B0164MQCAY Herringbone Chain"/>
    <n v="11.782193390202789"/>
    <n v="14.228844263677152"/>
    <n v="18.213738609504055"/>
    <n v="18.643041885192901"/>
    <x v="2"/>
    <x v="0"/>
    <x v="2"/>
    <n v="0"/>
    <x v="2"/>
    <n v="0"/>
    <n v="0"/>
    <n v="0"/>
  </r>
  <r>
    <s v="BIA-S925-CHAIN-041-220-180"/>
    <s v="B0164MQCKY"/>
    <x v="1"/>
    <s v="Bismark chain"/>
    <x v="166"/>
    <n v="2.2368999999999999"/>
    <s v="925 Silver"/>
    <s v="Bracelet"/>
    <x v="0"/>
    <s v="7113.11.10.00"/>
    <s v="7113.11.00"/>
    <s v="7113.11.10.00"/>
    <s v="B0164MQCKY Bismark chain"/>
    <n v="2.5391474122127438"/>
    <n v="3.0664182715704134"/>
    <n v="3.9251916621481948"/>
    <n v="4.0177096055751127"/>
    <x v="6"/>
    <x v="3"/>
    <x v="76"/>
    <n v="55.922499999999999"/>
    <x v="76"/>
    <n v="76.660456789260337"/>
    <n v="98.129791553704877"/>
    <n v="100.44274013937782"/>
  </r>
  <r>
    <s v="BIA-S925-CHAIN-024-190-180"/>
    <s v="B01N5RK86I"/>
    <x v="1"/>
    <s v="Rat Tail"/>
    <x v="167"/>
    <n v="3.1288"/>
    <s v="925 Silver"/>
    <s v="Bracelet"/>
    <x v="0"/>
    <s v="7113.11.10.00"/>
    <s v="7113.11.00"/>
    <s v="7113.11.10.00"/>
    <s v="B01N5RK86I Rat Tail"/>
    <n v="3.5515599371144142"/>
    <n v="4.2890649953460187"/>
    <n v="5.4902497530194792"/>
    <n v="5.6196565845247504"/>
    <x v="2"/>
    <x v="3"/>
    <x v="2"/>
    <n v="0"/>
    <x v="2"/>
    <n v="0"/>
    <n v="0"/>
    <n v="0"/>
  </r>
  <r>
    <s v="BIA-S925-CHAIN-024-190-190"/>
    <s v="B01MYAH61G"/>
    <x v="1"/>
    <s v="Rat Tail"/>
    <x v="168"/>
    <n v="3.2193999999999998"/>
    <s v="925 Silver"/>
    <s v="Bracelet"/>
    <x v="0"/>
    <s v="7113.11.10.00"/>
    <s v="7113.11.00"/>
    <s v="7113.11.10.00"/>
    <s v="B01MYAH61G Rat Tail"/>
    <n v="3.6544017072187884"/>
    <n v="4.4132625434725687"/>
    <n v="5.6492297541776111"/>
    <n v="5.7823837919390755"/>
    <x v="2"/>
    <x v="3"/>
    <x v="2"/>
    <n v="0"/>
    <x v="2"/>
    <n v="0"/>
    <n v="0"/>
    <n v="0"/>
  </r>
  <r>
    <s v="BIA-S925-CHAIN-041-220-190"/>
    <s v="B0164MQDCQ"/>
    <x v="1"/>
    <s v="Bismark chain"/>
    <x v="169"/>
    <n v="2.3466"/>
    <s v="925 Silver"/>
    <s v="Bracelet"/>
    <x v="0"/>
    <s v="7113.11.10.00"/>
    <s v="7113.11.00"/>
    <s v="7113.11.10.00"/>
    <s v="B0164MQDCQ Bismark chain"/>
    <n v="2.6636699528358108"/>
    <n v="3.2167987465095145"/>
    <n v="4.1176873147646091"/>
    <n v="4.2147424383935626"/>
    <x v="6"/>
    <x v="3"/>
    <x v="77"/>
    <n v="58.664999999999999"/>
    <x v="77"/>
    <n v="80.419968662737858"/>
    <n v="102.94218286911523"/>
    <n v="105.36856095983906"/>
  </r>
  <r>
    <s v="BIA-S925-CHAIN-024-190-220-250"/>
    <s v="B0711QLJ8T"/>
    <x v="1"/>
    <s v="Rat Tail"/>
    <x v="74"/>
    <n v="4.8589000000000002"/>
    <s v="925 Silver"/>
    <s v="Anklet"/>
    <x v="0"/>
    <s v="7113.11.10.00"/>
    <s v="7113.11.00"/>
    <s v="7113.11.10.00"/>
    <s v="B0711QLJ8T Rat Tail"/>
    <n v="5.5154291033128446"/>
    <n v="6.6607446643718911"/>
    <n v="8.526136066525936"/>
    <n v="8.7270996479632164"/>
    <x v="2"/>
    <x v="2"/>
    <x v="2"/>
    <n v="0"/>
    <x v="2"/>
    <n v="0"/>
    <n v="0"/>
    <n v="0"/>
  </r>
  <r>
    <s v="BIA-S925-CHAIN-041-220-500"/>
    <s v="B0164MQG1Y"/>
    <x v="1"/>
    <s v="Bismark chain"/>
    <x v="170"/>
    <n v="4.9431000000000003"/>
    <s v="925 Silver"/>
    <s v="chain"/>
    <x v="0"/>
    <s v="7113.11.10.00"/>
    <s v="7113.11.00"/>
    <s v="7113.11.10.00"/>
    <s v="B0164MQG1Y Bismark chain"/>
    <n v="5.6110061126151436"/>
    <n v="6.7761688757654399"/>
    <n v="8.6738856923263192"/>
    <n v="8.8783317767080963"/>
    <x v="5"/>
    <x v="0"/>
    <x v="78"/>
    <n v="74.146500000000003"/>
    <x v="78"/>
    <n v="101.64253313648159"/>
    <n v="130.1082853848948"/>
    <n v="133.17497665062143"/>
  </r>
  <r>
    <s v="BIA-S925-CHAIN-049-020-500"/>
    <s v="B01N33SV5Y"/>
    <x v="1"/>
    <s v="Rolo Chain"/>
    <x v="171"/>
    <n v="2.2063000000000001"/>
    <s v="925 Silver"/>
    <s v="chain"/>
    <x v="0"/>
    <s v="7113.11.10.00"/>
    <s v="7113.11.00"/>
    <s v="7113.11.10.00"/>
    <s v="B01N33SV5Y Rolo Chain"/>
    <n v="2.5044127746278231"/>
    <n v="3.0244707553157513"/>
    <n v="3.8714964299689587"/>
    <n v="3.9627487606868308"/>
    <x v="0"/>
    <x v="0"/>
    <x v="79"/>
    <n v="22.063000000000002"/>
    <x v="79"/>
    <n v="30.244707553157514"/>
    <n v="38.714964299689591"/>
    <n v="39.627487606868307"/>
  </r>
  <r>
    <s v="BIA-S925-CHAIN-049-020-700"/>
    <s v="B01MT8ZDNA"/>
    <x v="1"/>
    <s v="Rolo Chain"/>
    <x v="127"/>
    <n v="2.8075999999999999"/>
    <s v="925 Silver"/>
    <s v="chain"/>
    <x v="0"/>
    <s v="7113.11.10.00"/>
    <s v="7113.11.00"/>
    <s v="7113.11.10.00"/>
    <s v="B01MT8ZDNA Rolo Chain"/>
    <n v="3.1869597543602755"/>
    <n v="3.8487531580585155"/>
    <n v="4.9266252897524572"/>
    <n v="5.0427473238019971"/>
    <x v="0"/>
    <x v="0"/>
    <x v="80"/>
    <n v="28.076000000000001"/>
    <x v="80"/>
    <n v="38.487531580585156"/>
    <n v="49.266252897524581"/>
    <n v="50.427473238019971"/>
  </r>
  <r>
    <s v="BIA-S925-HOOP-HIN-020"/>
    <s v="B077MD1DG6"/>
    <x v="0"/>
    <s v="Hinged Hoop Earrings"/>
    <x v="172"/>
    <n v="3.0969000000000002"/>
    <s v="925 Silver"/>
    <s v="Earrings"/>
    <x v="0"/>
    <s v="7113.11.10.00"/>
    <s v="7113.11.00"/>
    <s v="7113.11.50.00"/>
    <s v="B077MD1DG6 Hinged Hoop Earrings"/>
    <n v="3.5153496449915718"/>
    <n v="4.2453353950674657"/>
    <n v="5.4342733508457002"/>
    <n v="5.562360801781737"/>
    <x v="2"/>
    <x v="1"/>
    <x v="2"/>
    <n v="0"/>
    <x v="2"/>
    <n v="0"/>
    <n v="0"/>
    <n v="0"/>
  </r>
  <r>
    <s v="GS-S925-HOOP-045"/>
    <s v="B06XYVM5V6"/>
    <x v="1"/>
    <s v="Hinged Hoop Earrings"/>
    <x v="173"/>
    <n v="6.3646000000000003"/>
    <s v="925 Silver"/>
    <s v="Earrings"/>
    <x v="0"/>
    <s v="7113.11.10.00"/>
    <s v="7113.11.00"/>
    <s v="7113.11.50.00"/>
    <s v="B06XYVM5V6 Hinged Hoop Earrings"/>
    <n v="7.2245775938885206"/>
    <n v="8.7248092141969043"/>
    <n v="11.168257344051323"/>
    <n v="11.431496515554278"/>
    <x v="2"/>
    <x v="1"/>
    <x v="2"/>
    <n v="0"/>
    <x v="2"/>
    <n v="0"/>
    <n v="0"/>
    <n v="0"/>
  </r>
  <r>
    <s v="BIA-S925-CHAIN-026-220-180"/>
    <s v="B01N5RK75S"/>
    <x v="1"/>
    <s v="Marine Chain"/>
    <x v="174"/>
    <n v="2.1526999999999998"/>
    <s v="925 Silver"/>
    <s v="Bracelet"/>
    <x v="0"/>
    <s v="7113.11.10.00"/>
    <s v="7113.11.00"/>
    <s v="7113.11.10.00"/>
    <s v="B01N5RK75S Marine Chain"/>
    <n v="2.4435704029104448"/>
    <n v="2.9509940601768649"/>
    <n v="3.7774420363478112"/>
    <n v="3.8664774768302315"/>
    <x v="2"/>
    <x v="3"/>
    <x v="2"/>
    <n v="0"/>
    <x v="2"/>
    <n v="0"/>
    <n v="0"/>
    <n v="0"/>
  </r>
  <r>
    <s v="BIA-S925-CHAIN-026-220-190"/>
    <s v="B01MUCWVT3"/>
    <x v="1"/>
    <s v="Marine Chain"/>
    <x v="175"/>
    <n v="2.2421000000000002"/>
    <s v="925 Silver"/>
    <s v="Bracelet"/>
    <x v="0"/>
    <s v="7113.11.10.00"/>
    <s v="7113.11.00"/>
    <s v="7113.11.10.00"/>
    <s v="B01MUCWVT3 Marine Chain"/>
    <n v="2.5450500303644303"/>
    <n v="3.0735466076659774"/>
    <n v="3.9343163421263663"/>
    <n v="4.0270493569940369"/>
    <x v="2"/>
    <x v="3"/>
    <x v="2"/>
    <n v="0"/>
    <x v="2"/>
    <n v="0"/>
    <n v="0"/>
    <n v="0"/>
  </r>
  <r>
    <s v="BIA-S925-CHAIN-026-220-200"/>
    <s v="B01MS9OG5S"/>
    <x v="1"/>
    <s v="Marine Chain"/>
    <x v="176"/>
    <n v="2.3235999999999999"/>
    <s v="925 Silver"/>
    <s v="Bracelet"/>
    <x v="0"/>
    <s v="7113.11.10.00"/>
    <s v="7113.11.00"/>
    <s v="7113.11.10.00"/>
    <s v="B01MS9OG5S Marine Chain"/>
    <n v="2.6375622187033536"/>
    <n v="3.1852695676252907"/>
    <n v="4.077328153322699"/>
    <n v="4.1734319994252456"/>
    <x v="2"/>
    <x v="3"/>
    <x v="2"/>
    <n v="0"/>
    <x v="2"/>
    <n v="0"/>
    <n v="0"/>
    <n v="0"/>
  </r>
  <r>
    <s v="BIA-S925-CHAIN-026-220-450"/>
    <s v="B00DKCZ3C0"/>
    <x v="1"/>
    <s v="Marine Chain"/>
    <x v="177"/>
    <n v="4.2050000000000001"/>
    <s v="925 Silver"/>
    <s v="chain"/>
    <x v="0"/>
    <s v="7113.11.10.00"/>
    <s v="7113.11.00"/>
    <s v="7113.11.10.00"/>
    <s v="B00DKCZ3C0 Marine Chain"/>
    <n v="4.7731748707383383"/>
    <n v="5.7643564003547718"/>
    <n v="7.3787075592709375"/>
    <n v="7.5526259070335513"/>
    <x v="2"/>
    <x v="0"/>
    <x v="2"/>
    <n v="0"/>
    <x v="2"/>
    <n v="0"/>
    <n v="0"/>
    <n v="0"/>
  </r>
  <r>
    <s v="BIA-S925-CHAIN-026-220-500"/>
    <s v="B00DKCZ4B0"/>
    <x v="1"/>
    <s v="Marine Chain"/>
    <x v="19"/>
    <n v="4.5972"/>
    <s v="925 Silver"/>
    <s v="chain"/>
    <x v="0"/>
    <s v="7113.11.10.00"/>
    <s v="7113.11.00"/>
    <s v="7113.11.10.00"/>
    <s v="B00DKCZ4B0 Marine Chain"/>
    <n v="5.2183684936404964"/>
    <n v="6.3019974420240086"/>
    <n v="8.0669189991629864"/>
    <n v="8.2570586967454549"/>
    <x v="2"/>
    <x v="0"/>
    <x v="2"/>
    <n v="0"/>
    <x v="2"/>
    <n v="0"/>
    <n v="0"/>
    <n v="0"/>
  </r>
  <r>
    <s v="BIA-S925-CHAIN-026-220-600"/>
    <s v="B00DKCZ6JU"/>
    <x v="1"/>
    <s v="Marine Chain"/>
    <x v="178"/>
    <n v="5.4657"/>
    <s v="925 Silver"/>
    <s v="chain"/>
    <x v="0"/>
    <s v="7113.11.10.00"/>
    <s v="7113.11.00"/>
    <s v="7113.11.10.00"/>
    <s v="B00DKCZ6JU Marine Chain"/>
    <n v="6.2042192368595801"/>
    <n v="7.4925666533695781"/>
    <n v="9.5909160301325009"/>
    <n v="9.8169767943099355"/>
    <x v="2"/>
    <x v="0"/>
    <x v="2"/>
    <n v="0"/>
    <x v="2"/>
    <n v="0"/>
    <n v="0"/>
    <n v="0"/>
  </r>
  <r>
    <s v="S925-WHI-PEN-LET-001-A"/>
    <s v="B082BF23G4"/>
    <x v="1"/>
    <s v="Pendant - Letter - A"/>
    <x v="179"/>
    <n v="4.3434999999999997"/>
    <s v="925 Silver"/>
    <s v="Pendant"/>
    <x v="0"/>
    <s v="7113.11.10.00"/>
    <s v="7113.11.00"/>
    <s v="7113.11.50.00"/>
    <s v="B082BF23G4 Pendant - Letter - A"/>
    <n v="4.9303888349707421"/>
    <n v="5.9542168905923782"/>
    <n v="7.6217399009972215"/>
    <n v="7.8013865938645006"/>
    <x v="0"/>
    <x v="4"/>
    <x v="81"/>
    <n v="43.434999999999995"/>
    <x v="81"/>
    <n v="59.542168905923781"/>
    <n v="76.217399009972212"/>
    <n v="78.013865938645012"/>
  </r>
  <r>
    <s v="S925-WHI-EAR-CEL-002"/>
    <s v="B083KN8J8Q"/>
    <x v="2"/>
    <s v="Silver Earrings - Celtic Design- Drop/Hooks/Dangle"/>
    <x v="180"/>
    <n v="4.3333000000000004"/>
    <s v="925 Silver"/>
    <s v="Earrings"/>
    <x v="0"/>
    <s v="7113.11.10.00"/>
    <s v="7113.11.00"/>
    <s v="7113.11.50.00"/>
    <s v="B083KN8J8Q Silver Earrings - Celtic Design- Drop/Hooks/Dangle"/>
    <n v="4.9188106224424359"/>
    <n v="5.9402343851741586"/>
    <n v="7.6038414902708107"/>
    <n v="7.7830663122350749"/>
    <x v="2"/>
    <x v="1"/>
    <x v="2"/>
    <n v="0"/>
    <x v="2"/>
    <n v="0"/>
    <n v="0"/>
    <n v="0"/>
  </r>
  <r>
    <s v="S925-WHI-EAR-CEL-004"/>
    <s v="B083KM8MTH"/>
    <x v="2"/>
    <s v="Silver Earrings - Celtic Design- Stud "/>
    <x v="93"/>
    <n v="1.9806999999999999"/>
    <s v="925 Silver"/>
    <s v="Earrings"/>
    <x v="0"/>
    <s v="7113.11.10.00"/>
    <s v="7113.11.00"/>
    <s v="7113.11.50.00"/>
    <s v="B083KM8MTH Silver Earrings - Celtic Design- Stud "/>
    <n v="2.248329956354679"/>
    <n v="2.7152106354774546"/>
    <n v="3.4756256986083103"/>
    <n v="3.5575472375889068"/>
    <x v="2"/>
    <x v="1"/>
    <x v="2"/>
    <n v="0"/>
    <x v="2"/>
    <n v="0"/>
    <n v="0"/>
    <n v="0"/>
  </r>
  <r>
    <s v="S925-WHI-EAR-CUFF-003"/>
    <s v="B08NQ44RB1"/>
    <x v="2"/>
    <s v="Cuff Earrings  Heart Design"/>
    <x v="181"/>
    <n v="0.86929999999999996"/>
    <s v="925 Silver"/>
    <s v="Earrings"/>
    <x v="0"/>
    <s v="7113.11.10.00"/>
    <s v="7113.11.00"/>
    <s v="7113.11.50.00"/>
    <s v="B08NQ44RB1 Cuff Earrings  Heart Design"/>
    <n v="0.98675883831934297"/>
    <n v="1.1916658784371945"/>
    <n v="1.5254008278892333"/>
    <n v="1.5613549823981607"/>
    <x v="9"/>
    <x v="1"/>
    <x v="82"/>
    <n v="4.3464999999999998"/>
    <x v="82"/>
    <n v="5.9583293921859726"/>
    <n v="7.6270041394461661"/>
    <n v="7.8067749119908036"/>
  </r>
  <r>
    <s v="S925-WHI-RIN-GEM-001-M"/>
    <s v="B08C34P7W7"/>
    <x v="2"/>
    <s v="Ring with CZ - M"/>
    <x v="182"/>
    <n v="3.9683000000000002"/>
    <s v="925 Silver"/>
    <s v="Ring"/>
    <x v="0"/>
    <s v="7113.11.10.00"/>
    <s v="7113.11.00"/>
    <s v="7113.11.50.00"/>
    <s v="B08C34P7W7 Ring with CZ - M"/>
    <n v="4.5044922329490955"/>
    <n v="5.4398800246201766"/>
    <n v="6.9633591456491946"/>
    <n v="7.1274876068683097"/>
    <x v="9"/>
    <x v="8"/>
    <x v="83"/>
    <n v="19.8415"/>
    <x v="83"/>
    <n v="27.19940012310088"/>
    <n v="34.816795728245971"/>
    <n v="35.63743803434155"/>
  </r>
  <r>
    <s v="BIA-S925-CHAIN-031-230-190"/>
    <s v="B00JCW2UO6"/>
    <x v="1"/>
    <s v="Heart Chain"/>
    <x v="183"/>
    <n v="1.8138000000000001"/>
    <s v="925 Silver"/>
    <s v="Bracelet"/>
    <x v="0"/>
    <s v="7113.11.10.00"/>
    <s v="7113.11.00"/>
    <s v="7113.11.10.00"/>
    <s v="B00JCW2UO6 Heart Chain"/>
    <n v="2.0588786160630672"/>
    <n v="2.4864184634871549"/>
    <n v="3.1827585662320161"/>
    <n v="3.2577771391622963"/>
    <x v="2"/>
    <x v="3"/>
    <x v="2"/>
    <n v="0"/>
    <x v="2"/>
    <n v="0"/>
    <n v="0"/>
    <n v="0"/>
  </r>
  <r>
    <s v="BIA-S925-CHAIN-031-230-200"/>
    <s v="B00JCW2VBI"/>
    <x v="1"/>
    <s v="Heart Chain"/>
    <x v="184"/>
    <n v="1.871"/>
    <s v="925 Silver"/>
    <s v="Bracelet"/>
    <x v="0"/>
    <s v="7113.11.10.00"/>
    <s v="7113.11.00"/>
    <s v="7113.11.10.00"/>
    <s v="B00JCW2VBI Heart Chain"/>
    <n v="2.1238074157316125"/>
    <n v="2.5648301605383539"/>
    <n v="3.2831300459918964"/>
    <n v="3.3605144047704574"/>
    <x v="7"/>
    <x v="3"/>
    <x v="84"/>
    <n v="37.42"/>
    <x v="84"/>
    <n v="51.296603210767081"/>
    <n v="65.662600919837928"/>
    <n v="67.21028809540914"/>
  </r>
  <r>
    <s v="S925-YEL-BRA-CHA-042-190"/>
    <s v="B08F7XTF68"/>
    <x v="0"/>
    <s v="Singapore chain bracelet - gold plated"/>
    <x v="185"/>
    <n v="2.3525"/>
    <s v="925 Silver"/>
    <s v="Bracelet"/>
    <x v="0"/>
    <s v="7113.11.10.00"/>
    <s v="7113.11.00"/>
    <s v="7113.11.10.00"/>
    <s v="B08F7XTF68 Singapore chain bracelet - gold plated"/>
    <n v="2.6703671542002239"/>
    <n v="3.2248866663102498"/>
    <n v="4.1280403170475344"/>
    <n v="4.2253394640419568"/>
    <x v="2"/>
    <x v="3"/>
    <x v="2"/>
    <n v="0"/>
    <x v="2"/>
    <n v="0"/>
    <n v="0"/>
    <n v="0"/>
  </r>
  <r>
    <s v="S925-WHI-EAR-HOOP-008-025"/>
    <s v="B08P3K95HY"/>
    <x v="1"/>
    <s v="Beaded Hoops with post notch"/>
    <x v="186"/>
    <n v="6.9608999999999996"/>
    <s v="925 Silver"/>
    <s v="Earrings"/>
    <x v="0"/>
    <s v="7113.11.10.00"/>
    <s v="7113.11.00"/>
    <s v="7113.11.50.00"/>
    <s v="B08P3K95HY Beaded Hoops with post notch"/>
    <n v="7.9014489792443507"/>
    <n v="9.5422374476170102"/>
    <n v="12.21461247308658"/>
    <n v="12.50251454845894"/>
    <x v="9"/>
    <x v="1"/>
    <x v="85"/>
    <n v="34.804499999999997"/>
    <x v="85"/>
    <n v="47.711187238085053"/>
    <n v="61.073062365432897"/>
    <n v="62.512572742294701"/>
  </r>
  <r>
    <s v="BIA-S925-CHAIN-031-230-500"/>
    <s v="B00DKCZLPY"/>
    <x v="1"/>
    <s v="Heart Chain"/>
    <x v="187"/>
    <n v="3.9310999999999998"/>
    <s v="925 Silver"/>
    <s v="chain"/>
    <x v="0"/>
    <s v="7113.11.10.00"/>
    <s v="7113.11.00"/>
    <s v="7113.11.10.00"/>
    <s v="B00DKCZLPY Heart Chain"/>
    <n v="4.4622658107870343"/>
    <n v="5.3888850048596062"/>
    <n v="6.8980825888822785"/>
    <n v="7.0606724621021622"/>
    <x v="2"/>
    <x v="0"/>
    <x v="2"/>
    <n v="0"/>
    <x v="2"/>
    <n v="0"/>
    <n v="0"/>
    <n v="0"/>
  </r>
  <r>
    <s v="S925-WHI-PEN-CROS-009"/>
    <s v="B08MFQYKCR"/>
    <x v="2"/>
    <s v="Cross with Jesus Christ Pendant"/>
    <x v="188"/>
    <n v="7.4565999999999999"/>
    <s v="925 Silver"/>
    <s v="Pendant"/>
    <x v="0"/>
    <s v="7113.11.10.00"/>
    <s v="7113.11.00"/>
    <s v="7113.11.50.00"/>
    <s v="B08MFQYKCR Cross with Jesus Christ Pendant"/>
    <n v="8.4641274057425662"/>
    <n v="10.221759794265253"/>
    <n v="13.084440139467223"/>
    <n v="13.39284431352827"/>
    <x v="2"/>
    <x v="4"/>
    <x v="2"/>
    <n v="0"/>
    <x v="2"/>
    <n v="0"/>
    <n v="0"/>
    <n v="0"/>
  </r>
  <r>
    <s v="S925-WHI-PEN-LOC-007"/>
    <s v="B08Z48GFWM"/>
    <x v="2"/>
    <s v="Locket - Coin 2 Pictures"/>
    <x v="189"/>
    <n v="3.5221"/>
    <s v="925 Silver"/>
    <s v="Pendant"/>
    <x v="0"/>
    <s v="7113.11.10.00"/>
    <s v="7113.11.00"/>
    <s v="7113.11.50.00"/>
    <s v="B08Z48GFWM Locket - Coin 2 Pictures"/>
    <n v="3.9980021907794292"/>
    <n v="4.828213954266241"/>
    <n v="6.1803914136761406"/>
    <n v="6.326065090882965"/>
    <x v="5"/>
    <x v="4"/>
    <x v="86"/>
    <n v="52.831499999999998"/>
    <x v="86"/>
    <n v="72.42320931399361"/>
    <n v="92.705871205142103"/>
    <n v="94.890976363244476"/>
  </r>
  <r>
    <s v="S925-WHI-NEC-CHA-024-055-500"/>
    <s v="B08LW4GWKZ"/>
    <x v="1"/>
    <s v="Chain - Super Flat Curb - Gauge 150 - Width 5.5 mm - Length 50 cm"/>
    <x v="190"/>
    <n v="11.7155"/>
    <s v="925 Silver"/>
    <s v="chain"/>
    <x v="0"/>
    <s v="7113.11.10.00"/>
    <s v="7113.11.00"/>
    <s v="7113.11.10.00"/>
    <s v="B08LW4GWKZ Chain - Super Flat Curb - Gauge 150 - Width 5.5 mm - Length 50 cm"/>
    <n v="13.29848518386088"/>
    <n v="16.06000413991827"/>
    <n v="20.557728516204204"/>
    <n v="21.042280336231052"/>
    <x v="9"/>
    <x v="0"/>
    <x v="87"/>
    <n v="58.577500000000001"/>
    <x v="87"/>
    <n v="80.300020699591357"/>
    <n v="102.78864258102101"/>
    <n v="105.21140168115525"/>
  </r>
  <r>
    <s v="BIA-S925-CHAIN-036-140-200"/>
    <s v="B01N24LA3B"/>
    <x v="1"/>
    <s v="Cube and Oval Link Chain"/>
    <x v="191"/>
    <n v="3.1854"/>
    <s v="925 Silver"/>
    <s v="Bracelet"/>
    <x v="0"/>
    <s v="7113.11.10.00"/>
    <s v="7113.11.00"/>
    <s v="7113.11.10.00"/>
    <s v="B01N24LA3B Cube and Oval Link Chain"/>
    <n v="3.6158076654577651"/>
    <n v="4.3666541920784994"/>
    <n v="5.5895683850895708"/>
    <n v="5.7213161865076509"/>
    <x v="2"/>
    <x v="3"/>
    <x v="2"/>
    <n v="0"/>
    <x v="2"/>
    <n v="0"/>
    <n v="0"/>
    <n v="0"/>
  </r>
  <r>
    <s v="BIA-S925-CHAIN-036-140-220-250"/>
    <s v="B072333FB6"/>
    <x v="1"/>
    <s v="Cube and Oval Link Chain"/>
    <x v="49"/>
    <n v="4.8808999999999996"/>
    <s v="925 Silver"/>
    <s v="Anklet"/>
    <x v="0"/>
    <s v="7113.11.10.00"/>
    <s v="7113.11.00"/>
    <s v="7113.11.10.00"/>
    <s v="B072333FB6 Cube and Oval Link Chain"/>
    <n v="5.540401718569977"/>
    <n v="6.6909030093915822"/>
    <n v="8.5647404818181965"/>
    <n v="8.7666139808894297"/>
    <x v="2"/>
    <x v="2"/>
    <x v="2"/>
    <n v="0"/>
    <x v="2"/>
    <n v="0"/>
    <n v="0"/>
    <n v="0"/>
  </r>
  <r>
    <s v="BIA-S925-CHAIN-037-125-450"/>
    <s v="B012HM7F9C"/>
    <x v="1"/>
    <s v="Omega U"/>
    <x v="192"/>
    <n v="5.7552000000000003"/>
    <s v="925 Silver"/>
    <s v="chain"/>
    <x v="0"/>
    <s v="7113.11.10.00"/>
    <s v="7113.11.00"/>
    <s v="7113.11.10.00"/>
    <s v="B012HM7F9C Omega U"/>
    <n v="6.5328361512659416"/>
    <n v="7.8894230571514354"/>
    <n v="10.098915040455672"/>
    <n v="10.336949493498096"/>
    <x v="2"/>
    <x v="0"/>
    <x v="2"/>
    <n v="0"/>
    <x v="2"/>
    <n v="0"/>
    <n v="0"/>
    <n v="0"/>
  </r>
  <r>
    <s v="BIA-S925-CHAIN-038-140-450"/>
    <s v="B0164MQF42"/>
    <x v="1"/>
    <s v="Fox Tail"/>
    <x v="193"/>
    <n v="3.7482000000000002"/>
    <s v="925 Silver"/>
    <s v="chain"/>
    <x v="0"/>
    <s v="7113.11.10.00"/>
    <s v="7113.11.00"/>
    <s v="7113.11.10.00"/>
    <s v="B0164MQF42 Fox Tail"/>
    <n v="4.2546525684902354"/>
    <n v="5.1381594910368031"/>
    <n v="6.5771395181116121"/>
    <n v="6.7321646670019399"/>
    <x v="2"/>
    <x v="0"/>
    <x v="2"/>
    <n v="0"/>
    <x v="2"/>
    <n v="0"/>
    <n v="0"/>
    <n v="0"/>
  </r>
  <r>
    <s v="S925-WHI-EAR-HOOP-020-012"/>
    <s v="B0943XX2SF"/>
    <x v="2"/>
    <s v="Silver Huggie Hoops - Pave - 12 mm"/>
    <x v="0"/>
    <n v="3.3193000000000001"/>
    <s v="925 Silver"/>
    <s v="Earrings"/>
    <x v="0"/>
    <s v="7113.11.10.00"/>
    <s v="7113.11.00"/>
    <s v="7113.11.50.00"/>
    <s v="B0943XX2SF Silver Huggie Hoops - Pave - 12 mm"/>
    <n v="3.767800082863678"/>
    <n v="4.5502088465392614"/>
    <n v="5.8245288945274734"/>
    <n v="5.9618147855449388"/>
    <x v="0"/>
    <x v="1"/>
    <x v="0"/>
    <n v="33.192999999999998"/>
    <x v="88"/>
    <n v="45.50208846539261"/>
    <n v="58.245288945274723"/>
    <n v="59.618147855449386"/>
  </r>
  <r>
    <s v="S925-YEL-EAR-HOOP-020-020"/>
    <s v="B0943WDXFR"/>
    <x v="2"/>
    <s v="GP Huggie Hoops - Pave - 20 mm"/>
    <x v="194"/>
    <n v="6.4020000000000001"/>
    <s v="925 Silver"/>
    <s v="Earrings"/>
    <x v="0"/>
    <s v="7113.11.10.00"/>
    <s v="7113.11.00"/>
    <s v="7113.11.50.00"/>
    <s v="B0943WDXFR GP Huggie Hoops - Pave - 20 mm"/>
    <n v="7.2670310398256461"/>
    <n v="8.7760784007303805"/>
    <n v="11.233884850048167"/>
    <n v="11.498670881528845"/>
    <x v="9"/>
    <x v="1"/>
    <x v="57"/>
    <n v="32.01"/>
    <x v="89"/>
    <n v="43.880392003651899"/>
    <n v="56.16942425024083"/>
    <n v="57.493354407644226"/>
  </r>
  <r>
    <s v="BIA-S925-CHAIN-041-220-200"/>
    <s v="B0164MQE3O"/>
    <x v="1"/>
    <s v="Bismark chain"/>
    <x v="195"/>
    <n v="2.4578000000000002"/>
    <s v="925 Silver"/>
    <s v="Bracelet"/>
    <x v="0"/>
    <s v="7113.11.10.00"/>
    <s v="7113.11.00"/>
    <s v="7113.11.10.00"/>
    <s v="B0164MQE3O Bismark chain"/>
    <n v="2.7898951717718639"/>
    <n v="3.3692354722454123"/>
    <n v="4.3128150866054966"/>
    <n v="4.4144694302751635"/>
    <x v="4"/>
    <x v="3"/>
    <x v="88"/>
    <n v="147.46800000000002"/>
    <x v="90"/>
    <n v="202.15412833472476"/>
    <n v="258.7689051963298"/>
    <n v="264.86816581650982"/>
  </r>
  <r>
    <s v="S925-WHI-RIN-GEM-001-R"/>
    <s v="B08R3ZVD3F"/>
    <x v="2"/>
    <s v="Ring with CZ - R"/>
    <x v="134"/>
    <n v="3.9683000000000002"/>
    <s v="925 Silver"/>
    <s v="Ring"/>
    <x v="0"/>
    <s v="7113.11.10.00"/>
    <s v="7113.11.00"/>
    <s v="7113.11.50.00"/>
    <s v="B08R3ZVD3F Ring with CZ - R"/>
    <n v="4.5044922329490955"/>
    <n v="5.4398800246201766"/>
    <n v="6.9633591456491946"/>
    <n v="7.1274876068683097"/>
    <x v="2"/>
    <x v="8"/>
    <x v="2"/>
    <n v="0"/>
    <x v="2"/>
    <n v="0"/>
    <n v="0"/>
    <n v="0"/>
  </r>
  <r>
    <s v="BIA-GP-CHAIN-007-040-450"/>
    <s v="B012HM8GT0"/>
    <x v="0"/>
    <s v="Belcher Chain"/>
    <x v="64"/>
    <n v="2.9270999999999998"/>
    <s v="925 Silver"/>
    <s v="chain"/>
    <x v="0"/>
    <s v="7113.11.10.00"/>
    <s v="7113.11.00"/>
    <s v="7113.11.10.00"/>
    <s v="B012HM8GT0 Belcher Chain"/>
    <n v="3.322606459961519"/>
    <n v="4.0125678048700237"/>
    <n v="5.1363174546354244"/>
    <n v="5.2573819958330335"/>
    <x v="8"/>
    <x v="0"/>
    <x v="89"/>
    <n v="87.812999999999988"/>
    <x v="91"/>
    <n v="120.37703414610071"/>
    <n v="154.08952363906272"/>
    <n v="157.72145987499101"/>
  </r>
  <r>
    <s v="BIA-GP-CHAIN-007-040-700"/>
    <s v="B012HM8RS0"/>
    <x v="0"/>
    <s v="Belcher Chain"/>
    <x v="66"/>
    <n v="4.3647999999999998"/>
    <s v="925 Silver"/>
    <s v="chain"/>
    <x v="0"/>
    <s v="7113.11.10.00"/>
    <s v="7113.11.00"/>
    <s v="7113.11.10.00"/>
    <s v="B012HM8RS0 Belcher Chain"/>
    <n v="4.9545668670151484"/>
    <n v="5.9834156519068982"/>
    <n v="7.6591159939847291"/>
    <n v="7.8396436525612465"/>
    <x v="0"/>
    <x v="0"/>
    <x v="90"/>
    <n v="43.647999999999996"/>
    <x v="92"/>
    <n v="59.834156519068976"/>
    <n v="76.591159939847287"/>
    <n v="78.396436525612472"/>
  </r>
  <r>
    <s v="BIA-GP-CHAIN-024-140-600"/>
    <s v="B073G8ZH19"/>
    <x v="1"/>
    <s v="Snake Chain"/>
    <x v="196"/>
    <n v="5.9394999999999998"/>
    <s v="925 Silver"/>
    <s v="chain"/>
    <x v="0"/>
    <s v="7113.11.10.00"/>
    <s v="7113.11.00"/>
    <s v="7113.11.10.00"/>
    <s v="B073G8ZH19 Snake Chain"/>
    <n v="6.7420385599881945"/>
    <n v="8.142067738384581"/>
    <n v="10.422314755835846"/>
    <n v="10.667971837057259"/>
    <x v="0"/>
    <x v="0"/>
    <x v="91"/>
    <n v="59.394999999999996"/>
    <x v="93"/>
    <n v="81.420677383845813"/>
    <n v="104.22314755835846"/>
    <n v="106.67971837057259"/>
  </r>
  <r>
    <s v="BIA-S925-CHAIN-042-110-450"/>
    <s v="B0164MQJM0"/>
    <x v="1"/>
    <s v="Liana Chain"/>
    <x v="197"/>
    <n v="1.6354"/>
    <s v="925 Silver"/>
    <s v="chain"/>
    <x v="0"/>
    <s v="7113.11.10.00"/>
    <s v="7113.11.00"/>
    <s v="7113.11.10.00"/>
    <s v="B0164MQJM0 Liana Chain"/>
    <n v="1.8563734087052266"/>
    <n v="2.2418617020547429"/>
    <n v="2.8697118531347661"/>
    <n v="2.9373518212515264"/>
    <x v="2"/>
    <x v="0"/>
    <x v="2"/>
    <n v="0"/>
    <x v="2"/>
    <n v="0"/>
    <n v="0"/>
    <n v="0"/>
  </r>
  <r>
    <s v="BIA-S925-CHAIN-043-200-180"/>
    <s v="B01IBQX6IM"/>
    <x v="1"/>
    <s v="Popcorn Chain"/>
    <x v="198"/>
    <n v="2.2094999999999998"/>
    <s v="925 Silver"/>
    <s v="Bracelet"/>
    <x v="0"/>
    <s v="7113.11.10.00"/>
    <s v="7113.11.00"/>
    <s v="7113.11.10.00"/>
    <s v="B01IBQX6IM Popcorn Chain"/>
    <n v="2.5080451550288601"/>
    <n v="3.0288574236822514"/>
    <n v="3.8771116176478326"/>
    <n v="3.9684963000215525"/>
    <x v="2"/>
    <x v="3"/>
    <x v="2"/>
    <n v="0"/>
    <x v="2"/>
    <n v="0"/>
    <n v="0"/>
    <n v="0"/>
  </r>
  <r>
    <s v="BIA-S925-CHAIN-043-200-190"/>
    <s v="B01IBQX7GS"/>
    <x v="1"/>
    <s v="Popcorn Chain"/>
    <x v="199"/>
    <n v="2.3254999999999999"/>
    <s v="925 Silver"/>
    <s v="Bracelet"/>
    <x v="0"/>
    <s v="7113.11.10.00"/>
    <s v="7113.11.00"/>
    <s v="7113.11.10.00"/>
    <s v="B01IBQX7GS Popcorn Chain"/>
    <n v="2.6397189445664697"/>
    <n v="3.1878741519679004"/>
    <n v="4.080662171007031"/>
    <n v="4.1768446009052367"/>
    <x v="2"/>
    <x v="3"/>
    <x v="2"/>
    <n v="0"/>
    <x v="2"/>
    <n v="0"/>
    <n v="0"/>
    <n v="0"/>
  </r>
  <r>
    <s v="BIA-ROSE-CHAIN-008-030-500"/>
    <s v="B073JHQTKL"/>
    <x v="0"/>
    <s v="Singapore Chain"/>
    <x v="104"/>
    <n v="3.0503999999999998"/>
    <s v="925 Silver"/>
    <s v="chain"/>
    <x v="0"/>
    <s v="7113.11.10.00"/>
    <s v="7113.11.00"/>
    <s v="7113.11.10.00"/>
    <s v="B073JHQTKL Singapore Chain"/>
    <n v="3.4625666172889953"/>
    <n v="4.1815916203667527"/>
    <n v="5.3526776548870547"/>
    <n v="5.4788418708240529"/>
    <x v="0"/>
    <x v="0"/>
    <x v="92"/>
    <n v="30.503999999999998"/>
    <x v="94"/>
    <n v="41.815916203667527"/>
    <n v="53.526776548870551"/>
    <n v="54.788418708240528"/>
  </r>
  <r>
    <s v="BIA-ROSE-CHAIN-015-120-450"/>
    <s v="B073G9ZDDM"/>
    <x v="1"/>
    <s v="Ball Chain"/>
    <x v="151"/>
    <n v="2.7949000000000002"/>
    <s v="925 Silver"/>
    <s v="chain"/>
    <x v="0"/>
    <s v="7113.11.10.00"/>
    <s v="7113.11.00"/>
    <s v="7113.11.10.00"/>
    <s v="B073G9ZDDM Ball Chain"/>
    <n v="3.172543744643658"/>
    <n v="3.831343567978966"/>
    <n v="4.9043400136519253"/>
    <n v="5.0199367770673184"/>
    <x v="2"/>
    <x v="0"/>
    <x v="2"/>
    <n v="0"/>
    <x v="2"/>
    <n v="0"/>
    <n v="0"/>
    <n v="0"/>
  </r>
  <r>
    <s v="BIA-S925-CHAIN-044-630-190"/>
    <s v="B01IBQXCZ4"/>
    <x v="1"/>
    <s v="Oval Chain"/>
    <x v="200"/>
    <n v="1.9866999999999999"/>
    <s v="925 Silver"/>
    <s v="Bracelet"/>
    <x v="0"/>
    <s v="7113.11.10.00"/>
    <s v="7113.11.00"/>
    <s v="7113.11.10.00"/>
    <s v="B01IBQXCZ4 Oval Chain"/>
    <n v="2.2551406696066243"/>
    <n v="2.7234356386646432"/>
    <n v="3.4861541755062002"/>
    <n v="3.5683238738415111"/>
    <x v="2"/>
    <x v="3"/>
    <x v="2"/>
    <n v="0"/>
    <x v="2"/>
    <n v="0"/>
    <n v="0"/>
    <n v="0"/>
  </r>
  <r>
    <s v="BIA-S925-CHAIN-044-630-200"/>
    <s v="B01IBQXDYE"/>
    <x v="1"/>
    <s v="Oval Chain"/>
    <x v="201"/>
    <n v="2.0375999999999999"/>
    <s v="925 Silver"/>
    <s v="Bracelet"/>
    <x v="0"/>
    <s v="7113.11.10.00"/>
    <s v="7113.11.00"/>
    <s v="7113.11.10.00"/>
    <s v="B01IBQXDYE Oval Chain"/>
    <n v="2.3129182203606269"/>
    <n v="2.7932110823692944"/>
    <n v="3.5754707545232964"/>
    <n v="3.6597456713844378"/>
    <x v="2"/>
    <x v="3"/>
    <x v="2"/>
    <n v="0"/>
    <x v="2"/>
    <n v="0"/>
    <n v="0"/>
    <n v="0"/>
  </r>
  <r>
    <s v="BIA-S925-CHAIN-044-630-220-250"/>
    <s v="B071NZRQ6D"/>
    <x v="1"/>
    <s v="Oval Chain"/>
    <x v="202"/>
    <n v="3.3374999999999999"/>
    <s v="925 Silver"/>
    <s v="Anklet"/>
    <x v="0"/>
    <s v="7113.11.10.00"/>
    <s v="7113.11.00"/>
    <s v="7113.11.10.00"/>
    <s v="B071NZRQ6D Oval Chain"/>
    <n v="3.7884592463945785"/>
    <n v="4.5751580228737341"/>
    <n v="5.8564652744510708"/>
    <n v="5.9945039155111717"/>
    <x v="2"/>
    <x v="2"/>
    <x v="2"/>
    <n v="0"/>
    <x v="2"/>
    <n v="0"/>
    <n v="0"/>
    <n v="0"/>
  </r>
  <r>
    <s v="BIA-S925-CHAIN-045-140-180"/>
    <s v="B01N4Q9ZOP"/>
    <x v="1"/>
    <s v="Singapore with Beads Chain"/>
    <x v="203"/>
    <n v="2.1669"/>
    <s v="925 Silver"/>
    <s v="Bracelet"/>
    <x v="0"/>
    <s v="7113.11.10.00"/>
    <s v="7113.11.00"/>
    <s v="7113.11.10.00"/>
    <s v="B01N4Q9ZOP Singapore with Beads Chain"/>
    <n v="2.4596890909400488"/>
    <n v="2.9704599010532116"/>
    <n v="3.8023594316728171"/>
    <n v="3.8919821826280621"/>
    <x v="2"/>
    <x v="3"/>
    <x v="2"/>
    <n v="0"/>
    <x v="2"/>
    <n v="0"/>
    <n v="0"/>
    <n v="0"/>
  </r>
  <r>
    <s v="BIA-ROSE-CHAIN-031-230-500"/>
    <s v="B071GYZNP8"/>
    <x v="1"/>
    <s v="Heart Chain"/>
    <x v="47"/>
    <n v="4.7975000000000003"/>
    <s v="925 Silver"/>
    <s v="chain"/>
    <x v="0"/>
    <s v="7113.11.10.00"/>
    <s v="7113.11.00"/>
    <s v="7113.11.10.00"/>
    <s v="B071GYZNP8 Heart Chain"/>
    <n v="5.4457328043679381"/>
    <n v="6.5765754650896602"/>
    <n v="8.4183946529375326"/>
    <n v="8.6168187369782316"/>
    <x v="7"/>
    <x v="0"/>
    <x v="93"/>
    <n v="95.95"/>
    <x v="95"/>
    <n v="131.53150930179319"/>
    <n v="168.36789305875064"/>
    <n v="172.33637473956463"/>
  </r>
  <r>
    <s v="BIA-S925-CHAIN-045-140-220-250"/>
    <s v="B0725N7KSD"/>
    <x v="1"/>
    <s v="Singapore with Beads Chain"/>
    <x v="204"/>
    <n v="3.7403"/>
    <s v="925 Silver"/>
    <s v="Anklet"/>
    <x v="0"/>
    <s v="7113.11.10.00"/>
    <s v="7113.11.00"/>
    <s v="7113.11.10.00"/>
    <s v="B0725N7KSD Singapore with Beads Chain"/>
    <n v="4.2456851293751736"/>
    <n v="5.1273299035070039"/>
    <n v="6.5632770235293911"/>
    <n v="6.7179754292693437"/>
    <x v="9"/>
    <x v="2"/>
    <x v="94"/>
    <n v="18.701499999999999"/>
    <x v="96"/>
    <n v="25.63664951753502"/>
    <n v="32.816385117646952"/>
    <n v="33.589877146346716"/>
  </r>
  <r>
    <s v="BIA-S925-CHAIN-046-170-180"/>
    <s v="B01MR89UP7"/>
    <x v="1"/>
    <s v="Anchor with tubes Chain"/>
    <x v="205"/>
    <n v="1.7870999999999999"/>
    <s v="925 Silver"/>
    <s v="Bracelet"/>
    <x v="0"/>
    <s v="7113.11.10.00"/>
    <s v="7113.11.00"/>
    <s v="7113.11.10.00"/>
    <s v="B01MR89UP7 Anchor with tubes Chain"/>
    <n v="2.0285709420919105"/>
    <n v="2.4498171993041646"/>
    <n v="3.1359068440364073"/>
    <n v="3.2098211078382066"/>
    <x v="2"/>
    <x v="3"/>
    <x v="2"/>
    <n v="0"/>
    <x v="2"/>
    <n v="0"/>
    <n v="0"/>
    <n v="0"/>
  </r>
  <r>
    <s v="BIA-S925-CHAIN-046-170-190"/>
    <s v="B01N136KGJ"/>
    <x v="1"/>
    <s v="Anchor with tubes Chain"/>
    <x v="206"/>
    <n v="1.8322000000000001"/>
    <s v="925 Silver"/>
    <s v="Bracelet"/>
    <x v="0"/>
    <s v="7113.11.10.00"/>
    <s v="7113.11.00"/>
    <s v="7113.11.10.00"/>
    <s v="B01N136KGJ Anchor with tubes Chain"/>
    <n v="2.079764803369033"/>
    <n v="2.5116418065945334"/>
    <n v="3.2150458953855439"/>
    <n v="3.2908254903369496"/>
    <x v="2"/>
    <x v="3"/>
    <x v="2"/>
    <n v="0"/>
    <x v="2"/>
    <n v="0"/>
    <n v="0"/>
    <n v="0"/>
  </r>
  <r>
    <s v="BIA-S925-CHAIN-046-170-200"/>
    <s v="B01NBW8XS8"/>
    <x v="1"/>
    <s v="Anchor with tubes Chain"/>
    <x v="207"/>
    <n v="1.9422999999999999"/>
    <s v="925 Silver"/>
    <s v="Bracelet"/>
    <x v="0"/>
    <s v="7113.11.10.00"/>
    <s v="7113.11.00"/>
    <s v="7113.11.10.00"/>
    <s v="B01NBW8XS8 Anchor with tubes Chain"/>
    <n v="2.2047413915422291"/>
    <n v="2.6625706150794466"/>
    <n v="3.4082434464618174"/>
    <n v="3.4885767655722391"/>
    <x v="2"/>
    <x v="3"/>
    <x v="2"/>
    <n v="0"/>
    <x v="2"/>
    <n v="0"/>
    <n v="0"/>
    <n v="0"/>
  </r>
  <r>
    <s v="BIA-S925-CHAIN-046-170-220-250"/>
    <s v="B0714B6NBJ"/>
    <x v="1"/>
    <s v="Anchor with tubes Chain"/>
    <x v="208"/>
    <n v="2.8106"/>
    <s v="925 Silver"/>
    <s v="Anklet"/>
    <x v="0"/>
    <s v="7113.11.10.00"/>
    <s v="7113.11.00"/>
    <s v="7113.11.10.00"/>
    <s v="B0714B6NBJ Anchor with tubes Chain"/>
    <n v="3.1903651109862481"/>
    <n v="3.8528656596521098"/>
    <n v="4.9318895282014026"/>
    <n v="5.0481356419282992"/>
    <x v="9"/>
    <x v="2"/>
    <x v="95"/>
    <n v="14.053000000000001"/>
    <x v="97"/>
    <n v="19.264328298260551"/>
    <n v="24.659447641007013"/>
    <n v="25.240678209641494"/>
  </r>
  <r>
    <s v="BIA-S925-CHAIN-048-050-180"/>
    <s v="B01NBWIUBM"/>
    <x v="1"/>
    <s v="Cobb Chain"/>
    <x v="209"/>
    <n v="1.742"/>
    <s v="925 Silver"/>
    <s v="Bracelet"/>
    <x v="0"/>
    <s v="7113.11.10.00"/>
    <s v="7113.11.00"/>
    <s v="7113.11.10.00"/>
    <s v="B01NBWIUBM Cobb Chain"/>
    <n v="1.9773770808147884"/>
    <n v="2.3879925920137959"/>
    <n v="3.0567677926872707"/>
    <n v="3.1288167253394636"/>
    <x v="2"/>
    <x v="3"/>
    <x v="2"/>
    <n v="0"/>
    <x v="2"/>
    <n v="0"/>
    <n v="0"/>
    <n v="0"/>
  </r>
  <r>
    <s v="BIA-S925-CHAIN-048-050-190"/>
    <s v="B01N6T7315"/>
    <x v="1"/>
    <s v="Cobb Chain"/>
    <x v="210"/>
    <n v="1.8136000000000001"/>
    <s v="925 Silver"/>
    <s v="Bracelet"/>
    <x v="0"/>
    <s v="7113.11.10.00"/>
    <s v="7113.11.00"/>
    <s v="7113.11.10.00"/>
    <s v="B01N6T7315 Cobb Chain"/>
    <n v="2.0586515922880024"/>
    <n v="2.4861442967142486"/>
    <n v="3.1824076170020863"/>
    <n v="3.2574179179538758"/>
    <x v="2"/>
    <x v="3"/>
    <x v="2"/>
    <n v="0"/>
    <x v="2"/>
    <n v="0"/>
    <n v="0"/>
    <n v="0"/>
  </r>
  <r>
    <s v="BIA-S925-CHAIN-048-050-200"/>
    <s v="B01MYAH3VM"/>
    <x v="1"/>
    <s v="Cobb Chain"/>
    <x v="211"/>
    <n v="1.8833"/>
    <s v="925 Silver"/>
    <s v="Bracelet"/>
    <x v="0"/>
    <s v="7113.11.10.00"/>
    <s v="7113.11.00"/>
    <s v="7113.11.10.00"/>
    <s v="B01MYAH3VM Cobb Chain"/>
    <n v="2.1377693778981004"/>
    <n v="2.5816914170720908"/>
    <n v="3.3047134236325699"/>
    <n v="3.3826065090882964"/>
    <x v="2"/>
    <x v="3"/>
    <x v="2"/>
    <n v="0"/>
    <x v="2"/>
    <n v="0"/>
    <n v="0"/>
    <n v="0"/>
  </r>
  <r>
    <s v="BIA-S925-CHAIN-007-040-700"/>
    <s v="B00JCW2MRG"/>
    <x v="0"/>
    <s v="Belcher Chain"/>
    <x v="212"/>
    <n v="3.2982999999999998"/>
    <s v="925 Silver"/>
    <s v="chain"/>
    <x v="0"/>
    <s v="7113.11.10.00"/>
    <s v="7113.11.00"/>
    <s v="7113.11.10.00"/>
    <s v="B00JCW2MRG Belcher Chain"/>
    <n v="3.7439625864818691"/>
    <n v="4.5214213353841002"/>
    <n v="5.787679225384859"/>
    <n v="5.924096558660823"/>
    <x v="2"/>
    <x v="0"/>
    <x v="2"/>
    <n v="0"/>
    <x v="2"/>
    <n v="0"/>
    <n v="0"/>
    <n v="0"/>
  </r>
  <r>
    <s v="BIA-S925-CHAIN-008-035-360"/>
    <s v="B00JCW2NES"/>
    <x v="0"/>
    <s v="Singapore Chain"/>
    <x v="213"/>
    <n v="2.4881000000000002"/>
    <s v="925 Silver"/>
    <s v="chain"/>
    <x v="0"/>
    <s v="7113.11.10.00"/>
    <s v="7113.11.00"/>
    <s v="7113.11.10.00"/>
    <s v="B00JCW2NES Singapore Chain"/>
    <n v="2.824289273694188"/>
    <n v="3.4107717383407157"/>
    <n v="4.3659838949398386"/>
    <n v="4.4688914433508158"/>
    <x v="0"/>
    <x v="0"/>
    <x v="96"/>
    <n v="24.881"/>
    <x v="98"/>
    <n v="34.107717383407156"/>
    <n v="43.659838949398385"/>
    <n v="44.68891443350816"/>
  </r>
  <r>
    <s v="BIA-S925-CHAIN-020-200-500"/>
    <s v="B00DKD0PHC"/>
    <x v="1"/>
    <s v="Ball Chain"/>
    <x v="214"/>
    <n v="5.2279999999999998"/>
    <s v="925 Silver"/>
    <s v="chain"/>
    <x v="0"/>
    <s v="7113.11.10.00"/>
    <s v="7113.11.00"/>
    <s v="7113.11.10.00"/>
    <s v="B00DKD0PHC Ball Chain"/>
    <n v="5.9344014801950129"/>
    <n v="7.1667194437704511"/>
    <n v="9.1738128703611075"/>
    <n v="9.390042388102593"/>
    <x v="0"/>
    <x v="0"/>
    <x v="97"/>
    <n v="52.28"/>
    <x v="99"/>
    <n v="71.667194437704509"/>
    <n v="91.738128703611096"/>
    <n v="93.90042388102593"/>
  </r>
  <r>
    <s v="BIA-S925-CHAIN-024-140-450"/>
    <s v="B012EOJ9OW"/>
    <x v="1"/>
    <s v="Rat Tail"/>
    <x v="215"/>
    <n v="3.6089000000000002"/>
    <s v="925 Silver"/>
    <s v="chain"/>
    <x v="0"/>
    <s v="7113.11.10.00"/>
    <s v="7113.11.00"/>
    <s v="7113.11.10.00"/>
    <s v="B012EOJ9OW Rat Tail"/>
    <n v="4.0965305091575717"/>
    <n v="4.9472023337075717"/>
    <n v="6.3327033794656096"/>
    <n v="6.4819670953373087"/>
    <x v="2"/>
    <x v="0"/>
    <x v="2"/>
    <n v="0"/>
    <x v="2"/>
    <n v="0"/>
    <n v="0"/>
    <n v="0"/>
  </r>
  <r>
    <s v="BIA-S925-CHAIN-025-170-500"/>
    <s v="B00DKCYX2Q"/>
    <x v="1"/>
    <s v="Wheat Chain"/>
    <x v="216"/>
    <n v="4.5076000000000001"/>
    <s v="925 Silver"/>
    <s v="chain"/>
    <x v="0"/>
    <s v="7113.11.10.00"/>
    <s v="7113.11.00"/>
    <s v="7113.11.10.00"/>
    <s v="B00DKCYX2Q Wheat Chain"/>
    <n v="5.1166618424114469"/>
    <n v="6.1791707277619903"/>
    <n v="7.9096937441545014"/>
    <n v="8.0961275953732308"/>
    <x v="9"/>
    <x v="0"/>
    <x v="98"/>
    <n v="22.538"/>
    <x v="100"/>
    <n v="30.895853638809953"/>
    <n v="39.548468720772505"/>
    <n v="40.480637976866156"/>
  </r>
  <r>
    <s v="BIA-S925-CHAIN-025-170-600"/>
    <s v="B00DKCYZMO"/>
    <x v="1"/>
    <s v="Wheat Chain"/>
    <x v="217"/>
    <n v="5.3803999999999998"/>
    <s v="925 Silver"/>
    <s v="chain"/>
    <x v="0"/>
    <s v="7113.11.10.00"/>
    <s v="7113.11.00"/>
    <s v="7113.11.10.00"/>
    <s v="B00DKCYZMO Wheat Chain"/>
    <n v="6.1073935967944237"/>
    <n v="7.3756345247250445"/>
    <n v="9.4412361835675043"/>
    <n v="9.6637689489187437"/>
    <x v="9"/>
    <x v="0"/>
    <x v="99"/>
    <n v="26.902000000000001"/>
    <x v="101"/>
    <n v="36.878172623625225"/>
    <n v="47.206180917837521"/>
    <n v="48.318844744593719"/>
  </r>
  <r>
    <s v="BIA-S925-CHAIN-051-250-500"/>
    <s v="B01N6RQT3T"/>
    <x v="1"/>
    <s v="Popcorn Chain"/>
    <x v="218"/>
    <n v="4.5692000000000004"/>
    <s v="925 Silver"/>
    <s v="chain"/>
    <x v="0"/>
    <s v="7113.11.10.00"/>
    <s v="7113.11.00"/>
    <s v="7113.11.10.00"/>
    <s v="B01N6RQT3T Popcorn Chain"/>
    <n v="5.1865851651314188"/>
    <n v="6.2636140938171287"/>
    <n v="8.0177861069728351"/>
    <n v="8.2067677275666355"/>
    <x v="9"/>
    <x v="0"/>
    <x v="100"/>
    <n v="22.846000000000004"/>
    <x v="102"/>
    <n v="31.318070469085644"/>
    <n v="40.088930534864176"/>
    <n v="41.033838637833178"/>
  </r>
  <r>
    <s v="BIA-S925-CHAIN-052-040-250"/>
    <s v="B077N8W3RM"/>
    <x v="1"/>
    <s v="Heart Chain"/>
    <x v="110"/>
    <n v="1.587"/>
    <s v="925 Silver"/>
    <s v="Anklet"/>
    <x v="0"/>
    <s v="7113.11.10.00"/>
    <s v="7113.11.00"/>
    <s v="7113.11.10.00"/>
    <s v="B077N8W3RM Heart Chain"/>
    <n v="1.8014336551395345"/>
    <n v="2.1755133430114202"/>
    <n v="2.7847821394917904"/>
    <n v="2.8504202888138512"/>
    <x v="2"/>
    <x v="2"/>
    <x v="2"/>
    <n v="0"/>
    <x v="2"/>
    <n v="0"/>
    <n v="0"/>
    <n v="0"/>
  </r>
  <r>
    <s v="BIA-S925-CHAIN-052-040-500"/>
    <s v="B01N24FXQU"/>
    <x v="1"/>
    <s v="Heart Chain"/>
    <x v="219"/>
    <n v="3.3818999999999999"/>
    <s v="925 Silver"/>
    <s v="chain"/>
    <x v="0"/>
    <s v="7113.11.10.00"/>
    <s v="7113.11.00"/>
    <s v="7113.11.10.00"/>
    <s v="B01N24FXQU Heart Chain"/>
    <n v="3.8388585244589737"/>
    <n v="4.6360230464589307"/>
    <n v="5.934376003495454"/>
    <n v="6.0742510237804437"/>
    <x v="2"/>
    <x v="0"/>
    <x v="2"/>
    <n v="0"/>
    <x v="2"/>
    <n v="0"/>
    <n v="0"/>
    <n v="0"/>
  </r>
  <r>
    <s v="BIA-S925-CHAIN-055-230-500"/>
    <s v="B06Y58ZYC6"/>
    <x v="1"/>
    <s v="Franco Chain"/>
    <x v="220"/>
    <n v="14.4892"/>
    <s v="925 Silver"/>
    <s v="chain"/>
    <x v="0"/>
    <s v="7113.11.10.00"/>
    <s v="7113.11.00"/>
    <s v="7113.11.10.00"/>
    <s v="B06Y58ZYC6 Franco Chain"/>
    <n v="16.446964408347664"/>
    <n v="19.862286029969169"/>
    <n v="25.424867911483584"/>
    <n v="26.024139665205833"/>
    <x v="9"/>
    <x v="0"/>
    <x v="101"/>
    <n v="72.445999999999998"/>
    <x v="103"/>
    <n v="99.311430149845847"/>
    <n v="127.12433955741791"/>
    <n v="130.12069832602916"/>
  </r>
  <r>
    <s v="BIA-S925-CHAIN-053-050-450"/>
    <s v="B01NBWAF5K"/>
    <x v="1"/>
    <s v="Herringbone 1 Braid Chain"/>
    <x v="221"/>
    <n v="4.8715999999999999"/>
    <s v="925 Silver"/>
    <s v="chain"/>
    <x v="0"/>
    <s v="7113.11.10.00"/>
    <s v="7113.11.00"/>
    <s v="7113.11.10.00"/>
    <s v="B01NBWAF5K Herringbone 1 Braid Chain"/>
    <n v="5.5298451130294621"/>
    <n v="6.6781542544514405"/>
    <n v="8.5484213426264688"/>
    <n v="8.749910194697895"/>
    <x v="2"/>
    <x v="0"/>
    <x v="2"/>
    <n v="0"/>
    <x v="2"/>
    <n v="0"/>
    <n v="0"/>
    <n v="0"/>
  </r>
  <r>
    <s v="BIA-S925-CHAIN-053-050-500"/>
    <s v="B01NAVCECQ"/>
    <x v="1"/>
    <s v="Herringbone 1 Braid Chain"/>
    <x v="222"/>
    <n v="5.5037000000000003"/>
    <s v="925 Silver"/>
    <s v="chain"/>
    <x v="0"/>
    <s v="7113.11.10.00"/>
    <s v="7113.11.00"/>
    <s v="7113.11.10.00"/>
    <s v="B01NAVCECQ Herringbone 1 Braid Chain"/>
    <n v="6.2473537541219004"/>
    <n v="7.5446583402217735"/>
    <n v="9.6575963838191345"/>
    <n v="9.8852288239097632"/>
    <x v="2"/>
    <x v="0"/>
    <x v="2"/>
    <n v="0"/>
    <x v="2"/>
    <n v="0"/>
    <n v="0"/>
    <n v="0"/>
  </r>
  <r>
    <s v="BIA-S925-CHAIN-053-050-600"/>
    <s v="B01NAV77B4"/>
    <x v="1"/>
    <s v="Herringbone 1 Braid Chain"/>
    <x v="223"/>
    <n v="6.3741000000000003"/>
    <s v="925 Silver"/>
    <s v="chain"/>
    <x v="0"/>
    <s v="7113.11.10.00"/>
    <s v="7113.11.00"/>
    <s v="7113.11.10.00"/>
    <s v="B01NAV77B4 Herringbone 1 Braid Chain"/>
    <n v="7.2353612232041007"/>
    <n v="8.7378321359099527"/>
    <n v="11.184927432472982"/>
    <n v="11.448559522954236"/>
    <x v="2"/>
    <x v="0"/>
    <x v="2"/>
    <n v="0"/>
    <x v="2"/>
    <n v="0"/>
    <n v="0"/>
    <n v="0"/>
  </r>
  <r>
    <s v="BIA-S925-CHAIN-054-250-450"/>
    <s v="B01N4OUN1W"/>
    <x v="1"/>
    <s v="Flat Popcorn Chain"/>
    <x v="224"/>
    <n v="7.2495000000000003"/>
    <s v="925 Silver"/>
    <s v="chain"/>
    <x v="0"/>
    <s v="7113.11.10.00"/>
    <s v="7113.11.00"/>
    <s v="7113.11.10.00"/>
    <s v="B01N4OUN1W Flat Popcorn Chain"/>
    <n v="8.229044286662921"/>
    <n v="9.9378601009207888"/>
    <n v="12.72103221187507"/>
    <n v="13.020870752209211"/>
    <x v="2"/>
    <x v="0"/>
    <x v="2"/>
    <n v="0"/>
    <x v="2"/>
    <n v="0"/>
    <n v="0"/>
    <n v="0"/>
  </r>
  <r>
    <s v="BIA-S925-CHAIN-054-250-500"/>
    <s v="B01NBVJCCE"/>
    <x v="1"/>
    <s v="Flat Popcorn Chain"/>
    <x v="225"/>
    <n v="7.9638"/>
    <s v="925 Silver"/>
    <s v="chain"/>
    <x v="0"/>
    <s v="7113.11.10.00"/>
    <s v="7113.11.00"/>
    <s v="7113.11.10.00"/>
    <s v="B01NBVJCCE Flat Popcorn Chain"/>
    <n v="9.0398596993070104"/>
    <n v="10.917046730355608"/>
    <n v="13.974447386568821"/>
    <n v="14.303829298081759"/>
    <x v="2"/>
    <x v="0"/>
    <x v="2"/>
    <n v="0"/>
    <x v="2"/>
    <n v="0"/>
    <n v="0"/>
    <n v="0"/>
  </r>
  <r>
    <s v="BIA-S925-CHAIN-054-250-600"/>
    <s v="B01N6RQTZB"/>
    <x v="1"/>
    <s v="Flat Popcorn Chain"/>
    <x v="226"/>
    <n v="8.8462999999999994"/>
    <s v="925 Silver"/>
    <s v="chain"/>
    <x v="0"/>
    <s v="7113.11.10.00"/>
    <s v="7113.11.00"/>
    <s v="7113.11.10.00"/>
    <s v="B01N6RQTZB Flat Popcorn Chain"/>
    <n v="10.041602106780632"/>
    <n v="12.126807615804617"/>
    <n v="15.523010863633411"/>
    <n v="15.888892880235646"/>
    <x v="2"/>
    <x v="0"/>
    <x v="2"/>
    <n v="0"/>
    <x v="2"/>
    <n v="0"/>
    <n v="0"/>
    <n v="0"/>
  </r>
  <r>
    <s v="BIA-S925-HOOP-002"/>
    <s v="B00D0TO4G4"/>
    <x v="0"/>
    <s v="Circle Hoop Earrings"/>
    <x v="227"/>
    <n v="2.9754"/>
    <s v="925 Silver"/>
    <s v="Earrings"/>
    <x v="0"/>
    <s v="7113.11.10.00"/>
    <s v="7113.11.00"/>
    <s v="7113.11.50.00"/>
    <s v="B00D0TO4G4 Circle Hoop Earrings"/>
    <n v="3.3774327016396795"/>
    <n v="4.0787790805268935"/>
    <n v="5.2210716936634363"/>
    <n v="5.3441339176664986"/>
    <x v="7"/>
    <x v="1"/>
    <x v="102"/>
    <n v="59.508000000000003"/>
    <x v="104"/>
    <n v="81.575581610537881"/>
    <n v="104.42143387326873"/>
    <n v="106.88267835332996"/>
  </r>
  <r>
    <s v="BIA-S925-CHAIN-055-230-700"/>
    <s v="B06Y5STLNM"/>
    <x v="1"/>
    <s v="Franco Chain"/>
    <x v="228"/>
    <n v="19.345500000000001"/>
    <s v="925 Silver"/>
    <s v="chain"/>
    <x v="0"/>
    <s v="7113.11.10.00"/>
    <s v="7113.11.00"/>
    <s v="7113.11.10.00"/>
    <s v="B06Y5STLNM Franco Chain"/>
    <n v="21.959442202584668"/>
    <n v="26.519466526293282"/>
    <n v="33.946441638020438"/>
    <n v="34.746569437459591"/>
    <x v="2"/>
    <x v="0"/>
    <x v="2"/>
    <n v="0"/>
    <x v="2"/>
    <n v="0"/>
    <n v="0"/>
    <n v="0"/>
  </r>
  <r>
    <s v="S925-BC-0396-PEN-6G"/>
    <s v="B06ZYPR9BF"/>
    <x v="0"/>
    <s v="Pen - Oval"/>
    <x v="93"/>
    <n v="1.6081000000000001"/>
    <s v="925 Silver"/>
    <s v="Pendant"/>
    <x v="0"/>
    <s v="7113.11.10.00"/>
    <s v="7113.11.00"/>
    <s v="7113.11.50.00"/>
    <s v="B06ZYPR9BF Pen - Oval"/>
    <n v="1.8253846634088755"/>
    <n v="2.2044379375530343"/>
    <n v="2.8218072832493686"/>
    <n v="2.8883181263021767"/>
    <x v="2"/>
    <x v="4"/>
    <x v="2"/>
    <n v="0"/>
    <x v="2"/>
    <n v="0"/>
    <n v="0"/>
    <n v="0"/>
  </r>
  <r>
    <s v="BIA-S925-CHAIN-056-100-700"/>
    <s v="B06Y5RMHD3"/>
    <x v="1"/>
    <s v="Flat Figaro Chain"/>
    <x v="229"/>
    <n v="10.8698"/>
    <s v="925 Silver"/>
    <s v="chain"/>
    <x v="0"/>
    <s v="7113.11.10.00"/>
    <s v="7113.11.00"/>
    <s v="7113.11.10.00"/>
    <s v="B06Y5RMHD3 Flat Figaro Chain"/>
    <n v="12.338515150999187"/>
    <n v="14.900689940684018"/>
    <n v="19.073739697446669"/>
    <n v="19.523313456426465"/>
    <x v="2"/>
    <x v="0"/>
    <x v="2"/>
    <n v="0"/>
    <x v="2"/>
    <n v="0"/>
    <n v="0"/>
    <n v="0"/>
  </r>
  <r>
    <s v="BIA-S925-CHAIN-057-100-500"/>
    <s v="B06Y5HNZVB"/>
    <x v="1"/>
    <s v="Flat Curb Chain"/>
    <x v="230"/>
    <n v="11.0777"/>
    <s v="925 Silver"/>
    <s v="chain"/>
    <x v="0"/>
    <s v="7113.11.10.00"/>
    <s v="7113.11.00"/>
    <s v="7113.11.10.00"/>
    <s v="B06Y5HNZVB Flat Curb Chain"/>
    <n v="12.574506365179094"/>
    <n v="15.185686301120109"/>
    <n v="19.438551421958543"/>
    <n v="19.896723902579208"/>
    <x v="2"/>
    <x v="0"/>
    <x v="2"/>
    <n v="0"/>
    <x v="2"/>
    <n v="0"/>
    <n v="0"/>
    <n v="0"/>
  </r>
  <r>
    <s v="TIE-S925-BRA-022"/>
    <s v="B078C7ZT6Z"/>
    <x v="1"/>
    <s v="trace with beads chain  none  none  none 5 lines"/>
    <x v="231"/>
    <n v="5.1870000000000003"/>
    <s v="925 Silver"/>
    <s v="Bracelet"/>
    <x v="0"/>
    <s v="7113.11.10.00"/>
    <s v="7113.11.00"/>
    <s v="7113.11.10.00"/>
    <s v="B078C7ZT6Z trace with beads chain  none  none  none 5 lines"/>
    <n v="5.8878616063067204"/>
    <n v="7.1105152553246622"/>
    <n v="9.1018682782255311"/>
    <n v="9.3164020403764631"/>
    <x v="9"/>
    <x v="3"/>
    <x v="81"/>
    <n v="25.935000000000002"/>
    <x v="105"/>
    <n v="35.552576276623313"/>
    <n v="45.509341391127656"/>
    <n v="46.582010201882312"/>
  </r>
  <r>
    <s v="BIA-GP-CHAIN-060-200"/>
    <s v="B07T6ZCW3K"/>
    <x v="1"/>
    <s v="Chain Bracelet - Super Flat Curb - Gauge 200 - Width 8 mm"/>
    <x v="232"/>
    <n v="13.242699999999999"/>
    <s v="925 Silver"/>
    <s v="Bracelet"/>
    <x v="0"/>
    <s v="7113.11.10.00"/>
    <s v="7113.11.00"/>
    <s v="7113.11.10.00"/>
    <s v="B07T6ZCW3K Chain Bracelet - Super Flat Curb - Gauge 200 - Width 8 mm"/>
    <n v="15.032038730256025"/>
    <n v="18.153541617830708"/>
    <n v="23.237576835947024"/>
    <n v="23.785293483727276"/>
    <x v="2"/>
    <x v="3"/>
    <x v="2"/>
    <n v="0"/>
    <x v="2"/>
    <n v="0"/>
    <n v="0"/>
    <n v="0"/>
  </r>
  <r>
    <s v="GS-S925-BRA-029-190"/>
    <s v="B07WP5VZDF"/>
    <x v="1"/>
    <s v="Silver Bracelet - Hollow - Thick and Heavy - Oval Patterned Wire"/>
    <x v="233"/>
    <n v="7.0701000000000001"/>
    <s v="925 Silver"/>
    <s v="Bracelet"/>
    <x v="0"/>
    <s v="7113.11.10.00"/>
    <s v="7113.11.00"/>
    <s v="7113.11.10.00"/>
    <s v="B07WP5VZDF Silver Bracelet - Hollow - Thick and Heavy - Oval Patterned Wire"/>
    <n v="8.025403960429756"/>
    <n v="9.6919325056238463"/>
    <n v="12.40623075262817"/>
    <n v="12.698649328256339"/>
    <x v="9"/>
    <x v="3"/>
    <x v="103"/>
    <n v="35.350499999999997"/>
    <x v="106"/>
    <n v="48.459662528119225"/>
    <n v="62.03115376314085"/>
    <n v="63.493246641281694"/>
  </r>
  <r>
    <s v="PAV-S925-EAR-CRAW-004"/>
    <s v="B07Z56N8H6"/>
    <x v="2"/>
    <s v="Earrings - Crawler - Wavy Vine Line"/>
    <x v="234"/>
    <n v="2.5486"/>
    <s v="925 Silver"/>
    <s v="Earrings"/>
    <x v="0"/>
    <s v="7113.11.10.00"/>
    <s v="7113.11.00"/>
    <s v="7113.11.50.00"/>
    <s v="B07Z56N8H6 Earrings - Crawler - Wavy Vine Line"/>
    <n v="2.8929639656513029"/>
    <n v="3.4937071871448682"/>
    <n v="4.4721460369935579"/>
    <n v="4.5775558588979086"/>
    <x v="2"/>
    <x v="1"/>
    <x v="2"/>
    <n v="0"/>
    <x v="2"/>
    <n v="0"/>
    <n v="0"/>
    <n v="0"/>
  </r>
  <r>
    <s v="S925-WHI-RIN-GEM-001-N"/>
    <s v="B08C33X17L"/>
    <x v="2"/>
    <s v="Ring with CZ - N"/>
    <x v="235"/>
    <n v="3.9683000000000002"/>
    <s v="925 Silver"/>
    <s v="Ring"/>
    <x v="0"/>
    <s v="7113.11.10.00"/>
    <s v="7113.11.00"/>
    <s v="7113.11.50.00"/>
    <s v="B08C33X17L Ring with CZ - N"/>
    <n v="4.5044922329490955"/>
    <n v="5.4398800246201766"/>
    <n v="6.9633591456491946"/>
    <n v="7.1274876068683097"/>
    <x v="9"/>
    <x v="8"/>
    <x v="104"/>
    <n v="19.8415"/>
    <x v="83"/>
    <n v="27.19940012310088"/>
    <n v="34.816795728245971"/>
    <n v="35.63743803434155"/>
  </r>
  <r>
    <s v="S925-WHI-RIN-GEM-001-O"/>
    <s v="B08C3661GY"/>
    <x v="2"/>
    <s v="Ring with CZ - O"/>
    <x v="236"/>
    <n v="3.9683000000000002"/>
    <s v="925 Silver"/>
    <s v="Ring"/>
    <x v="0"/>
    <s v="7113.11.10.00"/>
    <s v="7113.11.00"/>
    <s v="7113.11.50.00"/>
    <s v="B08C3661GY Ring with CZ - O"/>
    <n v="4.5044922329490955"/>
    <n v="5.4398800246201766"/>
    <n v="6.9633591456491946"/>
    <n v="7.1274876068683097"/>
    <x v="2"/>
    <x v="8"/>
    <x v="2"/>
    <n v="0"/>
    <x v="2"/>
    <n v="0"/>
    <n v="0"/>
    <n v="0"/>
  </r>
  <r>
    <s v="BIA-GP-HOOP-HIN-010"/>
    <s v="B077MCX3VZ"/>
    <x v="0"/>
    <s v="Hinged Hoop Earrings"/>
    <x v="1"/>
    <n v="2.0503999999999998"/>
    <s v="925 Silver"/>
    <s v="Earrings"/>
    <x v="0"/>
    <s v="7113.11.10.00"/>
    <s v="7113.11.00"/>
    <s v="7113.11.50.00"/>
    <s v="B077MCX3VZ Hinged Hoop Earrings"/>
    <n v="2.327447741964777"/>
    <n v="2.8107577558352967"/>
    <n v="3.5979315052387939"/>
    <n v="3.6827358287233274"/>
    <x v="2"/>
    <x v="1"/>
    <x v="2"/>
    <n v="0"/>
    <x v="2"/>
    <n v="0"/>
    <n v="0"/>
    <n v="0"/>
  </r>
  <r>
    <s v="S925-WHI-PEN-STAR-001"/>
    <s v="B091FRLRDB"/>
    <x v="2"/>
    <s v="Pendant - Stars - David Star"/>
    <x v="237"/>
    <n v="2.7757999999999998"/>
    <s v="925 Silver"/>
    <s v="Pendant"/>
    <x v="0"/>
    <s v="7113.11.10.00"/>
    <s v="7113.11.00"/>
    <s v="7113.11.50.00"/>
    <s v="B091FRLRDB Pendant - Stars - David Star"/>
    <n v="3.1508629741249652"/>
    <n v="3.8051606411664149"/>
    <n v="4.8708243621936429"/>
    <n v="4.9856311516631937"/>
    <x v="2"/>
    <x v="4"/>
    <x v="2"/>
    <n v="0"/>
    <x v="2"/>
    <n v="0"/>
    <n v="0"/>
    <n v="0"/>
  </r>
  <r>
    <s v="BIA-GP-HOOP-HIN-045"/>
    <s v="B077MFPNPY"/>
    <x v="0"/>
    <s v="Hinged Hoop Earrings"/>
    <x v="238"/>
    <n v="14.6152"/>
    <s v="925 Silver"/>
    <s v="Earrings"/>
    <x v="0"/>
    <s v="7113.11.10.00"/>
    <s v="7113.11.00"/>
    <s v="7113.11.50.00"/>
    <s v="B077MFPNPY Hinged Hoop Earrings"/>
    <n v="16.589989386638514"/>
    <n v="20.035011096900135"/>
    <n v="25.645965926339265"/>
    <n v="26.250449026510523"/>
    <x v="2"/>
    <x v="1"/>
    <x v="2"/>
    <n v="0"/>
    <x v="2"/>
    <n v="0"/>
    <n v="0"/>
    <n v="0"/>
  </r>
  <r>
    <s v="BIA-GP-HOOP-HIN-065"/>
    <s v="B077MD1JGX"/>
    <x v="0"/>
    <s v="Hinged Hoop Earrings"/>
    <x v="239"/>
    <n v="21.116700000000002"/>
    <s v="925 Silver"/>
    <s v="Earrings"/>
    <x v="0"/>
    <s v="7113.11.10.00"/>
    <s v="7113.11.00"/>
    <s v="7113.11.50.00"/>
    <s v="B077MD1JGX Hinged Hoop Earrings"/>
    <n v="23.969964754558923"/>
    <n v="28.947487467151397"/>
    <n v="37.054448018277434"/>
    <n v="37.927832459228391"/>
    <x v="2"/>
    <x v="1"/>
    <x v="2"/>
    <n v="0"/>
    <x v="2"/>
    <n v="0"/>
    <n v="0"/>
    <n v="0"/>
  </r>
  <r>
    <s v="BIA-ROSE-HOOP-HIN-010"/>
    <s v="B077MLRTD5"/>
    <x v="0"/>
    <s v="Hinged Hoop Earrings"/>
    <x v="1"/>
    <n v="2.0609000000000002"/>
    <s v="925 Silver"/>
    <s v="Earrings"/>
    <x v="0"/>
    <s v="7113.11.10.00"/>
    <s v="7113.11.00"/>
    <s v="7113.11.50.00"/>
    <s v="B077MLRTD5 Hinged Hoop Earrings"/>
    <n v="2.3393664901556819"/>
    <n v="2.8251515114128778"/>
    <n v="3.6163563398101015"/>
    <n v="3.7015949421653858"/>
    <x v="2"/>
    <x v="1"/>
    <x v="2"/>
    <n v="0"/>
    <x v="2"/>
    <n v="0"/>
    <n v="0"/>
    <n v="0"/>
  </r>
  <r>
    <s v="BIA-ROSE-HOOP-HIN-020"/>
    <s v="B077MM67Y1"/>
    <x v="0"/>
    <s v="Hinged Hoop Earrings"/>
    <x v="172"/>
    <n v="3.9779"/>
    <s v="925 Silver"/>
    <s v="Earrings"/>
    <x v="0"/>
    <s v="7113.11.10.00"/>
    <s v="7113.11.00"/>
    <s v="7113.11.50.00"/>
    <s v="B077MM67Y1 Hinged Hoop Earrings"/>
    <n v="4.5153893741522078"/>
    <n v="5.4530400297196779"/>
    <n v="6.9802047086858172"/>
    <n v="7.1447302248724762"/>
    <x v="2"/>
    <x v="1"/>
    <x v="2"/>
    <n v="0"/>
    <x v="2"/>
    <n v="0"/>
    <n v="0"/>
    <n v="0"/>
  </r>
  <r>
    <s v="BIA-ROSE-HOOP-HIN-045"/>
    <s v="B077MGPHD9"/>
    <x v="0"/>
    <s v="Hinged Hoop Earrings"/>
    <x v="238"/>
    <n v="14.6989"/>
    <s v="925 Silver"/>
    <s v="Earrings"/>
    <x v="0"/>
    <s v="7113.11.10.00"/>
    <s v="7113.11.00"/>
    <s v="7113.11.50.00"/>
    <s v="B077MGPHD9 Hinged Hoop Earrings"/>
    <n v="16.684998836503151"/>
    <n v="20.149749891361417"/>
    <n v="25.792838179064823"/>
    <n v="26.400783102234353"/>
    <x v="2"/>
    <x v="1"/>
    <x v="2"/>
    <n v="0"/>
    <x v="2"/>
    <n v="0"/>
    <n v="0"/>
    <n v="0"/>
  </r>
  <r>
    <s v="BIA-ROSE-HOOP-HIN-065"/>
    <s v="B077MCZC4G"/>
    <x v="0"/>
    <s v="Hinged Hoop Earrings"/>
    <x v="239"/>
    <n v="21.240100000000002"/>
    <s v="925 Silver"/>
    <s v="Earrings"/>
    <x v="0"/>
    <s v="7113.11.10.00"/>
    <s v="7113.11.00"/>
    <s v="7113.11.50.00"/>
    <s v="B077MCZC4G Hinged Hoop Earrings"/>
    <n v="24.110038423773933"/>
    <n v="29.116648366034578"/>
    <n v="37.270983693144032"/>
    <n v="38.149471944823624"/>
    <x v="2"/>
    <x v="1"/>
    <x v="2"/>
    <n v="0"/>
    <x v="2"/>
    <n v="0"/>
    <n v="0"/>
    <n v="0"/>
  </r>
  <r>
    <s v="S925-WHI-EAR-STUD-019"/>
    <s v="B08J89ZYXP"/>
    <x v="2"/>
    <s v="Stud Earrings - Snake"/>
    <x v="240"/>
    <n v="2.0619000000000001"/>
    <s v="925 Silver"/>
    <s v="Earrings"/>
    <x v="0"/>
    <s v="7113.11.10.00"/>
    <s v="7113.11.00"/>
    <s v="7113.11.50.00"/>
    <s v="B08J89ZYXP Stud Earrings - Snake"/>
    <n v="2.3405016090310058"/>
    <n v="2.8265223452774091"/>
    <n v="3.6181110859597494"/>
    <n v="3.7033910482074859"/>
    <x v="9"/>
    <x v="1"/>
    <x v="105"/>
    <n v="10.3095"/>
    <x v="107"/>
    <n v="14.132611726387044"/>
    <n v="18.090555429798748"/>
    <n v="18.516955241037429"/>
  </r>
  <r>
    <s v="S925-WHI-PEN-CROS-002"/>
    <s v="B08MFPMK65"/>
    <x v="2"/>
    <s v="Polished Small Flat Cross Pendant for Kids"/>
    <x v="71"/>
    <n v="2.3458000000000001"/>
    <s v="925 Silver"/>
    <s v="Pendant"/>
    <x v="0"/>
    <s v="7113.11.10.00"/>
    <s v="7113.11.00"/>
    <s v="7113.11.50.00"/>
    <s v="B08MFPMK65 Polished Small Flat Cross Pendant for Kids"/>
    <n v="2.6627618577355516"/>
    <n v="3.2157020794178894"/>
    <n v="4.1162835178448907"/>
    <n v="4.2133055535598825"/>
    <x v="2"/>
    <x v="4"/>
    <x v="2"/>
    <n v="0"/>
    <x v="2"/>
    <n v="0"/>
    <n v="0"/>
    <n v="0"/>
  </r>
  <r>
    <s v="BIA-S925-HOOP-HIN-045"/>
    <s v="B077MH9RM9"/>
    <x v="0"/>
    <s v="Hinged Hoop Earrings"/>
    <x v="238"/>
    <n v="11.3512"/>
    <s v="925 Silver"/>
    <s v="Earrings"/>
    <x v="0"/>
    <s v="7113.11.10.00"/>
    <s v="7113.11.00"/>
    <s v="7113.11.50.00"/>
    <s v="B077MH9RM9 Hinged Hoop Earrings"/>
    <n v="12.884961377580268"/>
    <n v="15.560609363069462"/>
    <n v="19.918474493887341"/>
    <n v="20.387958905093758"/>
    <x v="2"/>
    <x v="1"/>
    <x v="2"/>
    <n v="0"/>
    <x v="2"/>
    <n v="0"/>
    <n v="0"/>
    <n v="0"/>
  </r>
  <r>
    <s v="BIA-S925-HOOP-HIN-065"/>
    <s v="B077MFVWW3"/>
    <x v="0"/>
    <s v="Hinged Hoop Earrings"/>
    <x v="239"/>
    <n v="16.306699999999999"/>
    <s v="925 Silver"/>
    <s v="Earrings"/>
    <x v="0"/>
    <s v="7113.11.10.00"/>
    <s v="7113.11.00"/>
    <s v="7113.11.50.00"/>
    <s v="B077MFVWW3 Hinged Hoop Earrings"/>
    <n v="18.510042964249429"/>
    <n v="22.353776578755092"/>
    <n v="28.614119038469298"/>
    <n v="29.288562396723901"/>
    <x v="2"/>
    <x v="1"/>
    <x v="2"/>
    <n v="0"/>
    <x v="2"/>
    <n v="0"/>
    <n v="0"/>
    <n v="0"/>
  </r>
  <r>
    <s v="GS-GP-HOOP-007"/>
    <s v="B077MJNRVM"/>
    <x v="1"/>
    <s v="Hinged Hoop Earrings"/>
    <x v="1"/>
    <n v="2.2724000000000002"/>
    <s v="925 Silver"/>
    <s v="Earrings"/>
    <x v="0"/>
    <s v="7113.11.10.00"/>
    <s v="7113.11.00"/>
    <s v="7113.11.50.00"/>
    <s v="B077MJNRVM Hinged Hoop Earrings"/>
    <n v="2.5794441322867541"/>
    <n v="3.1150828737612803"/>
    <n v="3.9874851504607087"/>
    <n v="4.0814713700696892"/>
    <x v="2"/>
    <x v="1"/>
    <x v="2"/>
    <n v="0"/>
    <x v="2"/>
    <n v="0"/>
    <n v="0"/>
    <n v="0"/>
  </r>
  <r>
    <s v="GS-GP-HOOP-015"/>
    <s v="B077MJP61M"/>
    <x v="1"/>
    <s v="Hinged Hoop Earrings"/>
    <x v="104"/>
    <n v="3.5579000000000001"/>
    <s v="925 Silver"/>
    <s v="Earrings"/>
    <x v="0"/>
    <s v="7113.11.10.00"/>
    <s v="7113.11.00"/>
    <s v="7113.11.50.00"/>
    <s v="B077MJP61M Hinged Hoop Earrings"/>
    <n v="4.0386394465160365"/>
    <n v="4.8772898066164672"/>
    <n v="6.2432113258335482"/>
    <n v="6.3903656871901715"/>
    <x v="2"/>
    <x v="1"/>
    <x v="2"/>
    <n v="0"/>
    <x v="2"/>
    <n v="0"/>
    <n v="0"/>
    <n v="0"/>
  </r>
  <r>
    <s v="GS-GP-HOOP-025"/>
    <s v="B077MJMP5Z"/>
    <x v="1"/>
    <s v="Hinged Hoop Earrings"/>
    <x v="241"/>
    <n v="4.9690000000000003"/>
    <s v="925 Silver"/>
    <s v="Earrings"/>
    <x v="0"/>
    <s v="7113.11.10.00"/>
    <s v="7113.11.00"/>
    <s v="7113.11.50.00"/>
    <s v="B077MJMP5Z Hinged Hoop Earrings"/>
    <n v="5.6404056914860412"/>
    <n v="6.8116734728568042"/>
    <n v="8.71933361760221"/>
    <n v="8.9248509231985054"/>
    <x v="2"/>
    <x v="1"/>
    <x v="2"/>
    <n v="0"/>
    <x v="2"/>
    <n v="0"/>
    <n v="0"/>
    <n v="0"/>
  </r>
  <r>
    <s v="GS-GP-HOOP-035"/>
    <s v="B077MQLMZ5"/>
    <x v="1"/>
    <s v="Hinged Hoop Earrings"/>
    <x v="242"/>
    <n v="6.2366999999999999"/>
    <s v="925 Silver"/>
    <s v="Earrings"/>
    <x v="0"/>
    <s v="7113.11.10.00"/>
    <s v="7113.11.00"/>
    <s v="7113.11.50.00"/>
    <s v="B077MQLMZ5 Hinged Hoop Earrings"/>
    <n v="7.0793958897345526"/>
    <n v="8.5494795629233309"/>
    <n v="10.94382531151131"/>
    <n v="11.201774552769594"/>
    <x v="2"/>
    <x v="1"/>
    <x v="2"/>
    <n v="0"/>
    <x v="2"/>
    <n v="0"/>
    <n v="0"/>
    <n v="0"/>
  </r>
  <r>
    <s v="GS-GP-HOOP-045"/>
    <s v="B077MB4KG9"/>
    <x v="1"/>
    <s v="Hinged Hoop Earrings"/>
    <x v="173"/>
    <n v="8.3008000000000006"/>
    <s v="925 Silver"/>
    <s v="Earrings"/>
    <x v="0"/>
    <s v="7113.11.10.00"/>
    <s v="7113.11.00"/>
    <s v="7113.11.50.00"/>
    <s v="B077MB4KG9 Hinged Hoop Earrings"/>
    <n v="9.4223947602912723"/>
    <n v="11.379017742702709"/>
    <n v="14.565796839000287"/>
    <n v="14.909117034269704"/>
    <x v="2"/>
    <x v="1"/>
    <x v="2"/>
    <n v="0"/>
    <x v="2"/>
    <n v="0"/>
    <n v="0"/>
    <n v="0"/>
  </r>
  <r>
    <s v="GS-GP-HOOP-055"/>
    <s v="B077MNB6CY"/>
    <x v="1"/>
    <s v="Hinged Hoop Earrings"/>
    <x v="243"/>
    <n v="9.4646000000000008"/>
    <s v="925 Silver"/>
    <s v="Earrings"/>
    <x v="0"/>
    <s v="7113.11.10.00"/>
    <s v="7113.11.00"/>
    <s v="7113.11.50.00"/>
    <s v="B077MNB6CY Hinged Hoop Earrings"/>
    <n v="10.743446107393599"/>
    <n v="12.974394194244418"/>
    <n v="16.607970407960934"/>
    <n v="16.999425246066529"/>
    <x v="2"/>
    <x v="1"/>
    <x v="2"/>
    <n v="0"/>
    <x v="2"/>
    <n v="0"/>
    <n v="0"/>
    <n v="0"/>
  </r>
  <r>
    <s v="GS-ROSE-HOOP-007"/>
    <s v="B0783Q3T1V"/>
    <x v="1"/>
    <s v="Hinged Hoop Earrings"/>
    <x v="1"/>
    <n v="2.2724000000000002"/>
    <s v="925 Silver"/>
    <s v="Earrings"/>
    <x v="0"/>
    <s v="7113.11.10.00"/>
    <s v="7113.11.00"/>
    <s v="7113.11.50.00"/>
    <s v="B0783Q3T1V Hinged Hoop Earrings"/>
    <n v="2.5794441322867541"/>
    <n v="3.1150828737612803"/>
    <n v="3.9874851504607087"/>
    <n v="4.0814713700696892"/>
    <x v="2"/>
    <x v="1"/>
    <x v="2"/>
    <n v="0"/>
    <x v="2"/>
    <n v="0"/>
    <n v="0"/>
    <n v="0"/>
  </r>
  <r>
    <s v="GS-ROSE-HOOP-015"/>
    <s v="B077MJN75W"/>
    <x v="1"/>
    <s v="Hinged Hoop Earrings"/>
    <x v="104"/>
    <n v="3.5579000000000001"/>
    <s v="925 Silver"/>
    <s v="Earrings"/>
    <x v="0"/>
    <s v="7113.11.10.00"/>
    <s v="7113.11.00"/>
    <s v="7113.11.50.00"/>
    <s v="B077MJN75W Hinged Hoop Earrings"/>
    <n v="4.0386394465160365"/>
    <n v="4.8772898066164672"/>
    <n v="6.2432113258335482"/>
    <n v="6.3903656871901715"/>
    <x v="2"/>
    <x v="1"/>
    <x v="2"/>
    <n v="0"/>
    <x v="2"/>
    <n v="0"/>
    <n v="0"/>
    <n v="0"/>
  </r>
  <r>
    <s v="GS-ROSE-HOOP-025"/>
    <s v="B077MQDBZ4"/>
    <x v="1"/>
    <s v="Hinged Hoop Earrings"/>
    <x v="241"/>
    <n v="4.9690000000000003"/>
    <s v="925 Silver"/>
    <s v="Earrings"/>
    <x v="0"/>
    <s v="7113.11.10.00"/>
    <s v="7113.11.00"/>
    <s v="7113.11.50.00"/>
    <s v="B077MQDBZ4 Hinged Hoop Earrings"/>
    <n v="5.6404056914860412"/>
    <n v="6.8116734728568042"/>
    <n v="8.71933361760221"/>
    <n v="8.9248509231985054"/>
    <x v="2"/>
    <x v="1"/>
    <x v="2"/>
    <n v="0"/>
    <x v="2"/>
    <n v="0"/>
    <n v="0"/>
    <n v="0"/>
  </r>
  <r>
    <s v="GS-ROSE-HOOP-035"/>
    <s v="B077MJNZC7"/>
    <x v="1"/>
    <s v="Hinged Hoop Earrings"/>
    <x v="242"/>
    <n v="6.2366999999999999"/>
    <s v="925 Silver"/>
    <s v="Earrings"/>
    <x v="0"/>
    <s v="7113.11.10.00"/>
    <s v="7113.11.00"/>
    <s v="7113.11.50.00"/>
    <s v="B077MJNZC7 Hinged Hoop Earrings"/>
    <n v="7.0793958897345526"/>
    <n v="8.5494795629233309"/>
    <n v="10.94382531151131"/>
    <n v="11.201774552769594"/>
    <x v="2"/>
    <x v="1"/>
    <x v="2"/>
    <n v="0"/>
    <x v="2"/>
    <n v="0"/>
    <n v="0"/>
    <n v="0"/>
  </r>
  <r>
    <s v="GS-ROSE-HOOP-045"/>
    <s v="B077MGCJCQ"/>
    <x v="1"/>
    <s v="Hinged Hoop Earrings"/>
    <x v="173"/>
    <n v="8.3008000000000006"/>
    <s v="925 Silver"/>
    <s v="Earrings"/>
    <x v="0"/>
    <s v="7113.11.10.00"/>
    <s v="7113.11.00"/>
    <s v="7113.11.50.00"/>
    <s v="B077MGCJCQ Hinged Hoop Earrings"/>
    <n v="9.4223947602912723"/>
    <n v="11.379017742702709"/>
    <n v="14.565796839000287"/>
    <n v="14.909117034269704"/>
    <x v="2"/>
    <x v="1"/>
    <x v="2"/>
    <n v="0"/>
    <x v="2"/>
    <n v="0"/>
    <n v="0"/>
    <n v="0"/>
  </r>
  <r>
    <s v="GS-ROSE-HOOP-055"/>
    <s v="B077MRKFV9"/>
    <x v="1"/>
    <s v="Hinged Hoop Earrings"/>
    <x v="243"/>
    <n v="9.4646000000000008"/>
    <s v="925 Silver"/>
    <s v="Earrings"/>
    <x v="0"/>
    <s v="7113.11.10.00"/>
    <s v="7113.11.00"/>
    <s v="7113.11.50.00"/>
    <s v="B077MRKFV9 Hinged Hoop Earrings"/>
    <n v="10.743446107393599"/>
    <n v="12.974394194244418"/>
    <n v="16.607970407960934"/>
    <n v="16.999425246066529"/>
    <x v="2"/>
    <x v="1"/>
    <x v="2"/>
    <n v="0"/>
    <x v="2"/>
    <n v="0"/>
    <n v="0"/>
    <n v="0"/>
  </r>
  <r>
    <s v="S925-WHI-PEN-CROS-003"/>
    <s v="B08MFPGSKG"/>
    <x v="2"/>
    <s v="Polished Big Cross Pendant"/>
    <x v="244"/>
    <n v="8.1461000000000006"/>
    <s v="925 Silver"/>
    <s v="Pendant"/>
    <x v="0"/>
    <s v="7113.11.10.00"/>
    <s v="7113.11.00"/>
    <s v="7113.11.50.00"/>
    <s v="B08MFPGSKG Polished Big Cross Pendant"/>
    <n v="9.2467918702786154"/>
    <n v="11.166949743859693"/>
    <n v="14.2943376096497"/>
    <n v="14.631259429556721"/>
    <x v="2"/>
    <x v="4"/>
    <x v="2"/>
    <n v="0"/>
    <x v="2"/>
    <n v="0"/>
    <n v="0"/>
    <n v="0"/>
  </r>
  <r>
    <s v="S925-WHI-NEC-CHA-025-047-450"/>
    <s v="B08LW53JQ3"/>
    <x v="1"/>
    <s v="Chain - Super Flat Figaro - Gauge 120 - Width 4.7 mm - Length 45 cm"/>
    <x v="245"/>
    <n v="8.5686999999999998"/>
    <s v="925 Silver"/>
    <s v="chain"/>
    <x v="0"/>
    <s v="7113.11.10.00"/>
    <s v="7113.11.00"/>
    <s v="7113.11.10.00"/>
    <s v="B08LW53JQ3 Chain - Super Flat Figaro - Gauge 120 - Width 4.7 mm - Length 45 cm"/>
    <n v="9.7264931069906293"/>
    <n v="11.746264135010685"/>
    <n v="15.035893332491055"/>
    <n v="15.390293842948486"/>
    <x v="9"/>
    <x v="0"/>
    <x v="106"/>
    <n v="42.843499999999999"/>
    <x v="108"/>
    <n v="58.731320675053425"/>
    <n v="75.179466662455269"/>
    <n v="76.951469214742431"/>
  </r>
  <r>
    <s v="GS-S925-HOOP-025"/>
    <s v="B06XZ8ZM2L"/>
    <x v="1"/>
    <s v="Hinged Hoop Earrings"/>
    <x v="246"/>
    <n v="3.5749"/>
    <s v="925 Silver"/>
    <s v="Earrings"/>
    <x v="0"/>
    <s v="7113.11.10.00"/>
    <s v="7113.11.00"/>
    <s v="7113.11.50.00"/>
    <s v="B06XZ8ZM2L Hinged Hoop Earrings"/>
    <n v="4.0579364673965479"/>
    <n v="4.9005939823135014"/>
    <n v="6.2730420103775684"/>
    <n v="6.4208994899058833"/>
    <x v="9"/>
    <x v="1"/>
    <x v="107"/>
    <n v="17.874500000000001"/>
    <x v="109"/>
    <n v="24.502969911567508"/>
    <n v="31.365210051887843"/>
    <n v="32.104497449529418"/>
  </r>
  <r>
    <s v="S925-ROS-BRA-CHA-020-200"/>
    <s v="B091V3TMGW"/>
    <x v="1"/>
    <s v="Rose Plated Heart Chain"/>
    <x v="247"/>
    <n v="1.9639"/>
    <s v="925 Silver"/>
    <s v="Bracelet"/>
    <x v="0"/>
    <s v="7113.11.10.00"/>
    <s v="7113.11.00"/>
    <s v="7113.11.10.00"/>
    <s v="B091V3TMGW Rose Plated Heart Chain"/>
    <n v="2.2292599592492324"/>
    <n v="2.6921806265533261"/>
    <n v="3.44614596329422"/>
    <n v="3.527372656081615"/>
    <x v="0"/>
    <x v="3"/>
    <x v="108"/>
    <n v="19.638999999999999"/>
    <x v="110"/>
    <n v="26.92180626553326"/>
    <n v="34.461459632942194"/>
    <n v="35.273726560816151"/>
  </r>
  <r>
    <s v="S925-YEL-EAR-STUD-PERL-001-7to8"/>
    <s v="B08ZSTPC2F"/>
    <x v="2"/>
    <s v="Yellow Gold Plated Pearl Studs (white) - 7 to 8 mm"/>
    <x v="131"/>
    <n v="2.5729000000000002"/>
    <s v="925 Silver"/>
    <s v="Earrings"/>
    <x v="0"/>
    <s v="7113.11.10.00"/>
    <s v="7113.11.00"/>
    <s v="7113.11.50.00"/>
    <s v="B08ZSTPC2F Yellow Gold Plated Pearl Studs (white) - 7 to 8 mm"/>
    <n v="2.9205473543216818"/>
    <n v="3.5270184500529829"/>
    <n v="4.5147863684300109"/>
    <n v="4.6212012357209566"/>
    <x v="9"/>
    <x v="1"/>
    <x v="109"/>
    <n v="12.864500000000001"/>
    <x v="111"/>
    <n v="17.635092250264915"/>
    <n v="22.573931842150056"/>
    <n v="23.106006178604783"/>
  </r>
  <r>
    <s v="GS-S925-HOOP-055"/>
    <s v="B06XZC1RWB"/>
    <x v="1"/>
    <s v="Hinged Hoop Earrings"/>
    <x v="243"/>
    <n v="7.2709000000000001"/>
    <s v="925 Silver"/>
    <s v="Earrings"/>
    <x v="0"/>
    <s v="7113.11.10.00"/>
    <s v="7113.11.00"/>
    <s v="7113.11.50.00"/>
    <s v="B06XZC1RWB Hinged Hoop Earrings"/>
    <n v="8.2533358305948585"/>
    <n v="9.9671959456217625"/>
    <n v="12.758583779477542"/>
    <n v="13.059307421510166"/>
    <x v="0"/>
    <x v="1"/>
    <x v="110"/>
    <n v="72.709000000000003"/>
    <x v="112"/>
    <n v="99.671959456217621"/>
    <n v="127.58583779477541"/>
    <n v="130.59307421510167"/>
  </r>
  <r>
    <s v="S925-BC-0380-PEN-1W"/>
    <s v="B06ZXVBWKW"/>
    <x v="0"/>
    <s v="Pen - Rectangular"/>
    <x v="20"/>
    <n v="2.4098000000000002"/>
    <s v="925 Silver"/>
    <s v="Pendant"/>
    <x v="0"/>
    <s v="7113.11.10.00"/>
    <s v="7113.11.00"/>
    <s v="7113.11.50.00"/>
    <s v="B06ZXVBWKW Pen - Rectangular"/>
    <n v="2.7354094657563017"/>
    <n v="3.3034354467479026"/>
    <n v="4.2285872714223798"/>
    <n v="4.3282563402543284"/>
    <x v="2"/>
    <x v="4"/>
    <x v="2"/>
    <n v="0"/>
    <x v="2"/>
    <n v="0"/>
    <n v="0"/>
    <n v="0"/>
  </r>
  <r>
    <s v="S925-BC-0380-PEN-2Y"/>
    <s v="B071XRRQMS"/>
    <x v="0"/>
    <s v="Pen - Rectangular"/>
    <x v="20"/>
    <n v="2.4098000000000002"/>
    <s v="925 Silver"/>
    <s v="Pendant"/>
    <x v="0"/>
    <s v="7113.11.10.00"/>
    <s v="7113.11.00"/>
    <s v="7113.11.50.00"/>
    <s v="B071XRRQMS Pen - Rectangular"/>
    <n v="2.7354094657563017"/>
    <n v="3.3034354467479026"/>
    <n v="4.2285872714223798"/>
    <n v="4.3282563402543284"/>
    <x v="2"/>
    <x v="4"/>
    <x v="2"/>
    <n v="0"/>
    <x v="2"/>
    <n v="0"/>
    <n v="0"/>
    <n v="0"/>
  </r>
  <r>
    <s v="S925-BC-0380-PEN-3H"/>
    <s v="B071R99735"/>
    <x v="0"/>
    <s v="Pen - Rectangular"/>
    <x v="20"/>
    <n v="2.4098000000000002"/>
    <s v="925 Silver"/>
    <s v="Pendant"/>
    <x v="0"/>
    <s v="7113.11.10.00"/>
    <s v="7113.11.00"/>
    <s v="7113.11.50.00"/>
    <s v="B071R99735 Pen - Rectangular"/>
    <n v="2.7354094657563017"/>
    <n v="3.3034354467479026"/>
    <n v="4.2285872714223798"/>
    <n v="4.3282563402543284"/>
    <x v="2"/>
    <x v="4"/>
    <x v="2"/>
    <n v="0"/>
    <x v="2"/>
    <n v="0"/>
    <n v="0"/>
    <n v="0"/>
  </r>
  <r>
    <s v="S925-BC-0380-PEN-5C"/>
    <s v="B06ZY4RJ3L"/>
    <x v="0"/>
    <s v="Pen - Rectangular"/>
    <x v="20"/>
    <n v="2.4098000000000002"/>
    <s v="925 Silver"/>
    <s v="Pendant"/>
    <x v="0"/>
    <s v="7113.11.10.00"/>
    <s v="7113.11.00"/>
    <s v="7113.11.50.00"/>
    <s v="B06ZY4RJ3L Pen - Rectangular"/>
    <n v="2.7354094657563017"/>
    <n v="3.3034354467479026"/>
    <n v="4.2285872714223798"/>
    <n v="4.3282563402543284"/>
    <x v="2"/>
    <x v="4"/>
    <x v="2"/>
    <n v="0"/>
    <x v="2"/>
    <n v="0"/>
    <n v="0"/>
    <n v="0"/>
  </r>
  <r>
    <s v="S925-BC-0380-PEN-6G"/>
    <s v="B06ZXVBWL2"/>
    <x v="0"/>
    <s v="Pen - Rectangular"/>
    <x v="20"/>
    <n v="2.4098000000000002"/>
    <s v="925 Silver"/>
    <s v="Pendant"/>
    <x v="0"/>
    <s v="7113.11.10.00"/>
    <s v="7113.11.00"/>
    <s v="7113.11.50.00"/>
    <s v="B06ZXVBWL2 Pen - Rectangular"/>
    <n v="2.7354094657563017"/>
    <n v="3.3034354467479026"/>
    <n v="4.2285872714223798"/>
    <n v="4.3282563402543284"/>
    <x v="2"/>
    <x v="4"/>
    <x v="2"/>
    <n v="0"/>
    <x v="2"/>
    <n v="0"/>
    <n v="0"/>
    <n v="0"/>
  </r>
  <r>
    <s v="S925-BC-0381-PEN-1W"/>
    <s v="B06ZYPVPMB"/>
    <x v="0"/>
    <s v="Pen - Rectangular"/>
    <x v="131"/>
    <n v="2.1543000000000001"/>
    <s v="925 Silver"/>
    <s v="Pendant"/>
    <x v="0"/>
    <s v="7113.11.10.00"/>
    <s v="7113.11.00"/>
    <s v="7113.11.50.00"/>
    <s v="B06ZYPVPMB Pen - Rectangular"/>
    <n v="2.4453865931109635"/>
    <n v="2.9531873943601155"/>
    <n v="3.780249630187249"/>
    <n v="3.869351246497593"/>
    <x v="2"/>
    <x v="4"/>
    <x v="2"/>
    <n v="0"/>
    <x v="2"/>
    <n v="0"/>
    <n v="0"/>
    <n v="0"/>
  </r>
  <r>
    <s v="S925-BC-0381-PEN-2Y"/>
    <s v="B071D2XHGR"/>
    <x v="0"/>
    <s v="Pen - Rectangular"/>
    <x v="131"/>
    <n v="2.1543000000000001"/>
    <s v="925 Silver"/>
    <s v="Pendant"/>
    <x v="0"/>
    <s v="7113.11.10.00"/>
    <s v="7113.11.00"/>
    <s v="7113.11.50.00"/>
    <s v="B071D2XHGR Pen - Rectangular"/>
    <n v="2.4453865931109635"/>
    <n v="2.9531873943601155"/>
    <n v="3.780249630187249"/>
    <n v="3.869351246497593"/>
    <x v="2"/>
    <x v="4"/>
    <x v="2"/>
    <n v="0"/>
    <x v="2"/>
    <n v="0"/>
    <n v="0"/>
    <n v="0"/>
  </r>
  <r>
    <s v="S925-BC-0381-PEN-3H"/>
    <s v="B071R11V8W"/>
    <x v="0"/>
    <s v="Pen - Rectangular"/>
    <x v="131"/>
    <n v="2.1543000000000001"/>
    <s v="925 Silver"/>
    <s v="Pendant"/>
    <x v="0"/>
    <s v="7113.11.10.00"/>
    <s v="7113.11.00"/>
    <s v="7113.11.50.00"/>
    <s v="B071R11V8W Pen - Rectangular"/>
    <n v="2.4453865931109635"/>
    <n v="2.9531873943601155"/>
    <n v="3.780249630187249"/>
    <n v="3.869351246497593"/>
    <x v="2"/>
    <x v="4"/>
    <x v="2"/>
    <n v="0"/>
    <x v="2"/>
    <n v="0"/>
    <n v="0"/>
    <n v="0"/>
  </r>
  <r>
    <s v="S925-BC-0381-PEN-5C"/>
    <s v="B071XRCMCZ"/>
    <x v="0"/>
    <s v="Pen - Rectangular"/>
    <x v="131"/>
    <n v="2.1543000000000001"/>
    <s v="925 Silver"/>
    <s v="Pendant"/>
    <x v="0"/>
    <s v="7113.11.10.00"/>
    <s v="7113.11.00"/>
    <s v="7113.11.50.00"/>
    <s v="B071XRCMCZ Pen - Rectangular"/>
    <n v="2.4453865931109635"/>
    <n v="2.9531873943601155"/>
    <n v="3.780249630187249"/>
    <n v="3.869351246497593"/>
    <x v="2"/>
    <x v="4"/>
    <x v="2"/>
    <n v="0"/>
    <x v="2"/>
    <n v="0"/>
    <n v="0"/>
    <n v="0"/>
  </r>
  <r>
    <s v="S925-BC-0381-PEN-6G"/>
    <s v="B071R9K7TW"/>
    <x v="0"/>
    <s v="Pen - Rectangular"/>
    <x v="131"/>
    <n v="2.1543000000000001"/>
    <s v="925 Silver"/>
    <s v="Pendant"/>
    <x v="0"/>
    <s v="7113.11.10.00"/>
    <s v="7113.11.00"/>
    <s v="7113.11.50.00"/>
    <s v="B071R9K7TW Pen - Rectangular"/>
    <n v="2.4453865931109635"/>
    <n v="2.9531873943601155"/>
    <n v="3.780249630187249"/>
    <n v="3.869351246497593"/>
    <x v="2"/>
    <x v="4"/>
    <x v="2"/>
    <n v="0"/>
    <x v="2"/>
    <n v="0"/>
    <n v="0"/>
    <n v="0"/>
  </r>
  <r>
    <s v="S925-BC-0389-PEN-1W"/>
    <s v="B071XR9Z52"/>
    <x v="0"/>
    <s v="Pen - Rectangular"/>
    <x v="1"/>
    <n v="1.6434"/>
    <s v="925 Silver"/>
    <s v="Pendant"/>
    <x v="0"/>
    <s v="7113.11.10.00"/>
    <s v="7113.11.00"/>
    <s v="7113.11.50.00"/>
    <s v="B071XR9Z52 Pen - Rectangular"/>
    <n v="1.8654543597078204"/>
    <n v="2.2528283729709946"/>
    <n v="2.8837498223319522"/>
    <n v="2.9517206695883322"/>
    <x v="2"/>
    <x v="4"/>
    <x v="2"/>
    <n v="0"/>
    <x v="2"/>
    <n v="0"/>
    <n v="0"/>
    <n v="0"/>
  </r>
  <r>
    <s v="S925-BC-0389-PEN-2Y"/>
    <s v="B071R11ZZR"/>
    <x v="0"/>
    <s v="Pen - Rectangular"/>
    <x v="1"/>
    <n v="1.6434"/>
    <s v="925 Silver"/>
    <s v="Pendant"/>
    <x v="0"/>
    <s v="7113.11.10.00"/>
    <s v="7113.11.00"/>
    <s v="7113.11.50.00"/>
    <s v="B071R11ZZR Pen - Rectangular"/>
    <n v="1.8654543597078204"/>
    <n v="2.2528283729709946"/>
    <n v="2.8837498223319522"/>
    <n v="2.9517206695883322"/>
    <x v="2"/>
    <x v="4"/>
    <x v="2"/>
    <n v="0"/>
    <x v="2"/>
    <n v="0"/>
    <n v="0"/>
    <n v="0"/>
  </r>
  <r>
    <s v="S925-BC-0389-PEN-3H"/>
    <s v="B06ZYF9WX8"/>
    <x v="0"/>
    <s v="Pen - Rectangular"/>
    <x v="1"/>
    <n v="1.6434"/>
    <s v="925 Silver"/>
    <s v="Pendant"/>
    <x v="0"/>
    <s v="7113.11.10.00"/>
    <s v="7113.11.00"/>
    <s v="7113.11.50.00"/>
    <s v="B06ZYF9WX8 Pen - Rectangular"/>
    <n v="1.8654543597078204"/>
    <n v="2.2528283729709946"/>
    <n v="2.8837498223319522"/>
    <n v="2.9517206695883322"/>
    <x v="2"/>
    <x v="4"/>
    <x v="2"/>
    <n v="0"/>
    <x v="2"/>
    <n v="0"/>
    <n v="0"/>
    <n v="0"/>
  </r>
  <r>
    <s v="S925-BC-0389-PEN-5C"/>
    <s v="B06ZYPVQKR"/>
    <x v="0"/>
    <s v="Pen - Rectangular"/>
    <x v="1"/>
    <n v="1.6434"/>
    <s v="925 Silver"/>
    <s v="Pendant"/>
    <x v="0"/>
    <s v="7113.11.10.00"/>
    <s v="7113.11.00"/>
    <s v="7113.11.50.00"/>
    <s v="B06ZYPVQKR Pen - Rectangular"/>
    <n v="1.8654543597078204"/>
    <n v="2.2528283729709946"/>
    <n v="2.8837498223319522"/>
    <n v="2.9517206695883322"/>
    <x v="2"/>
    <x v="4"/>
    <x v="2"/>
    <n v="0"/>
    <x v="2"/>
    <n v="0"/>
    <n v="0"/>
    <n v="0"/>
  </r>
  <r>
    <s v="S925-BC-0389-PEN-6G"/>
    <s v="B06ZYZTCTF"/>
    <x v="0"/>
    <s v="Pen - Rectangular"/>
    <x v="1"/>
    <n v="1.6434"/>
    <s v="925 Silver"/>
    <s v="Pendant"/>
    <x v="0"/>
    <s v="7113.11.10.00"/>
    <s v="7113.11.00"/>
    <s v="7113.11.50.00"/>
    <s v="B06ZYZTCTF Pen - Rectangular"/>
    <n v="1.8654543597078204"/>
    <n v="2.2528283729709946"/>
    <n v="2.8837498223319522"/>
    <n v="2.9517206695883322"/>
    <x v="2"/>
    <x v="4"/>
    <x v="2"/>
    <n v="0"/>
    <x v="2"/>
    <n v="0"/>
    <n v="0"/>
    <n v="0"/>
  </r>
  <r>
    <s v="S925-BC-0396-PEN-1W"/>
    <s v="B071R9K7TY"/>
    <x v="0"/>
    <s v="Pen - Oval"/>
    <x v="93"/>
    <n v="1.3878999999999999"/>
    <s v="925 Silver"/>
    <s v="Pendant"/>
    <x v="0"/>
    <s v="7113.11.10.00"/>
    <s v="7113.11.00"/>
    <s v="7113.11.50.00"/>
    <s v="B071R9K7TY Pen - Oval"/>
    <n v="1.5754314870624826"/>
    <n v="1.9025803205832075"/>
    <n v="2.4354121810968214"/>
    <n v="2.4928155758315969"/>
    <x v="2"/>
    <x v="4"/>
    <x v="2"/>
    <n v="0"/>
    <x v="2"/>
    <n v="0"/>
    <n v="0"/>
    <n v="0"/>
  </r>
  <r>
    <s v="S925-BC-0396-PEN-2Y"/>
    <s v="B06ZXVBZHT"/>
    <x v="0"/>
    <s v="Pen - Oval"/>
    <x v="93"/>
    <n v="1.3878999999999999"/>
    <s v="925 Silver"/>
    <s v="Pendant"/>
    <x v="0"/>
    <s v="7113.11.10.00"/>
    <s v="7113.11.00"/>
    <s v="7113.11.50.00"/>
    <s v="B06ZXVBZHT Pen - Oval"/>
    <n v="1.5754314870624826"/>
    <n v="1.9025803205832075"/>
    <n v="2.4354121810968214"/>
    <n v="2.4928155758315969"/>
    <x v="2"/>
    <x v="4"/>
    <x v="2"/>
    <n v="0"/>
    <x v="2"/>
    <n v="0"/>
    <n v="0"/>
    <n v="0"/>
  </r>
  <r>
    <s v="S925-WHI-EAR-STUD-ZOD-001-SCO"/>
    <s v="B09J5GTMTZ"/>
    <x v="2"/>
    <s v="Silver Zodiac Stud: Scorpio"/>
    <x v="248"/>
    <n v="2.9281999999999999"/>
    <s v="925 Silver"/>
    <s v="Earrings"/>
    <x v="0"/>
    <s v="7113.11.10.00"/>
    <s v="7113.11.00"/>
    <s v="7113.11.50.00"/>
    <s v="B09J5GTMTZ Silver Zodiac Stud: Scorpio"/>
    <n v="3.323855090724376"/>
    <n v="4.0140757221210093"/>
    <n v="5.1382476754000379"/>
    <n v="5.2593577124793445"/>
    <x v="9"/>
    <x v="1"/>
    <x v="111"/>
    <n v="14.641"/>
    <x v="113"/>
    <n v="20.070378610605044"/>
    <n v="25.69123837700019"/>
    <n v="26.296788562396721"/>
  </r>
  <r>
    <s v="S925-BC-0396-PEN-5C"/>
    <s v="B071XRPDN3"/>
    <x v="0"/>
    <s v="Pen - Oval"/>
    <x v="93"/>
    <n v="1.3878999999999999"/>
    <s v="925 Silver"/>
    <s v="Pendant"/>
    <x v="0"/>
    <s v="7113.11.10.00"/>
    <s v="7113.11.00"/>
    <s v="7113.11.50.00"/>
    <s v="B071XRPDN3 Pen - Oval"/>
    <n v="1.5754314870624826"/>
    <n v="1.9025803205832075"/>
    <n v="2.4354121810968214"/>
    <n v="2.4928155758315969"/>
    <x v="2"/>
    <x v="4"/>
    <x v="2"/>
    <n v="0"/>
    <x v="2"/>
    <n v="0"/>
    <n v="0"/>
    <n v="0"/>
  </r>
  <r>
    <s v="BIA-GP-CHAIN-015-120-500"/>
    <s v="B073G7MZ8G"/>
    <x v="1"/>
    <s v="Ball Chain"/>
    <x v="249"/>
    <n v="3.0007000000000001"/>
    <s v="925 Silver"/>
    <s v="chain"/>
    <x v="0"/>
    <s v="7113.11.10.00"/>
    <s v="7113.11.00"/>
    <s v="7113.11.10.00"/>
    <s v="B073G7MZ8G Ball Chain"/>
    <n v="3.4061512091853823"/>
    <n v="4.1134611772995395"/>
    <n v="5.2654667712495371"/>
    <n v="5.3895754005316476"/>
    <x v="2"/>
    <x v="0"/>
    <x v="2"/>
    <n v="0"/>
    <x v="2"/>
    <n v="0"/>
    <n v="0"/>
    <n v="0"/>
  </r>
  <r>
    <s v="S925-BC-0407-PEN-3H"/>
    <s v="B071R9LDV4"/>
    <x v="0"/>
    <s v="Pen - Buffalo"/>
    <x v="250"/>
    <n v="2.5375000000000001"/>
    <s v="925 Silver"/>
    <s v="Pendant"/>
    <x v="0"/>
    <s v="7113.11.10.00"/>
    <s v="7113.11.00"/>
    <s v="7113.11.50.00"/>
    <s v="B071R9LDV4 Pen - Buffalo"/>
    <n v="2.8803641461352041"/>
    <n v="3.4784909312485692"/>
    <n v="4.4526683547324621"/>
    <n v="4.5576190818305911"/>
    <x v="2"/>
    <x v="4"/>
    <x v="2"/>
    <n v="0"/>
    <x v="2"/>
    <n v="0"/>
    <n v="0"/>
    <n v="0"/>
  </r>
  <r>
    <s v="S925-BC-0407-PEN-6G"/>
    <s v="B071Y19F74"/>
    <x v="0"/>
    <s v="Pen - Buffalo"/>
    <x v="250"/>
    <n v="2.5375000000000001"/>
    <s v="925 Silver"/>
    <s v="Pendant"/>
    <x v="0"/>
    <s v="7113.11.10.00"/>
    <s v="7113.11.00"/>
    <s v="7113.11.50.00"/>
    <s v="B071Y19F74 Pen - Buffalo"/>
    <n v="2.8803641461352041"/>
    <n v="3.4784909312485692"/>
    <n v="4.4526683547324621"/>
    <n v="4.5576190818305911"/>
    <x v="2"/>
    <x v="4"/>
    <x v="2"/>
    <n v="0"/>
    <x v="2"/>
    <n v="0"/>
    <n v="0"/>
    <n v="0"/>
  </r>
  <r>
    <s v="S925-BC-0440-PEN-3H"/>
    <s v="B071R96QD5"/>
    <x v="0"/>
    <s v="Pen - Fairy"/>
    <x v="251"/>
    <n v="8.6691000000000003"/>
    <s v="925 Silver"/>
    <s v="Pendant"/>
    <x v="0"/>
    <s v="7113.11.10.00"/>
    <s v="7113.11.00"/>
    <s v="7113.11.50.00"/>
    <s v="B071R96QD5 Pen - Fairy"/>
    <n v="9.8404590420731815"/>
    <n v="11.883895855009644"/>
    <n v="15.212069845915741"/>
    <n v="15.5706228895754"/>
    <x v="2"/>
    <x v="4"/>
    <x v="2"/>
    <n v="0"/>
    <x v="2"/>
    <n v="0"/>
    <n v="0"/>
    <n v="0"/>
  </r>
  <r>
    <s v="S925-BC-0519-PEN-3H"/>
    <s v="B06ZXVBWDK"/>
    <x v="0"/>
    <s v="Pen - Pig"/>
    <x v="250"/>
    <n v="2.5375000000000001"/>
    <s v="925 Silver"/>
    <s v="Pendant"/>
    <x v="0"/>
    <s v="7113.11.10.00"/>
    <s v="7113.11.00"/>
    <s v="7113.11.50.00"/>
    <s v="B06ZXVBWDK Pen - Pig"/>
    <n v="2.8803641461352041"/>
    <n v="3.4784909312485692"/>
    <n v="4.4526683547324621"/>
    <n v="4.5576190818305911"/>
    <x v="2"/>
    <x v="4"/>
    <x v="2"/>
    <n v="0"/>
    <x v="2"/>
    <n v="0"/>
    <n v="0"/>
    <n v="0"/>
  </r>
  <r>
    <s v="S925-BC-0548-PEN-3H"/>
    <s v="B071R9J5KZ"/>
    <x v="0"/>
    <s v="Pen - Squirrel"/>
    <x v="250"/>
    <n v="2.5375000000000001"/>
    <s v="925 Silver"/>
    <s v="Pendant"/>
    <x v="0"/>
    <s v="7113.11.10.00"/>
    <s v="7113.11.00"/>
    <s v="7113.11.50.00"/>
    <s v="B071R9J5KZ Pen - Squirrel"/>
    <n v="2.8803641461352041"/>
    <n v="3.4784909312485692"/>
    <n v="4.4526683547324621"/>
    <n v="4.5576190818305911"/>
    <x v="2"/>
    <x v="4"/>
    <x v="2"/>
    <n v="0"/>
    <x v="2"/>
    <n v="0"/>
    <n v="0"/>
    <n v="0"/>
  </r>
  <r>
    <s v="S925-BC-0550-PEN-3H"/>
    <s v="B06ZYF9W54"/>
    <x v="0"/>
    <s v="Pen - Cat"/>
    <x v="194"/>
    <n v="4.1981999999999999"/>
    <s v="925 Silver"/>
    <s v="Pendant"/>
    <x v="0"/>
    <s v="7113.11.10.00"/>
    <s v="7113.11.00"/>
    <s v="7113.11.50.00"/>
    <s v="B06ZYF9W54 Pen - Cat"/>
    <n v="4.7654560623861331"/>
    <n v="5.7550347300759581"/>
    <n v="7.366775285453329"/>
    <n v="7.540412385947266"/>
    <x v="2"/>
    <x v="4"/>
    <x v="2"/>
    <n v="0"/>
    <x v="2"/>
    <n v="0"/>
    <n v="0"/>
    <n v="0"/>
  </r>
  <r>
    <s v="S925-BC-0550-PEN-6G"/>
    <s v="B071R9973S"/>
    <x v="0"/>
    <s v="Pen - Cat"/>
    <x v="194"/>
    <n v="4.1981999999999999"/>
    <s v="925 Silver"/>
    <s v="Pendant"/>
    <x v="0"/>
    <s v="7113.11.10.00"/>
    <s v="7113.11.00"/>
    <s v="7113.11.50.00"/>
    <s v="B071R9973S Pen - Cat"/>
    <n v="4.7654560623861331"/>
    <n v="5.7550347300759581"/>
    <n v="7.366775285453329"/>
    <n v="7.540412385947266"/>
    <x v="2"/>
    <x v="4"/>
    <x v="2"/>
    <n v="0"/>
    <x v="2"/>
    <n v="0"/>
    <n v="0"/>
    <n v="0"/>
  </r>
  <r>
    <s v="S925-BC-0551-PEN-3H"/>
    <s v="B06ZZ98T9Z"/>
    <x v="0"/>
    <s v="Pen - fish"/>
    <x v="2"/>
    <n v="2.6652999999999998"/>
    <s v="925 Silver"/>
    <s v="Pendant"/>
    <x v="0"/>
    <s v="7113.11.10.00"/>
    <s v="7113.11.00"/>
    <s v="7113.11.50.00"/>
    <s v="B06ZZ98T9Z Pen - fish"/>
    <n v="3.0254323384016391"/>
    <n v="3.6536834991356888"/>
    <n v="4.6769249126575101"/>
    <n v="4.7871614340110638"/>
    <x v="2"/>
    <x v="4"/>
    <x v="2"/>
    <n v="0"/>
    <x v="2"/>
    <n v="0"/>
    <n v="0"/>
    <n v="0"/>
  </r>
  <r>
    <s v="S925-BC-0551-PEN-6G"/>
    <s v="B071Y19PXD"/>
    <x v="0"/>
    <s v="Pen - fish"/>
    <x v="2"/>
    <n v="2.6652999999999998"/>
    <s v="925 Silver"/>
    <s v="Pendant"/>
    <x v="0"/>
    <s v="7113.11.10.00"/>
    <s v="7113.11.00"/>
    <s v="7113.11.50.00"/>
    <s v="B071Y19PXD Pen - fish"/>
    <n v="3.0254323384016391"/>
    <n v="3.6536834991356888"/>
    <n v="4.6769249126575101"/>
    <n v="4.7871614340110638"/>
    <x v="2"/>
    <x v="4"/>
    <x v="2"/>
    <n v="0"/>
    <x v="2"/>
    <n v="0"/>
    <n v="0"/>
    <n v="0"/>
  </r>
  <r>
    <s v="S925-BC-0553-PEN-1W"/>
    <s v="B071QZZY7P"/>
    <x v="0"/>
    <s v="Pen - fairy"/>
    <x v="1"/>
    <n v="1.6434"/>
    <s v="925 Silver"/>
    <s v="Pendant"/>
    <x v="0"/>
    <s v="7113.11.10.00"/>
    <s v="7113.11.00"/>
    <s v="7113.11.50.00"/>
    <s v="B071QZZY7P Pen - fairy"/>
    <n v="1.8654543597078204"/>
    <n v="2.2528283729709946"/>
    <n v="2.8837498223319522"/>
    <n v="2.9517206695883322"/>
    <x v="2"/>
    <x v="4"/>
    <x v="2"/>
    <n v="0"/>
    <x v="2"/>
    <n v="0"/>
    <n v="0"/>
    <n v="0"/>
  </r>
  <r>
    <s v="S925-BC-0553-PEN-2Y"/>
    <s v="B06ZYPVNPD"/>
    <x v="0"/>
    <s v="Pen - fairy"/>
    <x v="1"/>
    <n v="1.6434"/>
    <s v="925 Silver"/>
    <s v="Pendant"/>
    <x v="0"/>
    <s v="7113.11.10.00"/>
    <s v="7113.11.00"/>
    <s v="7113.11.50.00"/>
    <s v="B06ZYPVNPD Pen - fairy"/>
    <n v="1.8654543597078204"/>
    <n v="2.2528283729709946"/>
    <n v="2.8837498223319522"/>
    <n v="2.9517206695883322"/>
    <x v="2"/>
    <x v="4"/>
    <x v="2"/>
    <n v="0"/>
    <x v="2"/>
    <n v="0"/>
    <n v="0"/>
    <n v="0"/>
  </r>
  <r>
    <s v="S925-BC-0553-PEN-3H"/>
    <s v="B06ZY4RJ9R"/>
    <x v="0"/>
    <s v="Pen - fairy"/>
    <x v="1"/>
    <n v="1.6434"/>
    <s v="925 Silver"/>
    <s v="Pendant"/>
    <x v="0"/>
    <s v="7113.11.10.00"/>
    <s v="7113.11.00"/>
    <s v="7113.11.50.00"/>
    <s v="B06ZY4RJ9R Pen - fairy"/>
    <n v="1.8654543597078204"/>
    <n v="2.2528283729709946"/>
    <n v="2.8837498223319522"/>
    <n v="2.9517206695883322"/>
    <x v="2"/>
    <x v="4"/>
    <x v="2"/>
    <n v="0"/>
    <x v="2"/>
    <n v="0"/>
    <n v="0"/>
    <n v="0"/>
  </r>
  <r>
    <s v="S925-BC-0553-PEN-5C"/>
    <s v="B071DCGFHS"/>
    <x v="0"/>
    <s v="Pen - fairy"/>
    <x v="1"/>
    <n v="1.6434"/>
    <s v="925 Silver"/>
    <s v="Pendant"/>
    <x v="0"/>
    <s v="7113.11.10.00"/>
    <s v="7113.11.00"/>
    <s v="7113.11.50.00"/>
    <s v="B071DCGFHS Pen - fairy"/>
    <n v="1.8654543597078204"/>
    <n v="2.2528283729709946"/>
    <n v="2.8837498223319522"/>
    <n v="2.9517206695883322"/>
    <x v="2"/>
    <x v="4"/>
    <x v="2"/>
    <n v="0"/>
    <x v="2"/>
    <n v="0"/>
    <n v="0"/>
    <n v="0"/>
  </r>
  <r>
    <s v="S925-BC-0568-PEN-1W"/>
    <s v="B06ZZV8HD1"/>
    <x v="0"/>
    <s v="Pendant - Mouse"/>
    <x v="252"/>
    <n v="3.4317000000000002"/>
    <s v="925 Silver"/>
    <s v="Pendant"/>
    <x v="0"/>
    <s v="7113.11.10.00"/>
    <s v="7113.11.00"/>
    <s v="7113.11.50.00"/>
    <s v="B06ZZV8HD1 Pendant - Mouse"/>
    <n v="3.8953874444501202"/>
    <n v="4.7042905729125977"/>
    <n v="6.0217623617479381"/>
    <n v="6.1636971046770599"/>
    <x v="2"/>
    <x v="4"/>
    <x v="2"/>
    <n v="0"/>
    <x v="2"/>
    <n v="0"/>
    <n v="0"/>
    <n v="0"/>
  </r>
  <r>
    <s v="S925-BC-0568-PEN-2Y"/>
    <s v="B071CSFLLF"/>
    <x v="0"/>
    <s v="Pendant - Mouse"/>
    <x v="252"/>
    <n v="3.4317000000000002"/>
    <s v="925 Silver"/>
    <s v="Pendant"/>
    <x v="0"/>
    <s v="7113.11.10.00"/>
    <s v="7113.11.00"/>
    <s v="7113.11.50.00"/>
    <s v="B071CSFLLF Pendant - Mouse"/>
    <n v="3.8953874444501202"/>
    <n v="4.7042905729125977"/>
    <n v="6.0217623617479381"/>
    <n v="6.1636971046770599"/>
    <x v="2"/>
    <x v="4"/>
    <x v="2"/>
    <n v="0"/>
    <x v="2"/>
    <n v="0"/>
    <n v="0"/>
    <n v="0"/>
  </r>
  <r>
    <s v="S925-BC-0568-PEN-3H"/>
    <s v="B071Y1NPSZ"/>
    <x v="0"/>
    <s v="Pendant - Mouse"/>
    <x v="252"/>
    <n v="3.4317000000000002"/>
    <s v="925 Silver"/>
    <s v="Pendant"/>
    <x v="0"/>
    <s v="7113.11.10.00"/>
    <s v="7113.11.00"/>
    <s v="7113.11.50.00"/>
    <s v="B071Y1NPSZ Pendant - Mouse"/>
    <n v="3.8953874444501202"/>
    <n v="4.7042905729125977"/>
    <n v="6.0217623617479381"/>
    <n v="6.1636971046770599"/>
    <x v="2"/>
    <x v="4"/>
    <x v="2"/>
    <n v="0"/>
    <x v="2"/>
    <n v="0"/>
    <n v="0"/>
    <n v="0"/>
  </r>
  <r>
    <s v="S925-BC-0568-PEN-5C"/>
    <s v="B06ZY4RHM7"/>
    <x v="0"/>
    <s v="Pendant - Mouse"/>
    <x v="252"/>
    <n v="3.4317000000000002"/>
    <s v="925 Silver"/>
    <s v="Pendant"/>
    <x v="0"/>
    <s v="7113.11.10.00"/>
    <s v="7113.11.00"/>
    <s v="7113.11.50.00"/>
    <s v="B06ZY4RHM7 Pendant - Mouse"/>
    <n v="3.8953874444501202"/>
    <n v="4.7042905729125977"/>
    <n v="6.0217623617479381"/>
    <n v="6.1636971046770599"/>
    <x v="2"/>
    <x v="4"/>
    <x v="2"/>
    <n v="0"/>
    <x v="2"/>
    <n v="0"/>
    <n v="0"/>
    <n v="0"/>
  </r>
  <r>
    <s v="S925-BC-0568-PEN-6G"/>
    <s v="B06ZYPVPM6"/>
    <x v="0"/>
    <s v="Pendant - Mouse"/>
    <x v="252"/>
    <n v="3.4317000000000002"/>
    <s v="925 Silver"/>
    <s v="Pendant"/>
    <x v="0"/>
    <s v="7113.11.10.00"/>
    <s v="7113.11.00"/>
    <s v="7113.11.50.00"/>
    <s v="B06ZYPVPM6 Pendant - Mouse"/>
    <n v="3.8953874444501202"/>
    <n v="4.7042905729125977"/>
    <n v="6.0217623617479381"/>
    <n v="6.1636971046770599"/>
    <x v="2"/>
    <x v="4"/>
    <x v="2"/>
    <n v="0"/>
    <x v="2"/>
    <n v="0"/>
    <n v="0"/>
    <n v="0"/>
  </r>
  <r>
    <s v="S925-BC-1505-PEN-2Y"/>
    <s v="B071XRNSBD"/>
    <x v="0"/>
    <s v="Pendant - Sun "/>
    <x v="253"/>
    <n v="3.9426999999999999"/>
    <s v="925 Silver"/>
    <s v="Pendant"/>
    <x v="0"/>
    <s v="7113.11.10.00"/>
    <s v="7113.11.00"/>
    <s v="7113.11.50.00"/>
    <s v="B071XRNSBD Pendant - Sun "/>
    <n v="4.4754331897407953"/>
    <n v="5.404786677688171"/>
    <n v="6.9184376442181987"/>
    <n v="7.0815072921905307"/>
    <x v="2"/>
    <x v="4"/>
    <x v="2"/>
    <n v="0"/>
    <x v="2"/>
    <n v="0"/>
    <n v="0"/>
    <n v="0"/>
  </r>
  <r>
    <s v="S925-BC-1505-PEN-3H"/>
    <s v="B071R11ZM7"/>
    <x v="0"/>
    <s v="Pendant - Sun "/>
    <x v="253"/>
    <n v="3.9426999999999999"/>
    <s v="925 Silver"/>
    <s v="Pendant"/>
    <x v="0"/>
    <s v="7113.11.10.00"/>
    <s v="7113.11.00"/>
    <s v="7113.11.50.00"/>
    <s v="B071R11ZM7 Pendant - Sun "/>
    <n v="4.4754331897407953"/>
    <n v="5.404786677688171"/>
    <n v="6.9184376442181987"/>
    <n v="7.0815072921905307"/>
    <x v="2"/>
    <x v="4"/>
    <x v="2"/>
    <n v="0"/>
    <x v="2"/>
    <n v="0"/>
    <n v="0"/>
    <n v="0"/>
  </r>
  <r>
    <s v="S925-BC-1505-PEN-5C"/>
    <s v="B06ZXVBTSK"/>
    <x v="0"/>
    <s v="Pendant - Sun "/>
    <x v="253"/>
    <n v="3.9426999999999999"/>
    <s v="925 Silver"/>
    <s v="Pendant"/>
    <x v="0"/>
    <s v="7113.11.10.00"/>
    <s v="7113.11.00"/>
    <s v="7113.11.50.00"/>
    <s v="B06ZXVBTSK Pendant - Sun "/>
    <n v="4.4754331897407953"/>
    <n v="5.404786677688171"/>
    <n v="6.9184376442181987"/>
    <n v="7.0815072921905307"/>
    <x v="2"/>
    <x v="4"/>
    <x v="2"/>
    <n v="0"/>
    <x v="2"/>
    <n v="0"/>
    <n v="0"/>
    <n v="0"/>
  </r>
  <r>
    <s v="S925-BC-1505-PEN-6G"/>
    <s v="B071DCGLGH"/>
    <x v="0"/>
    <s v="Pendant - Sun "/>
    <x v="253"/>
    <n v="3.9426999999999999"/>
    <s v="925 Silver"/>
    <s v="Pendant"/>
    <x v="0"/>
    <s v="7113.11.10.00"/>
    <s v="7113.11.00"/>
    <s v="7113.11.50.00"/>
    <s v="B071DCGLGH Pendant - Sun "/>
    <n v="4.4754331897407953"/>
    <n v="5.404786677688171"/>
    <n v="6.9184376442181987"/>
    <n v="7.0815072921905307"/>
    <x v="2"/>
    <x v="4"/>
    <x v="2"/>
    <n v="0"/>
    <x v="2"/>
    <n v="0"/>
    <n v="0"/>
    <n v="0"/>
  </r>
  <r>
    <s v="S925-BC-1585-PEN-3H"/>
    <s v="B071DCGNB3"/>
    <x v="0"/>
    <s v="Pen -Kangaroo"/>
    <x v="254"/>
    <n v="2.2820999999999998"/>
    <s v="925 Silver"/>
    <s v="Pendant"/>
    <x v="0"/>
    <s v="7113.11.10.00"/>
    <s v="7113.11.00"/>
    <s v="7113.11.50.00"/>
    <s v="B071DCGNB3 Pen -Kangaroo"/>
    <n v="2.5904547853773985"/>
    <n v="3.128379962247235"/>
    <n v="4.0045061881122965"/>
    <n v="4.0988935986780657"/>
    <x v="2"/>
    <x v="4"/>
    <x v="2"/>
    <n v="0"/>
    <x v="2"/>
    <n v="0"/>
    <n v="0"/>
    <n v="0"/>
  </r>
  <r>
    <s v="S925-BC-1585-PEN-6G"/>
    <s v="B06ZXVC1B6"/>
    <x v="0"/>
    <s v="Pen -Kangaroo"/>
    <x v="254"/>
    <n v="2.2820999999999998"/>
    <s v="925 Silver"/>
    <s v="Pendant"/>
    <x v="0"/>
    <s v="7113.11.10.00"/>
    <s v="7113.11.00"/>
    <s v="7113.11.50.00"/>
    <s v="B06ZXVC1B6 Pen -Kangaroo"/>
    <n v="2.5904547853773985"/>
    <n v="3.128379962247235"/>
    <n v="4.0045061881122965"/>
    <n v="4.0988935986780657"/>
    <x v="2"/>
    <x v="4"/>
    <x v="2"/>
    <n v="0"/>
    <x v="2"/>
    <n v="0"/>
    <n v="0"/>
    <n v="0"/>
  </r>
  <r>
    <s v="S925-BC-1601-PEN-3H"/>
    <s v="B071R95WQV"/>
    <x v="0"/>
    <s v="Pen - Seahorse"/>
    <x v="20"/>
    <n v="2.4098000000000002"/>
    <s v="925 Silver"/>
    <s v="Pendant"/>
    <x v="0"/>
    <s v="7113.11.10.00"/>
    <s v="7113.11.00"/>
    <s v="7113.11.50.00"/>
    <s v="B071R95WQV Pen - Seahorse"/>
    <n v="2.7354094657563017"/>
    <n v="3.3034354467479026"/>
    <n v="4.2285872714223798"/>
    <n v="4.3282563402543284"/>
    <x v="2"/>
    <x v="4"/>
    <x v="2"/>
    <n v="0"/>
    <x v="2"/>
    <n v="0"/>
    <n v="0"/>
    <n v="0"/>
  </r>
  <r>
    <s v="S925-BC-1601-PEN-6G"/>
    <s v="B06ZYZT9KL"/>
    <x v="0"/>
    <s v="Pen - Seahorse"/>
    <x v="20"/>
    <n v="2.4098000000000002"/>
    <s v="925 Silver"/>
    <s v="Pendant"/>
    <x v="0"/>
    <s v="7113.11.10.00"/>
    <s v="7113.11.00"/>
    <s v="7113.11.50.00"/>
    <s v="B06ZYZT9KL Pen - Seahorse"/>
    <n v="2.7354094657563017"/>
    <n v="3.3034354467479026"/>
    <n v="4.2285872714223798"/>
    <n v="4.3282563402543284"/>
    <x v="2"/>
    <x v="4"/>
    <x v="2"/>
    <n v="0"/>
    <x v="2"/>
    <n v="0"/>
    <n v="0"/>
    <n v="0"/>
  </r>
  <r>
    <s v="S925-BC-1607-PEN-3H"/>
    <s v="B06ZYF9VRJ"/>
    <x v="0"/>
    <s v="Pen - Boat"/>
    <x v="255"/>
    <n v="1.5156000000000001"/>
    <s v="925 Silver"/>
    <s v="Pendant"/>
    <x v="0"/>
    <s v="7113.11.10.00"/>
    <s v="7113.11.00"/>
    <s v="7113.11.50.00"/>
    <s v="B06ZYF9VRJ Pen - Boat"/>
    <n v="1.7203861674413854"/>
    <n v="2.0776358050838746"/>
    <n v="2.6594932644069047"/>
    <n v="2.7221783174078595"/>
    <x v="2"/>
    <x v="4"/>
    <x v="2"/>
    <n v="0"/>
    <x v="2"/>
    <n v="0"/>
    <n v="0"/>
    <n v="0"/>
  </r>
  <r>
    <s v="S925-BC-1608-PEN-3H"/>
    <s v="B071CSFRFX"/>
    <x v="0"/>
    <s v="Pen - Bunny"/>
    <x v="250"/>
    <n v="2.5375000000000001"/>
    <s v="925 Silver"/>
    <s v="Pendant"/>
    <x v="0"/>
    <s v="7113.11.10.00"/>
    <s v="7113.11.00"/>
    <s v="7113.11.50.00"/>
    <s v="B071CSFRFX Pen - Bunny"/>
    <n v="2.8803641461352041"/>
    <n v="3.4784909312485692"/>
    <n v="4.4526683547324621"/>
    <n v="4.5576190818305911"/>
    <x v="2"/>
    <x v="4"/>
    <x v="2"/>
    <n v="0"/>
    <x v="2"/>
    <n v="0"/>
    <n v="0"/>
    <n v="0"/>
  </r>
  <r>
    <s v="S925-BC-1611-PEN-3H"/>
    <s v="B071XRK1RK"/>
    <x v="0"/>
    <s v="Pen - Slug"/>
    <x v="209"/>
    <n v="1.8988"/>
    <s v="925 Silver"/>
    <s v="Pendant"/>
    <x v="0"/>
    <s v="7113.11.10.00"/>
    <s v="7113.11.00"/>
    <s v="7113.11.50.00"/>
    <s v="B071XRK1RK Pen - Slug"/>
    <n v="2.1553637204656257"/>
    <n v="2.6029393419723283"/>
    <n v="3.3319119889521183"/>
    <n v="3.4104461527408576"/>
    <x v="2"/>
    <x v="4"/>
    <x v="2"/>
    <n v="0"/>
    <x v="2"/>
    <n v="0"/>
    <n v="0"/>
    <n v="0"/>
  </r>
  <r>
    <s v="S925-BC-1674-PEN-3H"/>
    <s v="B06ZZV8KJ8"/>
    <x v="0"/>
    <s v="Pen - Heart  complex"/>
    <x v="209"/>
    <n v="1.8988"/>
    <s v="925 Silver"/>
    <s v="Pendant"/>
    <x v="0"/>
    <s v="7113.11.10.00"/>
    <s v="7113.11.00"/>
    <s v="7113.11.50.00"/>
    <s v="B06ZZV8KJ8 Pen - Heart  complex"/>
    <n v="2.1553637204656257"/>
    <n v="2.6029393419723283"/>
    <n v="3.3319119889521183"/>
    <n v="3.4104461527408576"/>
    <x v="2"/>
    <x v="4"/>
    <x v="2"/>
    <n v="0"/>
    <x v="2"/>
    <n v="0"/>
    <n v="0"/>
    <n v="0"/>
  </r>
  <r>
    <s v="S925-BC-1674-PEN-6G"/>
    <s v="B06ZY4RK2G"/>
    <x v="0"/>
    <s v="Pen - Heart  complex"/>
    <x v="209"/>
    <n v="1.8988"/>
    <s v="925 Silver"/>
    <s v="Pendant"/>
    <x v="0"/>
    <s v="7113.11.10.00"/>
    <s v="7113.11.00"/>
    <s v="7113.11.50.00"/>
    <s v="B06ZY4RK2G Pen - Heart  complex"/>
    <n v="2.1553637204656257"/>
    <n v="2.6029393419723283"/>
    <n v="3.3319119889521183"/>
    <n v="3.4104461527408576"/>
    <x v="2"/>
    <x v="4"/>
    <x v="2"/>
    <n v="0"/>
    <x v="2"/>
    <n v="0"/>
    <n v="0"/>
    <n v="0"/>
  </r>
  <r>
    <s v="S925-BC-1681-PEN-3H"/>
    <s v="B071R95WQZ"/>
    <x v="0"/>
    <s v="Pen - Fish"/>
    <x v="20"/>
    <n v="2.4098000000000002"/>
    <s v="925 Silver"/>
    <s v="Pendant"/>
    <x v="0"/>
    <s v="7113.11.10.00"/>
    <s v="7113.11.00"/>
    <s v="7113.11.50.00"/>
    <s v="B071R95WQZ Pen - Fish"/>
    <n v="2.7354094657563017"/>
    <n v="3.3034354467479026"/>
    <n v="4.2285872714223798"/>
    <n v="4.3282563402543284"/>
    <x v="2"/>
    <x v="4"/>
    <x v="2"/>
    <n v="0"/>
    <x v="2"/>
    <n v="0"/>
    <n v="0"/>
    <n v="0"/>
  </r>
  <r>
    <s v="S925-BC-1681-PEN-6G"/>
    <s v="B071XR6YHJ"/>
    <x v="0"/>
    <s v="Pen - Fish"/>
    <x v="20"/>
    <n v="2.4098000000000002"/>
    <s v="925 Silver"/>
    <s v="Pendant"/>
    <x v="0"/>
    <s v="7113.11.10.00"/>
    <s v="7113.11.00"/>
    <s v="7113.11.50.00"/>
    <s v="B071XR6YHJ Pen - Fish"/>
    <n v="2.7354094657563017"/>
    <n v="3.3034354467479026"/>
    <n v="4.2285872714223798"/>
    <n v="4.3282563402543284"/>
    <x v="2"/>
    <x v="4"/>
    <x v="2"/>
    <n v="0"/>
    <x v="2"/>
    <n v="0"/>
    <n v="0"/>
    <n v="0"/>
  </r>
  <r>
    <s v="S925-BC-1706-PEN-7M"/>
    <s v="B071DCFXYF"/>
    <x v="0"/>
    <s v="Pen - cube"/>
    <x v="0"/>
    <n v="2.0266000000000002"/>
    <s v="925 Silver"/>
    <s v="Pendant"/>
    <x v="0"/>
    <s v="7113.11.10.00"/>
    <s v="7113.11.00"/>
    <s v="7113.11.50.00"/>
    <s v="B071DCFXYF Pen - cube"/>
    <n v="2.3004319127320612"/>
    <n v="2.7781319098594488"/>
    <n v="3.5561685468771662"/>
    <n v="3.6399885049213307"/>
    <x v="2"/>
    <x v="4"/>
    <x v="2"/>
    <n v="0"/>
    <x v="2"/>
    <n v="0"/>
    <n v="0"/>
    <n v="0"/>
  </r>
  <r>
    <s v="S925-BC-1764-PEN-1W"/>
    <s v="B071Y19B64"/>
    <x v="0"/>
    <s v="Pendant - SUN"/>
    <x v="2"/>
    <n v="2.6652999999999998"/>
    <s v="925 Silver"/>
    <s v="Pendant"/>
    <x v="0"/>
    <s v="7113.11.10.00"/>
    <s v="7113.11.00"/>
    <s v="7113.11.50.00"/>
    <s v="B071Y19B64 Pendant - SUN"/>
    <n v="3.0254323384016391"/>
    <n v="3.6536834991356888"/>
    <n v="4.6769249126575101"/>
    <n v="4.7871614340110638"/>
    <x v="2"/>
    <x v="4"/>
    <x v="2"/>
    <n v="0"/>
    <x v="2"/>
    <n v="0"/>
    <n v="0"/>
    <n v="0"/>
  </r>
  <r>
    <s v="S925-BC-1764-PEN-2Y"/>
    <s v="B071R11Y8X"/>
    <x v="0"/>
    <s v="Pendant - SUN"/>
    <x v="2"/>
    <n v="3.1057999999999999"/>
    <s v="925 Silver"/>
    <s v="Pendant"/>
    <x v="0"/>
    <s v="7113.11.10.00"/>
    <s v="7113.11.00"/>
    <s v="7113.11.50.00"/>
    <s v="B071R11Y8X Pendant - SUN"/>
    <n v="3.5254522029819571"/>
    <n v="4.2575358164617958"/>
    <n v="5.4498905915775691"/>
    <n v="5.5783461455564334"/>
    <x v="2"/>
    <x v="4"/>
    <x v="2"/>
    <n v="0"/>
    <x v="2"/>
    <n v="0"/>
    <n v="0"/>
    <n v="0"/>
  </r>
  <r>
    <s v="BIA-GP-CHAIN-024-140-450"/>
    <s v="B073GBKVMS"/>
    <x v="1"/>
    <s v="Snake Chain"/>
    <x v="256"/>
    <n v="4.5888"/>
    <s v="925 Silver"/>
    <s v="chain"/>
    <x v="0"/>
    <s v="7113.11.10.00"/>
    <s v="7113.11.00"/>
    <s v="7113.11.10.00"/>
    <s v="B073GBKVMS Snake Chain"/>
    <n v="5.2088334950877728"/>
    <n v="6.2904824375619448"/>
    <n v="8.052179131505941"/>
    <n v="8.2419714059918086"/>
    <x v="9"/>
    <x v="0"/>
    <x v="112"/>
    <n v="22.943999999999999"/>
    <x v="114"/>
    <n v="31.45241218780972"/>
    <n v="40.260895657529701"/>
    <n v="41.209857029959039"/>
  </r>
  <r>
    <s v="BIA-ROSE-CHAIN-012-100-450"/>
    <s v="B073GB36PC"/>
    <x v="0"/>
    <s v="Box Chain"/>
    <x v="21"/>
    <n v="3.0005000000000002"/>
    <s v="925 Silver"/>
    <s v="chain"/>
    <x v="0"/>
    <s v="7113.11.10.00"/>
    <s v="7113.11.00"/>
    <s v="7113.11.10.00"/>
    <s v="B073GB36PC Box Chain"/>
    <n v="3.4059241854103175"/>
    <n v="4.1131870105266337"/>
    <n v="5.2651158220196077"/>
    <n v="5.3892161793232276"/>
    <x v="2"/>
    <x v="0"/>
    <x v="2"/>
    <n v="0"/>
    <x v="2"/>
    <n v="0"/>
    <n v="0"/>
    <n v="0"/>
  </r>
  <r>
    <s v="S925-BC-1823-PEN-3H"/>
    <s v="B06ZYZT9X2"/>
    <x v="0"/>
    <s v="Pen - twisted"/>
    <x v="131"/>
    <n v="2.1543000000000001"/>
    <s v="925 Silver"/>
    <s v="Pendant"/>
    <x v="0"/>
    <s v="7113.11.10.00"/>
    <s v="7113.11.00"/>
    <s v="7113.11.50.00"/>
    <s v="B06ZYZT9X2 Pen - twisted"/>
    <n v="2.4453865931109635"/>
    <n v="2.9531873943601155"/>
    <n v="3.780249630187249"/>
    <n v="3.869351246497593"/>
    <x v="2"/>
    <x v="4"/>
    <x v="2"/>
    <n v="0"/>
    <x v="2"/>
    <n v="0"/>
    <n v="0"/>
    <n v="0"/>
  </r>
  <r>
    <s v="S925-BC-1823-PEN-6G"/>
    <s v="B06ZXVBY5W"/>
    <x v="0"/>
    <s v="Pen - twisted"/>
    <x v="131"/>
    <n v="2.1543000000000001"/>
    <s v="925 Silver"/>
    <s v="Pendant"/>
    <x v="0"/>
    <s v="7113.11.10.00"/>
    <s v="7113.11.00"/>
    <s v="7113.11.50.00"/>
    <s v="B06ZXVBY5W Pen - twisted"/>
    <n v="2.4453865931109635"/>
    <n v="2.9531873943601155"/>
    <n v="3.780249630187249"/>
    <n v="3.869351246497593"/>
    <x v="2"/>
    <x v="4"/>
    <x v="2"/>
    <n v="0"/>
    <x v="2"/>
    <n v="0"/>
    <n v="0"/>
    <n v="0"/>
  </r>
  <r>
    <s v="S925-BC-1853-PEN-3H"/>
    <s v="B06ZYPVPB8"/>
    <x v="0"/>
    <s v="Pen - teddybear"/>
    <x v="257"/>
    <n v="2.9207999999999998"/>
    <s v="925 Silver"/>
    <s v="Pendant"/>
    <x v="0"/>
    <s v="7113.11.10.00"/>
    <s v="7113.11.00"/>
    <s v="7113.11.50.00"/>
    <s v="B06ZYPVPB8 Pen - teddybear"/>
    <n v="3.3154552110469768"/>
    <n v="4.0039315515234764"/>
    <n v="5.1252625538926404"/>
    <n v="5.2460665277677991"/>
    <x v="2"/>
    <x v="4"/>
    <x v="2"/>
    <n v="0"/>
    <x v="2"/>
    <n v="0"/>
    <n v="0"/>
    <n v="0"/>
  </r>
  <r>
    <s v="S925-BC-1861-PEN-7M"/>
    <s v="B06ZZ98T1B"/>
    <x v="0"/>
    <s v="Pen - Dragonfly"/>
    <x v="258"/>
    <n v="5.7309999999999999"/>
    <s v="925 Silver"/>
    <s v="Pendant"/>
    <x v="0"/>
    <s v="7113.11.10.00"/>
    <s v="7113.11.00"/>
    <s v="7113.11.50.00"/>
    <s v="B06ZZ98T1B Pen - Dragonfly"/>
    <n v="6.5053662744830953"/>
    <n v="7.8562488776297732"/>
    <n v="10.056450183634183"/>
    <n v="10.293483727279257"/>
    <x v="2"/>
    <x v="4"/>
    <x v="2"/>
    <n v="0"/>
    <x v="2"/>
    <n v="0"/>
    <n v="0"/>
    <n v="0"/>
  </r>
  <r>
    <s v="S925-BC-1895-PEN-1W"/>
    <s v="B071Y1J6Y9"/>
    <x v="0"/>
    <s v="Pen - Circle (larger)"/>
    <x v="20"/>
    <n v="2.4098000000000002"/>
    <s v="925 Silver"/>
    <s v="Pendant"/>
    <x v="0"/>
    <s v="7113.11.10.00"/>
    <s v="7113.11.00"/>
    <s v="7113.11.50.00"/>
    <s v="B071Y1J6Y9 Pen - Circle (larger)"/>
    <n v="2.7354094657563017"/>
    <n v="3.3034354467479026"/>
    <n v="4.2285872714223798"/>
    <n v="4.3282563402543284"/>
    <x v="2"/>
    <x v="4"/>
    <x v="2"/>
    <n v="0"/>
    <x v="2"/>
    <n v="0"/>
    <n v="0"/>
    <n v="0"/>
  </r>
  <r>
    <s v="S925-BC-1895-PEN-2Y"/>
    <s v="B071CHW1NY"/>
    <x v="0"/>
    <s v="Pen - Circle (larger)"/>
    <x v="20"/>
    <n v="2.4098000000000002"/>
    <s v="925 Silver"/>
    <s v="Pendant"/>
    <x v="0"/>
    <s v="7113.11.10.00"/>
    <s v="7113.11.00"/>
    <s v="7113.11.50.00"/>
    <s v="B071CHW1NY Pen - Circle (larger)"/>
    <n v="2.7354094657563017"/>
    <n v="3.3034354467479026"/>
    <n v="4.2285872714223798"/>
    <n v="4.3282563402543284"/>
    <x v="2"/>
    <x v="4"/>
    <x v="2"/>
    <n v="0"/>
    <x v="2"/>
    <n v="0"/>
    <n v="0"/>
    <n v="0"/>
  </r>
  <r>
    <s v="S925-BC-1895-PEN-3H"/>
    <s v="B071R98C24"/>
    <x v="0"/>
    <s v="Pen - Circle (larger)"/>
    <x v="20"/>
    <n v="2.4098000000000002"/>
    <s v="925 Silver"/>
    <s v="Pendant"/>
    <x v="0"/>
    <s v="7113.11.10.00"/>
    <s v="7113.11.00"/>
    <s v="7113.11.50.00"/>
    <s v="B071R98C24 Pen - Circle (larger)"/>
    <n v="2.7354094657563017"/>
    <n v="3.3034354467479026"/>
    <n v="4.2285872714223798"/>
    <n v="4.3282563402543284"/>
    <x v="2"/>
    <x v="4"/>
    <x v="2"/>
    <n v="0"/>
    <x v="2"/>
    <n v="0"/>
    <n v="0"/>
    <n v="0"/>
  </r>
  <r>
    <s v="S925-BC-1895-PEN-5C"/>
    <s v="B071CH83JX"/>
    <x v="0"/>
    <s v="Pen - Circle (larger)"/>
    <x v="20"/>
    <n v="2.4098000000000002"/>
    <s v="925 Silver"/>
    <s v="Pendant"/>
    <x v="0"/>
    <s v="7113.11.10.00"/>
    <s v="7113.11.00"/>
    <s v="7113.11.50.00"/>
    <s v="B071CH83JX Pen - Circle (larger)"/>
    <n v="2.7354094657563017"/>
    <n v="3.3034354467479026"/>
    <n v="4.2285872714223798"/>
    <n v="4.3282563402543284"/>
    <x v="2"/>
    <x v="4"/>
    <x v="2"/>
    <n v="0"/>
    <x v="2"/>
    <n v="0"/>
    <n v="0"/>
    <n v="0"/>
  </r>
  <r>
    <s v="S925-BC-1895-PEN-6G"/>
    <s v="B071R1212Q"/>
    <x v="0"/>
    <s v="Pen - Circle (larger)"/>
    <x v="20"/>
    <n v="2.4098000000000002"/>
    <s v="925 Silver"/>
    <s v="Pendant"/>
    <x v="0"/>
    <s v="7113.11.10.00"/>
    <s v="7113.11.00"/>
    <s v="7113.11.50.00"/>
    <s v="B071R1212Q Pen - Circle (larger)"/>
    <n v="2.7354094657563017"/>
    <n v="3.3034354467479026"/>
    <n v="4.2285872714223798"/>
    <n v="4.3282563402543284"/>
    <x v="2"/>
    <x v="4"/>
    <x v="2"/>
    <n v="0"/>
    <x v="2"/>
    <n v="0"/>
    <n v="0"/>
    <n v="0"/>
  </r>
  <r>
    <s v="S925-BC-1924-PEN-1W"/>
    <s v="B06ZZV8BVS"/>
    <x v="0"/>
    <s v="Pen - Circle (small)"/>
    <x v="93"/>
    <n v="1.3878999999999999"/>
    <s v="925 Silver"/>
    <s v="Pendant"/>
    <x v="0"/>
    <s v="7113.11.10.00"/>
    <s v="7113.11.00"/>
    <s v="7113.11.50.00"/>
    <s v="B06ZZV8BVS Pen - Circle (small)"/>
    <n v="1.5754314870624826"/>
    <n v="1.9025803205832075"/>
    <n v="2.4354121810968214"/>
    <n v="2.4928155758315969"/>
    <x v="2"/>
    <x v="4"/>
    <x v="2"/>
    <n v="0"/>
    <x v="2"/>
    <n v="0"/>
    <n v="0"/>
    <n v="0"/>
  </r>
  <r>
    <s v="S925-BC-1924-PEN-2Y"/>
    <s v="B06ZZKTYCZ"/>
    <x v="0"/>
    <s v="Pen - Circle (small)"/>
    <x v="93"/>
    <n v="1.3878999999999999"/>
    <s v="925 Silver"/>
    <s v="Pendant"/>
    <x v="0"/>
    <s v="7113.11.10.00"/>
    <s v="7113.11.00"/>
    <s v="7113.11.50.00"/>
    <s v="B06ZZKTYCZ Pen - Circle (small)"/>
    <n v="1.5754314870624826"/>
    <n v="1.9025803205832075"/>
    <n v="2.4354121810968214"/>
    <n v="2.4928155758315969"/>
    <x v="2"/>
    <x v="4"/>
    <x v="2"/>
    <n v="0"/>
    <x v="2"/>
    <n v="0"/>
    <n v="0"/>
    <n v="0"/>
  </r>
  <r>
    <s v="S925-BC-1924-PEN-3H"/>
    <s v="B071XR6B3F"/>
    <x v="0"/>
    <s v="Pen - Circle (small)"/>
    <x v="93"/>
    <n v="1.3878999999999999"/>
    <s v="925 Silver"/>
    <s v="Pendant"/>
    <x v="0"/>
    <s v="7113.11.10.00"/>
    <s v="7113.11.00"/>
    <s v="7113.11.50.00"/>
    <s v="B071XR6B3F Pen - Circle (small)"/>
    <n v="1.5754314870624826"/>
    <n v="1.9025803205832075"/>
    <n v="2.4354121810968214"/>
    <n v="2.4928155758315969"/>
    <x v="2"/>
    <x v="4"/>
    <x v="2"/>
    <n v="0"/>
    <x v="2"/>
    <n v="0"/>
    <n v="0"/>
    <n v="0"/>
  </r>
  <r>
    <s v="S925-BC-1924-PEN-5C"/>
    <s v="B071Y9YK3M"/>
    <x v="0"/>
    <s v="Pen - Circle (small)"/>
    <x v="93"/>
    <n v="1.3878999999999999"/>
    <s v="925 Silver"/>
    <s v="Pendant"/>
    <x v="0"/>
    <s v="7113.11.10.00"/>
    <s v="7113.11.00"/>
    <s v="7113.11.50.00"/>
    <s v="B071Y9YK3M Pen - Circle (small)"/>
    <n v="1.5754314870624826"/>
    <n v="1.9025803205832075"/>
    <n v="2.4354121810968214"/>
    <n v="2.4928155758315969"/>
    <x v="2"/>
    <x v="4"/>
    <x v="2"/>
    <n v="0"/>
    <x v="2"/>
    <n v="0"/>
    <n v="0"/>
    <n v="0"/>
  </r>
  <r>
    <s v="S925-BC-1924-PEN-6G"/>
    <s v="B06ZYPVPG7"/>
    <x v="0"/>
    <s v="Pen - Circle (small)"/>
    <x v="93"/>
    <n v="1.3878999999999999"/>
    <s v="925 Silver"/>
    <s v="Pendant"/>
    <x v="0"/>
    <s v="7113.11.10.00"/>
    <s v="7113.11.00"/>
    <s v="7113.11.50.00"/>
    <s v="B06ZYPVPG7 Pen - Circle (small)"/>
    <n v="1.5754314870624826"/>
    <n v="1.9025803205832075"/>
    <n v="2.4354121810968214"/>
    <n v="2.4928155758315969"/>
    <x v="2"/>
    <x v="4"/>
    <x v="2"/>
    <n v="0"/>
    <x v="2"/>
    <n v="0"/>
    <n v="0"/>
    <n v="0"/>
  </r>
  <r>
    <s v="S925-BC-1983-PEN-3H"/>
    <s v="B071R98C28"/>
    <x v="0"/>
    <s v="Pen - Fishbone"/>
    <x v="259"/>
    <n v="3.1762000000000001"/>
    <s v="925 Silver"/>
    <s v="Pendant"/>
    <x v="0"/>
    <s v="7113.11.10.00"/>
    <s v="7113.11.00"/>
    <s v="7113.11.50.00"/>
    <s v="B071R98C28 Pen - Fishbone"/>
    <n v="3.6053645718047824"/>
    <n v="4.3540425205248106"/>
    <n v="5.5734247205128069"/>
    <n v="5.7047920109203245"/>
    <x v="2"/>
    <x v="4"/>
    <x v="2"/>
    <n v="0"/>
    <x v="2"/>
    <n v="0"/>
    <n v="0"/>
    <n v="0"/>
  </r>
  <r>
    <s v="S925-BC-1984-PEN-3H"/>
    <s v="B06ZZV8KJF"/>
    <x v="0"/>
    <s v="Pen - Owl"/>
    <x v="254"/>
    <n v="2.2820999999999998"/>
    <s v="925 Silver"/>
    <s v="Pendant"/>
    <x v="0"/>
    <s v="7113.11.10.00"/>
    <s v="7113.11.00"/>
    <s v="7113.11.50.00"/>
    <s v="B06ZZV8KJF Pen - Owl"/>
    <n v="2.5904547853773985"/>
    <n v="3.128379962247235"/>
    <n v="4.0045061881122965"/>
    <n v="4.0988935986780657"/>
    <x v="2"/>
    <x v="4"/>
    <x v="2"/>
    <n v="0"/>
    <x v="2"/>
    <n v="0"/>
    <n v="0"/>
    <n v="0"/>
  </r>
  <r>
    <s v="BIA-ROSE-CHAIN-015-120-500"/>
    <s v="B073G68ZLZ"/>
    <x v="1"/>
    <s v="Ball Chain"/>
    <x v="249"/>
    <n v="3.0198"/>
    <s v="925 Silver"/>
    <s v="chain"/>
    <x v="0"/>
    <s v="7113.11.10.00"/>
    <s v="7113.11.00"/>
    <s v="7113.11.10.00"/>
    <s v="B073G68ZLZ Ball Chain"/>
    <n v="3.4278319797040746"/>
    <n v="4.1396441041120902"/>
    <n v="5.2989824227078186"/>
    <n v="5.4238810259357706"/>
    <x v="2"/>
    <x v="0"/>
    <x v="2"/>
    <n v="0"/>
    <x v="2"/>
    <n v="0"/>
    <n v="0"/>
    <n v="0"/>
  </r>
  <r>
    <s v="BIA-ROSE-CHAIN-024-140-450"/>
    <s v="B073G8ZG9L"/>
    <x v="1"/>
    <s v="Snake Chain"/>
    <x v="256"/>
    <n v="4.6195000000000004"/>
    <s v="925 Silver"/>
    <s v="chain"/>
    <x v="0"/>
    <s v="7113.11.10.00"/>
    <s v="7113.11.00"/>
    <s v="7113.11.10.00"/>
    <s v="B073G8ZG9L Snake Chain"/>
    <n v="5.243681644560227"/>
    <n v="6.3325670372030611"/>
    <n v="8.1060498383001427"/>
    <n v="8.2971118614843018"/>
    <x v="9"/>
    <x v="0"/>
    <x v="112"/>
    <n v="23.097500000000004"/>
    <x v="115"/>
    <n v="31.662835186015307"/>
    <n v="40.530249191500715"/>
    <n v="41.485559307421511"/>
  </r>
  <r>
    <s v="S925-BC-4034-PIN-3H"/>
    <s v="B06ZZ1T8X7"/>
    <x v="0"/>
    <s v="Pin - Seahorse"/>
    <x v="2"/>
    <n v="2.6652999999999998"/>
    <s v="925 Silver"/>
    <s v="Pin"/>
    <x v="0"/>
    <s v="7113.11.10.00"/>
    <s v="7113.11.00"/>
    <s v="7113.11.50.00"/>
    <s v="B06ZZ1T8X7 Pin - Seahorse"/>
    <n v="3.0254323384016391"/>
    <n v="3.6536834991356888"/>
    <n v="4.6769249126575101"/>
    <n v="4.7871614340110638"/>
    <x v="2"/>
    <x v="9"/>
    <x v="2"/>
    <n v="0"/>
    <x v="2"/>
    <n v="0"/>
    <n v="0"/>
    <n v="0"/>
  </r>
  <r>
    <s v="S925-BC-4070-PIN-3H"/>
    <s v="B071CTDQML"/>
    <x v="0"/>
    <s v="Pin - Calibri"/>
    <x v="252"/>
    <n v="3.4317000000000002"/>
    <s v="925 Silver"/>
    <s v="Pin"/>
    <x v="0"/>
    <s v="7113.11.10.00"/>
    <s v="7113.11.00"/>
    <s v="7113.11.50.00"/>
    <s v="B071CTDQML Pin - Calibri"/>
    <n v="3.8953874444501202"/>
    <n v="4.7042905729125977"/>
    <n v="6.0217623617479381"/>
    <n v="6.1636971046770599"/>
    <x v="2"/>
    <x v="9"/>
    <x v="2"/>
    <n v="0"/>
    <x v="2"/>
    <n v="0"/>
    <n v="0"/>
    <n v="0"/>
  </r>
  <r>
    <s v="S925-BC-4107-PIN-2Y"/>
    <s v="B06ZYQV66Y"/>
    <x v="0"/>
    <s v="Pin - Mouse"/>
    <x v="253"/>
    <n v="3.9426999999999999"/>
    <s v="925 Silver"/>
    <s v="Pin"/>
    <x v="0"/>
    <s v="7113.11.10.00"/>
    <s v="7113.11.00"/>
    <s v="7113.11.50.00"/>
    <s v="B06ZYQV66Y Pin - Mouse"/>
    <n v="4.4754331897407953"/>
    <n v="5.404786677688171"/>
    <n v="6.9184376442181987"/>
    <n v="7.0815072921905307"/>
    <x v="2"/>
    <x v="9"/>
    <x v="2"/>
    <n v="0"/>
    <x v="2"/>
    <n v="0"/>
    <n v="0"/>
    <n v="0"/>
  </r>
  <r>
    <s v="BIA-ROSE-CHAIN-031-230-450"/>
    <s v="B072NBWJ6G"/>
    <x v="1"/>
    <s v="Heart Chain"/>
    <x v="46"/>
    <n v="4.2453000000000003"/>
    <s v="925 Silver"/>
    <s v="chain"/>
    <x v="0"/>
    <s v="7113.11.10.00"/>
    <s v="7113.11.00"/>
    <s v="7113.11.10.00"/>
    <s v="B072NBWJ6G Heart Chain"/>
    <n v="4.8189201614139048"/>
    <n v="5.8196010050953904"/>
    <n v="7.4494238291017627"/>
    <n v="7.6250089805302101"/>
    <x v="0"/>
    <x v="0"/>
    <x v="113"/>
    <n v="42.453000000000003"/>
    <x v="116"/>
    <n v="58.196010050953902"/>
    <n v="74.494238291017638"/>
    <n v="76.250089805302096"/>
  </r>
  <r>
    <s v="S925-BC-4107-PIN-5C"/>
    <s v="B06ZYQV3C8"/>
    <x v="0"/>
    <s v="Pin - Mouse"/>
    <x v="253"/>
    <n v="3.9426999999999999"/>
    <s v="925 Silver"/>
    <s v="Pin"/>
    <x v="0"/>
    <s v="7113.11.10.00"/>
    <s v="7113.11.00"/>
    <s v="7113.11.50.00"/>
    <s v="B06ZYQV3C8 Pin - Mouse"/>
    <n v="4.4754331897407953"/>
    <n v="5.404786677688171"/>
    <n v="6.9184376442181987"/>
    <n v="7.0815072921905307"/>
    <x v="2"/>
    <x v="9"/>
    <x v="2"/>
    <n v="0"/>
    <x v="2"/>
    <n v="0"/>
    <n v="0"/>
    <n v="0"/>
  </r>
  <r>
    <s v="BIA-ROSE-CHAIN-045-140-250"/>
    <s v="B077MBFSXN"/>
    <x v="1"/>
    <s v="Singapore with Beads Chain"/>
    <x v="204"/>
    <n v="4.6432000000000002"/>
    <s v="925 Silver"/>
    <s v="Anklet"/>
    <x v="0"/>
    <s v="7113.11.10.00"/>
    <s v="7113.11.00"/>
    <s v="7113.11.10.00"/>
    <s v="B077MBFSXN Singapore with Beads Chain"/>
    <n v="5.2705839619054107"/>
    <n v="6.3650557997924562"/>
    <n v="8.1476373220468066"/>
    <n v="8.3396795746820889"/>
    <x v="0"/>
    <x v="2"/>
    <x v="114"/>
    <n v="46.432000000000002"/>
    <x v="117"/>
    <n v="63.650557997924558"/>
    <n v="81.476373220468062"/>
    <n v="83.396795746820885"/>
  </r>
  <r>
    <s v="S925-BC-5260-EAR-3H"/>
    <s v="B071CHQJ52"/>
    <x v="0"/>
    <s v="Earrings - multicolour 3 stones  stud"/>
    <x v="172"/>
    <n v="3.3039999999999998"/>
    <s v="925 Silver"/>
    <s v="Earrings"/>
    <x v="0"/>
    <s v="7113.11.10.00"/>
    <s v="7113.11.00"/>
    <s v="7113.11.50.00"/>
    <s v="B071CHQJ52 Earrings - multicolour 3 stones  stud"/>
    <n v="3.750432764071217"/>
    <n v="4.5292350884119301"/>
    <n v="5.797681278437854"/>
    <n v="5.9343343631007972"/>
    <x v="2"/>
    <x v="1"/>
    <x v="2"/>
    <n v="0"/>
    <x v="2"/>
    <n v="0"/>
    <n v="0"/>
    <n v="0"/>
  </r>
  <r>
    <s v="BIA-S925-CHAIN-008-035-700"/>
    <s v="B00JCW2PM8"/>
    <x v="0"/>
    <s v="Singapore Chain"/>
    <x v="260"/>
    <n v="4.4016999999999999"/>
    <s v="925 Silver"/>
    <s v="chain"/>
    <x v="0"/>
    <s v="7113.11.10.00"/>
    <s v="7113.11.00"/>
    <s v="7113.11.10.00"/>
    <s v="B00JCW2PM8 Singapore Chain"/>
    <n v="4.9964527535146122"/>
    <n v="6.033999421508109"/>
    <n v="7.7238661269067501"/>
    <n v="7.9059199655147632"/>
    <x v="9"/>
    <x v="0"/>
    <x v="115"/>
    <n v="22.008499999999998"/>
    <x v="118"/>
    <n v="30.169997107540542"/>
    <n v="38.619330634533746"/>
    <n v="39.529599827573819"/>
  </r>
  <r>
    <s v="S925-BC-5302-EAR-3H"/>
    <s v="B06ZY4LWND"/>
    <x v="0"/>
    <s v="Earrings - stud  drop  perfect ball  stylish"/>
    <x v="40"/>
    <n v="4.9645999999999999"/>
    <s v="925 Silver"/>
    <s v="Earrings"/>
    <x v="0"/>
    <s v="7113.11.10.00"/>
    <s v="7113.11.00"/>
    <s v="7113.11.50.00"/>
    <s v="B06ZY4LWND Earrings - stud  drop  perfect ball  stylish"/>
    <n v="5.6354111684346142"/>
    <n v="6.8056418038528657"/>
    <n v="8.7116127345437562"/>
    <n v="8.9169480566132613"/>
    <x v="2"/>
    <x v="1"/>
    <x v="2"/>
    <n v="0"/>
    <x v="2"/>
    <n v="0"/>
    <n v="0"/>
    <n v="0"/>
  </r>
  <r>
    <s v="S925-BC-5305-EAR-1W"/>
    <s v="B06ZZV482J"/>
    <x v="0"/>
    <s v="Earrings - Sun - 2"/>
    <x v="2"/>
    <n v="2.6652999999999998"/>
    <s v="925 Silver"/>
    <s v="Earrings"/>
    <x v="0"/>
    <s v="7113.11.10.00"/>
    <s v="7113.11.00"/>
    <s v="7113.11.50.00"/>
    <s v="B06ZZV482J Earrings - Sun - 2"/>
    <n v="3.0254323384016391"/>
    <n v="3.6536834991356888"/>
    <n v="4.6769249126575101"/>
    <n v="4.7871614340110638"/>
    <x v="2"/>
    <x v="1"/>
    <x v="2"/>
    <n v="0"/>
    <x v="2"/>
    <n v="0"/>
    <n v="0"/>
    <n v="0"/>
  </r>
  <r>
    <s v="S925-BC-5305-EAR-2Y"/>
    <s v="B071DC9XF7"/>
    <x v="0"/>
    <s v="Earrings - Sun - 2"/>
    <x v="2"/>
    <n v="2.6652999999999998"/>
    <s v="925 Silver"/>
    <s v="Earrings"/>
    <x v="0"/>
    <s v="7113.11.10.00"/>
    <s v="7113.11.00"/>
    <s v="7113.11.50.00"/>
    <s v="B071DC9XF7 Earrings - Sun - 2"/>
    <n v="3.0254323384016391"/>
    <n v="3.6536834991356888"/>
    <n v="4.6769249126575101"/>
    <n v="4.7871614340110638"/>
    <x v="2"/>
    <x v="1"/>
    <x v="2"/>
    <n v="0"/>
    <x v="2"/>
    <n v="0"/>
    <n v="0"/>
    <n v="0"/>
  </r>
  <r>
    <s v="S925-BC-5305-EAR-3H"/>
    <s v="B06ZYPQ75H"/>
    <x v="0"/>
    <s v="Earrings - Sun - 2"/>
    <x v="2"/>
    <n v="2.6652999999999998"/>
    <s v="925 Silver"/>
    <s v="Earrings"/>
    <x v="0"/>
    <s v="7113.11.10.00"/>
    <s v="7113.11.00"/>
    <s v="7113.11.50.00"/>
    <s v="B06ZYPQ75H Earrings - Sun - 2"/>
    <n v="3.0254323384016391"/>
    <n v="3.6536834991356888"/>
    <n v="4.6769249126575101"/>
    <n v="4.7871614340110638"/>
    <x v="2"/>
    <x v="1"/>
    <x v="2"/>
    <n v="0"/>
    <x v="2"/>
    <n v="0"/>
    <n v="0"/>
    <n v="0"/>
  </r>
  <r>
    <s v="S925-BC-5305-EAR-5C"/>
    <s v="B06ZZKPVNC"/>
    <x v="0"/>
    <s v="Earrings - Sun - 2"/>
    <x v="2"/>
    <n v="2.6652999999999998"/>
    <s v="925 Silver"/>
    <s v="Earrings"/>
    <x v="0"/>
    <s v="7113.11.10.00"/>
    <s v="7113.11.00"/>
    <s v="7113.11.50.00"/>
    <s v="B06ZZKPVNC Earrings - Sun - 2"/>
    <n v="3.0254323384016391"/>
    <n v="3.6536834991356888"/>
    <n v="4.6769249126575101"/>
    <n v="4.7871614340110638"/>
    <x v="2"/>
    <x v="1"/>
    <x v="2"/>
    <n v="0"/>
    <x v="2"/>
    <n v="0"/>
    <n v="0"/>
    <n v="0"/>
  </r>
  <r>
    <s v="S925-BC-5305-EAR-6G"/>
    <s v="B06ZZV4263"/>
    <x v="0"/>
    <s v="Earrings - Sun - 2"/>
    <x v="2"/>
    <n v="2.6652999999999998"/>
    <s v="925 Silver"/>
    <s v="Earrings"/>
    <x v="0"/>
    <s v="7113.11.10.00"/>
    <s v="7113.11.00"/>
    <s v="7113.11.50.00"/>
    <s v="B06ZZV4263 Earrings - Sun - 2"/>
    <n v="3.0254323384016391"/>
    <n v="3.6536834991356888"/>
    <n v="4.6769249126575101"/>
    <n v="4.7871614340110638"/>
    <x v="2"/>
    <x v="1"/>
    <x v="2"/>
    <n v="0"/>
    <x v="2"/>
    <n v="0"/>
    <n v="0"/>
    <n v="0"/>
  </r>
  <r>
    <s v="S925-BC-5310-EAR-1W"/>
    <s v="B071DCB22X"/>
    <x v="0"/>
    <s v="Earrings - Square Stud"/>
    <x v="20"/>
    <n v="2.4098000000000002"/>
    <s v="925 Silver"/>
    <s v="Earrings"/>
    <x v="0"/>
    <s v="7113.11.10.00"/>
    <s v="7113.11.00"/>
    <s v="7113.11.50.00"/>
    <s v="B071DCB22X Earrings - Square Stud"/>
    <n v="2.7354094657563017"/>
    <n v="3.3034354467479026"/>
    <n v="4.2285872714223798"/>
    <n v="4.3282563402543284"/>
    <x v="2"/>
    <x v="1"/>
    <x v="2"/>
    <n v="0"/>
    <x v="2"/>
    <n v="0"/>
    <n v="0"/>
    <n v="0"/>
  </r>
  <r>
    <s v="S925-BC-5310-EAR-2Y"/>
    <s v="B06ZXV6GPZ"/>
    <x v="0"/>
    <s v="Earrings - Square Stud"/>
    <x v="20"/>
    <n v="2.4098000000000002"/>
    <s v="925 Silver"/>
    <s v="Earrings"/>
    <x v="0"/>
    <s v="7113.11.10.00"/>
    <s v="7113.11.00"/>
    <s v="7113.11.50.00"/>
    <s v="B06ZXV6GPZ Earrings - Square Stud"/>
    <n v="2.7354094657563017"/>
    <n v="3.3034354467479026"/>
    <n v="4.2285872714223798"/>
    <n v="4.3282563402543284"/>
    <x v="2"/>
    <x v="1"/>
    <x v="2"/>
    <n v="0"/>
    <x v="2"/>
    <n v="0"/>
    <n v="0"/>
    <n v="0"/>
  </r>
  <r>
    <s v="S925-BC-5310-EAR-3H"/>
    <s v="B06ZY4LTKF"/>
    <x v="0"/>
    <s v="Earrings - Square Stud"/>
    <x v="20"/>
    <n v="2.4098000000000002"/>
    <s v="925 Silver"/>
    <s v="Earrings"/>
    <x v="0"/>
    <s v="7113.11.10.00"/>
    <s v="7113.11.00"/>
    <s v="7113.11.50.00"/>
    <s v="B06ZY4LTKF Earrings - Square Stud"/>
    <n v="2.7354094657563017"/>
    <n v="3.3034354467479026"/>
    <n v="4.2285872714223798"/>
    <n v="4.3282563402543284"/>
    <x v="2"/>
    <x v="1"/>
    <x v="2"/>
    <n v="0"/>
    <x v="2"/>
    <n v="0"/>
    <n v="0"/>
    <n v="0"/>
  </r>
  <r>
    <s v="S925-BC-5310-EAR-5C"/>
    <s v="B06ZXV6J81"/>
    <x v="0"/>
    <s v="Earrings - Square Stud"/>
    <x v="20"/>
    <n v="2.4098000000000002"/>
    <s v="925 Silver"/>
    <s v="Earrings"/>
    <x v="0"/>
    <s v="7113.11.10.00"/>
    <s v="7113.11.00"/>
    <s v="7113.11.50.00"/>
    <s v="B06ZXV6J81 Earrings - Square Stud"/>
    <n v="2.7354094657563017"/>
    <n v="3.3034354467479026"/>
    <n v="4.2285872714223798"/>
    <n v="4.3282563402543284"/>
    <x v="2"/>
    <x v="1"/>
    <x v="2"/>
    <n v="0"/>
    <x v="2"/>
    <n v="0"/>
    <n v="0"/>
    <n v="0"/>
  </r>
  <r>
    <s v="S925-BC-5310-EAR-6G"/>
    <s v="B071DC7BVX"/>
    <x v="0"/>
    <s v="Earrings - Square Stud"/>
    <x v="20"/>
    <n v="2.4098000000000002"/>
    <s v="925 Silver"/>
    <s v="Earrings"/>
    <x v="0"/>
    <s v="7113.11.10.00"/>
    <s v="7113.11.00"/>
    <s v="7113.11.50.00"/>
    <s v="B071DC7BVX Earrings - Square Stud"/>
    <n v="2.7354094657563017"/>
    <n v="3.3034354467479026"/>
    <n v="4.2285872714223798"/>
    <n v="4.3282563402543284"/>
    <x v="2"/>
    <x v="1"/>
    <x v="2"/>
    <n v="0"/>
    <x v="2"/>
    <n v="0"/>
    <n v="0"/>
    <n v="0"/>
  </r>
  <r>
    <s v="S925-BC-5392-EAR-3H"/>
    <s v="B071CS9WLH"/>
    <x v="0"/>
    <s v="Earrings - Teddy Bear"/>
    <x v="74"/>
    <n v="5.2201000000000004"/>
    <s v="925 Silver"/>
    <s v="Earrings"/>
    <x v="0"/>
    <s v="7113.11.10.00"/>
    <s v="7113.11.00"/>
    <s v="7113.11.50.00"/>
    <s v="B071CS9WLH Earrings - Teddy Bear"/>
    <n v="5.9254340410799529"/>
    <n v="7.1558898562406537"/>
    <n v="9.1599503757788874"/>
    <n v="9.3758531503699984"/>
    <x v="2"/>
    <x v="1"/>
    <x v="2"/>
    <n v="0"/>
    <x v="2"/>
    <n v="0"/>
    <n v="0"/>
    <n v="0"/>
  </r>
  <r>
    <s v="S925-BC-5807-EAR-3H"/>
    <s v="B071CH7P2D"/>
    <x v="0"/>
    <s v="Earrings - Hook  Round"/>
    <x v="74"/>
    <n v="5.2201000000000004"/>
    <s v="925 Silver"/>
    <s v="Earrings"/>
    <x v="0"/>
    <s v="7113.11.10.00"/>
    <s v="7113.11.00"/>
    <s v="7113.11.50.00"/>
    <s v="B071CH7P2D Earrings - Hook  Round"/>
    <n v="5.9254340410799529"/>
    <n v="7.1558898562406537"/>
    <n v="9.1599503757788874"/>
    <n v="9.3758531503699984"/>
    <x v="2"/>
    <x v="1"/>
    <x v="2"/>
    <n v="0"/>
    <x v="2"/>
    <n v="0"/>
    <n v="0"/>
    <n v="0"/>
  </r>
  <r>
    <s v="BIA-S925-CHAIN-012-100-600"/>
    <s v="B012EOLN4Q"/>
    <x v="0"/>
    <s v="Venice Box Chain"/>
    <x v="261"/>
    <n v="3.1052"/>
    <s v="925 Silver"/>
    <s v="chain"/>
    <x v="0"/>
    <s v="7113.11.10.00"/>
    <s v="7113.11.00"/>
    <s v="7113.11.10.00"/>
    <s v="B012EOLN4Q Venice Box Chain"/>
    <n v="3.5247711316567627"/>
    <n v="4.2567133161430766"/>
    <n v="5.44883774388778"/>
    <n v="5.5772684819311724"/>
    <x v="2"/>
    <x v="0"/>
    <x v="2"/>
    <n v="0"/>
    <x v="2"/>
    <n v="0"/>
    <n v="0"/>
    <n v="0"/>
  </r>
  <r>
    <s v="S925-BC-5940-EAR-2Y"/>
    <s v="B06ZYZP4BW"/>
    <x v="0"/>
    <s v="Earrings - Round Stud  petals"/>
    <x v="20"/>
    <n v="2.4098000000000002"/>
    <s v="925 Silver"/>
    <s v="Earrings"/>
    <x v="0"/>
    <s v="7113.11.10.00"/>
    <s v="7113.11.00"/>
    <s v="7113.11.50.00"/>
    <s v="B06ZYZP4BW Earrings - Round Stud  petals"/>
    <n v="2.7354094657563017"/>
    <n v="3.3034354467479026"/>
    <n v="4.2285872714223798"/>
    <n v="4.3282563402543284"/>
    <x v="2"/>
    <x v="1"/>
    <x v="2"/>
    <n v="0"/>
    <x v="2"/>
    <n v="0"/>
    <n v="0"/>
    <n v="0"/>
  </r>
  <r>
    <s v="BIA-S925-CHAIN-015-120-450"/>
    <s v="B00DKD0874"/>
    <x v="1"/>
    <s v="Ball Chain"/>
    <x v="262"/>
    <n v="2.1993"/>
    <s v="925 Silver"/>
    <s v="chain"/>
    <x v="0"/>
    <s v="7113.11.10.00"/>
    <s v="7113.11.00"/>
    <s v="7113.11.10.00"/>
    <s v="B00DKD0874 Ball Chain"/>
    <n v="2.4964669425005535"/>
    <n v="3.0148749182640309"/>
    <n v="3.8592132069214204"/>
    <n v="3.9501760183921255"/>
    <x v="10"/>
    <x v="0"/>
    <x v="116"/>
    <n v="109.965"/>
    <x v="119"/>
    <n v="150.74374591320154"/>
    <n v="192.96066034607102"/>
    <n v="197.50880091960627"/>
  </r>
  <r>
    <s v="S925-BC-5940-EAR-5C"/>
    <s v="B071R9FRCM"/>
    <x v="0"/>
    <s v="Earrings - Round Stud  petals"/>
    <x v="20"/>
    <n v="2.4098000000000002"/>
    <s v="925 Silver"/>
    <s v="Earrings"/>
    <x v="0"/>
    <s v="7113.11.10.00"/>
    <s v="7113.11.00"/>
    <s v="7113.11.50.00"/>
    <s v="B071R9FRCM Earrings - Round Stud  petals"/>
    <n v="2.7354094657563017"/>
    <n v="3.3034354467479026"/>
    <n v="4.2285872714223798"/>
    <n v="4.3282563402543284"/>
    <x v="2"/>
    <x v="1"/>
    <x v="2"/>
    <n v="0"/>
    <x v="2"/>
    <n v="0"/>
    <n v="0"/>
    <n v="0"/>
  </r>
  <r>
    <s v="BIA-S925-CHAIN-016-350-190"/>
    <s v="B01MYAH52W"/>
    <x v="1"/>
    <s v="Ball and Bar Chain"/>
    <x v="263"/>
    <n v="3.5821999999999998"/>
    <s v="925 Silver"/>
    <s v="Bracelet"/>
    <x v="0"/>
    <s v="7113.11.10.00"/>
    <s v="7113.11.00"/>
    <s v="7113.11.10.00"/>
    <s v="B01MYAH52W Ball and Bar Chain"/>
    <n v="4.0662228351864149"/>
    <n v="4.9106010695245805"/>
    <n v="6.2858516572700003"/>
    <n v="6.4340110640132187"/>
    <x v="9"/>
    <x v="3"/>
    <x v="117"/>
    <n v="17.910999999999998"/>
    <x v="120"/>
    <n v="24.553005347622904"/>
    <n v="31.429258286349999"/>
    <n v="32.170055320066091"/>
  </r>
  <r>
    <s v="S925-BC-5948-EAR-2Y"/>
    <s v="B06ZYZP65S"/>
    <x v="0"/>
    <s v="Earrings - stud  heart shape  complex"/>
    <x v="259"/>
    <n v="3.1762000000000001"/>
    <s v="925 Silver"/>
    <s v="Earrings"/>
    <x v="0"/>
    <s v="7113.11.10.00"/>
    <s v="7113.11.00"/>
    <s v="7113.11.50.00"/>
    <s v="B06ZYZP65S Earrings - stud  heart shape  complex"/>
    <n v="3.6053645718047824"/>
    <n v="4.3540425205248106"/>
    <n v="5.5734247205128069"/>
    <n v="5.7047920109203245"/>
    <x v="2"/>
    <x v="1"/>
    <x v="2"/>
    <n v="0"/>
    <x v="2"/>
    <n v="0"/>
    <n v="0"/>
    <n v="0"/>
  </r>
  <r>
    <s v="S925-BC-5948-EAR-3H"/>
    <s v="B071XRDYD3"/>
    <x v="0"/>
    <s v="Earrings - stud  heart shape  complex"/>
    <x v="259"/>
    <n v="3.1762000000000001"/>
    <s v="925 Silver"/>
    <s v="Earrings"/>
    <x v="0"/>
    <s v="7113.11.10.00"/>
    <s v="7113.11.00"/>
    <s v="7113.11.50.00"/>
    <s v="B071XRDYD3 Earrings - stud  heart shape  complex"/>
    <n v="3.6053645718047824"/>
    <n v="4.3540425205248106"/>
    <n v="5.5734247205128069"/>
    <n v="5.7047920109203245"/>
    <x v="2"/>
    <x v="1"/>
    <x v="2"/>
    <n v="0"/>
    <x v="2"/>
    <n v="0"/>
    <n v="0"/>
    <n v="0"/>
  </r>
  <r>
    <s v="S925-BC-5948-EAR-6G"/>
    <s v="B06ZZ8YGYG"/>
    <x v="0"/>
    <s v="Earrings - stud  heart shape  complex"/>
    <x v="259"/>
    <n v="3.1762000000000001"/>
    <s v="925 Silver"/>
    <s v="Earrings"/>
    <x v="0"/>
    <s v="7113.11.10.00"/>
    <s v="7113.11.00"/>
    <s v="7113.11.50.00"/>
    <s v="B06ZZ8YGYG Earrings - stud  heart shape  complex"/>
    <n v="3.6053645718047824"/>
    <n v="4.3540425205248106"/>
    <n v="5.5734247205128069"/>
    <n v="5.7047920109203245"/>
    <x v="2"/>
    <x v="1"/>
    <x v="2"/>
    <n v="0"/>
    <x v="2"/>
    <n v="0"/>
    <n v="0"/>
    <n v="0"/>
  </r>
  <r>
    <s v="S925-BC-5952-EAR-1W"/>
    <s v="B06ZYPQ59C"/>
    <x v="0"/>
    <s v="Earrings - stud  heart shape"/>
    <x v="2"/>
    <n v="2.6652999999999998"/>
    <s v="925 Silver"/>
    <s v="Earrings"/>
    <x v="0"/>
    <s v="7113.11.10.00"/>
    <s v="7113.11.00"/>
    <s v="7113.11.50.00"/>
    <s v="B06ZYPQ59C Earrings - stud  heart shape"/>
    <n v="3.0254323384016391"/>
    <n v="3.6536834991356888"/>
    <n v="4.6769249126575101"/>
    <n v="4.7871614340110638"/>
    <x v="2"/>
    <x v="1"/>
    <x v="2"/>
    <n v="0"/>
    <x v="2"/>
    <n v="0"/>
    <n v="0"/>
    <n v="0"/>
  </r>
  <r>
    <s v="S925-BC-5952-EAR-2Y"/>
    <s v="B06ZYZP8D2"/>
    <x v="0"/>
    <s v="Earrings - stud  heart shape"/>
    <x v="2"/>
    <n v="2.6652999999999998"/>
    <s v="925 Silver"/>
    <s v="Earrings"/>
    <x v="0"/>
    <s v="7113.11.10.00"/>
    <s v="7113.11.00"/>
    <s v="7113.11.50.00"/>
    <s v="B06ZYZP8D2 Earrings - stud  heart shape"/>
    <n v="3.0254323384016391"/>
    <n v="3.6536834991356888"/>
    <n v="4.6769249126575101"/>
    <n v="4.7871614340110638"/>
    <x v="2"/>
    <x v="1"/>
    <x v="2"/>
    <n v="0"/>
    <x v="2"/>
    <n v="0"/>
    <n v="0"/>
    <n v="0"/>
  </r>
  <r>
    <s v="S925-BC-5952-EAR-3H"/>
    <s v="B06ZY4LS3Y"/>
    <x v="0"/>
    <s v="Earrings - stud  heart shape"/>
    <x v="2"/>
    <n v="2.6652999999999998"/>
    <s v="925 Silver"/>
    <s v="Earrings"/>
    <x v="0"/>
    <s v="7113.11.10.00"/>
    <s v="7113.11.00"/>
    <s v="7113.11.50.00"/>
    <s v="B06ZY4LS3Y Earrings - stud  heart shape"/>
    <n v="3.0254323384016391"/>
    <n v="3.6536834991356888"/>
    <n v="4.6769249126575101"/>
    <n v="4.7871614340110638"/>
    <x v="2"/>
    <x v="1"/>
    <x v="2"/>
    <n v="0"/>
    <x v="2"/>
    <n v="0"/>
    <n v="0"/>
    <n v="0"/>
  </r>
  <r>
    <s v="S925-BC-5952-EAR-5C"/>
    <s v="B06ZZTKMY4"/>
    <x v="0"/>
    <s v="Earrings - stud  heart shape"/>
    <x v="2"/>
    <n v="2.6652999999999998"/>
    <s v="925 Silver"/>
    <s v="Earrings"/>
    <x v="0"/>
    <s v="7113.11.10.00"/>
    <s v="7113.11.00"/>
    <s v="7113.11.50.00"/>
    <s v="B06ZZTKMY4 Earrings - stud  heart shape"/>
    <n v="3.0254323384016391"/>
    <n v="3.6536834991356888"/>
    <n v="4.6769249126575101"/>
    <n v="4.7871614340110638"/>
    <x v="2"/>
    <x v="1"/>
    <x v="2"/>
    <n v="0"/>
    <x v="2"/>
    <n v="0"/>
    <n v="0"/>
    <n v="0"/>
  </r>
  <r>
    <s v="S925-BC-5952-EAR-6G"/>
    <s v="B071CS9HKW"/>
    <x v="0"/>
    <s v="Earrings - stud  heart shape"/>
    <x v="2"/>
    <n v="2.6652999999999998"/>
    <s v="925 Silver"/>
    <s v="Earrings"/>
    <x v="0"/>
    <s v="7113.11.10.00"/>
    <s v="7113.11.00"/>
    <s v="7113.11.50.00"/>
    <s v="B071CS9HKW Earrings - stud  heart shape"/>
    <n v="3.0254323384016391"/>
    <n v="3.6536834991356888"/>
    <n v="4.6769249126575101"/>
    <n v="4.7871614340110638"/>
    <x v="2"/>
    <x v="1"/>
    <x v="2"/>
    <n v="0"/>
    <x v="2"/>
    <n v="0"/>
    <n v="0"/>
    <n v="0"/>
  </r>
  <r>
    <s v="S925-BC-5953-EAR-1W"/>
    <s v="B06ZYF4ZMZ"/>
    <x v="0"/>
    <s v="Earrings - Trangles  stud"/>
    <x v="20"/>
    <n v="2.4098000000000002"/>
    <s v="925 Silver"/>
    <s v="Earrings"/>
    <x v="0"/>
    <s v="7113.11.10.00"/>
    <s v="7113.11.00"/>
    <s v="7113.11.50.00"/>
    <s v="B06ZYF4ZMZ Earrings - Trangles  stud"/>
    <n v="2.7354094657563017"/>
    <n v="3.3034354467479026"/>
    <n v="4.2285872714223798"/>
    <n v="4.3282563402543284"/>
    <x v="2"/>
    <x v="1"/>
    <x v="2"/>
    <n v="0"/>
    <x v="2"/>
    <n v="0"/>
    <n v="0"/>
    <n v="0"/>
  </r>
  <r>
    <s v="S925-BC-5953-EAR-2Y"/>
    <s v="B071DC9ZXW"/>
    <x v="0"/>
    <s v="Earrings - Trangles  stud"/>
    <x v="20"/>
    <n v="2.4098000000000002"/>
    <s v="925 Silver"/>
    <s v="Earrings"/>
    <x v="0"/>
    <s v="7113.11.10.00"/>
    <s v="7113.11.00"/>
    <s v="7113.11.50.00"/>
    <s v="B071DC9ZXW Earrings - Trangles  stud"/>
    <n v="2.7354094657563017"/>
    <n v="3.3034354467479026"/>
    <n v="4.2285872714223798"/>
    <n v="4.3282563402543284"/>
    <x v="2"/>
    <x v="1"/>
    <x v="2"/>
    <n v="0"/>
    <x v="2"/>
    <n v="0"/>
    <n v="0"/>
    <n v="0"/>
  </r>
  <r>
    <s v="S925-BC-5953-EAR-3H"/>
    <s v="B071CS7VXP"/>
    <x v="0"/>
    <s v="Earrings - Trangles  stud"/>
    <x v="20"/>
    <n v="2.4098000000000002"/>
    <s v="925 Silver"/>
    <s v="Earrings"/>
    <x v="0"/>
    <s v="7113.11.10.00"/>
    <s v="7113.11.00"/>
    <s v="7113.11.50.00"/>
    <s v="B071CS7VXP Earrings - Trangles  stud"/>
    <n v="2.7354094657563017"/>
    <n v="3.3034354467479026"/>
    <n v="4.2285872714223798"/>
    <n v="4.3282563402543284"/>
    <x v="2"/>
    <x v="1"/>
    <x v="2"/>
    <n v="0"/>
    <x v="2"/>
    <n v="0"/>
    <n v="0"/>
    <n v="0"/>
  </r>
  <r>
    <s v="S925-BC-5953-EAR-5C"/>
    <s v="B071DCB5KP"/>
    <x v="0"/>
    <s v="Earrings - Trangles  stud"/>
    <x v="20"/>
    <n v="2.4098000000000002"/>
    <s v="925 Silver"/>
    <s v="Earrings"/>
    <x v="0"/>
    <s v="7113.11.10.00"/>
    <s v="7113.11.00"/>
    <s v="7113.11.50.00"/>
    <s v="B071DCB5KP Earrings - Trangles  stud"/>
    <n v="2.7354094657563017"/>
    <n v="3.3034354467479026"/>
    <n v="4.2285872714223798"/>
    <n v="4.3282563402543284"/>
    <x v="2"/>
    <x v="1"/>
    <x v="2"/>
    <n v="0"/>
    <x v="2"/>
    <n v="0"/>
    <n v="0"/>
    <n v="0"/>
  </r>
  <r>
    <s v="S925-BC-5953-EAR-6G"/>
    <s v="B071XR15W6"/>
    <x v="0"/>
    <s v="Earrings - Trangles  stud"/>
    <x v="20"/>
    <n v="2.4098000000000002"/>
    <s v="925 Silver"/>
    <s v="Earrings"/>
    <x v="0"/>
    <s v="7113.11.10.00"/>
    <s v="7113.11.00"/>
    <s v="7113.11.50.00"/>
    <s v="B071XR15W6 Earrings - Trangles  stud"/>
    <n v="2.7354094657563017"/>
    <n v="3.3034354467479026"/>
    <n v="4.2285872714223798"/>
    <n v="4.3282563402543284"/>
    <x v="2"/>
    <x v="1"/>
    <x v="2"/>
    <n v="0"/>
    <x v="2"/>
    <n v="0"/>
    <n v="0"/>
    <n v="0"/>
  </r>
  <r>
    <s v="S925-BC-5966-EAR-2Y"/>
    <s v="B071QZH2GN"/>
    <x v="0"/>
    <s v="Earrings - Round Stud"/>
    <x v="1"/>
    <n v="1.6434"/>
    <s v="925 Silver"/>
    <s v="Earrings"/>
    <x v="0"/>
    <s v="7113.11.10.00"/>
    <s v="7113.11.00"/>
    <s v="7113.11.50.00"/>
    <s v="B071QZH2GN Earrings - Round Stud"/>
    <n v="1.8654543597078204"/>
    <n v="2.2528283729709946"/>
    <n v="2.8837498223319522"/>
    <n v="2.9517206695883322"/>
    <x v="2"/>
    <x v="1"/>
    <x v="2"/>
    <n v="0"/>
    <x v="2"/>
    <n v="0"/>
    <n v="0"/>
    <n v="0"/>
  </r>
  <r>
    <s v="S925-BC-5966-EAR-3H"/>
    <s v="B071XR7DZ9"/>
    <x v="0"/>
    <s v="Earrings - Round Stud"/>
    <x v="1"/>
    <n v="1.6434"/>
    <s v="925 Silver"/>
    <s v="Earrings"/>
    <x v="0"/>
    <s v="7113.11.10.00"/>
    <s v="7113.11.00"/>
    <s v="7113.11.50.00"/>
    <s v="B071XR7DZ9 Earrings - Round Stud"/>
    <n v="1.8654543597078204"/>
    <n v="2.2528283729709946"/>
    <n v="2.8837498223319522"/>
    <n v="2.9517206695883322"/>
    <x v="2"/>
    <x v="1"/>
    <x v="2"/>
    <n v="0"/>
    <x v="2"/>
    <n v="0"/>
    <n v="0"/>
    <n v="0"/>
  </r>
  <r>
    <s v="S925-BC-5966-EAR-5C"/>
    <s v="B071DCB4YY"/>
    <x v="0"/>
    <s v="Earrings - Round Stud"/>
    <x v="1"/>
    <n v="1.6434"/>
    <s v="925 Silver"/>
    <s v="Earrings"/>
    <x v="0"/>
    <s v="7113.11.10.00"/>
    <s v="7113.11.00"/>
    <s v="7113.11.50.00"/>
    <s v="B071DCB4YY Earrings - Round Stud"/>
    <n v="1.8654543597078204"/>
    <n v="2.2528283729709946"/>
    <n v="2.8837498223319522"/>
    <n v="2.9517206695883322"/>
    <x v="2"/>
    <x v="1"/>
    <x v="2"/>
    <n v="0"/>
    <x v="2"/>
    <n v="0"/>
    <n v="0"/>
    <n v="0"/>
  </r>
  <r>
    <s v="S925-BC-8007-EAR-3H"/>
    <s v="B071R98M2N"/>
    <x v="0"/>
    <s v="Earrings - comlex  drop  stud"/>
    <x v="264"/>
    <n v="3.6871999999999998"/>
    <s v="925 Silver"/>
    <s v="Earrings"/>
    <x v="0"/>
    <s v="7113.11.10.00"/>
    <s v="7113.11.00"/>
    <s v="7113.11.50.00"/>
    <s v="B071R98M2N Earrings - comlex  drop  stud"/>
    <n v="4.1854103170954575"/>
    <n v="5.0545386253003839"/>
    <n v="6.4701000029830675"/>
    <n v="6.6226021984337944"/>
    <x v="2"/>
    <x v="1"/>
    <x v="2"/>
    <n v="0"/>
    <x v="2"/>
    <n v="0"/>
    <n v="0"/>
    <n v="0"/>
  </r>
  <r>
    <s v="S925-BC-8021-EAR-1W"/>
    <s v="B071XR5KJP"/>
    <x v="0"/>
    <s v="Earrings - Round Stud"/>
    <x v="209"/>
    <n v="1.8988"/>
    <s v="925 Silver"/>
    <s v="Earrings"/>
    <x v="0"/>
    <s v="7113.11.10.00"/>
    <s v="7113.11.00"/>
    <s v="7113.11.50.00"/>
    <s v="B071XR5KJP Earrings - Round Stud"/>
    <n v="2.1553637204656257"/>
    <n v="2.6029393419723283"/>
    <n v="3.3319119889521183"/>
    <n v="3.4104461527408576"/>
    <x v="2"/>
    <x v="1"/>
    <x v="2"/>
    <n v="0"/>
    <x v="2"/>
    <n v="0"/>
    <n v="0"/>
    <n v="0"/>
  </r>
  <r>
    <s v="S925-BC-8021-EAR-2Y"/>
    <s v="B071R9B9HW"/>
    <x v="0"/>
    <s v="Earrings - Round Stud"/>
    <x v="209"/>
    <n v="1.8988"/>
    <s v="925 Silver"/>
    <s v="Earrings"/>
    <x v="0"/>
    <s v="7113.11.10.00"/>
    <s v="7113.11.00"/>
    <s v="7113.11.50.00"/>
    <s v="B071R9B9HW Earrings - Round Stud"/>
    <n v="2.1553637204656257"/>
    <n v="2.6029393419723283"/>
    <n v="3.3319119889521183"/>
    <n v="3.4104461527408576"/>
    <x v="2"/>
    <x v="1"/>
    <x v="2"/>
    <n v="0"/>
    <x v="2"/>
    <n v="0"/>
    <n v="0"/>
    <n v="0"/>
  </r>
  <r>
    <s v="S925-BC-8021-EAR-3H"/>
    <s v="B06ZYF5FR4"/>
    <x v="0"/>
    <s v="Earrings - Round Stud"/>
    <x v="209"/>
    <n v="1.8988"/>
    <s v="925 Silver"/>
    <s v="Earrings"/>
    <x v="0"/>
    <s v="7113.11.10.00"/>
    <s v="7113.11.00"/>
    <s v="7113.11.50.00"/>
    <s v="B06ZYF5FR4 Earrings - Round Stud"/>
    <n v="2.1553637204656257"/>
    <n v="2.6029393419723283"/>
    <n v="3.3319119889521183"/>
    <n v="3.4104461527408576"/>
    <x v="2"/>
    <x v="1"/>
    <x v="2"/>
    <n v="0"/>
    <x v="2"/>
    <n v="0"/>
    <n v="0"/>
    <n v="0"/>
  </r>
  <r>
    <s v="S925-BC-8021-EAR-5C"/>
    <s v="B071CHQJN5"/>
    <x v="0"/>
    <s v="Earrings - Round Stud"/>
    <x v="209"/>
    <n v="1.8988"/>
    <s v="925 Silver"/>
    <s v="Earrings"/>
    <x v="0"/>
    <s v="7113.11.10.00"/>
    <s v="7113.11.00"/>
    <s v="7113.11.50.00"/>
    <s v="B071CHQJN5 Earrings - Round Stud"/>
    <n v="2.1553637204656257"/>
    <n v="2.6029393419723283"/>
    <n v="3.3319119889521183"/>
    <n v="3.4104461527408576"/>
    <x v="2"/>
    <x v="1"/>
    <x v="2"/>
    <n v="0"/>
    <x v="2"/>
    <n v="0"/>
    <n v="0"/>
    <n v="0"/>
  </r>
  <r>
    <s v="S925-BC-8165-EAR-7M"/>
    <s v="B071R916JC"/>
    <x v="0"/>
    <s v="Earrings - stud  multicolored  cube"/>
    <x v="265"/>
    <n v="3.5594999999999999"/>
    <s v="925 Silver"/>
    <s v="Earrings"/>
    <x v="0"/>
    <s v="7113.11.10.00"/>
    <s v="7113.11.00"/>
    <s v="7113.11.50.00"/>
    <s v="B071R916JC Earrings - stud  multicolored  cube"/>
    <n v="4.0404556367165547"/>
    <n v="4.8794831407997172"/>
    <n v="6.2460189196729852"/>
    <n v="6.3932394568575326"/>
    <x v="2"/>
    <x v="1"/>
    <x v="2"/>
    <n v="0"/>
    <x v="2"/>
    <n v="0"/>
    <n v="0"/>
    <n v="0"/>
  </r>
  <r>
    <s v="S925-BC-8222-EAR-1W"/>
    <s v="B06ZYPQ7G1"/>
    <x v="0"/>
    <s v="Earrings - Sun - 3.4"/>
    <x v="266"/>
    <n v="4.4535999999999998"/>
    <s v="925 Silver"/>
    <s v="Earrings"/>
    <x v="0"/>
    <s v="7113.11.10.00"/>
    <s v="7113.11.00"/>
    <s v="7113.11.50.00"/>
    <s v="B06ZYPQ7G1 Earrings - Sun - 3.4"/>
    <n v="5.0553654231439387"/>
    <n v="6.1051456990772914"/>
    <n v="7.8149374520734947"/>
    <n v="7.9991378690997905"/>
    <x v="2"/>
    <x v="1"/>
    <x v="2"/>
    <n v="0"/>
    <x v="2"/>
    <n v="0"/>
    <n v="0"/>
    <n v="0"/>
  </r>
  <r>
    <s v="S925-BC-8222-EAR-2Y"/>
    <s v="B071QZWMWZ"/>
    <x v="0"/>
    <s v="Earrings - Sun - 3.4"/>
    <x v="266"/>
    <n v="4.4535999999999998"/>
    <s v="925 Silver"/>
    <s v="Earrings"/>
    <x v="0"/>
    <s v="7113.11.10.00"/>
    <s v="7113.11.00"/>
    <s v="7113.11.50.00"/>
    <s v="B071QZWMWZ Earrings - Sun - 3.4"/>
    <n v="5.0553654231439387"/>
    <n v="6.1051456990772914"/>
    <n v="7.8149374520734947"/>
    <n v="7.9991378690997905"/>
    <x v="2"/>
    <x v="1"/>
    <x v="2"/>
    <n v="0"/>
    <x v="2"/>
    <n v="0"/>
    <n v="0"/>
    <n v="0"/>
  </r>
  <r>
    <s v="S925-BC-8222-EAR-3H"/>
    <s v="B06ZZKPV4W"/>
    <x v="0"/>
    <s v="Earrings - Sun - 3.4"/>
    <x v="266"/>
    <n v="4.4535999999999998"/>
    <s v="925 Silver"/>
    <s v="Earrings"/>
    <x v="0"/>
    <s v="7113.11.10.00"/>
    <s v="7113.11.00"/>
    <s v="7113.11.50.00"/>
    <s v="B06ZZKPV4W Earrings - Sun - 3.4"/>
    <n v="5.0553654231439387"/>
    <n v="6.1051456990772914"/>
    <n v="7.8149374520734947"/>
    <n v="7.9991378690997905"/>
    <x v="2"/>
    <x v="1"/>
    <x v="2"/>
    <n v="0"/>
    <x v="2"/>
    <n v="0"/>
    <n v="0"/>
    <n v="0"/>
  </r>
  <r>
    <s v="S925-BC-8222-EAR-5C"/>
    <s v="B06ZY4LVFR"/>
    <x v="0"/>
    <s v="Earrings - Sun - 3.4"/>
    <x v="266"/>
    <n v="4.4535999999999998"/>
    <s v="925 Silver"/>
    <s v="Earrings"/>
    <x v="0"/>
    <s v="7113.11.10.00"/>
    <s v="7113.11.00"/>
    <s v="7113.11.50.00"/>
    <s v="B06ZY4LVFR Earrings - Sun - 3.4"/>
    <n v="5.0553654231439387"/>
    <n v="6.1051456990772914"/>
    <n v="7.8149374520734947"/>
    <n v="7.9991378690997905"/>
    <x v="2"/>
    <x v="1"/>
    <x v="2"/>
    <n v="0"/>
    <x v="2"/>
    <n v="0"/>
    <n v="0"/>
    <n v="0"/>
  </r>
  <r>
    <s v="S925-BC-8222-EAR-6G"/>
    <s v="B071CHQLSM"/>
    <x v="0"/>
    <s v="Earrings - Sun - 3.4"/>
    <x v="266"/>
    <n v="4.4535999999999998"/>
    <s v="925 Silver"/>
    <s v="Earrings"/>
    <x v="0"/>
    <s v="7113.11.10.00"/>
    <s v="7113.11.00"/>
    <s v="7113.11.50.00"/>
    <s v="B071CHQLSM Earrings - Sun - 3.4"/>
    <n v="5.0553654231439387"/>
    <n v="6.1051456990772914"/>
    <n v="7.8149374520734947"/>
    <n v="7.9991378690997905"/>
    <x v="2"/>
    <x v="1"/>
    <x v="2"/>
    <n v="0"/>
    <x v="2"/>
    <n v="0"/>
    <n v="0"/>
    <n v="0"/>
  </r>
  <r>
    <s v="S925-BC-8282-EAR-1W"/>
    <s v="B071XQWXW4"/>
    <x v="0"/>
    <s v="Earrings - Square Stud  generic"/>
    <x v="131"/>
    <n v="2.1543000000000001"/>
    <s v="925 Silver"/>
    <s v="Earrings"/>
    <x v="0"/>
    <s v="7113.11.10.00"/>
    <s v="7113.11.00"/>
    <s v="7113.11.50.00"/>
    <s v="B071XQWXW4 Earrings - Square Stud  generic"/>
    <n v="2.4453865931109635"/>
    <n v="2.9531873943601155"/>
    <n v="3.780249630187249"/>
    <n v="3.869351246497593"/>
    <x v="2"/>
    <x v="1"/>
    <x v="2"/>
    <n v="0"/>
    <x v="2"/>
    <n v="0"/>
    <n v="0"/>
    <n v="0"/>
  </r>
  <r>
    <s v="S925-BC-8282-EAR-2Y"/>
    <s v="B06ZZV3GBS"/>
    <x v="0"/>
    <s v="Earrings - Square Stud  generic"/>
    <x v="131"/>
    <n v="2.1543000000000001"/>
    <s v="925 Silver"/>
    <s v="Earrings"/>
    <x v="0"/>
    <s v="7113.11.10.00"/>
    <s v="7113.11.00"/>
    <s v="7113.11.50.00"/>
    <s v="B06ZZV3GBS Earrings - Square Stud  generic"/>
    <n v="2.4453865931109635"/>
    <n v="2.9531873943601155"/>
    <n v="3.780249630187249"/>
    <n v="3.869351246497593"/>
    <x v="2"/>
    <x v="1"/>
    <x v="2"/>
    <n v="0"/>
    <x v="2"/>
    <n v="0"/>
    <n v="0"/>
    <n v="0"/>
  </r>
  <r>
    <s v="S925-BC-8282-EAR-3H"/>
    <s v="B071DCB5PV"/>
    <x v="0"/>
    <s v="Earrings - Square Stud  generic"/>
    <x v="131"/>
    <n v="2.1543000000000001"/>
    <s v="925 Silver"/>
    <s v="Earrings"/>
    <x v="0"/>
    <s v="7113.11.10.00"/>
    <s v="7113.11.00"/>
    <s v="7113.11.50.00"/>
    <s v="B071DCB5PV Earrings - Square Stud  generic"/>
    <n v="2.4453865931109635"/>
    <n v="2.9531873943601155"/>
    <n v="3.780249630187249"/>
    <n v="3.869351246497593"/>
    <x v="2"/>
    <x v="1"/>
    <x v="2"/>
    <n v="0"/>
    <x v="2"/>
    <n v="0"/>
    <n v="0"/>
    <n v="0"/>
  </r>
  <r>
    <s v="S925-BC-8282-EAR-5C"/>
    <s v="B071QZWLJS"/>
    <x v="0"/>
    <s v="Earrings - Square Stud  generic"/>
    <x v="131"/>
    <n v="2.1543000000000001"/>
    <s v="925 Silver"/>
    <s v="Earrings"/>
    <x v="0"/>
    <s v="7113.11.10.00"/>
    <s v="7113.11.00"/>
    <s v="7113.11.50.00"/>
    <s v="B071QZWLJS Earrings - Square Stud  generic"/>
    <n v="2.4453865931109635"/>
    <n v="2.9531873943601155"/>
    <n v="3.780249630187249"/>
    <n v="3.869351246497593"/>
    <x v="2"/>
    <x v="1"/>
    <x v="2"/>
    <n v="0"/>
    <x v="2"/>
    <n v="0"/>
    <n v="0"/>
    <n v="0"/>
  </r>
  <r>
    <s v="S925-BC-8282-EAR-6G"/>
    <s v="B06ZZKPV1J"/>
    <x v="0"/>
    <s v="Earrings - Square Stud  generic"/>
    <x v="131"/>
    <n v="2.1543000000000001"/>
    <s v="925 Silver"/>
    <s v="Earrings"/>
    <x v="0"/>
    <s v="7113.11.10.00"/>
    <s v="7113.11.00"/>
    <s v="7113.11.50.00"/>
    <s v="B06ZZKPV1J Earrings - Square Stud  generic"/>
    <n v="2.4453865931109635"/>
    <n v="2.9531873943601155"/>
    <n v="3.780249630187249"/>
    <n v="3.869351246497593"/>
    <x v="2"/>
    <x v="1"/>
    <x v="2"/>
    <n v="0"/>
    <x v="2"/>
    <n v="0"/>
    <n v="0"/>
    <n v="0"/>
  </r>
  <r>
    <s v="S925-BC-8289-EAR-3H"/>
    <s v="B06ZYZNYYW"/>
    <x v="0"/>
    <s v="Earrings - stud  buffalo's"/>
    <x v="172"/>
    <n v="3.3039999999999998"/>
    <s v="925 Silver"/>
    <s v="Earrings"/>
    <x v="0"/>
    <s v="7113.11.10.00"/>
    <s v="7113.11.00"/>
    <s v="7113.11.50.00"/>
    <s v="B06ZYZNYYW Earrings - stud  buffalo's"/>
    <n v="3.750432764071217"/>
    <n v="4.5292350884119301"/>
    <n v="5.797681278437854"/>
    <n v="5.9343343631007972"/>
    <x v="2"/>
    <x v="1"/>
    <x v="2"/>
    <n v="0"/>
    <x v="2"/>
    <n v="0"/>
    <n v="0"/>
    <n v="0"/>
  </r>
  <r>
    <s v="S925-BC-8289-EAR-6G"/>
    <s v="B06ZY4LQ5J"/>
    <x v="0"/>
    <s v="Earrings - stud  buffalo's"/>
    <x v="172"/>
    <n v="3.3039999999999998"/>
    <s v="925 Silver"/>
    <s v="Earrings"/>
    <x v="0"/>
    <s v="7113.11.10.00"/>
    <s v="7113.11.00"/>
    <s v="7113.11.50.00"/>
    <s v="B06ZY4LQ5J Earrings - stud  buffalo's"/>
    <n v="3.750432764071217"/>
    <n v="4.5292350884119301"/>
    <n v="5.797681278437854"/>
    <n v="5.9343343631007972"/>
    <x v="2"/>
    <x v="1"/>
    <x v="2"/>
    <n v="0"/>
    <x v="2"/>
    <n v="0"/>
    <n v="0"/>
    <n v="0"/>
  </r>
  <r>
    <s v="S925-BC-8365-EAR-3H"/>
    <s v="B071R9BCM6"/>
    <x v="0"/>
    <s v="Earrings - Squirrels  stud"/>
    <x v="49"/>
    <n v="4.5814000000000004"/>
    <s v="925 Silver"/>
    <s v="Earrings"/>
    <x v="0"/>
    <s v="7113.11.10.00"/>
    <s v="7113.11.00"/>
    <s v="7113.11.50.00"/>
    <s v="B071R9BCM6 Earrings - Squirrels  stud"/>
    <n v="5.2004336154103745"/>
    <n v="6.2803382669644128"/>
    <n v="8.0391940099985444"/>
    <n v="8.2286802212802641"/>
    <x v="2"/>
    <x v="1"/>
    <x v="2"/>
    <n v="0"/>
    <x v="2"/>
    <n v="0"/>
    <n v="0"/>
    <n v="0"/>
  </r>
  <r>
    <s v="S925-BC-8375-EAR-3H"/>
    <s v="B071QZQJRM"/>
    <x v="0"/>
    <s v="Earrings - Teddy Bear  omega"/>
    <x v="267"/>
    <n v="5.9865000000000004"/>
    <s v="925 Silver"/>
    <s v="Earrings"/>
    <x v="0"/>
    <s v="7113.11.10.00"/>
    <s v="7113.11.00"/>
    <s v="7113.11.50.00"/>
    <s v="B071QZQJRM Earrings - Teddy Bear  omega"/>
    <n v="6.7953891471284331"/>
    <n v="8.2064969300175612"/>
    <n v="10.504787824869316"/>
    <n v="10.752388821035995"/>
    <x v="2"/>
    <x v="1"/>
    <x v="2"/>
    <n v="0"/>
    <x v="2"/>
    <n v="0"/>
    <n v="0"/>
    <n v="0"/>
  </r>
  <r>
    <s v="S925-BC-8380-EAR-3H"/>
    <s v="B071CS9M92"/>
    <x v="0"/>
    <s v="Earrings - Squirrels  omega"/>
    <x v="268"/>
    <n v="4.7091000000000003"/>
    <s v="925 Silver"/>
    <s v="Earrings"/>
    <x v="0"/>
    <s v="7113.11.10.00"/>
    <s v="7113.11.00"/>
    <s v="7113.11.50.00"/>
    <s v="B071CS9M92 Earrings - Squirrels  omega"/>
    <n v="5.3453882957892764"/>
    <n v="6.4553937514650794"/>
    <n v="8.2632750933086268"/>
    <n v="8.4580429628565277"/>
    <x v="2"/>
    <x v="1"/>
    <x v="2"/>
    <n v="0"/>
    <x v="2"/>
    <n v="0"/>
    <n v="0"/>
    <n v="0"/>
  </r>
  <r>
    <s v="S925-BC-8475-EAR-1W"/>
    <s v="B06ZXV6HVN"/>
    <x v="0"/>
    <s v="Earrings - Stud  Circle  complex"/>
    <x v="253"/>
    <n v="3.9426999999999999"/>
    <s v="925 Silver"/>
    <s v="Earrings"/>
    <x v="0"/>
    <s v="7113.11.10.00"/>
    <s v="7113.11.00"/>
    <s v="7113.11.50.00"/>
    <s v="B06ZXV6HVN Earrings - Stud  Circle  complex"/>
    <n v="4.4754331897407953"/>
    <n v="5.404786677688171"/>
    <n v="6.9184376442181987"/>
    <n v="7.0815072921905307"/>
    <x v="2"/>
    <x v="1"/>
    <x v="2"/>
    <n v="0"/>
    <x v="2"/>
    <n v="0"/>
    <n v="0"/>
    <n v="0"/>
  </r>
  <r>
    <s v="S925-BC-8475-EAR-2Y"/>
    <s v="B071XR1RKS"/>
    <x v="0"/>
    <s v="Earrings - Stud  Circle  complex"/>
    <x v="253"/>
    <n v="3.9426999999999999"/>
    <s v="925 Silver"/>
    <s v="Earrings"/>
    <x v="0"/>
    <s v="7113.11.10.00"/>
    <s v="7113.11.00"/>
    <s v="7113.11.50.00"/>
    <s v="B071XR1RKS Earrings - Stud  Circle  complex"/>
    <n v="4.4754331897407953"/>
    <n v="5.404786677688171"/>
    <n v="6.9184376442181987"/>
    <n v="7.0815072921905307"/>
    <x v="2"/>
    <x v="1"/>
    <x v="2"/>
    <n v="0"/>
    <x v="2"/>
    <n v="0"/>
    <n v="0"/>
    <n v="0"/>
  </r>
  <r>
    <s v="S925-BC-8475-EAR-3H"/>
    <s v="B06ZZ94DN3"/>
    <x v="0"/>
    <s v="Earrings - Stud  Circle  complex"/>
    <x v="253"/>
    <n v="3.9426999999999999"/>
    <s v="925 Silver"/>
    <s v="Earrings"/>
    <x v="0"/>
    <s v="7113.11.10.00"/>
    <s v="7113.11.00"/>
    <s v="7113.11.50.00"/>
    <s v="B06ZZ94DN3 Earrings - Stud  Circle  complex"/>
    <n v="4.4754331897407953"/>
    <n v="5.404786677688171"/>
    <n v="6.9184376442181987"/>
    <n v="7.0815072921905307"/>
    <x v="2"/>
    <x v="1"/>
    <x v="2"/>
    <n v="0"/>
    <x v="2"/>
    <n v="0"/>
    <n v="0"/>
    <n v="0"/>
  </r>
  <r>
    <s v="S925-BC-8475-EAR-5C"/>
    <s v="B071R9FRCS"/>
    <x v="0"/>
    <s v="Earrings - Stud  Circle  complex"/>
    <x v="253"/>
    <n v="3.9426999999999999"/>
    <s v="925 Silver"/>
    <s v="Earrings"/>
    <x v="0"/>
    <s v="7113.11.10.00"/>
    <s v="7113.11.00"/>
    <s v="7113.11.50.00"/>
    <s v="B071R9FRCS Earrings - Stud  Circle  complex"/>
    <n v="4.4754331897407953"/>
    <n v="5.404786677688171"/>
    <n v="6.9184376442181987"/>
    <n v="7.0815072921905307"/>
    <x v="2"/>
    <x v="1"/>
    <x v="2"/>
    <n v="0"/>
    <x v="2"/>
    <n v="0"/>
    <n v="0"/>
    <n v="0"/>
  </r>
  <r>
    <s v="S925-BC-8475-EAR-6G"/>
    <s v="B071CS9XF5"/>
    <x v="0"/>
    <s v="Earrings - Stud  Circle  complex"/>
    <x v="253"/>
    <n v="3.9426999999999999"/>
    <s v="925 Silver"/>
    <s v="Earrings"/>
    <x v="0"/>
    <s v="7113.11.10.00"/>
    <s v="7113.11.00"/>
    <s v="7113.11.50.00"/>
    <s v="B071CS9XF5 Earrings - Stud  Circle  complex"/>
    <n v="4.4754331897407953"/>
    <n v="5.404786677688171"/>
    <n v="6.9184376442181987"/>
    <n v="7.0815072921905307"/>
    <x v="2"/>
    <x v="1"/>
    <x v="2"/>
    <n v="0"/>
    <x v="2"/>
    <n v="0"/>
    <n v="0"/>
    <n v="0"/>
  </r>
  <r>
    <s v="S925-BC-8497-EAR-1W"/>
    <s v="B06ZXV6GQW"/>
    <x v="0"/>
    <s v="Earrings - circle stud"/>
    <x v="209"/>
    <n v="1.8988"/>
    <s v="925 Silver"/>
    <s v="Earrings"/>
    <x v="0"/>
    <s v="7113.11.10.00"/>
    <s v="7113.11.00"/>
    <s v="7113.11.50.00"/>
    <s v="B06ZXV6GQW Earrings - circle stud"/>
    <n v="2.1553637204656257"/>
    <n v="2.6029393419723283"/>
    <n v="3.3319119889521183"/>
    <n v="3.4104461527408576"/>
    <x v="2"/>
    <x v="1"/>
    <x v="2"/>
    <n v="0"/>
    <x v="2"/>
    <n v="0"/>
    <n v="0"/>
    <n v="0"/>
  </r>
  <r>
    <s v="S925-BC-8497-EAR-2Y"/>
    <s v="B071D2S8LL"/>
    <x v="0"/>
    <s v="Earrings - circle stud"/>
    <x v="209"/>
    <n v="1.8988"/>
    <s v="925 Silver"/>
    <s v="Earrings"/>
    <x v="0"/>
    <s v="7113.11.10.00"/>
    <s v="7113.11.00"/>
    <s v="7113.11.50.00"/>
    <s v="B071D2S8LL Earrings - circle stud"/>
    <n v="2.1553637204656257"/>
    <n v="2.6029393419723283"/>
    <n v="3.3319119889521183"/>
    <n v="3.4104461527408576"/>
    <x v="2"/>
    <x v="1"/>
    <x v="2"/>
    <n v="0"/>
    <x v="2"/>
    <n v="0"/>
    <n v="0"/>
    <n v="0"/>
  </r>
  <r>
    <s v="S925-BC-8497-EAR-3H"/>
    <s v="B06ZZV483K"/>
    <x v="0"/>
    <s v="Earrings - circle stud"/>
    <x v="209"/>
    <n v="1.8988"/>
    <s v="925 Silver"/>
    <s v="Earrings"/>
    <x v="0"/>
    <s v="7113.11.10.00"/>
    <s v="7113.11.00"/>
    <s v="7113.11.50.00"/>
    <s v="B06ZZV483K Earrings - circle stud"/>
    <n v="2.1553637204656257"/>
    <n v="2.6029393419723283"/>
    <n v="3.3319119889521183"/>
    <n v="3.4104461527408576"/>
    <x v="2"/>
    <x v="1"/>
    <x v="2"/>
    <n v="0"/>
    <x v="2"/>
    <n v="0"/>
    <n v="0"/>
    <n v="0"/>
  </r>
  <r>
    <s v="S925-BC-8497-EAR-5C"/>
    <s v="B071DCB494"/>
    <x v="0"/>
    <s v="Earrings - circle stud"/>
    <x v="209"/>
    <n v="1.8988"/>
    <s v="925 Silver"/>
    <s v="Earrings"/>
    <x v="0"/>
    <s v="7113.11.10.00"/>
    <s v="7113.11.00"/>
    <s v="7113.11.50.00"/>
    <s v="B071DCB494 Earrings - circle stud"/>
    <n v="2.1553637204656257"/>
    <n v="2.6029393419723283"/>
    <n v="3.3319119889521183"/>
    <n v="3.4104461527408576"/>
    <x v="2"/>
    <x v="1"/>
    <x v="2"/>
    <n v="0"/>
    <x v="2"/>
    <n v="0"/>
    <n v="0"/>
    <n v="0"/>
  </r>
  <r>
    <s v="S925-BC-8497-EAR-6G"/>
    <s v="B071Y1DJZF"/>
    <x v="0"/>
    <s v="Earrings - circle stud"/>
    <x v="209"/>
    <n v="1.8988"/>
    <s v="925 Silver"/>
    <s v="Earrings"/>
    <x v="0"/>
    <s v="7113.11.10.00"/>
    <s v="7113.11.00"/>
    <s v="7113.11.50.00"/>
    <s v="B071Y1DJZF Earrings - circle stud"/>
    <n v="2.1553637204656257"/>
    <n v="2.6029393419723283"/>
    <n v="3.3319119889521183"/>
    <n v="3.4104461527408576"/>
    <x v="2"/>
    <x v="1"/>
    <x v="2"/>
    <n v="0"/>
    <x v="2"/>
    <n v="0"/>
    <n v="0"/>
    <n v="0"/>
  </r>
  <r>
    <s v="TIE-S925-BRA-001"/>
    <s v="B077T3Y5N7"/>
    <x v="1"/>
    <s v="trace chain  Teddy  Big Tag  with beads "/>
    <x v="172"/>
    <n v="3.6783999999999999"/>
    <s v="925 Silver"/>
    <s v="Bracelet"/>
    <x v="0"/>
    <s v="7113.11.10.00"/>
    <s v="7113.11.00"/>
    <s v="7113.11.10.00"/>
    <s v="B077T3Y5N7 trace chain  Teddy  Big Tag  with beads "/>
    <n v="4.1754212709926044"/>
    <n v="5.0424752872925067"/>
    <n v="6.4546582368661634"/>
    <n v="6.6067964652633089"/>
    <x v="2"/>
    <x v="3"/>
    <x v="2"/>
    <n v="0"/>
    <x v="2"/>
    <n v="0"/>
    <n v="0"/>
    <n v="0"/>
  </r>
  <r>
    <s v="TIE-S925-BRA-002"/>
    <s v="B077TK8B4P"/>
    <x v="1"/>
    <s v="trace chain  Teddy  Big Tag  with beads "/>
    <x v="264"/>
    <n v="4.1064999999999996"/>
    <s v="925 Silver"/>
    <s v="Bracelet"/>
    <x v="0"/>
    <s v="7113.11.10.00"/>
    <s v="7113.11.00"/>
    <s v="7113.11.10.00"/>
    <s v="B077TK8B4P trace chain  Teddy  Big Tag  with beads "/>
    <n v="4.6613656615189019"/>
    <n v="5.6293292646984225"/>
    <n v="7.2058650635305836"/>
    <n v="7.375709461886629"/>
    <x v="2"/>
    <x v="3"/>
    <x v="2"/>
    <n v="0"/>
    <x v="2"/>
    <n v="0"/>
    <n v="0"/>
    <n v="0"/>
  </r>
  <r>
    <s v="TIE-S925-BRA-003"/>
    <s v="B077TB9WP2"/>
    <x v="1"/>
    <s v="ball chain  Duck  Big Tag  with beads "/>
    <x v="172"/>
    <n v="3.6783999999999999"/>
    <s v="925 Silver"/>
    <s v="Bracelet"/>
    <x v="0"/>
    <s v="7113.11.10.00"/>
    <s v="7113.11.00"/>
    <s v="7113.11.10.00"/>
    <s v="B077TB9WP2 ball chain  Duck  Big Tag  with beads "/>
    <n v="4.1754212709926044"/>
    <n v="5.0424752872925067"/>
    <n v="6.4546582368661634"/>
    <n v="6.6067964652633089"/>
    <x v="2"/>
    <x v="3"/>
    <x v="2"/>
    <n v="0"/>
    <x v="2"/>
    <n v="0"/>
    <n v="0"/>
    <n v="0"/>
  </r>
  <r>
    <s v="TIE-S925-BRA-004"/>
    <s v="B077T8TYX9"/>
    <x v="1"/>
    <s v="rolo chain  Bunny  Big Tag  none multiple tags"/>
    <x v="49"/>
    <n v="5.1055000000000001"/>
    <s v="925 Silver"/>
    <s v="Bracelet"/>
    <x v="0"/>
    <s v="7113.11.10.00"/>
    <s v="7113.11.00"/>
    <s v="7113.11.10.00"/>
    <s v="B077T8TYX9 rolo chain  Bunny  Big Tag  none multiple tags"/>
    <n v="5.7953494179677971"/>
    <n v="6.9987922953653481"/>
    <n v="8.9588564670291966"/>
    <n v="9.1700193979452536"/>
    <x v="2"/>
    <x v="3"/>
    <x v="2"/>
    <n v="0"/>
    <x v="2"/>
    <n v="0"/>
    <n v="0"/>
    <n v="0"/>
  </r>
  <r>
    <s v="TIE-S925-BRA-005"/>
    <s v="B0784Y55C4"/>
    <x v="1"/>
    <s v="trace with balls chain  Butterfly  Big Tag  no beads "/>
    <x v="252"/>
    <n v="3.8668999999999998"/>
    <s v="925 Silver"/>
    <s v="Bracelet"/>
    <x v="0"/>
    <s v="7113.11.10.00"/>
    <s v="7113.11.00"/>
    <s v="7113.11.10.00"/>
    <s v="B0784Y55C4 trace with balls chain  Butterfly  Big Tag  no beads "/>
    <n v="4.3893911789912199"/>
    <n v="5.3008774707566859"/>
    <n v="6.78542788607486"/>
    <n v="6.9453624541992953"/>
    <x v="2"/>
    <x v="3"/>
    <x v="2"/>
    <n v="0"/>
    <x v="2"/>
    <n v="0"/>
    <n v="0"/>
    <n v="0"/>
  </r>
  <r>
    <s v="TIE-S925-BRA-006"/>
    <s v="B077T8QPFX"/>
    <x v="1"/>
    <s v="rolo chain - thick  Angel  Big Tag  Big Circles "/>
    <x v="260"/>
    <n v="5.6791"/>
    <s v="925 Silver"/>
    <s v="Bracelet"/>
    <x v="0"/>
    <s v="7113.11.10.00"/>
    <s v="7113.11.00"/>
    <s v="7113.11.10.00"/>
    <s v="B077T8QPFX rolo chain - thick  Angel  Big Tag  Big Circles "/>
    <n v="6.4464536048537679"/>
    <n v="7.7851026000605907"/>
    <n v="9.9653788584674388"/>
    <n v="10.200265823694231"/>
    <x v="2"/>
    <x v="3"/>
    <x v="2"/>
    <n v="0"/>
    <x v="2"/>
    <n v="0"/>
    <n v="0"/>
    <n v="0"/>
  </r>
  <r>
    <s v="TIE-S925-BRA-007"/>
    <s v="B077T8SQNQ"/>
    <x v="1"/>
    <s v="rolo chain  Irish Flower  Large tag  rings "/>
    <x v="269"/>
    <n v="4.9345999999999997"/>
    <s v="925 Silver"/>
    <s v="Bracelet"/>
    <x v="0"/>
    <s v="7113.11.10.00"/>
    <s v="7113.11.00"/>
    <s v="7113.11.10.00"/>
    <s v="B077T8SQNQ rolo chain  Irish Flower  Large tag  rings "/>
    <n v="5.601357602174887"/>
    <n v="6.7645167879169215"/>
    <n v="8.6589703500543092"/>
    <n v="8.8630648753502399"/>
    <x v="2"/>
    <x v="3"/>
    <x v="2"/>
    <n v="0"/>
    <x v="2"/>
    <n v="0"/>
    <n v="0"/>
    <n v="0"/>
  </r>
  <r>
    <s v="TIE-S925-BRA-008"/>
    <s v="B077T3Y2V8"/>
    <x v="1"/>
    <s v="tace chain - thick  Buterrfly  Medium Tag  with beads "/>
    <x v="250"/>
    <n v="2.8220999999999998"/>
    <s v="925 Silver"/>
    <s v="Bracelet"/>
    <x v="0"/>
    <s v="7113.11.10.00"/>
    <s v="7113.11.00"/>
    <s v="7113.11.10.00"/>
    <s v="B077T3Y2V8 tace chain - thick  Buterrfly  Medium Tag  with beads "/>
    <n v="3.2034189780524764"/>
    <n v="3.8686302490942213"/>
    <n v="4.9520691089223572"/>
    <n v="5.0687908614124568"/>
    <x v="2"/>
    <x v="3"/>
    <x v="2"/>
    <n v="0"/>
    <x v="2"/>
    <n v="0"/>
    <n v="0"/>
    <n v="0"/>
  </r>
  <r>
    <s v="TIE-S925-BRA-009"/>
    <s v="B078C9RDKG"/>
    <x v="1"/>
    <s v="snake chain  Teddy  small  with beads "/>
    <x v="270"/>
    <n v="4.2492999999999999"/>
    <s v="925 Silver"/>
    <s v="Bracelet"/>
    <x v="0"/>
    <s v="7113.11.10.00"/>
    <s v="7113.11.00"/>
    <s v="7113.11.10.00"/>
    <s v="B078C9RDKG snake chain  Teddy  small  with beads "/>
    <n v="4.8234606369152004"/>
    <n v="5.8250843405535155"/>
    <n v="7.4564428137003551"/>
    <n v="7.6321934046986124"/>
    <x v="2"/>
    <x v="3"/>
    <x v="2"/>
    <n v="0"/>
    <x v="2"/>
    <n v="0"/>
    <n v="0"/>
    <n v="0"/>
  </r>
  <r>
    <s v="TIE-S925-BRA-010"/>
    <s v="B077T8SNV2"/>
    <x v="1"/>
    <s v="trace with balls chain  Butterfly  Medium Tag  no beads "/>
    <x v="259"/>
    <n v="3.5779999999999998"/>
    <s v="925 Silver"/>
    <s v="Bracelet"/>
    <x v="0"/>
    <s v="7113.11.10.00"/>
    <s v="7113.11.00"/>
    <s v="7113.11.10.00"/>
    <s v="B077T8SNV2 trace with balls chain  Butterfly  Medium Tag  no beads "/>
    <n v="4.0614553359100531"/>
    <n v="4.9048435672935486"/>
    <n v="6.2784817234414776"/>
    <n v="6.4264674186363955"/>
    <x v="2"/>
    <x v="3"/>
    <x v="2"/>
    <n v="0"/>
    <x v="2"/>
    <n v="0"/>
    <n v="0"/>
    <n v="0"/>
  </r>
  <r>
    <s v="TIE-S925-BRA-011"/>
    <s v="B077T8SLKQ"/>
    <x v="1"/>
    <s v="box chain  Sun  small tag  with beads "/>
    <x v="158"/>
    <n v="2.8052999999999999"/>
    <s v="925 Silver"/>
    <s v="Bracelet"/>
    <x v="0"/>
    <s v="7113.11.10.00"/>
    <s v="7113.11.00"/>
    <s v="7113.11.10.00"/>
    <s v="B077T8SLKQ box chain  Sun  small tag  with beads "/>
    <n v="3.1843489809470298"/>
    <n v="3.8456002401700928"/>
    <n v="4.9225893736082664"/>
    <n v="5.038616279905165"/>
    <x v="2"/>
    <x v="3"/>
    <x v="2"/>
    <n v="0"/>
    <x v="2"/>
    <n v="0"/>
    <n v="0"/>
    <n v="0"/>
  </r>
  <r>
    <s v="TIE-S925-BRA-012"/>
    <s v="B077TK8LZL"/>
    <x v="1"/>
    <s v="trace chain  Hearts  small tags  rings multiple tags"/>
    <x v="241"/>
    <n v="4.8624000000000001"/>
    <s v="925 Silver"/>
    <s v="Bracelet"/>
    <x v="0"/>
    <s v="7113.11.10.00"/>
    <s v="7113.11.00"/>
    <s v="7113.11.10.00"/>
    <s v="B077TK8LZL trace chain  Hearts  small tags  rings multiple tags"/>
    <n v="5.5194020193764795"/>
    <n v="6.6655425828977508"/>
    <n v="8.5322776780497041"/>
    <n v="8.7333860191105686"/>
    <x v="2"/>
    <x v="3"/>
    <x v="2"/>
    <n v="0"/>
    <x v="2"/>
    <n v="0"/>
    <n v="0"/>
    <n v="0"/>
  </r>
  <r>
    <s v="TIE-S925-BRA-013"/>
    <s v="B077TG89TW"/>
    <x v="1"/>
    <s v="rolo chain  Hearts  small tags  rings multiple tags"/>
    <x v="265"/>
    <n v="4.2492999999999999"/>
    <s v="925 Silver"/>
    <s v="Bracelet"/>
    <x v="0"/>
    <s v="7113.11.10.00"/>
    <s v="7113.11.00"/>
    <s v="7113.11.10.00"/>
    <s v="B077TG89TW rolo chain  Hearts  small tags  rings multiple tags"/>
    <n v="4.8234606369152004"/>
    <n v="5.8250843405535155"/>
    <n v="7.4564428137003551"/>
    <n v="7.6321934046986124"/>
    <x v="2"/>
    <x v="3"/>
    <x v="2"/>
    <n v="0"/>
    <x v="2"/>
    <n v="0"/>
    <n v="0"/>
    <n v="0"/>
  </r>
  <r>
    <s v="TIE-S925-BRA-014"/>
    <s v="B077T8V8QJ"/>
    <x v="1"/>
    <s v="rolo chain - thick  Hearts  Medium tag  Ring multiple tags"/>
    <x v="74"/>
    <n v="4.8677000000000001"/>
    <s v="925 Silver"/>
    <s v="Bracelet"/>
    <x v="0"/>
    <s v="7113.11.10.00"/>
    <s v="7113.11.00"/>
    <s v="7113.11.10.00"/>
    <s v="B077T8V8QJ rolo chain - thick  Hearts  Medium tag  Ring multiple tags"/>
    <n v="5.5254181494156978"/>
    <n v="6.6728080023797682"/>
    <n v="8.5415778326428402"/>
    <n v="8.7429053811337027"/>
    <x v="2"/>
    <x v="3"/>
    <x v="2"/>
    <n v="0"/>
    <x v="2"/>
    <n v="0"/>
    <n v="0"/>
    <n v="0"/>
  </r>
  <r>
    <s v="TIE-S925-BRA-015"/>
    <s v="B077TK8MFG"/>
    <x v="1"/>
    <s v="box chain  Flowers  small tag  rings multiple tags"/>
    <x v="252"/>
    <n v="3.7294999999999998"/>
    <s v="925 Silver"/>
    <s v="Bracelet"/>
    <x v="0"/>
    <s v="7113.11.10.00"/>
    <s v="7113.11.00"/>
    <s v="7113.11.10.00"/>
    <s v="B077TK8MFG box chain  Flowers  small tag  rings multiple tags"/>
    <n v="4.2334258455216718"/>
    <n v="5.1125248977700641"/>
    <n v="6.5443257651131894"/>
    <n v="6.6985774840146552"/>
    <x v="2"/>
    <x v="3"/>
    <x v="2"/>
    <n v="0"/>
    <x v="2"/>
    <n v="0"/>
    <n v="0"/>
    <n v="0"/>
  </r>
  <r>
    <s v="TIE-S925-BRA-016"/>
    <s v="B077TK8NL9"/>
    <x v="1"/>
    <s v="rolo chain  Flowers  Medium tags  rings multiple tags"/>
    <x v="40"/>
    <n v="4.8642000000000003"/>
    <s v="925 Silver"/>
    <s v="Bracelet"/>
    <x v="0"/>
    <s v="7113.11.10.00"/>
    <s v="7113.11.00"/>
    <s v="7113.11.10.00"/>
    <s v="B077TK8NL9 rolo chain  Flowers  Medium tags  rings multiple tags"/>
    <n v="5.5214452333520629"/>
    <n v="6.6680100838539076"/>
    <n v="8.5354362211190722"/>
    <n v="8.7366190099863488"/>
    <x v="2"/>
    <x v="3"/>
    <x v="2"/>
    <n v="0"/>
    <x v="2"/>
    <n v="0"/>
    <n v="0"/>
    <n v="0"/>
  </r>
  <r>
    <s v="TIE-S925-BRA-017"/>
    <s v="B077TBB6MJ"/>
    <x v="1"/>
    <s v="ball chain  Flowers  small tags  none multiple tags"/>
    <x v="266"/>
    <n v="5.1725000000000003"/>
    <s v="925 Silver"/>
    <s v="Bracelet"/>
    <x v="0"/>
    <s v="7113.11.10.00"/>
    <s v="7113.11.00"/>
    <s v="7113.11.10.00"/>
    <s v="B077TBB6MJ ball chain  Flowers  small tags  none multiple tags"/>
    <n v="5.8714023826145194"/>
    <n v="7.090638164288956"/>
    <n v="9.0764244590556302"/>
    <n v="9.2903585027660025"/>
    <x v="2"/>
    <x v="3"/>
    <x v="2"/>
    <n v="0"/>
    <x v="2"/>
    <n v="0"/>
    <n v="0"/>
    <n v="0"/>
  </r>
  <r>
    <s v="TIE-S925-BRA-018"/>
    <s v="B077TK8DG7"/>
    <x v="1"/>
    <s v="trace chain  Flowers  small tags  none multiple tags"/>
    <x v="252"/>
    <n v="3.7294999999999998"/>
    <s v="925 Silver"/>
    <s v="Bracelet"/>
    <x v="0"/>
    <s v="7113.11.10.00"/>
    <s v="7113.11.00"/>
    <s v="7113.11.10.00"/>
    <s v="B077TK8DG7 trace chain  Flowers  small tags  none multiple tags"/>
    <n v="4.2334258455216718"/>
    <n v="5.1125248977700641"/>
    <n v="6.5443257651131894"/>
    <n v="6.6985774840146552"/>
    <x v="2"/>
    <x v="3"/>
    <x v="2"/>
    <n v="0"/>
    <x v="2"/>
    <n v="0"/>
    <n v="0"/>
    <n v="0"/>
  </r>
  <r>
    <s v="TIE-S925-BRA-019"/>
    <s v="B077T8SMSJ"/>
    <x v="1"/>
    <s v="square snake chain  Roses  small  none multiple tags"/>
    <x v="194"/>
    <n v="4.3391000000000002"/>
    <s v="925 Silver"/>
    <s v="Bracelet"/>
    <x v="0"/>
    <s v="7113.11.10.00"/>
    <s v="7113.11.00"/>
    <s v="7113.11.10.00"/>
    <s v="B077T8SMSJ square snake chain  Roses  small  none multiple tags"/>
    <n v="4.925394311919316"/>
    <n v="5.9481852215884405"/>
    <n v="7.6140190179387695"/>
    <n v="7.7934837272792583"/>
    <x v="2"/>
    <x v="3"/>
    <x v="2"/>
    <n v="0"/>
    <x v="2"/>
    <n v="0"/>
    <n v="0"/>
    <n v="0"/>
  </r>
  <r>
    <s v="TIE-S925-BRA-020"/>
    <s v="B077T3TTTN"/>
    <x v="1"/>
    <s v="rolo chain - thick  moons and stars  medium tags  none multiple tags"/>
    <x v="268"/>
    <n v="4.5563000000000002"/>
    <s v="925 Silver"/>
    <s v="Bracelet"/>
    <x v="0"/>
    <s v="7113.11.10.00"/>
    <s v="7113.11.00"/>
    <s v="7113.11.10.00"/>
    <s v="B077T3TTTN rolo chain - thick  moons and stars  medium tags  none multiple tags"/>
    <n v="5.171942131639736"/>
    <n v="6.2459303369646726"/>
    <n v="7.9951498816423721"/>
    <n v="8.1835979596235369"/>
    <x v="2"/>
    <x v="3"/>
    <x v="2"/>
    <n v="0"/>
    <x v="2"/>
    <n v="0"/>
    <n v="0"/>
    <n v="0"/>
  </r>
  <r>
    <s v="TIE-S925-BRA-021"/>
    <s v="B0784Y4YKW"/>
    <x v="1"/>
    <s v="flat anchor chain  none  none  none 5 lines"/>
    <x v="74"/>
    <n v="4.8558000000000003"/>
    <s v="925 Silver"/>
    <s v="Bracelet"/>
    <x v="0"/>
    <s v="7113.11.10.00"/>
    <s v="7113.11.00"/>
    <s v="7113.11.10.00"/>
    <s v="B0784Y4YKW flat anchor chain  none  none  none 5 lines"/>
    <n v="5.5119102347993394"/>
    <n v="6.6564950793918438"/>
    <n v="8.5206963534620268"/>
    <n v="8.7215317192327042"/>
    <x v="2"/>
    <x v="3"/>
    <x v="2"/>
    <n v="0"/>
    <x v="2"/>
    <n v="0"/>
    <n v="0"/>
    <n v="0"/>
  </r>
  <r>
    <s v="BIA-S925-CHAIN-024-190-450"/>
    <s v="B073D5G917"/>
    <x v="1"/>
    <s v="Rat Tail"/>
    <x v="271"/>
    <n v="6.5412999999999997"/>
    <s v="925 Silver"/>
    <s v="chain"/>
    <x v="0"/>
    <s v="7113.11.10.00"/>
    <s v="7113.11.00"/>
    <s v="7113.11.10.00"/>
    <s v="B073D5G917 Rat Tail"/>
    <n v="7.425153099158309"/>
    <n v="8.9670355580596119"/>
    <n v="11.47832098869417"/>
    <n v="11.748868453193476"/>
    <x v="9"/>
    <x v="0"/>
    <x v="118"/>
    <n v="32.706499999999998"/>
    <x v="121"/>
    <n v="44.835177790298061"/>
    <n v="57.391604943470846"/>
    <n v="58.744342265967376"/>
  </r>
  <r>
    <s v="TIE-S925-BRA-023"/>
    <s v="B077T8SKZB"/>
    <x v="1"/>
    <s v="twisted chain  none  none  none 5 lines"/>
    <x v="253"/>
    <n v="4.0804999999999998"/>
    <s v="925 Silver"/>
    <s v="Bracelet"/>
    <x v="0"/>
    <s v="7113.11.10.00"/>
    <s v="7113.11.00"/>
    <s v="7113.11.10.00"/>
    <s v="B077T8SKZB twisted chain  none  none  none 5 lines"/>
    <n v="4.631852570760473"/>
    <n v="5.5936875842206053"/>
    <n v="7.160241663639729"/>
    <n v="7.3290107047920099"/>
    <x v="2"/>
    <x v="3"/>
    <x v="2"/>
    <n v="0"/>
    <x v="2"/>
    <n v="0"/>
    <n v="0"/>
    <n v="0"/>
  </r>
  <r>
    <s v="TIE-S925-BRA-024"/>
    <s v="B077T3W49Y"/>
    <x v="1"/>
    <s v="twisted chain with balls  none  none  none 5 lines"/>
    <x v="272"/>
    <n v="4.2285000000000004"/>
    <s v="925 Silver"/>
    <s v="Bracelet"/>
    <x v="0"/>
    <s v="7113.11.10.00"/>
    <s v="7113.11.00"/>
    <s v="7113.11.10.00"/>
    <s v="B077T3W49Y twisted chain with balls  none  none  none 5 lines"/>
    <n v="4.7998501643084577"/>
    <n v="5.7965709961712619"/>
    <n v="7.4199440937876728"/>
    <n v="7.5948343990229183"/>
    <x v="2"/>
    <x v="3"/>
    <x v="2"/>
    <n v="0"/>
    <x v="2"/>
    <n v="0"/>
    <n v="0"/>
    <n v="0"/>
  </r>
  <r>
    <s v="TIE-S925-BRA-025"/>
    <s v="B077T3Y2NW"/>
    <x v="1"/>
    <s v="trace chain  Hearts  Medium with colour  none multiple tags"/>
    <x v="186"/>
    <n v="6.3639999999999999"/>
    <s v="925 Silver"/>
    <s v="Bracelet"/>
    <x v="0"/>
    <s v="7113.11.10.00"/>
    <s v="7113.11.00"/>
    <s v="7113.11.10.00"/>
    <s v="B077T3Y2NW trace chain  Hearts  Medium with colour  none multiple tags"/>
    <n v="7.2238965225633249"/>
    <n v="8.723986713878185"/>
    <n v="11.167204496361533"/>
    <n v="11.430418851929018"/>
    <x v="2"/>
    <x v="3"/>
    <x v="2"/>
    <n v="0"/>
    <x v="2"/>
    <n v="0"/>
    <n v="0"/>
    <n v="0"/>
  </r>
  <r>
    <s v="TIE-S925-BRA-026"/>
    <s v="B077TB36G4"/>
    <x v="1"/>
    <s v="trace with beads chain  Roses  Medium with colour  none multiple tags"/>
    <x v="273"/>
    <n v="7.9709000000000003"/>
    <s v="925 Silver"/>
    <s v="Bracelet"/>
    <x v="0"/>
    <s v="7113.11.10.00"/>
    <s v="7113.11.00"/>
    <s v="7113.11.10.00"/>
    <s v="B077TB36G4 trace with beads chain  Roses  Medium with colour  none multiple tags"/>
    <n v="9.0479190433218122"/>
    <n v="10.926779650793781"/>
    <n v="13.986906084231325"/>
    <n v="14.316581650980673"/>
    <x v="2"/>
    <x v="3"/>
    <x v="2"/>
    <n v="0"/>
    <x v="2"/>
    <n v="0"/>
    <n v="0"/>
    <n v="0"/>
  </r>
  <r>
    <s v="TIE-S925-ANK-001"/>
    <s v="B07F8B199V"/>
    <x v="1"/>
    <s v="trace chain  Teddy  Big Tag  with beads "/>
    <x v="252"/>
    <n v="3.9853999999999998"/>
    <s v="925 Silver"/>
    <s v="Anklet"/>
    <x v="0"/>
    <s v="7113.11.10.00"/>
    <s v="7113.11.00"/>
    <s v="7113.11.10.00"/>
    <s v="B07F8B199V trace chain  Teddy  Big Tag  with beads "/>
    <n v="4.5239027657171391"/>
    <n v="5.4633212837036638"/>
    <n v="6.9933653048081794"/>
    <n v="7.1582010201882316"/>
    <x v="2"/>
    <x v="2"/>
    <x v="2"/>
    <n v="0"/>
    <x v="2"/>
    <n v="0"/>
    <n v="0"/>
    <n v="0"/>
  </r>
  <r>
    <s v="TIE-S925-ANK-002"/>
    <s v="B07F89S6D7"/>
    <x v="1"/>
    <s v="trace chain  Teddy  Big Tag  with beads "/>
    <x v="270"/>
    <n v="4.4135"/>
    <s v="925 Silver"/>
    <s v="Anklet"/>
    <x v="0"/>
    <s v="7113.11.10.00"/>
    <s v="7113.11.00"/>
    <s v="7113.11.10.00"/>
    <s v="B07F89S6D7 trace chain  Teddy  Big Tag  with beads "/>
    <n v="5.0098471562434375"/>
    <n v="6.0501752611095805"/>
    <n v="7.7445721314725997"/>
    <n v="7.9271140168115517"/>
    <x v="2"/>
    <x v="2"/>
    <x v="2"/>
    <n v="0"/>
    <x v="2"/>
    <n v="0"/>
    <n v="0"/>
    <n v="0"/>
  </r>
  <r>
    <s v="TIE-S925-ANK-003"/>
    <s v="B07F8CDSFB"/>
    <x v="1"/>
    <s v="ball chain  Duck  Big Tag  with beads "/>
    <x v="252"/>
    <n v="3.9853999999999998"/>
    <s v="925 Silver"/>
    <s v="Anklet"/>
    <x v="0"/>
    <s v="7113.11.10.00"/>
    <s v="7113.11.00"/>
    <s v="7113.11.10.00"/>
    <s v="B07F8CDSFB ball chain  Duck  Big Tag  with beads "/>
    <n v="4.5239027657171391"/>
    <n v="5.4633212837036638"/>
    <n v="6.9933653048081794"/>
    <n v="7.1582010201882316"/>
    <x v="2"/>
    <x v="2"/>
    <x v="2"/>
    <n v="0"/>
    <x v="2"/>
    <n v="0"/>
    <n v="0"/>
    <n v="0"/>
  </r>
  <r>
    <s v="TIE-S925-ANK-004"/>
    <s v="B07F8BND62"/>
    <x v="1"/>
    <s v="rolo chain  Bunny  Big Tag  none multiple tags"/>
    <x v="268"/>
    <n v="5.4126000000000003"/>
    <s v="925 Silver"/>
    <s v="Anklet"/>
    <x v="0"/>
    <s v="7113.11.10.00"/>
    <s v="7113.11.00"/>
    <s v="7113.11.10.00"/>
    <s v="B07F8BND62 rolo chain  Bunny  Big Tag  none multiple tags"/>
    <n v="6.1439444245798649"/>
    <n v="7.419775375162958"/>
    <n v="9.4977390095861782"/>
    <n v="9.7216035634743871"/>
    <x v="2"/>
    <x v="2"/>
    <x v="2"/>
    <n v="0"/>
    <x v="2"/>
    <n v="0"/>
    <n v="0"/>
    <n v="0"/>
  </r>
  <r>
    <s v="TIE-S925-ANK-005"/>
    <s v="B07F89T25B"/>
    <x v="1"/>
    <s v="trace with balls chain  Butterfly  Big Tag  no beads "/>
    <x v="265"/>
    <n v="4.1757"/>
    <s v="925 Silver"/>
    <s v="Anklet"/>
    <x v="0"/>
    <s v="7113.11.10.00"/>
    <s v="7113.11.00"/>
    <s v="7113.11.10.00"/>
    <s v="B07F89T25B trace with balls chain  Butterfly  Big Tag  no beads "/>
    <n v="4.7399158876913381"/>
    <n v="5.7241909681239997"/>
    <n v="7.3272934970862433"/>
    <n v="7.4999999999999991"/>
    <x v="2"/>
    <x v="2"/>
    <x v="2"/>
    <n v="0"/>
    <x v="2"/>
    <n v="0"/>
    <n v="0"/>
    <n v="0"/>
  </r>
  <r>
    <s v="TIE-S925-ANK-006"/>
    <s v="B07F8BGB8R"/>
    <x v="1"/>
    <s v="rolo chain - thick  Angel  Big Tag  Big Circles "/>
    <x v="260"/>
    <n v="5.8433000000000002"/>
    <s v="925 Silver"/>
    <s v="Anklet"/>
    <x v="0"/>
    <s v="7113.11.10.00"/>
    <s v="7113.11.00"/>
    <s v="7113.11.10.00"/>
    <s v="B07F8BGB8R rolo chain - thick  Angel  Big Tag  Big Circles "/>
    <n v="6.632840124182005"/>
    <n v="8.0101935206166566"/>
    <n v="10.253508176239684"/>
    <n v="10.49518643580717"/>
    <x v="2"/>
    <x v="2"/>
    <x v="2"/>
    <n v="0"/>
    <x v="2"/>
    <n v="0"/>
    <n v="0"/>
    <n v="0"/>
  </r>
  <r>
    <s v="TIE-S925-ANK-007"/>
    <s v="B07F8C376P"/>
    <x v="1"/>
    <s v="rolo chain  Irish Flower  Large tag  rings "/>
    <x v="40"/>
    <n v="5.2293000000000003"/>
    <s v="925 Silver"/>
    <s v="Anklet"/>
    <x v="0"/>
    <s v="7113.11.10.00"/>
    <s v="7113.11.00"/>
    <s v="7113.11.10.00"/>
    <s v="B07F8C376P rolo chain  Irish Flower  Large tag  rings "/>
    <n v="5.9358771347329355"/>
    <n v="7.1685015277943425"/>
    <n v="9.1760940403556521"/>
    <n v="9.3923773259573249"/>
    <x v="2"/>
    <x v="2"/>
    <x v="2"/>
    <n v="0"/>
    <x v="2"/>
    <n v="0"/>
    <n v="0"/>
    <n v="0"/>
  </r>
  <r>
    <s v="TIE-S925-ANK-008"/>
    <s v="B07F8CPSQ1"/>
    <x v="1"/>
    <s v="tace chain - thick  Buterrfly  Medium Tag  with beads "/>
    <x v="2"/>
    <n v="3.1291000000000002"/>
    <s v="925 Silver"/>
    <s v="Anklet"/>
    <x v="0"/>
    <s v="7113.11.10.00"/>
    <s v="7113.11.00"/>
    <s v="7113.11.10.00"/>
    <s v="B07F8CPSQ1 tace chain - thick  Buterrfly  Medium Tag  with beads "/>
    <n v="3.551900472777012"/>
    <n v="4.2894762455053792"/>
    <n v="5.4907761768643741"/>
    <n v="5.6201954163373804"/>
    <x v="2"/>
    <x v="2"/>
    <x v="2"/>
    <n v="0"/>
    <x v="2"/>
    <n v="0"/>
    <n v="0"/>
    <n v="0"/>
  </r>
  <r>
    <s v="TIE-S925-ANK-009"/>
    <s v="B07F8BHSHM"/>
    <x v="1"/>
    <s v="snake chain  Teddy  small  with beads "/>
    <x v="253"/>
    <n v="4.5563000000000002"/>
    <s v="925 Silver"/>
    <s v="Anklet"/>
    <x v="0"/>
    <s v="7113.11.10.00"/>
    <s v="7113.11.00"/>
    <s v="7113.11.10.00"/>
    <s v="B07F8BHSHM snake chain  Teddy  small  with beads "/>
    <n v="5.171942131639736"/>
    <n v="6.2459303369646726"/>
    <n v="7.9951498816423721"/>
    <n v="8.1835979596235369"/>
    <x v="2"/>
    <x v="2"/>
    <x v="2"/>
    <n v="0"/>
    <x v="2"/>
    <n v="0"/>
    <n v="0"/>
    <n v="0"/>
  </r>
  <r>
    <s v="TIE-S925-ANK-010"/>
    <s v="B07F887PBL"/>
    <x v="1"/>
    <s v="trace with balls chain  Butterfly  Medium Tag  no beads "/>
    <x v="172"/>
    <n v="3.8866999999999998"/>
    <s v="925 Silver"/>
    <s v="Anklet"/>
    <x v="0"/>
    <s v="7113.11.10.00"/>
    <s v="7113.11.00"/>
    <s v="7113.11.10.00"/>
    <s v="B07F887PBL trace with balls chain  Butterfly  Medium Tag  no beads "/>
    <n v="4.4118665327226392"/>
    <n v="5.3280199812744096"/>
    <n v="6.8201718598378962"/>
    <n v="6.9809253538328893"/>
    <x v="2"/>
    <x v="2"/>
    <x v="2"/>
    <n v="0"/>
    <x v="2"/>
    <n v="0"/>
    <n v="0"/>
    <n v="0"/>
  </r>
  <r>
    <s v="TIE-S925-ANK-011"/>
    <s v="B07FJ5YQJ7"/>
    <x v="1"/>
    <s v="box chain  Sun  small tag  with beads "/>
    <x v="259"/>
    <n v="3.0868000000000002"/>
    <s v="925 Silver"/>
    <s v="Anklet"/>
    <x v="0"/>
    <s v="7113.11.10.00"/>
    <s v="7113.11.00"/>
    <s v="7113.11.10.00"/>
    <s v="B07FJ5YQJ7 box chain  Sun  small tag  with beads "/>
    <n v="3.5038849443507973"/>
    <n v="4.2314899730356981"/>
    <n v="5.4165504147342523"/>
    <n v="5.5442201307565195"/>
    <x v="2"/>
    <x v="2"/>
    <x v="2"/>
    <n v="0"/>
    <x v="2"/>
    <n v="0"/>
    <n v="0"/>
    <n v="0"/>
  </r>
  <r>
    <s v="TIE-S925-ANK-012"/>
    <s v="B07F8GR72Q"/>
    <x v="1"/>
    <s v="trace chain  Hearts  small tags  rings multiple tags"/>
    <x v="194"/>
    <n v="5.18"/>
    <s v="925 Silver"/>
    <s v="Anklet"/>
    <x v="0"/>
    <s v="7113.11.10.00"/>
    <s v="7113.11.00"/>
    <s v="7113.11.10.00"/>
    <s v="B07F8GR72Q trace chain  Hearts  small tags  rings multiple tags"/>
    <n v="5.8799157741794508"/>
    <n v="7.1009194182729409"/>
    <n v="9.0895850551779915"/>
    <n v="9.303829298081757"/>
    <x v="2"/>
    <x v="2"/>
    <x v="2"/>
    <n v="0"/>
    <x v="2"/>
    <n v="0"/>
    <n v="0"/>
    <n v="0"/>
  </r>
  <r>
    <s v="TIE-S925-ANK-013"/>
    <s v="B07F87J5D1"/>
    <x v="1"/>
    <s v="rolo chain  Hearts  small tags  rings multiple tags"/>
    <x v="264"/>
    <n v="4.5667999999999997"/>
    <s v="925 Silver"/>
    <s v="Anklet"/>
    <x v="0"/>
    <s v="7113.11.10.00"/>
    <s v="7113.11.00"/>
    <s v="7113.11.10.00"/>
    <s v="B07F87J5D1 rolo chain  Hearts  small tags  rings multiple tags"/>
    <n v="5.1838608798306396"/>
    <n v="6.2603240925422519"/>
    <n v="8.0135747162136788"/>
    <n v="8.2024570730655935"/>
    <x v="2"/>
    <x v="2"/>
    <x v="2"/>
    <n v="0"/>
    <x v="2"/>
    <n v="0"/>
    <n v="0"/>
    <n v="0"/>
  </r>
  <r>
    <s v="TIE-S925-ANK-014"/>
    <s v="B07F8BP4K7"/>
    <x v="1"/>
    <s v="rolo chain - thick  Hearts  Medium tag  Ring multiple tags"/>
    <x v="231"/>
    <n v="5.1509"/>
    <s v="925 Silver"/>
    <s v="Anklet"/>
    <x v="0"/>
    <s v="7113.11.10.00"/>
    <s v="7113.11.00"/>
    <s v="7113.11.10.00"/>
    <s v="B07F8BP4K7 rolo chain - thick  Hearts  Medium tag  Ring multiple tags"/>
    <n v="5.8468838149075166"/>
    <n v="7.0610281528150756"/>
    <n v="9.0385219422232286"/>
    <n v="9.2515626122566275"/>
    <x v="2"/>
    <x v="2"/>
    <x v="2"/>
    <n v="0"/>
    <x v="2"/>
    <n v="0"/>
    <n v="0"/>
    <n v="0"/>
  </r>
  <r>
    <s v="TIE-S925-ANK-015"/>
    <s v="B07F8CDJRJ"/>
    <x v="1"/>
    <s v="box chain  Flowers  small tag  rings multiple tags"/>
    <x v="265"/>
    <n v="4.0330000000000004"/>
    <s v="925 Silver"/>
    <s v="Anklet"/>
    <x v="0"/>
    <s v="7113.11.10.00"/>
    <s v="7113.11.00"/>
    <s v="7113.11.10.00"/>
    <s v="B07F8CDJRJ box chain  Flowers  small tag  rings multiple tags"/>
    <n v="4.5779344241825726"/>
    <n v="5.5285729756553623"/>
    <n v="7.0768912215314375"/>
    <n v="7.2436956677922266"/>
    <x v="2"/>
    <x v="2"/>
    <x v="2"/>
    <n v="0"/>
    <x v="2"/>
    <n v="0"/>
    <n v="0"/>
    <n v="0"/>
  </r>
  <r>
    <s v="TIE-S925-ANK-016"/>
    <s v="B07F8C1VR5"/>
    <x v="1"/>
    <s v="rolo chain  Flowers  Medium tags  rings multiple tags"/>
    <x v="274"/>
    <n v="5.1535000000000002"/>
    <s v="925 Silver"/>
    <s v="Anklet"/>
    <x v="0"/>
    <s v="7113.11.10.00"/>
    <s v="7113.11.00"/>
    <s v="7113.11.10.00"/>
    <s v="B07F8C1VR5 rolo chain  Flowers  Medium tags  rings multiple tags"/>
    <n v="5.8498351239833593"/>
    <n v="7.0645923208628583"/>
    <n v="9.0430842822123143"/>
    <n v="9.2562324879660896"/>
    <x v="2"/>
    <x v="2"/>
    <x v="2"/>
    <n v="0"/>
    <x v="2"/>
    <n v="0"/>
    <n v="0"/>
    <n v="0"/>
  </r>
  <r>
    <s v="TIE-S925-ANK-017"/>
    <s v="B07F89C3TG"/>
    <x v="1"/>
    <s v="ball chain  Flowers  small tags  none multiple tags"/>
    <x v="49"/>
    <n v="5.4856999999999996"/>
    <s v="925 Silver"/>
    <s v="Anklet"/>
    <x v="0"/>
    <s v="7113.11.10.00"/>
    <s v="7113.11.00"/>
    <s v="7113.11.10.00"/>
    <s v="B07F89C3TG ball chain  Flowers  small tags  none multiple tags"/>
    <n v="6.2269216143660637"/>
    <n v="7.5199833306602066"/>
    <n v="9.6260109531254656"/>
    <n v="9.8528989151519486"/>
    <x v="2"/>
    <x v="2"/>
    <x v="2"/>
    <n v="0"/>
    <x v="2"/>
    <n v="0"/>
    <n v="0"/>
    <n v="0"/>
  </r>
  <r>
    <s v="TIE-S925-ANK-018"/>
    <s v="B07F8CZLPB"/>
    <x v="1"/>
    <s v="trace chain  Flowers  small tags  none multiple tags"/>
    <x v="265"/>
    <n v="4.0330000000000004"/>
    <s v="925 Silver"/>
    <s v="Anklet"/>
    <x v="0"/>
    <s v="7113.11.10.00"/>
    <s v="7113.11.00"/>
    <s v="7113.11.10.00"/>
    <s v="B07F8CZLPB trace chain  Flowers  small tags  none multiple tags"/>
    <n v="4.5779344241825726"/>
    <n v="5.5285729756553623"/>
    <n v="7.0768912215314375"/>
    <n v="7.2436956677922266"/>
    <x v="2"/>
    <x v="2"/>
    <x v="2"/>
    <n v="0"/>
    <x v="2"/>
    <n v="0"/>
    <n v="0"/>
    <n v="0"/>
  </r>
  <r>
    <s v="TIE-S925-ANK-019"/>
    <s v="B07F89D9VY"/>
    <x v="1"/>
    <s v="square snake chain  Roses  small  none multiple tags"/>
    <x v="272"/>
    <n v="4.6355000000000004"/>
    <s v="925 Silver"/>
    <s v="Anklet"/>
    <x v="0"/>
    <s v="7113.11.10.00"/>
    <s v="7113.11.00"/>
    <s v="7113.11.10.00"/>
    <s v="B07F89D9VY square snake chain  Roses  small  none multiple tags"/>
    <n v="5.2618435465654141"/>
    <n v="6.3545003790355645"/>
    <n v="8.1341257766945141"/>
    <n v="8.3258495581579144"/>
    <x v="2"/>
    <x v="2"/>
    <x v="2"/>
    <n v="0"/>
    <x v="2"/>
    <n v="0"/>
    <n v="0"/>
    <n v="0"/>
  </r>
  <r>
    <s v="TIE-S925-ANK-020"/>
    <s v="B07F8MX9FP"/>
    <x v="1"/>
    <s v="rolo chain - thick  moons and stars  medium tags  none multiple tags"/>
    <x v="49"/>
    <n v="4.4372999999999996"/>
    <s v="925 Silver"/>
    <s v="Anklet"/>
    <x v="0"/>
    <s v="7113.11.10.00"/>
    <s v="7113.11.00"/>
    <s v="7113.11.10.00"/>
    <s v="B07F8MX9FP rolo chain - thick  moons and stars  medium tags  none multiple tags"/>
    <n v="5.0368629854761533"/>
    <n v="6.0828011070854284"/>
    <n v="7.7863350898342283"/>
    <n v="7.9698613406135488"/>
    <x v="2"/>
    <x v="2"/>
    <x v="2"/>
    <n v="0"/>
    <x v="2"/>
    <n v="0"/>
    <n v="0"/>
    <n v="0"/>
  </r>
  <r>
    <s v="TIE-S925-ANK-025"/>
    <s v="B07F8CY6QN"/>
    <x v="1"/>
    <s v="trace chain  Hearts  Medium with colour  none multiple tags"/>
    <x v="275"/>
    <n v="6.4534000000000002"/>
    <s v="925 Silver"/>
    <s v="Anklet"/>
    <x v="0"/>
    <s v="7113.11.10.00"/>
    <s v="7113.11.00"/>
    <s v="7113.11.10.00"/>
    <s v="B07F8CY6QN trace chain  Hearts  Medium with colour  none multiple tags"/>
    <n v="7.3253761500173109"/>
    <n v="8.8465392613672975"/>
    <n v="11.324078802140088"/>
    <n v="11.590990732092823"/>
    <x v="2"/>
    <x v="2"/>
    <x v="2"/>
    <n v="0"/>
    <x v="2"/>
    <n v="0"/>
    <n v="0"/>
    <n v="0"/>
  </r>
  <r>
    <s v="TIE-S925-BRA-ELA-001"/>
    <s v="B07GFL4PWW"/>
    <x v="1"/>
    <s v="Bracelet - elastic ball beads"/>
    <x v="276"/>
    <n v="4.5479000000000003"/>
    <s v="925 Silver"/>
    <s v="Bracelet"/>
    <x v="0"/>
    <s v="7113.11.10.00"/>
    <s v="7113.11.00"/>
    <s v="7113.11.10.00"/>
    <s v="B07GFL4PWW Bracelet - elastic ball beads"/>
    <n v="5.1624071330870125"/>
    <n v="6.2344153325026088"/>
    <n v="7.9804100139853267"/>
    <n v="8.1685106688698905"/>
    <x v="2"/>
    <x v="3"/>
    <x v="2"/>
    <n v="0"/>
    <x v="2"/>
    <n v="0"/>
    <n v="0"/>
    <n v="0"/>
  </r>
  <r>
    <s v="TIE-RHP-BRA-ELA-001"/>
    <s v="B07GFDQ1XW"/>
    <x v="1"/>
    <s v="Bracelet - elastic ball beads"/>
    <x v="276"/>
    <n v="4.8695000000000004"/>
    <s v="925 Silver"/>
    <s v="Bracelet"/>
    <x v="0"/>
    <s v="7113.11.10.00"/>
    <s v="7113.11.00"/>
    <s v="7113.11.10.00"/>
    <s v="B07GFDQ1XW Bracelet - elastic ball beads"/>
    <n v="5.5274613633912812"/>
    <n v="6.675275503335925"/>
    <n v="8.5447363757122083"/>
    <n v="8.746138372009483"/>
    <x v="2"/>
    <x v="3"/>
    <x v="2"/>
    <n v="0"/>
    <x v="2"/>
    <n v="0"/>
    <n v="0"/>
    <n v="0"/>
  </r>
  <r>
    <s v="TIE-GP-BRA-ELA-001"/>
    <s v="B07GFMN96Z"/>
    <x v="1"/>
    <s v="Bracelet - elastic ball beads"/>
    <x v="276"/>
    <n v="4.9337999999999997"/>
    <s v="925 Silver"/>
    <s v="Bracelet"/>
    <x v="0"/>
    <s v="7113.11.10.00"/>
    <s v="7113.11.00"/>
    <s v="7113.11.10.00"/>
    <s v="B07GFMN96Z Bracelet - elastic ball beads"/>
    <n v="5.6004495070746279"/>
    <n v="6.7634201208252964"/>
    <n v="8.6575665531345898"/>
    <n v="8.8616279905165598"/>
    <x v="2"/>
    <x v="3"/>
    <x v="2"/>
    <n v="0"/>
    <x v="2"/>
    <n v="0"/>
    <n v="0"/>
    <n v="0"/>
  </r>
  <r>
    <s v="TIE-ROSE-BRA-ELA-001"/>
    <s v="B07GFD7TFS"/>
    <x v="1"/>
    <s v="Bracelet - elastic ball beads"/>
    <x v="276"/>
    <n v="4.9337999999999997"/>
    <s v="925 Silver"/>
    <s v="Bracelet"/>
    <x v="0"/>
    <s v="7113.11.10.00"/>
    <s v="7113.11.00"/>
    <s v="7113.11.10.00"/>
    <s v="B07GFD7TFS Bracelet - elastic ball beads"/>
    <n v="5.6004495070746279"/>
    <n v="6.7634201208252964"/>
    <n v="8.6575665531345898"/>
    <n v="8.8616279905165598"/>
    <x v="2"/>
    <x v="3"/>
    <x v="2"/>
    <n v="0"/>
    <x v="2"/>
    <n v="0"/>
    <n v="0"/>
    <n v="0"/>
  </r>
  <r>
    <s v="TIE-S925-EAR-001"/>
    <s v="B07GGSXD7Q"/>
    <x v="1"/>
    <s v="Earrings: studs roses small "/>
    <x v="209"/>
    <n v="2.2442000000000002"/>
    <s v="925 Silver"/>
    <s v="Earrings"/>
    <x v="0"/>
    <s v="7113.11.10.00"/>
    <s v="7113.11.00"/>
    <s v="7113.11.50.00"/>
    <s v="B07GGSXD7Q Earrings: studs roses small "/>
    <n v="2.5474337800026108"/>
    <n v="3.0764253587814934"/>
    <n v="3.9380013090406276"/>
    <n v="4.0308211796824489"/>
    <x v="2"/>
    <x v="1"/>
    <x v="2"/>
    <n v="0"/>
    <x v="2"/>
    <n v="0"/>
    <n v="0"/>
    <n v="0"/>
  </r>
  <r>
    <s v="TIE-S925-EAR-002"/>
    <s v="B07GGTTTLW"/>
    <x v="1"/>
    <s v="Earrings: studs flowers small "/>
    <x v="20"/>
    <n v="2.5207999999999999"/>
    <s v="925 Silver"/>
    <s v="Earrings"/>
    <x v="0"/>
    <s v="7113.11.10.00"/>
    <s v="7113.11.00"/>
    <s v="7113.11.50.00"/>
    <s v="B07GGTTTLW Earrings: studs flowers small "/>
    <n v="2.8614076609172896"/>
    <n v="3.4555980057108937"/>
    <n v="4.4233640940333361"/>
    <n v="4.5276241109275084"/>
    <x v="2"/>
    <x v="1"/>
    <x v="2"/>
    <n v="0"/>
    <x v="2"/>
    <n v="0"/>
    <n v="0"/>
    <n v="0"/>
  </r>
  <r>
    <s v="TIE-S925-EAR-003"/>
    <s v="B07GGS55YD"/>
    <x v="1"/>
    <s v="Earrings: stud Teddy with rings Medium unique"/>
    <x v="252"/>
    <n v="3.5461999999999998"/>
    <s v="925 Silver"/>
    <s v="Earrings"/>
    <x v="0"/>
    <s v="7113.11.10.00"/>
    <s v="7113.11.00"/>
    <s v="7113.11.50.00"/>
    <s v="B07GGS55YD Earrings: stud Teddy with rings Medium unique"/>
    <n v="4.0253585556747424"/>
    <n v="4.8612510504014486"/>
    <n v="6.2226807958826633"/>
    <n v="6.3693512464975921"/>
    <x v="2"/>
    <x v="1"/>
    <x v="2"/>
    <n v="0"/>
    <x v="2"/>
    <n v="0"/>
    <n v="0"/>
    <n v="0"/>
  </r>
  <r>
    <s v="TIE-S925-EAR-004"/>
    <s v="B07GHBFF48"/>
    <x v="1"/>
    <s v="Earrings: drop roses small 5 lines"/>
    <x v="273"/>
    <n v="7.6692"/>
    <s v="925 Silver"/>
    <s v="Earrings"/>
    <x v="0"/>
    <s v="7113.11.10.00"/>
    <s v="7113.11.00"/>
    <s v="7113.11.50.00"/>
    <s v="B07GHBFF48 Earrings: drop roses small 5 lines"/>
    <n v="8.7054536786364949"/>
    <n v="10.513199073864641"/>
    <n v="13.457499170882445"/>
    <n v="13.774696458078884"/>
    <x v="2"/>
    <x v="1"/>
    <x v="2"/>
    <n v="0"/>
    <x v="2"/>
    <n v="0"/>
    <n v="0"/>
    <n v="0"/>
  </r>
  <r>
    <s v="TIE-S925-EAR-005"/>
    <s v="B07GGXY9XY"/>
    <x v="1"/>
    <s v="Earrings: drop bellflowers small 2 lines"/>
    <x v="277"/>
    <n v="7.8630000000000004"/>
    <s v="925 Silver"/>
    <s v="Earrings"/>
    <x v="0"/>
    <s v="7113.11.10.00"/>
    <s v="7113.11.00"/>
    <s v="7113.11.50.00"/>
    <s v="B07GGXY9XY Earrings: drop bellflowers small 2 lines"/>
    <n v="8.9254397166743296"/>
    <n v="10.778866676810837"/>
    <n v="13.797568974684278"/>
    <n v="14.122781809038006"/>
    <x v="2"/>
    <x v="1"/>
    <x v="2"/>
    <n v="0"/>
    <x v="2"/>
    <n v="0"/>
    <n v="0"/>
    <n v="0"/>
  </r>
  <r>
    <s v="TIE-S925-EAR-006"/>
    <s v="B07GGVVJ6G"/>
    <x v="1"/>
    <s v="Earrings: hooks birds medium "/>
    <x v="252"/>
    <n v="3.5461999999999998"/>
    <s v="925 Silver"/>
    <s v="Earrings"/>
    <x v="0"/>
    <s v="7113.11.10.00"/>
    <s v="7113.11.00"/>
    <s v="7113.11.50.00"/>
    <s v="B07GGVVJ6G Earrings: hooks birds medium "/>
    <n v="4.0253585556747424"/>
    <n v="4.8612510504014486"/>
    <n v="6.2226807958826633"/>
    <n v="6.3693512464975921"/>
    <x v="2"/>
    <x v="1"/>
    <x v="2"/>
    <n v="0"/>
    <x v="2"/>
    <n v="0"/>
    <n v="0"/>
    <n v="0"/>
  </r>
  <r>
    <s v="TIE-S925-EAR-007"/>
    <s v="B07GH2FNTH"/>
    <x v="1"/>
    <s v="Earrings: drop ROSE Big - colour ball chain drop"/>
    <x v="194"/>
    <n v="4.8746999999999998"/>
    <s v="925 Silver"/>
    <s v="Earrings"/>
    <x v="0"/>
    <s v="7113.11.10.00"/>
    <s v="7113.11.00"/>
    <s v="7113.11.50.00"/>
    <s v="B07GH2FNTH Earrings: drop ROSE Big - colour ball chain drop"/>
    <n v="5.5333639815429665"/>
    <n v="6.6824038394314877"/>
    <n v="8.553861055690378"/>
    <n v="8.7554781234284071"/>
    <x v="2"/>
    <x v="1"/>
    <x v="2"/>
    <n v="0"/>
    <x v="2"/>
    <n v="0"/>
    <n v="0"/>
    <n v="0"/>
  </r>
  <r>
    <s v="TIE-S925-EAR-008"/>
    <s v="B07GGWLVW8"/>
    <x v="1"/>
    <s v="Earrings: drop heart BIG ball chain drop"/>
    <x v="268"/>
    <n v="4.6773999999999996"/>
    <s v="925 Silver"/>
    <s v="Earrings"/>
    <x v="0"/>
    <s v="7113.11.10.00"/>
    <s v="7113.11.00"/>
    <s v="7113.11.50.00"/>
    <s v="B07GGWLVW8 Earrings: drop heart BIG ball chain drop"/>
    <n v="5.3094050274414979"/>
    <n v="6.4119383179594314"/>
    <n v="8.2076496403647763"/>
    <n v="8.4011064013219325"/>
    <x v="2"/>
    <x v="1"/>
    <x v="2"/>
    <n v="0"/>
    <x v="2"/>
    <n v="0"/>
    <n v="0"/>
    <n v="0"/>
  </r>
  <r>
    <s v="TIE-S925-EAR-009"/>
    <s v="B07GGWVC95"/>
    <x v="1"/>
    <s v="Earrings: drop heart BIG ball chain drop"/>
    <x v="253"/>
    <n v="3.9161999999999999"/>
    <s v="925 Silver"/>
    <s v="Earrings"/>
    <x v="0"/>
    <s v="7113.11.10.00"/>
    <s v="7113.11.00"/>
    <s v="7113.11.50.00"/>
    <s v="B07GGWVC95 Earrings: drop heart BIG ball chain drop"/>
    <n v="4.4453525395447038"/>
    <n v="5.3684595802780875"/>
    <n v="6.8719368712525197"/>
    <n v="7.0339104820748615"/>
    <x v="2"/>
    <x v="1"/>
    <x v="2"/>
    <n v="0"/>
    <x v="2"/>
    <n v="0"/>
    <n v="0"/>
    <n v="0"/>
  </r>
  <r>
    <s v="TIE-S925-EAR-010"/>
    <s v="B07GGW9S79"/>
    <x v="1"/>
    <s v="Earrings: drop ball small ball chain drop 2 lines"/>
    <x v="259"/>
    <n v="3.0705"/>
    <s v="925 Silver"/>
    <s v="Earrings"/>
    <x v="0"/>
    <s v="7113.11.10.00"/>
    <s v="7113.11.00"/>
    <s v="7113.11.50.00"/>
    <s v="B07GGW9S79 Earrings: drop ball small ball chain drop 2 lines"/>
    <n v="3.4853825066830124"/>
    <n v="4.2091453810438351"/>
    <n v="5.3879480524949859"/>
    <n v="5.5149436022702778"/>
    <x v="2"/>
    <x v="1"/>
    <x v="2"/>
    <n v="0"/>
    <x v="2"/>
    <n v="0"/>
    <n v="0"/>
    <n v="0"/>
  </r>
  <r>
    <s v="TIE-S925-EAR-011"/>
    <s v="B07GGV9BZL"/>
    <x v="1"/>
    <s v="Earrings: drop Birds BIG ball chain drop  cz"/>
    <x v="266"/>
    <n v="5.5019999999999998"/>
    <s v="925 Silver"/>
    <s v="Earrings"/>
    <x v="0"/>
    <s v="7113.11.10.00"/>
    <s v="7113.11.00"/>
    <s v="7113.11.50.00"/>
    <s v="B07GGV9BZL Earrings: drop Birds BIG ball chain drop  cz"/>
    <n v="6.2454240520338491"/>
    <n v="7.5423279226520696"/>
    <n v="9.6546133153647311"/>
    <n v="9.8821754436381912"/>
    <x v="2"/>
    <x v="1"/>
    <x v="2"/>
    <n v="0"/>
    <x v="2"/>
    <n v="0"/>
    <n v="0"/>
    <n v="0"/>
  </r>
  <r>
    <s v="TIE-S925-EAR-012"/>
    <s v="B07GGSN34R"/>
    <x v="1"/>
    <s v="Earrings: drop Duckies Big ball chain drop"/>
    <x v="264"/>
    <n v="3.6625000000000001"/>
    <s v="925 Silver"/>
    <s v="Earrings"/>
    <x v="0"/>
    <s v="7113.11.10.00"/>
    <s v="7113.11.00"/>
    <s v="7113.11.50.00"/>
    <s v="B07GGSN34R Earrings: drop Duckies Big ball chain drop"/>
    <n v="4.1573728808749495"/>
    <n v="5.0206790288464571"/>
    <n v="6.4267577730867567"/>
    <n v="6.5782383791939072"/>
    <x v="2"/>
    <x v="1"/>
    <x v="2"/>
    <n v="0"/>
    <x v="2"/>
    <n v="0"/>
    <n v="0"/>
    <n v="0"/>
  </r>
  <r>
    <s v="GL-9K-CHAIN-001-140-510"/>
    <s v="B07KW5YHXB"/>
    <x v="1"/>
    <s v="9K Curb Chain"/>
    <x v="278"/>
    <n v="26.014800000000001"/>
    <s v="9K Gold"/>
    <s v="chain"/>
    <x v="1"/>
    <s v=" 7113.19.10.00"/>
    <s v=" 7113.19.00"/>
    <s v="7113.11.50.00"/>
    <s v="B07KW5YHXB 9K Curb Chain"/>
    <n v="29.529890517784477"/>
    <n v="35.66196881901292"/>
    <n v="45.649370133869581"/>
    <n v="46.725339464041959"/>
    <x v="2"/>
    <x v="10"/>
    <x v="2"/>
    <n v="0"/>
    <x v="2"/>
    <n v="0"/>
    <n v="0"/>
    <n v="0"/>
  </r>
  <r>
    <s v="GL-9K-CHAIN-002-140-510"/>
    <s v="B07KW4FB47"/>
    <x v="1"/>
    <s v="9K Anchor Chain"/>
    <x v="279"/>
    <n v="25.375900000000001"/>
    <s v="9K Gold"/>
    <s v="chain"/>
    <x v="1"/>
    <s v=" 7113.19.10.00"/>
    <s v=" 7113.19.00"/>
    <s v="7113.11.50.00"/>
    <s v="B07KW4FB47 9K Anchor Chain"/>
    <n v="28.804663068339835"/>
    <n v="34.786143062963774"/>
    <n v="44.528262818859311"/>
    <n v="45.577807313743804"/>
    <x v="2"/>
    <x v="10"/>
    <x v="2"/>
    <n v="0"/>
    <x v="2"/>
    <n v="0"/>
    <n v="0"/>
    <n v="0"/>
  </r>
  <r>
    <s v="GL-9K-CHAIN-003-140-510"/>
    <s v="B07KW5HKR8"/>
    <x v="1"/>
    <s v="9K Figaro Chain"/>
    <x v="280"/>
    <n v="22.4831"/>
    <s v="9K Gold"/>
    <s v="chain"/>
    <x v="1"/>
    <s v=" 7113.19.10.00"/>
    <s v=" 7113.19.00"/>
    <s v="7113.11.50.00"/>
    <s v="B07KW5HKR8 9K Figaro Chain"/>
    <n v="25.520991185801932"/>
    <n v="30.820594859647176"/>
    <n v="39.452133157156815"/>
    <n v="40.38203175515482"/>
    <x v="2"/>
    <x v="10"/>
    <x v="2"/>
    <n v="0"/>
    <x v="2"/>
    <n v="0"/>
    <n v="0"/>
    <n v="0"/>
  </r>
  <r>
    <s v="BIA-S925-CHAIN-025-170-450"/>
    <s v="B00DKCYW4U"/>
    <x v="1"/>
    <s v="Wheat Chain"/>
    <x v="281"/>
    <n v="4.109"/>
    <s v="925 Silver"/>
    <s v="chain"/>
    <x v="0"/>
    <s v="7113.11.10.00"/>
    <s v="7113.11.00"/>
    <s v="7113.11.10.00"/>
    <s v="B00DKCYW4U Wheat Chain"/>
    <n v="4.6642034587072132"/>
    <n v="5.6327563493597523"/>
    <n v="7.2102519289047047"/>
    <n v="7.3801997269918811"/>
    <x v="2"/>
    <x v="0"/>
    <x v="2"/>
    <n v="0"/>
    <x v="2"/>
    <n v="0"/>
    <n v="0"/>
    <n v="0"/>
  </r>
  <r>
    <s v="BIA-S925-CHAIN-029-500-450"/>
    <s v="B00DKCZH5S"/>
    <x v="1"/>
    <s v="Herringbone Chain"/>
    <x v="165"/>
    <n v="9.3719999999999999"/>
    <s v="925 Silver"/>
    <s v="chain"/>
    <x v="0"/>
    <s v="7113.11.10.00"/>
    <s v="7113.11.00"/>
    <s v="7113.11.10.00"/>
    <s v="B00DKCZH5S Herringbone Chain"/>
    <n v="10.638334099538573"/>
    <n v="12.847454978388804"/>
    <n v="16.445480914503502"/>
    <n v="16.833105826567998"/>
    <x v="0"/>
    <x v="0"/>
    <x v="119"/>
    <n v="93.72"/>
    <x v="122"/>
    <n v="128.47454978388805"/>
    <n v="164.45480914503503"/>
    <n v="168.33105826567999"/>
  </r>
  <r>
    <s v="BIA-S925-CHAIN-031-230-180"/>
    <s v="B00JCW2U2I"/>
    <x v="1"/>
    <s v="Heart Chain"/>
    <x v="282"/>
    <n v="1.7378"/>
    <s v="925 Silver"/>
    <s v="Bracelet"/>
    <x v="0"/>
    <s v="7113.11.10.00"/>
    <s v="7113.11.00"/>
    <s v="7113.11.10.00"/>
    <s v="B00JCW2U2I Heart Chain"/>
    <n v="1.9726095815384266"/>
    <n v="2.382235089782764"/>
    <n v="3.049397858858748"/>
    <n v="3.1212730799626409"/>
    <x v="0"/>
    <x v="3"/>
    <x v="120"/>
    <n v="17.378"/>
    <x v="123"/>
    <n v="23.82235089782764"/>
    <n v="30.493978588587481"/>
    <n v="31.21273079962641"/>
  </r>
  <r>
    <s v="CS-S925-HOOP-BALI-001"/>
    <s v="B07QS9N4ZX"/>
    <x v="1"/>
    <s v="Silver Bali Hoops"/>
    <x v="110"/>
    <n v="2.7446000000000002"/>
    <s v="925 Silver"/>
    <s v="Earrings"/>
    <x v="0"/>
    <s v="7113.11.10.00"/>
    <s v="7113.11.00"/>
    <s v="7113.11.50.00"/>
    <s v="B07QS9N4ZX Silver Bali Hoops"/>
    <n v="3.1154472652148497"/>
    <n v="3.7623906245930341"/>
    <n v="4.8160762823246177"/>
    <n v="4.9295926431496513"/>
    <x v="2"/>
    <x v="1"/>
    <x v="2"/>
    <n v="0"/>
    <x v="2"/>
    <n v="0"/>
    <n v="0"/>
    <n v="0"/>
  </r>
  <r>
    <s v="CS-S925-HOOP-BALI-002"/>
    <s v="B07QSB6FQN"/>
    <x v="1"/>
    <s v="Silver Bali Hoops"/>
    <x v="110"/>
    <n v="2.7446000000000002"/>
    <s v="925 Silver"/>
    <s v="Earrings"/>
    <x v="0"/>
    <s v="7113.11.10.00"/>
    <s v="7113.11.00"/>
    <s v="7113.11.50.00"/>
    <s v="B07QSB6FQN Silver Bali Hoops"/>
    <n v="3.1154472652148497"/>
    <n v="3.7623906245930341"/>
    <n v="4.8160762823246177"/>
    <n v="4.9295926431496513"/>
    <x v="2"/>
    <x v="1"/>
    <x v="2"/>
    <n v="0"/>
    <x v="2"/>
    <n v="0"/>
    <n v="0"/>
    <n v="0"/>
  </r>
  <r>
    <s v="CS-S925-HOOP-BALI-003"/>
    <s v="B07QSBWZRJ"/>
    <x v="1"/>
    <s v="Silver Bali Hoops"/>
    <x v="283"/>
    <n v="2.0758999999999999"/>
    <s v="925 Silver"/>
    <s v="Earrings"/>
    <x v="0"/>
    <s v="7113.11.10.00"/>
    <s v="7113.11.00"/>
    <s v="7113.11.50.00"/>
    <s v="B07QSBWZRJ Silver Bali Hoops"/>
    <n v="2.3563932732855446"/>
    <n v="2.845714019380849"/>
    <n v="3.642677532054825"/>
    <n v="3.728536532796896"/>
    <x v="2"/>
    <x v="1"/>
    <x v="2"/>
    <n v="0"/>
    <x v="2"/>
    <n v="0"/>
    <n v="0"/>
    <n v="0"/>
  </r>
  <r>
    <s v="TIE-S925-EAR-013"/>
    <s v="B07GGS5QNP"/>
    <x v="1"/>
    <s v="Earrings: studs hearts"/>
    <x v="284"/>
    <n v="1.3566"/>
    <s v="925 Silver"/>
    <s v="Earrings"/>
    <x v="0"/>
    <s v="7113.11.10.00"/>
    <s v="7113.11.00"/>
    <s v="7113.11.50.00"/>
    <s v="B07GGS5QNP Earrings: studs hearts"/>
    <n v="1.5399022662648347"/>
    <n v="1.859673220623373"/>
    <n v="2.3804886266128311"/>
    <n v="2.4365974567138444"/>
    <x v="2"/>
    <x v="1"/>
    <x v="2"/>
    <n v="0"/>
    <x v="2"/>
    <n v="0"/>
    <n v="0"/>
    <n v="0"/>
  </r>
  <r>
    <s v="BIA-S925-CHAIN-020-300-500"/>
    <s v="B07VCKSBXQ"/>
    <x v="1"/>
    <s v="Ball Chain 3 mm"/>
    <x v="285"/>
    <n v="11.7424"/>
    <s v="925 Silver"/>
    <s v="chain"/>
    <x v="0"/>
    <s v="7113.11.10.00"/>
    <s v="7113.11.00"/>
    <s v="7113.11.10.00"/>
    <s v="B07VCKSBXQ Ball Chain 3 mm"/>
    <n v="13.329019881607101"/>
    <n v="16.096879570874169"/>
    <n v="20.604931187629742"/>
    <n v="21.090595588763559"/>
    <x v="2"/>
    <x v="0"/>
    <x v="2"/>
    <n v="0"/>
    <x v="2"/>
    <n v="0"/>
    <n v="0"/>
    <n v="0"/>
  </r>
  <r>
    <s v="BIA-S925-CHAIN-020-300-700"/>
    <s v="B07VBFBKXM"/>
    <x v="1"/>
    <s v="Ball Chain 3 mm"/>
    <x v="286"/>
    <n v="14.1351"/>
    <s v="925 Silver"/>
    <s v="chain"/>
    <x v="0"/>
    <s v="7113.11.10.00"/>
    <s v="7113.11.00"/>
    <s v="7113.11.10.00"/>
    <s v="B07VBFBKXM Ball Chain 3 mm"/>
    <n v="16.045018814595359"/>
    <n v="19.376873758538579"/>
    <n v="24.803512299893136"/>
    <n v="25.388138515697964"/>
    <x v="2"/>
    <x v="0"/>
    <x v="2"/>
    <n v="0"/>
    <x v="2"/>
    <n v="0"/>
    <n v="0"/>
    <n v="0"/>
  </r>
  <r>
    <s v="BIA-S925-CHAIN-041-220-220-250"/>
    <s v="B0725N75R7"/>
    <x v="1"/>
    <s v="Bismark chain"/>
    <x v="287"/>
    <n v="3.6408"/>
    <s v="925 Silver"/>
    <s v="Anklet"/>
    <x v="0"/>
    <s v="7113.11.10.00"/>
    <s v="7113.11.00"/>
    <s v="7113.11.10.00"/>
    <s v="B0725N75R7 Bismark chain"/>
    <n v="4.1327408012804145"/>
    <n v="4.9909319339861247"/>
    <n v="6.3886797816393885"/>
    <n v="6.5392628780803213"/>
    <x v="8"/>
    <x v="2"/>
    <x v="121"/>
    <n v="109.224"/>
    <x v="124"/>
    <n v="149.72795801958375"/>
    <n v="191.66039344918167"/>
    <n v="196.17788634240964"/>
  </r>
  <r>
    <s v="GS-S925-BRA-SLI-002"/>
    <s v="B07PPHGXHC"/>
    <x v="1"/>
    <s v="Round Box Chain with Infinity and Donut Slider Bracelet"/>
    <x v="241"/>
    <n v="6.1978999999999997"/>
    <s v="925 Silver"/>
    <s v="Bracelet"/>
    <x v="0"/>
    <s v="7113.11.10.00"/>
    <s v="7113.11.00"/>
    <s v="7113.11.10.00"/>
    <s v="B07PPHGXHC Round Box Chain with Infinity and Donut Slider Bracelet"/>
    <n v="7.0353532773719722"/>
    <n v="8.4962912089795104"/>
    <n v="10.875741160904957"/>
    <n v="11.132085638336086"/>
    <x v="2"/>
    <x v="3"/>
    <x v="2"/>
    <n v="0"/>
    <x v="2"/>
    <n v="0"/>
    <n v="0"/>
    <n v="0"/>
  </r>
  <r>
    <s v="BIA-S925-CHAIN-041-220-600"/>
    <s v="B0164MQHLI"/>
    <x v="1"/>
    <s v="Bismark chain"/>
    <x v="288"/>
    <n v="5.7790999999999997"/>
    <s v="925 Silver"/>
    <s v="chain"/>
    <x v="0"/>
    <s v="7113.11.10.00"/>
    <s v="7113.11.00"/>
    <s v="7113.11.10.00"/>
    <s v="B0164MQHLI Bismark chain"/>
    <n v="6.5599654923861896"/>
    <n v="7.9221859865137363"/>
    <n v="10.140853473432266"/>
    <n v="10.379876427904302"/>
    <x v="9"/>
    <x v="0"/>
    <x v="122"/>
    <n v="28.895499999999998"/>
    <x v="125"/>
    <n v="39.610929932568681"/>
    <n v="50.704267367161322"/>
    <n v="51.899382139521506"/>
  </r>
  <r>
    <s v="GS-S925-BRA-SLI-004"/>
    <s v="B07PNBMZDR"/>
    <x v="1"/>
    <s v="Round Box Chain with Balls and Donut Slider Bracelet"/>
    <x v="270"/>
    <n v="6.0658000000000003"/>
    <s v="925 Silver"/>
    <s v="Bracelet"/>
    <x v="0"/>
    <s v="7113.11.10.00"/>
    <s v="7113.11.00"/>
    <s v="7113.11.10.00"/>
    <s v="B07PNBMZDR Round Box Chain with Balls and Donut Slider Bracelet"/>
    <n v="6.8854040739416442"/>
    <n v="8.315204055474906"/>
    <n v="10.643939194536422"/>
    <n v="10.894820030174582"/>
    <x v="2"/>
    <x v="3"/>
    <x v="2"/>
    <n v="0"/>
    <x v="2"/>
    <n v="0"/>
    <n v="0"/>
    <n v="0"/>
  </r>
  <r>
    <s v="GS-S925-BRA-SLI-005"/>
    <s v="B07PMD87GZ"/>
    <x v="1"/>
    <s v="Round Box Chain with Mesh and Donut Slider Bracelet"/>
    <x v="265"/>
    <n v="5.4226999999999999"/>
    <s v="925 Silver"/>
    <s v="Bracelet"/>
    <x v="0"/>
    <s v="7113.11.10.00"/>
    <s v="7113.11.00"/>
    <s v="7113.11.10.00"/>
    <s v="B07PMD87GZ Round Box Chain with Mesh and Donut Slider Bracelet"/>
    <n v="6.1554091252206389"/>
    <n v="7.4336207971947257"/>
    <n v="9.5154619456976253"/>
    <n v="9.7397442344996037"/>
    <x v="2"/>
    <x v="3"/>
    <x v="2"/>
    <n v="0"/>
    <x v="2"/>
    <n v="0"/>
    <n v="0"/>
    <n v="0"/>
  </r>
  <r>
    <s v="GS-S925-CHAIN-SLI-001-030"/>
    <s v="B07NLFS2J8"/>
    <x v="1"/>
    <s v="Curb Chain with Round Slider"/>
    <x v="259"/>
    <n v="3.3612000000000002"/>
    <s v="925 Silver"/>
    <s v="chain"/>
    <x v="0"/>
    <s v="7113.11.10.00"/>
    <s v="7113.11.00"/>
    <s v="7113.11.10.00"/>
    <s v="B07NLFS2J8 Curb Chain with Round Slider"/>
    <n v="3.8153615637397627"/>
    <n v="4.60764678546313"/>
    <n v="5.8980527581977356"/>
    <n v="6.0370716287089587"/>
    <x v="2"/>
    <x v="0"/>
    <x v="2"/>
    <n v="0"/>
    <x v="2"/>
    <n v="0"/>
    <n v="0"/>
    <n v="0"/>
  </r>
  <r>
    <s v="GS-S925-CHAIN-SLI-002-030"/>
    <s v="B07PVC8HS5"/>
    <x v="1"/>
    <s v="Trace Chain with Round Slider"/>
    <x v="259"/>
    <n v="3.1497999999999999"/>
    <s v="925 Silver"/>
    <s v="chain"/>
    <x v="0"/>
    <s v="7113.11.10.00"/>
    <s v="7113.11.00"/>
    <s v="7113.11.10.00"/>
    <s v="B07PVC8HS5 Trace Chain with Round Slider"/>
    <n v="3.5753974334962226"/>
    <n v="4.3178525065011799"/>
    <n v="5.5270994221620926"/>
    <n v="5.6573748114088653"/>
    <x v="2"/>
    <x v="0"/>
    <x v="2"/>
    <n v="0"/>
    <x v="2"/>
    <n v="0"/>
    <n v="0"/>
    <n v="0"/>
  </r>
  <r>
    <s v="GS-S925-CHAIN-SLI-003-019"/>
    <s v="B07PXFLSHF"/>
    <x v="1"/>
    <s v="Box Chain with Round Slider"/>
    <x v="266"/>
    <n v="4.3832000000000004"/>
    <s v="925 Silver"/>
    <s v="chain"/>
    <x v="0"/>
    <s v="7113.11.10.00"/>
    <s v="7113.11.00"/>
    <s v="7113.11.10.00"/>
    <s v="B07PXFLSHF Box Chain with Round Slider"/>
    <n v="4.9754530543211146"/>
    <n v="6.0086389950142776"/>
    <n v="7.6914033231382586"/>
    <n v="7.8726920037359012"/>
    <x v="2"/>
    <x v="0"/>
    <x v="2"/>
    <n v="0"/>
    <x v="2"/>
    <n v="0"/>
    <n v="0"/>
    <n v="0"/>
  </r>
  <r>
    <s v="MS-S925-TOE-001"/>
    <s v="B07R94JB4Y"/>
    <x v="2"/>
    <s v="Toe Ring"/>
    <x v="289"/>
    <n v="1.8104"/>
    <s v="925 Silver"/>
    <s v="Toe Ring"/>
    <x v="0"/>
    <s v="7113.11.10.00"/>
    <s v="7113.11.00"/>
    <s v="7113.11.50.00"/>
    <s v="B07R94JB4Y Toe Ring"/>
    <n v="2.055019211886965"/>
    <n v="2.4817576283477476"/>
    <n v="3.1767924293232119"/>
    <n v="3.2516703786191536"/>
    <x v="9"/>
    <x v="11"/>
    <x v="123"/>
    <n v="9.0519999999999996"/>
    <x v="126"/>
    <n v="12.408788141738738"/>
    <n v="15.883962146616058"/>
    <n v="16.258351893095767"/>
  </r>
  <r>
    <s v="MS-S925-TOE-002"/>
    <s v="B07R94JHCH"/>
    <x v="2"/>
    <s v="RING - SIZE J"/>
    <x v="290"/>
    <n v="2.8081999999999998"/>
    <s v="925 Silver"/>
    <s v="Toe Ring"/>
    <x v="0"/>
    <s v="7113.11.10.00"/>
    <s v="7113.11.00"/>
    <s v="7113.11.50.00"/>
    <s v="B07R94JHCH RING - SIZE J"/>
    <n v="3.1876408256854698"/>
    <n v="3.8495756583772343"/>
    <n v="4.9276781374422463"/>
    <n v="5.0438249874272572"/>
    <x v="2"/>
    <x v="11"/>
    <x v="2"/>
    <n v="0"/>
    <x v="2"/>
    <n v="0"/>
    <n v="0"/>
    <n v="0"/>
  </r>
  <r>
    <s v="MS-S925-TOE-003"/>
    <s v="B07RB9S93Q"/>
    <x v="2"/>
    <s v="Toe Ring"/>
    <x v="291"/>
    <n v="2.2970999999999999"/>
    <s v="925 Silver"/>
    <s v="Toe Ring"/>
    <x v="0"/>
    <s v="7113.11.10.00"/>
    <s v="7113.11.00"/>
    <s v="7113.11.50.00"/>
    <s v="B07RB9S93Q Toe Ring"/>
    <n v="2.6074815685072616"/>
    <n v="3.1489424702152071"/>
    <n v="4.03082738035702"/>
    <n v="4.1258351893095764"/>
    <x v="2"/>
    <x v="11"/>
    <x v="2"/>
    <n v="0"/>
    <x v="2"/>
    <n v="0"/>
    <n v="0"/>
    <n v="0"/>
  </r>
  <r>
    <s v="MS-S925-TOE-004"/>
    <s v="B07RC4XK1N"/>
    <x v="2"/>
    <s v="Toe Ring"/>
    <x v="44"/>
    <n v="2.5811000000000002"/>
    <s v="925 Silver"/>
    <s v="Toe Ring"/>
    <x v="0"/>
    <s v="7113.11.10.00"/>
    <s v="7113.11.00"/>
    <s v="7113.11.50.00"/>
    <s v="B07RC4XK1N Toe Ring"/>
    <n v="2.9298553290993401"/>
    <n v="3.5382592877421408"/>
    <n v="4.5291752868571269"/>
    <n v="4.635929305266183"/>
    <x v="0"/>
    <x v="11"/>
    <x v="124"/>
    <n v="25.811"/>
    <x v="127"/>
    <n v="35.382592877421409"/>
    <n v="45.291752868571265"/>
    <n v="46.359293052661826"/>
  </r>
  <r>
    <s v="BIA-S925-CHAIN-049-020-450"/>
    <s v="B01N4NY3NH"/>
    <x v="1"/>
    <s v="Rolo Chain"/>
    <x v="2"/>
    <n v="2.0398000000000001"/>
    <s v="925 Silver"/>
    <s v="chain"/>
    <x v="0"/>
    <s v="7113.11.10.00"/>
    <s v="7113.11.00"/>
    <s v="7113.11.10.00"/>
    <s v="B01N4NY3NH Rolo Chain"/>
    <n v="2.3154154818863408"/>
    <n v="2.7962269168712637"/>
    <n v="3.5793311960525229"/>
    <n v="3.6636971046770599"/>
    <x v="5"/>
    <x v="0"/>
    <x v="125"/>
    <n v="30.597000000000001"/>
    <x v="128"/>
    <n v="41.943403753068957"/>
    <n v="53.689967940787845"/>
    <n v="54.955456570155896"/>
  </r>
  <r>
    <s v="MS-S925-LOC-002"/>
    <s v="B07Q35Q174"/>
    <x v="2"/>
    <s v="Locket"/>
    <x v="292"/>
    <n v="3.6032000000000002"/>
    <s v="925 Silver"/>
    <s v="Locket"/>
    <x v="0"/>
    <s v="7113.11.10.00"/>
    <s v="7113.11.00"/>
    <s v="7113.11.10.00"/>
    <s v="B07Q35Q174 Locket"/>
    <n v="4.0900603315682238"/>
    <n v="4.9393885806797417"/>
    <n v="6.3227013264126146"/>
    <n v="6.4717292908973345"/>
    <x v="2"/>
    <x v="5"/>
    <x v="2"/>
    <n v="0"/>
    <x v="2"/>
    <n v="0"/>
    <n v="0"/>
    <n v="0"/>
  </r>
  <r>
    <s v="CN-S925-LOC-003"/>
    <s v="B07NTGYTQ6"/>
    <x v="3"/>
    <s v="Locket - Round"/>
    <x v="293"/>
    <n v="7.5782999999999996"/>
    <s v="925 Silver"/>
    <s v="Locket"/>
    <x v="0"/>
    <s v="7113.11.10.00"/>
    <s v="7113.11.00"/>
    <s v="7113.11.10.00"/>
    <s v="B07NTGYTQ6 Locket - Round"/>
    <n v="8.6022713728695237"/>
    <n v="10.388590275578732"/>
    <n v="13.297992745879416"/>
    <n v="13.611430418851928"/>
    <x v="2"/>
    <x v="5"/>
    <x v="2"/>
    <n v="0"/>
    <x v="2"/>
    <n v="0"/>
    <n v="0"/>
    <n v="0"/>
  </r>
  <r>
    <s v="CN-S925-LOC-004"/>
    <s v="B07Q7G1GF7"/>
    <x v="3"/>
    <s v="Locket - Heart"/>
    <x v="294"/>
    <n v="8.0649999999999995"/>
    <s v="925 Silver"/>
    <s v="Locket"/>
    <x v="0"/>
    <s v="7113.11.10.00"/>
    <s v="7113.11.00"/>
    <s v="7113.11.10.00"/>
    <s v="B07Q7G1GF7 Locket - Heart"/>
    <n v="9.1547337294898199"/>
    <n v="11.05577511744619"/>
    <n v="14.152027696913224"/>
    <n v="14.48559522954235"/>
    <x v="2"/>
    <x v="5"/>
    <x v="2"/>
    <n v="0"/>
    <x v="2"/>
    <n v="0"/>
    <n v="0"/>
    <n v="0"/>
  </r>
  <r>
    <s v="GS-S925-BAN-001-650"/>
    <s v="B07RCZQ431"/>
    <x v="1"/>
    <s v="Bangle - bendable with clasp"/>
    <x v="295"/>
    <n v="13.942"/>
    <s v="925 Silver"/>
    <s v="Bracelet"/>
    <x v="0"/>
    <s v="7113.11.10.00"/>
    <s v="7113.11.00"/>
    <s v="7113.11.10.00"/>
    <s v="B07RCZQ431 Bangle - bendable with clasp"/>
    <n v="15.825827359770253"/>
    <n v="19.112165739297559"/>
    <n v="24.464670818396055"/>
    <n v="25.041310438968317"/>
    <x v="2"/>
    <x v="3"/>
    <x v="2"/>
    <n v="0"/>
    <x v="2"/>
    <n v="0"/>
    <n v="0"/>
    <n v="0"/>
  </r>
  <r>
    <s v="GS-S925-EAR-014"/>
    <s v="B08PC6M657"/>
    <x v="1"/>
    <s v="Earrings - drop Feather"/>
    <x v="20"/>
    <n v="3.9954999999999998"/>
    <s v="925 Silver"/>
    <s v="Earrings"/>
    <x v="0"/>
    <s v="7113.11.10.00"/>
    <s v="7113.11.00"/>
    <s v="7113.11.50.00"/>
    <s v="B08PC6M657 Earrings - drop Feather"/>
    <n v="4.535367466357914"/>
    <n v="5.4771667057354314"/>
    <n v="7.0110882409196265"/>
    <n v="7.1763416912134481"/>
    <x v="6"/>
    <x v="1"/>
    <x v="126"/>
    <n v="99.887499999999989"/>
    <x v="129"/>
    <n v="136.92916764338577"/>
    <n v="175.27720602299067"/>
    <n v="179.40854228033621"/>
  </r>
  <r>
    <s v="BIA-GP-CHAIN-058-060-500"/>
    <s v="B07RMXS34Q"/>
    <x v="1"/>
    <s v="Chain - French Rope for men"/>
    <x v="296"/>
    <n v="23.7288"/>
    <s v="925 Silver"/>
    <s v="chain"/>
    <x v="0"/>
    <s v="7113.11.10.00"/>
    <s v="7113.11.00"/>
    <s v="7113.11.10.00"/>
    <s v="B07RMXS34Q Chain - French Rope for men"/>
    <n v="26.935008768793313"/>
    <n v="32.528242604694007"/>
    <n v="41.638020435773655"/>
    <n v="42.619441051799697"/>
    <x v="9"/>
    <x v="0"/>
    <x v="127"/>
    <n v="118.64400000000001"/>
    <x v="130"/>
    <n v="162.64121302347004"/>
    <n v="208.1901021788683"/>
    <n v="213.09720525899849"/>
  </r>
  <r>
    <s v="GS-S925-HOOP-035"/>
    <s v="B06XYVM5ML"/>
    <x v="1"/>
    <s v="Hinged Hoop Earrings"/>
    <x v="297"/>
    <n v="4.1650999999999998"/>
    <s v="925 Silver"/>
    <s v="Earrings"/>
    <x v="0"/>
    <s v="7113.11.10.00"/>
    <s v="7113.11.00"/>
    <s v="7113.11.50.00"/>
    <s v="B06XYVM5ML Hinged Hoop Earrings"/>
    <n v="4.7278836276129015"/>
    <n v="5.7096601291599667"/>
    <n v="7.3086931878999719"/>
    <n v="7.4809612759537316"/>
    <x v="7"/>
    <x v="1"/>
    <x v="128"/>
    <n v="83.301999999999992"/>
    <x v="131"/>
    <n v="114.19320258319932"/>
    <n v="146.17386375799944"/>
    <n v="149.61922551907463"/>
  </r>
  <r>
    <s v="BIA-BRP-CHAIN-059-050-500"/>
    <s v="B07RMGSK1W"/>
    <x v="1"/>
    <s v="Chain - Round Box for men"/>
    <x v="298"/>
    <n v="20.153300000000002"/>
    <s v="925 Silver"/>
    <s v="chain"/>
    <x v="0"/>
    <s v="7113.11.10.00"/>
    <s v="7113.11.00"/>
    <s v="7113.11.10.00"/>
    <s v="B07RMGSK1W Chain - Round Box for men"/>
    <n v="22.876391230071572"/>
    <n v="27.626826122061793"/>
    <n v="35.363925577706304"/>
    <n v="36.197463898268552"/>
    <x v="2"/>
    <x v="0"/>
    <x v="2"/>
    <n v="0"/>
    <x v="2"/>
    <n v="0"/>
    <n v="0"/>
    <n v="0"/>
  </r>
  <r>
    <s v="BIA-BRP-CHAIN-059-050-700"/>
    <s v="B07RLF2MFR"/>
    <x v="1"/>
    <s v="Chain - Round Box for men"/>
    <x v="299"/>
    <n v="30.373000000000001"/>
    <s v="925 Silver"/>
    <s v="chain"/>
    <x v="0"/>
    <s v="7113.11.10.00"/>
    <s v="7113.11.00"/>
    <s v="7113.11.10.00"/>
    <s v="B07RLF2MFR Chain - Round Box for men"/>
    <n v="34.476965600222485"/>
    <n v="41.636336967413911"/>
    <n v="53.296904803266635"/>
    <n v="54.553128816725341"/>
    <x v="2"/>
    <x v="0"/>
    <x v="2"/>
    <n v="0"/>
    <x v="2"/>
    <n v="0"/>
    <n v="0"/>
    <n v="0"/>
  </r>
  <r>
    <s v="GS-S925-BAN-002-650"/>
    <s v="B07RCX69TV"/>
    <x v="1"/>
    <s v="Bangle - Round 1.8 mm"/>
    <x v="300"/>
    <n v="5.8071999999999999"/>
    <s v="925 Silver"/>
    <s v="Bracelet"/>
    <x v="0"/>
    <s v="7113.11.10.00"/>
    <s v="7113.11.00"/>
    <s v="7113.11.10.00"/>
    <s v="B07RCX69TV Bangle - Round 1.8 mm"/>
    <n v="6.5918623327828003"/>
    <n v="7.9607064181070699"/>
    <n v="10.190161840237382"/>
    <n v="10.430347007687333"/>
    <x v="2"/>
    <x v="3"/>
    <x v="2"/>
    <n v="0"/>
    <x v="2"/>
    <n v="0"/>
    <n v="0"/>
    <n v="0"/>
  </r>
  <r>
    <s v="GS-S925-BAN-003-650"/>
    <s v="B07RCYMH57"/>
    <x v="1"/>
    <s v="Bangle - Twisted Wire 2.1 mm"/>
    <x v="293"/>
    <n v="5.8967999999999998"/>
    <s v="925 Silver"/>
    <s v="Bracelet"/>
    <x v="0"/>
    <s v="7113.11.10.00"/>
    <s v="7113.11.00"/>
    <s v="7113.11.10.00"/>
    <s v="B07RCYMH57 Bangle - Twisted Wire 2.1 mm"/>
    <n v="6.6935689840118506"/>
    <n v="8.0835331323690891"/>
    <n v="10.347387095245866"/>
    <n v="10.591278109059559"/>
    <x v="2"/>
    <x v="3"/>
    <x v="2"/>
    <n v="0"/>
    <x v="2"/>
    <n v="0"/>
    <n v="0"/>
    <n v="0"/>
  </r>
  <r>
    <s v="GS-S925-BAN-004-650"/>
    <s v="B07RDYB5C1"/>
    <x v="1"/>
    <s v="Bangle - Squared Wire 1.7 mm"/>
    <x v="301"/>
    <n v="6.4977999999999998"/>
    <s v="925 Silver"/>
    <s v="Bracelet"/>
    <x v="0"/>
    <s v="7113.11.10.00"/>
    <s v="7113.11.00"/>
    <s v="7113.11.10.00"/>
    <s v="B07RDYB5C1 Bangle - Squared Wire 1.7 mm"/>
    <n v="7.3757754280817061"/>
    <n v="8.9074042849524933"/>
    <n v="11.401989531184471"/>
    <n v="11.670737840362094"/>
    <x v="2"/>
    <x v="3"/>
    <x v="2"/>
    <n v="0"/>
    <x v="2"/>
    <n v="0"/>
    <n v="0"/>
    <n v="0"/>
  </r>
  <r>
    <s v="GS-S925-BAN-005-650"/>
    <s v="B07RCK3FQP"/>
    <x v="1"/>
    <s v="Bangles - Triple-Connected"/>
    <x v="302"/>
    <n v="20.483000000000001"/>
    <s v="925 Silver"/>
    <s v="Bracelet"/>
    <x v="0"/>
    <s v="7113.11.10.00"/>
    <s v="7113.11.00"/>
    <s v="7113.11.10.00"/>
    <s v="B07RCK3FQP Bangles - Triple-Connected"/>
    <n v="23.250639923265965"/>
    <n v="28.07879004719781"/>
    <n v="35.942465383245334"/>
    <n v="36.789640060349164"/>
    <x v="2"/>
    <x v="3"/>
    <x v="2"/>
    <n v="0"/>
    <x v="2"/>
    <n v="0"/>
    <n v="0"/>
    <n v="0"/>
  </r>
  <r>
    <s v="GS-S925-CHAIN-EXT-001-025"/>
    <s v="EBAY"/>
    <x v="1"/>
    <s v="Extender Cable - Silver - 5 mm spring ring"/>
    <x v="181"/>
    <n v="0.71830000000000005"/>
    <s v="925 Silver"/>
    <s v="Extender"/>
    <x v="0"/>
    <s v="7113.11.10.00"/>
    <s v="7113.11.00"/>
    <s v="7113.11.10.00"/>
    <s v="EBAY Extender Cable - Silver - 5 mm spring ring"/>
    <n v="0.81535588814538607"/>
    <n v="0.98466996489294478"/>
    <n v="1.260434159292346"/>
    <n v="1.2901429700409512"/>
    <x v="2"/>
    <x v="6"/>
    <x v="2"/>
    <n v="0"/>
    <x v="2"/>
    <n v="0"/>
    <n v="0"/>
    <n v="0"/>
  </r>
  <r>
    <s v="GS-S925-CHAIN-EXT-001-050"/>
    <s v="EBAY"/>
    <x v="1"/>
    <s v="Extender Cable - Silver - 5 mm spring ring"/>
    <x v="303"/>
    <n v="0.74480000000000002"/>
    <s v="925 Silver"/>
    <s v="Extender"/>
    <x v="0"/>
    <s v="7113.11.10.00"/>
    <s v="7113.11.00"/>
    <s v="7113.11.10.00"/>
    <s v="EBAY Extender Cable - Silver - 5 mm spring ring"/>
    <n v="0.84543653834147781"/>
    <n v="1.0209970623030284"/>
    <n v="1.3069349322580248"/>
    <n v="1.3377397801566204"/>
    <x v="2"/>
    <x v="6"/>
    <x v="2"/>
    <n v="0"/>
    <x v="2"/>
    <n v="0"/>
    <n v="0"/>
    <n v="0"/>
  </r>
  <r>
    <s v="GS-S925-CHAIN-EXT-001-100"/>
    <s v="EBAY"/>
    <x v="1"/>
    <s v="Extender Cable - Silver - 5 mm spring ring"/>
    <x v="304"/>
    <n v="0.87870000000000004"/>
    <s v="925 Silver"/>
    <s v="Extender"/>
    <x v="0"/>
    <s v="7113.11.10.00"/>
    <s v="7113.11.00"/>
    <s v="7113.11.10.00"/>
    <s v="EBAY Extender Cable - Silver - 5 mm spring ring"/>
    <n v="0.99742895574739066"/>
    <n v="1.2045517167637902"/>
    <n v="1.541895441695927"/>
    <n v="1.5782383791939076"/>
    <x v="2"/>
    <x v="6"/>
    <x v="2"/>
    <n v="0"/>
    <x v="2"/>
    <n v="0"/>
    <n v="0"/>
    <n v="0"/>
  </r>
  <r>
    <s v="GS-RP-CHAIN-EXT-001-025"/>
    <s v="EBAY"/>
    <x v="1"/>
    <s v="Extender Cable - Rhodium Plated - 5 mm spring ring"/>
    <x v="305"/>
    <n v="0.65669999999999995"/>
    <s v="925 Silver"/>
    <s v="Extender"/>
    <x v="0"/>
    <s v="7113.11.10.00"/>
    <s v="7113.11.00"/>
    <s v="7113.11.10.00"/>
    <s v="EBAY Extender Cable - Rhodium Plated - 5 mm spring ring"/>
    <n v="0.74543256542541414"/>
    <n v="0.90022659883780698"/>
    <n v="1.152341796474013"/>
    <n v="1.1795028378475463"/>
    <x v="2"/>
    <x v="6"/>
    <x v="2"/>
    <n v="0"/>
    <x v="2"/>
    <n v="0"/>
    <n v="0"/>
    <n v="0"/>
  </r>
  <r>
    <s v="GS-RP-CHAIN-EXT-001-050"/>
    <s v="EBAY"/>
    <x v="1"/>
    <s v="Extender Cable - Rhodium Plated - 5 mm spring ring"/>
    <x v="303"/>
    <n v="0.78180000000000005"/>
    <s v="925 Silver"/>
    <s v="Extender"/>
    <x v="0"/>
    <s v="7113.11.10.00"/>
    <s v="7113.11.00"/>
    <s v="7113.11.10.00"/>
    <s v="EBAY Extender Cable - Rhodium Plated - 5 mm spring ring"/>
    <n v="0.88743593672847398"/>
    <n v="1.0717179152906922"/>
    <n v="1.3718605397950105"/>
    <n v="1.4041957037143473"/>
    <x v="2"/>
    <x v="6"/>
    <x v="2"/>
    <n v="0"/>
    <x v="2"/>
    <n v="0"/>
    <n v="0"/>
    <n v="0"/>
  </r>
  <r>
    <s v="GS-RP-CHAIN-EXT-001-100"/>
    <s v="EBAY"/>
    <x v="1"/>
    <s v="Extender Cable - Rhodium Plated - 5 mm spring ring"/>
    <x v="306"/>
    <n v="0.84709999999999996"/>
    <s v="925 Silver"/>
    <s v="Extender"/>
    <x v="0"/>
    <s v="7113.11.10.00"/>
    <s v="7113.11.00"/>
    <s v="7113.11.10.00"/>
    <s v="EBAY Extender Cable - Rhodium Plated - 5 mm spring ring"/>
    <n v="0.96155919928714528"/>
    <n v="1.1612333666445962"/>
    <n v="1.4864454633670419"/>
    <n v="1.5214814282635245"/>
    <x v="2"/>
    <x v="6"/>
    <x v="2"/>
    <n v="0"/>
    <x v="2"/>
    <n v="0"/>
    <n v="0"/>
    <n v="0"/>
  </r>
  <r>
    <s v="GS-GP-CHAIN-EXT-001-025"/>
    <s v="EBAY"/>
    <x v="1"/>
    <s v="Extender Cable - Gold Plated - 5 mm spring ring"/>
    <x v="305"/>
    <n v="0.68530000000000002"/>
    <s v="925 Silver"/>
    <s v="Extender"/>
    <x v="0"/>
    <s v="7113.11.10.00"/>
    <s v="7113.11.00"/>
    <s v="7113.11.10.00"/>
    <s v="EBAY Extender Cable - Gold Plated - 5 mm spring ring"/>
    <n v="0.77789696525968688"/>
    <n v="0.9394324473634067"/>
    <n v="1.2025275363539534"/>
    <n v="1.2308714706516273"/>
    <x v="2"/>
    <x v="6"/>
    <x v="2"/>
    <n v="0"/>
    <x v="2"/>
    <n v="0"/>
    <n v="0"/>
    <n v="0"/>
  </r>
  <r>
    <s v="GS-GP-CHAIN-EXT-001-050"/>
    <s v="EBAY"/>
    <x v="1"/>
    <s v="Extender Cable - Gold Plated - 5 mm spring ring"/>
    <x v="303"/>
    <n v="0.82189999999999996"/>
    <s v="925 Silver"/>
    <s v="Extender"/>
    <x v="0"/>
    <s v="7113.11.10.00"/>
    <s v="7113.11.00"/>
    <s v="7113.11.10.00"/>
    <s v="EBAY Extender Cable - Gold Plated - 5 mm spring ring"/>
    <n v="0.93295420362897497"/>
    <n v="1.1266883532584036"/>
    <n v="1.4422258603959057"/>
    <n v="1.4762195560025861"/>
    <x v="2"/>
    <x v="6"/>
    <x v="2"/>
    <n v="0"/>
    <x v="2"/>
    <n v="0"/>
    <n v="0"/>
    <n v="0"/>
  </r>
  <r>
    <s v="GS-GP-CHAIN-EXT-001-100"/>
    <s v="EBAY"/>
    <x v="1"/>
    <s v="Extender Cable - Gold Plated - 5 mm spring ring"/>
    <x v="304"/>
    <n v="0.98"/>
    <s v="925 Silver"/>
    <s v="Extender"/>
    <x v="0"/>
    <s v="7113.11.10.00"/>
    <s v="7113.11.00"/>
    <s v="7113.11.10.00"/>
    <s v="EBAY Extender Cable - Gold Plated - 5 mm spring ring"/>
    <n v="1.112416497817734"/>
    <n v="1.3434171872408267"/>
    <n v="1.7196512266552957"/>
    <n v="1.7601839212587109"/>
    <x v="2"/>
    <x v="6"/>
    <x v="2"/>
    <n v="0"/>
    <x v="2"/>
    <n v="0"/>
    <n v="0"/>
    <n v="0"/>
  </r>
  <r>
    <s v="GS-ROSE-CHAIN-EXT-001-025"/>
    <s v="EBAY"/>
    <x v="1"/>
    <s v="Extender Cable - Rose Plated - 5 mm spring ring"/>
    <x v="307"/>
    <n v="0.66549999999999998"/>
    <s v="925 Silver"/>
    <s v="Extender"/>
    <x v="0"/>
    <s v="7113.11.10.00"/>
    <s v="7113.11.00"/>
    <s v="7113.11.10.00"/>
    <s v="EBAY Extender Cable - Rose Plated - 5 mm spring ring"/>
    <n v="0.75542161152826726"/>
    <n v="0.91228993684568382"/>
    <n v="1.1677835625909176"/>
    <n v="1.1953085710180329"/>
    <x v="2"/>
    <x v="6"/>
    <x v="2"/>
    <n v="0"/>
    <x v="2"/>
    <n v="0"/>
    <n v="0"/>
    <n v="0"/>
  </r>
  <r>
    <s v="GS-ROSE-CHAIN-EXT-001-050"/>
    <s v="EBAY"/>
    <x v="1"/>
    <s v="Extender Cable - Rose Plated - 5 mm spring ring"/>
    <x v="303"/>
    <n v="0.82189999999999996"/>
    <s v="925 Silver"/>
    <s v="Extender"/>
    <x v="0"/>
    <s v="7113.11.10.00"/>
    <s v="7113.11.00"/>
    <s v="7113.11.10.00"/>
    <s v="EBAY Extender Cable - Rose Plated - 5 mm spring ring"/>
    <n v="0.93295420362897497"/>
    <n v="1.1266883532584036"/>
    <n v="1.4422258603959057"/>
    <n v="1.4762195560025861"/>
    <x v="2"/>
    <x v="6"/>
    <x v="2"/>
    <n v="0"/>
    <x v="2"/>
    <n v="0"/>
    <n v="0"/>
    <n v="0"/>
  </r>
  <r>
    <s v="GS-ROSE-CHAIN-EXT-001-100"/>
    <s v="EBAY"/>
    <x v="1"/>
    <s v="Extender Cable - Rose Plated - 5 mm spring ring"/>
    <x v="308"/>
    <n v="0.96279999999999999"/>
    <s v="925 Silver"/>
    <s v="Extender"/>
    <x v="0"/>
    <s v="7113.11.10.00"/>
    <s v="7113.11.00"/>
    <s v="7113.11.10.00"/>
    <s v="EBAY Extender Cable - Rose Plated - 5 mm spring ring"/>
    <n v="1.0928924531621573"/>
    <n v="1.3198388447708858"/>
    <n v="1.6894695928813457"/>
    <n v="1.7292908973345784"/>
    <x v="2"/>
    <x v="6"/>
    <x v="2"/>
    <n v="0"/>
    <x v="2"/>
    <n v="0"/>
    <n v="0"/>
    <n v="0"/>
  </r>
  <r>
    <s v="S925-BC-4016-PIN-3H"/>
    <s v="B071YCGHGQ"/>
    <x v="0"/>
    <s v="Pin - Rose"/>
    <x v="222"/>
    <n v="8.7967999999999993"/>
    <s v="925 Silver"/>
    <s v="Pin"/>
    <x v="0"/>
    <s v="7113.11.10.00"/>
    <s v="7113.11.00"/>
    <s v="7113.11.50.00"/>
    <s v="B071YCGHGQ Pin - Rose"/>
    <n v="9.9854137224520834"/>
    <n v="12.05895133951031"/>
    <n v="15.436150929225821"/>
    <n v="15.79998563115166"/>
    <x v="2"/>
    <x v="9"/>
    <x v="2"/>
    <n v="0"/>
    <x v="2"/>
    <n v="0"/>
    <n v="0"/>
    <n v="0"/>
  </r>
  <r>
    <s v="BIA-BRP-CHAIN-060-150-650"/>
    <s v="B07RP1KJFG"/>
    <x v="1"/>
    <s v="Chain - Super Flat Curb - Gauge 150 - Width 5 mm"/>
    <x v="309"/>
    <n v="17.1372"/>
    <s v="925 Silver"/>
    <s v="chain"/>
    <x v="0"/>
    <s v="7113.11.10.00"/>
    <s v="7113.11.00"/>
    <s v="7113.11.10.00"/>
    <s v="B07RP1KJFG Chain - Super Flat Curb - Gauge 150 - Width 5 mm"/>
    <n v="19.452759190206194"/>
    <n v="23.492254103248467"/>
    <n v="30.07143571575218"/>
    <n v="30.780228464688552"/>
    <x v="2"/>
    <x v="0"/>
    <x v="2"/>
    <n v="0"/>
    <x v="2"/>
    <n v="0"/>
    <n v="0"/>
    <n v="0"/>
  </r>
  <r>
    <s v="S925-BC-4107-PIN-3H"/>
    <s v="B071DDF47N"/>
    <x v="0"/>
    <s v="Pin - Mouse"/>
    <x v="253"/>
    <n v="3.9426999999999999"/>
    <s v="925 Silver"/>
    <s v="Pin"/>
    <x v="0"/>
    <s v="7113.11.10.00"/>
    <s v="7113.11.00"/>
    <s v="7113.11.50.00"/>
    <s v="B071DDF47N Pin - Mouse"/>
    <n v="4.4754331897407953"/>
    <n v="5.404786677688171"/>
    <n v="6.9184376442181987"/>
    <n v="7.0815072921905307"/>
    <x v="2"/>
    <x v="9"/>
    <x v="2"/>
    <n v="0"/>
    <x v="2"/>
    <n v="0"/>
    <n v="0"/>
    <n v="0"/>
  </r>
  <r>
    <s v="S925-BC-5260-EAR-7M"/>
    <s v="B071D2RT4F"/>
    <x v="0"/>
    <s v="Earrings - multicolour 3 stones  stud"/>
    <x v="172"/>
    <n v="3.8546"/>
    <s v="925 Silver"/>
    <s v="Earrings"/>
    <x v="0"/>
    <s v="7113.11.10.00"/>
    <s v="7113.11.00"/>
    <s v="7113.11.50.00"/>
    <s v="B071D2RT4F Earrings - multicolour 3 stones  stud"/>
    <n v="4.375429216824732"/>
    <n v="5.2840162142229499"/>
    <n v="6.7638445084341869"/>
    <n v="6.9232703498814567"/>
    <x v="5"/>
    <x v="1"/>
    <x v="129"/>
    <n v="57.819000000000003"/>
    <x v="132"/>
    <n v="79.260243213344253"/>
    <n v="101.45766762651282"/>
    <n v="103.84905524822184"/>
  </r>
  <r>
    <s v="S925-BC-5940-EAR-6G"/>
    <s v="B071D2S76L"/>
    <x v="0"/>
    <s v="Earrings - Round Stud  petals"/>
    <x v="20"/>
    <n v="2.8062"/>
    <s v="925 Silver"/>
    <s v="Earrings"/>
    <x v="0"/>
    <s v="7113.11.10.00"/>
    <s v="7113.11.00"/>
    <s v="7113.11.50.00"/>
    <s v="B071D2S76L Earrings - Round Stud  petals"/>
    <n v="3.1853705879348215"/>
    <n v="3.8468339906481717"/>
    <n v="4.9241686451429505"/>
    <n v="5.040232775343056"/>
    <x v="0"/>
    <x v="1"/>
    <x v="130"/>
    <n v="28.062000000000001"/>
    <x v="133"/>
    <n v="38.468339906481717"/>
    <n v="49.241686451429501"/>
    <n v="50.402327753430562"/>
  </r>
  <r>
    <s v="BIA-BRP-CHAIN-060-200"/>
    <s v="B07T69R46V"/>
    <x v="1"/>
    <s v="Chain Bracelet - Super Flat Curb - Gauge 200 - Width 8 mm"/>
    <x v="310"/>
    <n v="11.8965"/>
    <s v="925 Silver"/>
    <s v="Bracelet"/>
    <x v="0"/>
    <s v="7113.11.10.00"/>
    <s v="7113.11.00"/>
    <s v="7113.11.10.00"/>
    <s v="B07T69R46V Chain Bracelet - Super Flat Curb - Gauge 200 - Width 8 mm"/>
    <n v="13.503941700294563"/>
    <n v="16.308125069398464"/>
    <n v="20.875337569290537"/>
    <n v="21.36737552985128"/>
    <x v="9"/>
    <x v="3"/>
    <x v="131"/>
    <n v="59.482500000000002"/>
    <x v="134"/>
    <n v="81.540625346992329"/>
    <n v="104.3766878464527"/>
    <n v="106.83687764925639"/>
  </r>
  <r>
    <s v="BIA-RP-CHAIN-060-200"/>
    <s v="B07T56B5F7"/>
    <x v="1"/>
    <s v="Chain Bracelet - Super Flat Curb - Gauge 200 - Width 8 mm"/>
    <x v="285"/>
    <n v="11.439299999999999"/>
    <s v="925 Silver"/>
    <s v="Bracelet"/>
    <x v="0"/>
    <s v="7113.11.10.00"/>
    <s v="7113.11.00"/>
    <s v="7113.11.10.00"/>
    <s v="B07T56B5F7 Chain Bracelet - Super Flat Curb - Gauge 200 - Width 8 mm"/>
    <n v="12.98496535049633"/>
    <n v="15.681379826534682"/>
    <n v="20.07306762967135"/>
    <n v="20.546195847402828"/>
    <x v="9"/>
    <x v="3"/>
    <x v="132"/>
    <n v="57.1965"/>
    <x v="135"/>
    <n v="78.406899132673416"/>
    <n v="100.36533814835677"/>
    <n v="102.73097923701414"/>
  </r>
  <r>
    <s v="GS-S925-BRA-MEN-001-205"/>
    <s v="B07T569WFS"/>
    <x v="1"/>
    <s v="Chain Bracelet - Men - Rhodium Brushed"/>
    <x v="311"/>
    <n v="27.129300000000001"/>
    <s v="925 Silver"/>
    <s v="Bracelet"/>
    <x v="0"/>
    <s v="7113.11.10.00"/>
    <s v="7113.11.00"/>
    <s v="7113.11.10.00"/>
    <s v="B07T569WFS Chain Bracelet - Men - Rhodium Brushed"/>
    <n v="30.794980504333317"/>
    <n v="37.189763161033227"/>
    <n v="47.605034717652572"/>
    <n v="48.727099647963215"/>
    <x v="2"/>
    <x v="3"/>
    <x v="2"/>
    <n v="0"/>
    <x v="2"/>
    <n v="0"/>
    <n v="0"/>
    <n v="0"/>
  </r>
  <r>
    <s v="PAV-S925-EAR-CRAW-003"/>
    <s v="B07Z568XVY"/>
    <x v="2"/>
    <s v="Earrings - Crawler - stars"/>
    <x v="312"/>
    <n v="2.7919999999999998"/>
    <s v="925 Silver"/>
    <s v="Earrings"/>
    <x v="0"/>
    <s v="7113.11.10.00"/>
    <s v="7113.11.00"/>
    <s v="7113.11.50.00"/>
    <s v="B07Z568XVY Earrings - Crawler - stars"/>
    <n v="3.1692518999052175"/>
    <n v="3.8273681497718246"/>
    <n v="4.8992512498179446"/>
    <n v="5.0147280695452254"/>
    <x v="5"/>
    <x v="1"/>
    <x v="133"/>
    <n v="41.879999999999995"/>
    <x v="136"/>
    <n v="57.410522246577365"/>
    <n v="73.488768747269162"/>
    <n v="75.220921043178379"/>
  </r>
  <r>
    <s v="PAV-S925-HOOP-BALI-002-020"/>
    <s v="B07QS9Y5YM"/>
    <x v="2"/>
    <s v="Hoop Earrings - Bali - 20 mm"/>
    <x v="313"/>
    <n v="3.9277000000000002"/>
    <s v="925 Silver"/>
    <s v="Earrings"/>
    <x v="0"/>
    <s v="7113.11.10.00"/>
    <s v="7113.11.00"/>
    <s v="7113.11.50.00"/>
    <s v="B07QS9Y5YM Hoop Earrings - Bali - 20 mm"/>
    <n v="4.4584064066109326"/>
    <n v="5.3842241697201993"/>
    <n v="6.8921164519734752"/>
    <n v="7.05456570155902"/>
    <x v="6"/>
    <x v="1"/>
    <x v="134"/>
    <n v="98.19250000000001"/>
    <x v="137"/>
    <n v="134.60560424300499"/>
    <n v="172.3029112993369"/>
    <n v="176.3641425389755"/>
  </r>
  <r>
    <s v="PAV-S925-HOOP-BALI-003-015"/>
    <s v="B07QNYQDSW"/>
    <x v="2"/>
    <s v="Hoop Earrings - Bali - 15 mm"/>
    <x v="131"/>
    <n v="2.9137"/>
    <s v="925 Silver"/>
    <s v="Earrings"/>
    <x v="0"/>
    <s v="7113.11.10.00"/>
    <s v="7113.11.00"/>
    <s v="7113.11.50.00"/>
    <s v="B07QNYQDSW Hoop Earrings - Bali - 15 mm"/>
    <n v="3.307395867032175"/>
    <n v="3.994198631085303"/>
    <n v="5.1128038562301379"/>
    <n v="5.2333141748688838"/>
    <x v="12"/>
    <x v="1"/>
    <x v="135"/>
    <n v="116.548"/>
    <x v="138"/>
    <n v="159.76794524341213"/>
    <n v="204.51215424920554"/>
    <n v="209.33256699475535"/>
  </r>
  <r>
    <s v="PAV-S925-EAR-CRAW-005"/>
    <s v="B07Z57KVT4"/>
    <x v="2"/>
    <s v="Earrings - Crawler - ZigZag"/>
    <x v="314"/>
    <n v="2.7109000000000001"/>
    <s v="925 Silver"/>
    <s v="Earrings"/>
    <x v="0"/>
    <s v="7113.11.10.00"/>
    <s v="7113.11.00"/>
    <s v="7113.11.50.00"/>
    <s v="B07Z57KVT4 Earrings - Crawler - ZigZag"/>
    <n v="3.0771937591164238"/>
    <n v="3.7161935233583239"/>
    <n v="4.7569413370814706"/>
    <n v="4.8690638695308568"/>
    <x v="9"/>
    <x v="1"/>
    <x v="136"/>
    <n v="13.554500000000001"/>
    <x v="139"/>
    <n v="18.580967616791618"/>
    <n v="23.784706685407357"/>
    <n v="24.345319347654282"/>
  </r>
  <r>
    <s v="PAV-S925-EAR-TWIST-001"/>
    <s v="B07TMP23LG"/>
    <x v="2"/>
    <s v="Earrings - twisted shape - flat wire"/>
    <x v="315"/>
    <n v="1.5750999999999999"/>
    <s v="925 Silver"/>
    <s v="Earrings"/>
    <x v="0"/>
    <s v="7113.11.10.00"/>
    <s v="7113.11.00"/>
    <s v="7113.11.50.00"/>
    <s v="B07TMP23LG Earrings - twisted shape - flat wire"/>
    <n v="1.7879257405231763"/>
    <n v="2.1592004200234962"/>
    <n v="2.7639006603109757"/>
    <n v="2.8290466269128527"/>
    <x v="2"/>
    <x v="1"/>
    <x v="2"/>
    <n v="0"/>
    <x v="2"/>
    <n v="0"/>
    <n v="0"/>
    <n v="0"/>
  </r>
  <r>
    <s v="PAV-S925-EAR-TWIST-002"/>
    <s v="B07TMMS3K8"/>
    <x v="2"/>
    <s v="Earrings - twisted shape"/>
    <x v="316"/>
    <n v="4.0087999999999999"/>
    <s v="925 Silver"/>
    <s v="Earrings"/>
    <x v="0"/>
    <s v="7113.11.10.00"/>
    <s v="7113.11.00"/>
    <s v="7113.11.50.00"/>
    <s v="B07TMMS3K8 Earrings - twisted shape"/>
    <n v="4.5504645473997263"/>
    <n v="5.4953987961337001"/>
    <n v="7.0344263647099483"/>
    <n v="7.2002299015733886"/>
    <x v="2"/>
    <x v="1"/>
    <x v="2"/>
    <n v="0"/>
    <x v="2"/>
    <n v="0"/>
    <n v="0"/>
    <n v="0"/>
  </r>
  <r>
    <s v="S925-WHI-PEN-LET-001-E"/>
    <s v="B082BBXWB3"/>
    <x v="1"/>
    <s v="Pendant - Letter - E"/>
    <x v="158"/>
    <n v="4.8501000000000003"/>
    <s v="925 Silver"/>
    <s v="Pendant"/>
    <x v="0"/>
    <s v="7113.11.10.00"/>
    <s v="7113.11.00"/>
    <s v="7113.11.50.00"/>
    <s v="B082BBXWB3 Pendant - Letter - E"/>
    <n v="5.5054400572099915"/>
    <n v="6.6486813263640148"/>
    <n v="8.5106943004090319"/>
    <n v="8.71129391479273"/>
    <x v="2"/>
    <x v="4"/>
    <x v="2"/>
    <n v="0"/>
    <x v="2"/>
    <n v="0"/>
    <n v="0"/>
    <n v="0"/>
  </r>
  <r>
    <s v="GS-S925-NEC-PEN-001"/>
    <s v="B07SGMNVF8"/>
    <x v="1"/>
    <s v="Neaklce - chain with infinity"/>
    <x v="317"/>
    <n v="8.6470000000000002"/>
    <s v="925 Silver"/>
    <s v="chain"/>
    <x v="0"/>
    <s v="7113.11.10.00"/>
    <s v="7113.11.00"/>
    <s v="7113.11.10.00"/>
    <s v="B07SGMNVF8 Neaklce - chain with infinity"/>
    <n v="9.8153729149285169"/>
    <n v="11.853600426603499"/>
    <n v="15.173289956008514"/>
    <n v="15.530928946044973"/>
    <x v="2"/>
    <x v="0"/>
    <x v="2"/>
    <n v="0"/>
    <x v="2"/>
    <n v="0"/>
    <n v="0"/>
    <n v="0"/>
  </r>
  <r>
    <s v="GS-S925-NEC-PEN-002"/>
    <s v="B07SHPTG4G"/>
    <x v="1"/>
    <s v="Neaklce - chain with leaf"/>
    <x v="231"/>
    <n v="5.9688999999999997"/>
    <s v="925 Silver"/>
    <s v="chain"/>
    <x v="0"/>
    <s v="7113.11.10.00"/>
    <s v="7113.11.00"/>
    <s v="7113.11.10.00"/>
    <s v="B07SHPTG4G Neaklce - chain with leaf"/>
    <n v="6.775411054922726"/>
    <n v="8.1823702540018068"/>
    <n v="10.473904292635504"/>
    <n v="10.72077735469502"/>
    <x v="2"/>
    <x v="0"/>
    <x v="2"/>
    <n v="0"/>
    <x v="2"/>
    <n v="0"/>
    <n v="0"/>
    <n v="0"/>
  </r>
  <r>
    <s v="GS-S925-NEC-CRY-001"/>
    <s v="B07SJPBY26"/>
    <x v="1"/>
    <s v="Necklace - trace chain with SVAROWSKY Rainbow Cube 8 mm"/>
    <x v="252"/>
    <n v="4.5416999999999996"/>
    <s v="925 Silver"/>
    <s v="chain"/>
    <x v="0"/>
    <s v="7113.11.10.00"/>
    <s v="7113.11.00"/>
    <s v="7113.11.10.00"/>
    <s v="B07SJPBY26 Necklace - trace chain with SVAROWSKY Rainbow Cube 8 mm"/>
    <n v="5.155369396060002"/>
    <n v="6.2259161625425126"/>
    <n v="7.9695305878575065"/>
    <n v="8.1573748114088644"/>
    <x v="2"/>
    <x v="0"/>
    <x v="2"/>
    <n v="0"/>
    <x v="2"/>
    <n v="0"/>
    <n v="0"/>
    <n v="0"/>
  </r>
  <r>
    <s v="GS-S925-NEC-CRY-002"/>
    <s v="B07SHPSYN3"/>
    <x v="1"/>
    <s v="Necklace - trace chain with SVAROWSKY Rainbow Ball 8 mm"/>
    <x v="318"/>
    <n v="3.7048000000000001"/>
    <s v="925 Silver"/>
    <s v="chain"/>
    <x v="0"/>
    <s v="7113.11.10.00"/>
    <s v="7113.11.00"/>
    <s v="7113.11.10.00"/>
    <s v="B07SHPSYN3 Necklace - trace chain with SVAROWSKY Rainbow Ball 8 mm"/>
    <n v="4.2053884093011638"/>
    <n v="5.0786653013161374"/>
    <n v="6.5009835352168777"/>
    <n v="6.6542136647747681"/>
    <x v="2"/>
    <x v="0"/>
    <x v="2"/>
    <n v="0"/>
    <x v="2"/>
    <n v="0"/>
    <n v="0"/>
    <n v="0"/>
  </r>
  <r>
    <s v="GS-S925-EAR-CRY-001-LS"/>
    <s v="B07SRV6JZG"/>
    <x v="1"/>
    <s v="Earrings - Stud SVAROWSKY LIGHT SIAM stone 6 mm"/>
    <x v="71"/>
    <n v="6.1169000000000002"/>
    <s v="925 Silver"/>
    <s v="Earrings"/>
    <x v="0"/>
    <s v="7113.11.10.00"/>
    <s v="7113.11.00"/>
    <s v="7113.11.50.00"/>
    <s v="B07SRV6JZG Earrings - Stud SVAROWSKY LIGHT SIAM stone 6 mm"/>
    <n v="6.9434086484707116"/>
    <n v="8.3852536659524635"/>
    <n v="10.733606722783449"/>
    <n v="10.986601048925928"/>
    <x v="2"/>
    <x v="1"/>
    <x v="2"/>
    <n v="0"/>
    <x v="2"/>
    <n v="0"/>
    <n v="0"/>
    <n v="0"/>
  </r>
  <r>
    <s v="GS-S925-EAR-CRY-001-AQ"/>
    <s v="B07STWSK97"/>
    <x v="1"/>
    <s v="Earrings - Stud SVAROWSKY Aquamarine stone 6 mm"/>
    <x v="290"/>
    <n v="6.9855"/>
    <s v="925 Silver"/>
    <s v="Earrings"/>
    <x v="0"/>
    <s v="7113.11.10.00"/>
    <s v="7113.11.00"/>
    <s v="7113.11.50.00"/>
    <s v="B07STWSK97 Earrings - Stud SVAROWSKY Aquamarine stone 6 mm"/>
    <n v="7.9293729035773275"/>
    <n v="9.5759599606844841"/>
    <n v="12.257779228367928"/>
    <n v="12.546698757094617"/>
    <x v="2"/>
    <x v="1"/>
    <x v="2"/>
    <n v="0"/>
    <x v="2"/>
    <n v="0"/>
    <n v="0"/>
    <n v="0"/>
  </r>
  <r>
    <s v="PAV-S925-EAR-CRY-002"/>
    <s v="B07STWSC6R"/>
    <x v="2"/>
    <s v="Earrings - Stud with CZ Rainbow Cube - 6 mm?"/>
    <x v="319"/>
    <n v="2.2728000000000002"/>
    <s v="925 Silver"/>
    <s v="Earrings"/>
    <x v="0"/>
    <s v="7113.11.10.00"/>
    <s v="7113.11.00"/>
    <s v="7113.11.50.00"/>
    <s v="B07STWSC6R Earrings - Stud with CZ Rainbow Cube - 6 mm?"/>
    <n v="2.5798981798368836"/>
    <n v="3.1156312073070929"/>
    <n v="3.988187048920568"/>
    <n v="4.0821898124865292"/>
    <x v="2"/>
    <x v="1"/>
    <x v="2"/>
    <n v="0"/>
    <x v="2"/>
    <n v="0"/>
    <n v="0"/>
    <n v="0"/>
  </r>
  <r>
    <s v="PAV-S925-EAR-CRY-003"/>
    <s v="B07SX4VXD2"/>
    <x v="2"/>
    <s v="Earrings - Stud with CZ Rainbow Ball - 10 mm?"/>
    <x v="320"/>
    <n v="1.4616"/>
    <s v="925 Silver"/>
    <s v="Earrings"/>
    <x v="0"/>
    <s v="7113.11.10.00"/>
    <s v="7113.11.00"/>
    <s v="7113.11.50.00"/>
    <s v="B07SX4VXD2 Earrings - Stud with CZ Rainbow Ball - 10 mm?"/>
    <n v="1.6590897481738776"/>
    <n v="2.0036107763991757"/>
    <n v="2.5647369723258984"/>
    <n v="2.6251885911344206"/>
    <x v="2"/>
    <x v="1"/>
    <x v="2"/>
    <n v="0"/>
    <x v="2"/>
    <n v="0"/>
    <n v="0"/>
    <n v="0"/>
  </r>
  <r>
    <s v="TIE-S925-BRA-026-030-190"/>
    <s v="B07TZYMD5V"/>
    <x v="1"/>
    <s v="Silver Charms Bracelet"/>
    <x v="321"/>
    <n v="5.1875"/>
    <s v="925 Silver"/>
    <s v="Bracelet"/>
    <x v="0"/>
    <s v="7113.11.10.00"/>
    <s v="7113.11.00"/>
    <s v="7113.11.10.00"/>
    <s v="B07TZYMD5V Silver Charms Bracelet"/>
    <n v="5.888429165744383"/>
    <n v="7.1112006722569276"/>
    <n v="9.1027456513003546"/>
    <n v="9.3173000933975132"/>
    <x v="2"/>
    <x v="3"/>
    <x v="2"/>
    <n v="0"/>
    <x v="2"/>
    <n v="0"/>
    <n v="0"/>
    <n v="0"/>
  </r>
  <r>
    <s v="TIE-S925-BRA-026-030-200"/>
    <s v="B07TZYC6H3"/>
    <x v="1"/>
    <s v="Silver Charms Bracelet"/>
    <x v="322"/>
    <n v="5.7625999999999999"/>
    <s v="925 Silver"/>
    <s v="Bracelet"/>
    <x v="0"/>
    <s v="7113.11.10.00"/>
    <s v="7113.11.00"/>
    <s v="7113.11.10.00"/>
    <s v="B07TZYC6H3 Silver Charms Bracelet"/>
    <n v="6.5412360309433408"/>
    <n v="7.8995672277489675"/>
    <n v="10.111900161963069"/>
    <n v="10.350240678209641"/>
    <x v="2"/>
    <x v="3"/>
    <x v="2"/>
    <n v="0"/>
    <x v="2"/>
    <n v="0"/>
    <n v="0"/>
    <n v="0"/>
  </r>
  <r>
    <s v="TIE-S925-BRA-027"/>
    <s v="B07W5N53X1"/>
    <x v="1"/>
    <s v="Silver Ball Bracelet - Luck"/>
    <x v="273"/>
    <n v="7.4401000000000002"/>
    <s v="925 Silver"/>
    <s v="Bracelet"/>
    <x v="0"/>
    <s v="7113.11.10.00"/>
    <s v="7113.11.00"/>
    <s v="7113.11.10.00"/>
    <s v="B07W5N53X1 Silver Ball Bracelet - Luck"/>
    <n v="8.4453979442997174"/>
    <n v="10.199141035500485"/>
    <n v="13.055486827998028"/>
    <n v="13.363208563833608"/>
    <x v="2"/>
    <x v="3"/>
    <x v="2"/>
    <n v="0"/>
    <x v="2"/>
    <n v="0"/>
    <n v="0"/>
    <n v="0"/>
  </r>
  <r>
    <s v="TIE-S925-BRA-028"/>
    <s v="B07W7SW486"/>
    <x v="1"/>
    <s v="Silver Ball Bracelet - Love Mom"/>
    <x v="277"/>
    <n v="7.8630000000000004"/>
    <s v="925 Silver"/>
    <s v="Bracelet"/>
    <x v="0"/>
    <s v="7113.11.10.00"/>
    <s v="7113.11.00"/>
    <s v="7113.11.10.00"/>
    <s v="B07W7SW486 Silver Ball Bracelet - Love Mom"/>
    <n v="8.9254397166743296"/>
    <n v="10.778866676810837"/>
    <n v="13.797568974684278"/>
    <n v="14.122781809038006"/>
    <x v="9"/>
    <x v="3"/>
    <x v="137"/>
    <n v="39.315000000000005"/>
    <x v="140"/>
    <n v="53.894333384054192"/>
    <n v="68.987844873421395"/>
    <n v="70.613909045190027"/>
  </r>
  <r>
    <s v="GS-S925-ANK-026"/>
    <s v="B07X9HLNDS"/>
    <x v="1"/>
    <s v="Silver Anklet with coins"/>
    <x v="277"/>
    <n v="9.202"/>
    <s v="925 Silver"/>
    <s v="Anklet"/>
    <x v="0"/>
    <s v="7113.11.10.00"/>
    <s v="7113.11.00"/>
    <s v="7113.11.10.00"/>
    <s v="B07X9HLNDS Silver Anklet with coins"/>
    <n v="10.445363890733457"/>
    <n v="12.614413221418456"/>
    <n v="16.147174069063297"/>
    <n v="16.527767799410878"/>
    <x v="2"/>
    <x v="2"/>
    <x v="2"/>
    <n v="0"/>
    <x v="2"/>
    <n v="0"/>
    <n v="0"/>
    <n v="0"/>
  </r>
  <r>
    <s v="S925-WHI-PEN-LET-001-M"/>
    <s v="B082BCY7KW"/>
    <x v="1"/>
    <s v="Pendant - Letter - M"/>
    <x v="323"/>
    <n v="6.4912999999999998"/>
    <s v="925 Silver"/>
    <s v="Pendant"/>
    <x v="0"/>
    <s v="7113.11.10.00"/>
    <s v="7113.11.00"/>
    <s v="7113.11.50.00"/>
    <s v="B082BCY7KW Pendant - Letter - M"/>
    <n v="7.3683971553920982"/>
    <n v="8.8984938648330392"/>
    <n v="11.390583681211757"/>
    <n v="11.659063151088439"/>
    <x v="0"/>
    <x v="4"/>
    <x v="138"/>
    <n v="64.912999999999997"/>
    <x v="141"/>
    <n v="88.984938648330385"/>
    <n v="113.90583681211757"/>
    <n v="116.59063151088439"/>
  </r>
  <r>
    <s v="S925-WHI-PEN-LET-001-T"/>
    <s v="B082BBSFKK"/>
    <x v="1"/>
    <s v="Pendant - Letter - T"/>
    <x v="21"/>
    <n v="4.7081999999999997"/>
    <s v="925 Silver"/>
    <s v="Pendant"/>
    <x v="0"/>
    <s v="7113.11.10.00"/>
    <s v="7113.11.00"/>
    <s v="7113.11.50.00"/>
    <s v="B082BBSFKK Pendant - Letter - T"/>
    <n v="5.3443666888014842"/>
    <n v="6.4541600009869997"/>
    <n v="8.2616958217739427"/>
    <n v="8.4564264674186358"/>
    <x v="0"/>
    <x v="4"/>
    <x v="139"/>
    <n v="47.081999999999994"/>
    <x v="142"/>
    <n v="64.541600009869995"/>
    <n v="82.616958217739409"/>
    <n v="84.564264674186362"/>
  </r>
  <r>
    <s v="S925-WHI-EAR-CEL-003"/>
    <s v="B083KMC8K1"/>
    <x v="2"/>
    <s v="Silver Earrings - Celtic Design- Stud - Knot"/>
    <x v="324"/>
    <n v="2.7513999999999998"/>
    <s v="925 Silver"/>
    <s v="Earrings"/>
    <x v="0"/>
    <s v="7113.11.10.00"/>
    <s v="7113.11.00"/>
    <s v="7113.11.50.00"/>
    <s v="B083KMC8K1 Silver Earrings - Celtic Design- Stud - Knot"/>
    <n v="3.1231660735670541"/>
    <n v="3.7717122948718473"/>
    <n v="4.8280085561422252"/>
    <n v="4.9418061642359357"/>
    <x v="2"/>
    <x v="1"/>
    <x v="2"/>
    <n v="0"/>
    <x v="2"/>
    <n v="0"/>
    <n v="0"/>
    <n v="0"/>
  </r>
  <r>
    <s v="S925-WHI-EAR-CEL-005"/>
    <s v="B083KLZKT1"/>
    <x v="2"/>
    <s v="Silver Earrings - Celtic Design- Stud "/>
    <x v="176"/>
    <n v="3.3193000000000001"/>
    <s v="925 Silver"/>
    <s v="Earrings"/>
    <x v="0"/>
    <s v="7113.11.10.00"/>
    <s v="7113.11.00"/>
    <s v="7113.11.50.00"/>
    <s v="B083KLZKT1 Silver Earrings - Celtic Design- Stud "/>
    <n v="3.767800082863678"/>
    <n v="4.5502088465392614"/>
    <n v="5.8245288945274734"/>
    <n v="5.9618147855449388"/>
    <x v="2"/>
    <x v="1"/>
    <x v="2"/>
    <n v="0"/>
    <x v="2"/>
    <n v="0"/>
    <n v="0"/>
    <n v="0"/>
  </r>
  <r>
    <s v="GS-RP-CHAIN-EXT-001"/>
    <s v="B07RZSHQVH"/>
    <x v="1"/>
    <s v="Chain Extender - 3 sizes together - rhodium"/>
    <x v="76"/>
    <n v="1.9499"/>
    <s v="925 Silver"/>
    <s v="Extender"/>
    <x v="0"/>
    <s v="7113.11.10.00"/>
    <s v="7113.11.00"/>
    <s v="7113.11.10.00"/>
    <s v="B07RZSHQVH Chain Extender - 3 sizes together - rhodium"/>
    <n v="2.2133682949946931"/>
    <n v="2.6729889524498858"/>
    <n v="3.4215795171991443"/>
    <n v="3.5022271714922044"/>
    <x v="2"/>
    <x v="6"/>
    <x v="2"/>
    <n v="0"/>
    <x v="2"/>
    <n v="0"/>
    <n v="0"/>
    <n v="0"/>
  </r>
  <r>
    <s v="S925-BLA-NEC-CHA-006-010-500"/>
    <s v="B0848FDK7Q"/>
    <x v="1"/>
    <s v="Box Chain"/>
    <x v="172"/>
    <n v="2.7313000000000001"/>
    <s v="925 Silver"/>
    <s v="chain"/>
    <x v="0"/>
    <s v="7113.11.10.00"/>
    <s v="7113.11.00"/>
    <s v="7113.11.10.00"/>
    <s v="B0848FDK7Q Box Chain"/>
    <n v="3.1003501841730374"/>
    <n v="3.7441585341947654"/>
    <n v="4.7927381585342959"/>
    <n v="4.9057044327897117"/>
    <x v="9"/>
    <x v="0"/>
    <x v="140"/>
    <n v="13.656500000000001"/>
    <x v="143"/>
    <n v="18.720792670973829"/>
    <n v="23.963690792671478"/>
    <n v="24.528522163948558"/>
  </r>
  <r>
    <s v="S925-WHI-BRA-CHA-037-190"/>
    <s v="B0854N4WRJ"/>
    <x v="1"/>
    <s v="Bracelet - Rolo chain with Wings"/>
    <x v="325"/>
    <n v="4.0316999999999998"/>
    <s v="925 Silver"/>
    <s v="Bracelet"/>
    <x v="0"/>
    <s v="7113.11.10.00"/>
    <s v="7113.11.00"/>
    <s v="7113.11.10.00"/>
    <s v="B0854N4WRJ Bracelet - Rolo chain with Wings"/>
    <n v="4.5764587696446508"/>
    <n v="5.5267908916314701"/>
    <n v="7.0746100515368937"/>
    <n v="7.2413607299374947"/>
    <x v="9"/>
    <x v="3"/>
    <x v="141"/>
    <n v="20.1585"/>
    <x v="144"/>
    <n v="27.633954458157351"/>
    <n v="35.373050257684469"/>
    <n v="36.206803649687473"/>
  </r>
  <r>
    <s v="S925-WHI-BRA-CHA-040-200"/>
    <s v="B0854N624S"/>
    <x v="1"/>
    <s v="Bracelet - Rolo chain with Hearts"/>
    <x v="326"/>
    <n v="5.4718"/>
    <s v="925 Silver"/>
    <s v="Bracelet"/>
    <x v="0"/>
    <s v="7113.11.10.00"/>
    <s v="7113.11.00"/>
    <s v="7113.11.10.00"/>
    <s v="B0854N624S Bracelet - Rolo chain with Hearts"/>
    <n v="6.2111434619990575"/>
    <n v="7.5009287399432205"/>
    <n v="9.6016199816453547"/>
    <n v="9.8279330411667498"/>
    <x v="2"/>
    <x v="3"/>
    <x v="2"/>
    <n v="0"/>
    <x v="2"/>
    <n v="0"/>
    <n v="0"/>
    <n v="0"/>
  </r>
  <r>
    <s v="GS-GP-PEN-COIN-001"/>
    <s v="B07Z59WJPW"/>
    <x v="1"/>
    <s v="Coin Pendant - St Christopher - Gold Plated"/>
    <x v="87"/>
    <n v="5.1803999999999997"/>
    <s v="925 Silver"/>
    <s v="Pendant"/>
    <x v="0"/>
    <s v="7113.11.10.00"/>
    <s v="7113.11.00"/>
    <s v="7113.11.50.00"/>
    <s v="B07Z59WJPW Coin Pendant - St Christopher - Gold Plated"/>
    <n v="5.8803698217295803"/>
    <n v="7.1014677518187534"/>
    <n v="9.0902869536378503"/>
    <n v="9.3045477404985988"/>
    <x v="2"/>
    <x v="4"/>
    <x v="2"/>
    <n v="0"/>
    <x v="2"/>
    <n v="0"/>
    <n v="0"/>
    <n v="0"/>
  </r>
  <r>
    <s v="GS-S925-NEC-MEN-001-500"/>
    <s v="B093QBWDLL"/>
    <x v="1"/>
    <s v="Silver Rhodium Plated Double Dog tag on Ball Chain"/>
    <x v="327"/>
    <n v="22.225899999999999"/>
    <s v="925 Silver"/>
    <s v="chain"/>
    <x v="0"/>
    <s v="7113.11.10.00"/>
    <s v="7113.11.00"/>
    <s v="7113.11.10.00"/>
    <s v="B093QBWDLL Silver Rhodium Plated Double Dog tag on Ball Chain"/>
    <n v="25.229038611068543"/>
    <n v="30.468016389689684"/>
    <n v="39.000812447467283"/>
    <n v="39.920073281126513"/>
    <x v="2"/>
    <x v="0"/>
    <x v="2"/>
    <n v="0"/>
    <x v="2"/>
    <n v="0"/>
    <n v="0"/>
    <n v="0"/>
  </r>
  <r>
    <s v="TIE-S925-BRA-MEN-002-200"/>
    <s v="B07T31BN76"/>
    <x v="1"/>
    <s v="Chain Bracelet - Men"/>
    <x v="328"/>
    <n v="22.428000000000001"/>
    <s v="925 Silver"/>
    <s v="Bracelet"/>
    <x v="0"/>
    <s v="7113.11.10.00"/>
    <s v="7113.11.00"/>
    <s v="7113.11.10.00"/>
    <s v="B07T31BN76 Chain Bracelet - Men"/>
    <n v="25.45844613577157"/>
    <n v="30.745061913711492"/>
    <n v="39.355446644311201"/>
    <n v="40.283066312235071"/>
    <x v="2"/>
    <x v="3"/>
    <x v="2"/>
    <n v="0"/>
    <x v="2"/>
    <n v="0"/>
    <n v="0"/>
    <n v="0"/>
  </r>
  <r>
    <s v="S925-MUL-BRA-LAY-003-200"/>
    <s v="B0872D8GP7"/>
    <x v="1"/>
    <s v="Adjustable 3 layer bracelet with knots."/>
    <x v="266"/>
    <n v="6.1204000000000001"/>
    <s v="925 Silver"/>
    <s v="Bracelet"/>
    <x v="0"/>
    <s v="7113.11.10.00"/>
    <s v="7113.11.00"/>
    <s v="7113.11.10.00"/>
    <s v="B0872D8GP7 Adjustable 3 layer bracelet with knots."/>
    <n v="6.9473815645343455"/>
    <n v="8.3900515844783232"/>
    <n v="10.739748334307217"/>
    <n v="10.992887420073281"/>
    <x v="9"/>
    <x v="3"/>
    <x v="142"/>
    <n v="30.602"/>
    <x v="145"/>
    <n v="41.950257922391614"/>
    <n v="53.698741671536084"/>
    <n v="54.964437100366403"/>
  </r>
  <r>
    <s v="PAV-S925-EAR-CRAW-002"/>
    <s v="B07Z57VHF3"/>
    <x v="2"/>
    <s v="Earrings - Crawler  2 clasps  Flowers"/>
    <x v="313"/>
    <n v="4.09"/>
    <s v="925 Silver"/>
    <s v="Earrings"/>
    <x v="0"/>
    <s v="7113.11.10.00"/>
    <s v="7113.11.00"/>
    <s v="7113.11.50.00"/>
    <s v="B07Z57VHF3 Earrings - Crawler  2 clasps  Flowers"/>
    <n v="4.642636200076053"/>
    <n v="5.6067105059336546"/>
    <n v="7.1769117520613879"/>
    <n v="7.3460737121919673"/>
    <x v="2"/>
    <x v="1"/>
    <x v="2"/>
    <n v="0"/>
    <x v="2"/>
    <n v="0"/>
    <n v="0"/>
    <n v="0"/>
  </r>
  <r>
    <s v="S925-WHI-RIN-CEL-003"/>
    <s v="B08C34VPKM"/>
    <x v="2"/>
    <s v="Celtic Adjustable Interlace Ring"/>
    <x v="329"/>
    <n v="5.5095999999999998"/>
    <s v="925 Silver"/>
    <s v="Ring"/>
    <x v="0"/>
    <s v="7113.11.10.00"/>
    <s v="7113.11.00"/>
    <s v="7113.11.50.00"/>
    <s v="B08C34VPKM Celtic Adjustable Interlace Ring"/>
    <n v="6.2540509554863135"/>
    <n v="7.5527462600225093"/>
    <n v="9.6679493861020589"/>
    <n v="9.8958258495581575"/>
    <x v="9"/>
    <x v="8"/>
    <x v="143"/>
    <n v="27.547999999999998"/>
    <x v="146"/>
    <n v="37.763731300112546"/>
    <n v="48.339746930510294"/>
    <n v="49.479129247790787"/>
  </r>
  <r>
    <s v="S925-WHI-RIN-CEL-006-Q"/>
    <s v="B08C348HVN"/>
    <x v="2"/>
    <s v="Celtic Braid Ring - Q"/>
    <x v="330"/>
    <n v="3.8466"/>
    <s v="925 Silver"/>
    <s v="Ring"/>
    <x v="0"/>
    <s v="7113.11.10.00"/>
    <s v="7113.11.00"/>
    <s v="7113.11.50.00"/>
    <s v="B08C348HVN Celtic Braid Ring - Q"/>
    <n v="4.366348265822138"/>
    <n v="5.2730495433066977"/>
    <n v="6.7498065392370012"/>
    <n v="6.9089015015446504"/>
    <x v="9"/>
    <x v="8"/>
    <x v="144"/>
    <n v="19.233000000000001"/>
    <x v="147"/>
    <n v="26.365247716533492"/>
    <n v="33.749032696185004"/>
    <n v="34.544507507723253"/>
  </r>
  <r>
    <s v="S925-WHI-PEN-KEY-001"/>
    <s v="B091FRDB42"/>
    <x v="2"/>
    <s v="Pendant - Key"/>
    <x v="331"/>
    <n v="2.7919999999999998"/>
    <s v="925 Silver"/>
    <s v="Pendant"/>
    <x v="0"/>
    <s v="7113.11.10.00"/>
    <s v="7113.11.00"/>
    <s v="7113.11.50.00"/>
    <s v="B091FRDB42 Pendant - Key"/>
    <n v="3.1692518999052175"/>
    <n v="3.8273681497718246"/>
    <n v="4.8992512498179446"/>
    <n v="5.0147280695452254"/>
    <x v="9"/>
    <x v="4"/>
    <x v="145"/>
    <n v="13.959999999999999"/>
    <x v="148"/>
    <n v="19.136840748859122"/>
    <n v="24.496256249089722"/>
    <n v="25.073640347726126"/>
  </r>
  <r>
    <s v="PAV-S925-EAR-CRAW-006"/>
    <s v="B07Z56NJV1"/>
    <x v="2"/>
    <s v="Earrings - Crawler - Multi CZ"/>
    <x v="332"/>
    <n v="2.9948000000000001"/>
    <s v="925 Silver"/>
    <s v="Earrings"/>
    <x v="0"/>
    <s v="7113.11.10.00"/>
    <s v="7113.11.00"/>
    <s v="7113.11.50.00"/>
    <s v="B07Z56NJV1 Earrings - Crawler - Multi CZ"/>
    <n v="3.3994540078209692"/>
    <n v="4.1053732574988038"/>
    <n v="5.2551137689666128"/>
    <n v="5.3789783748832534"/>
    <x v="2"/>
    <x v="1"/>
    <x v="2"/>
    <n v="0"/>
    <x v="2"/>
    <n v="0"/>
    <n v="0"/>
    <n v="0"/>
  </r>
  <r>
    <s v="GL-10K-CHAIN-001-140-510"/>
    <s v="B07WFDL64M"/>
    <x v="1"/>
    <s v="Yellow Gold 10k Spiga Wheat Chain (Hollow)"/>
    <x v="28"/>
    <n v="54.709499999999998"/>
    <s v="9K Gold"/>
    <s v="chain"/>
    <x v="1"/>
    <s v=" 7113.19.10.00"/>
    <s v=" 7113.19.00"/>
    <s v="7113.11.50.00"/>
    <s v="B07WFDL64M Yellow Gold 10k Spiga Wheat Chain (Hollow)"/>
    <n v="62.101786109550318"/>
    <n v="74.997635311583679"/>
    <n v="96.001284474181531"/>
    <n v="98.26406351030964"/>
    <x v="2"/>
    <x v="10"/>
    <x v="2"/>
    <n v="0"/>
    <x v="2"/>
    <n v="0"/>
    <n v="0"/>
    <n v="0"/>
  </r>
  <r>
    <s v="GL-10K-CHAIN-002-140-510"/>
    <s v="B07WFDVW32"/>
    <x v="1"/>
    <s v="White Gold 10k Classic Long Curb Chain - Diamond Cut (Hollow)"/>
    <x v="131"/>
    <n v="36.305300000000003"/>
    <s v="9K Gold"/>
    <s v="chain"/>
    <x v="1"/>
    <s v=" 7113.19.10.00"/>
    <s v=" 7113.19.00"/>
    <s v="7113.11.50.00"/>
    <s v="B07WFDVW32 White Gold 10k Classic Long Curb Chain - Diamond Cut (Hollow)"/>
    <n v="41.21083130430835"/>
    <n v="49.76853470197387"/>
    <n v="63.706585386825019"/>
    <n v="65.208168690279479"/>
    <x v="2"/>
    <x v="10"/>
    <x v="2"/>
    <n v="0"/>
    <x v="2"/>
    <n v="0"/>
    <n v="0"/>
    <n v="0"/>
  </r>
  <r>
    <s v="GL-10K-CHAIN-003-140-510"/>
    <s v="B07WFDMDZ9"/>
    <x v="1"/>
    <s v="Rose Gold 10K - Long Anchor Chain"/>
    <x v="333"/>
    <n v="35.0595"/>
    <s v="9K Gold"/>
    <s v="chain"/>
    <x v="1"/>
    <s v=" 7113.19.10.00"/>
    <s v=" 7113.19.00"/>
    <s v="7113.11.50.00"/>
    <s v="B07WFDMDZ9 Rose Gold 10K - Long Anchor Chain"/>
    <n v="39.796700209429432"/>
    <n v="48.06074987354058"/>
    <n v="61.52052263359321"/>
    <n v="62.970579783030388"/>
    <x v="2"/>
    <x v="10"/>
    <x v="2"/>
    <n v="0"/>
    <x v="2"/>
    <n v="0"/>
    <n v="0"/>
    <n v="0"/>
  </r>
  <r>
    <s v="S925-WHI-PEN-TREE-001"/>
    <s v="B084SV527B"/>
    <x v="2"/>
    <s v="Tree Of Life Pendant - Fruitful"/>
    <x v="102"/>
    <n v="4.0736999999999997"/>
    <s v="925 Silver"/>
    <s v="Pendant"/>
    <x v="0"/>
    <s v="7113.11.10.00"/>
    <s v="7113.11.00"/>
    <s v="7113.11.50.00"/>
    <s v="B084SV527B Tree Of Life Pendant - Fruitful"/>
    <n v="4.6241337624082677"/>
    <n v="5.5843659139417916"/>
    <n v="7.1483093898221206"/>
    <n v="7.3167971837057246"/>
    <x v="2"/>
    <x v="4"/>
    <x v="2"/>
    <n v="0"/>
    <x v="2"/>
    <n v="0"/>
    <n v="0"/>
    <n v="0"/>
  </r>
  <r>
    <s v="S925-WHI-EAR-STUD-012"/>
    <s v="B08J887BY3"/>
    <x v="2"/>
    <s v="Stud Earrings - Sea Star"/>
    <x v="334"/>
    <n v="2.8325"/>
    <s v="925 Silver"/>
    <s v="Earrings"/>
    <x v="0"/>
    <s v="7113.11.10.00"/>
    <s v="7113.11.00"/>
    <s v="7113.11.50.00"/>
    <s v="B08J887BY3 Stud Earrings - Sea Star"/>
    <n v="3.2152242143558483"/>
    <n v="3.8828869212853485"/>
    <n v="4.9703184688786992"/>
    <n v="5.0874703642503052"/>
    <x v="0"/>
    <x v="1"/>
    <x v="146"/>
    <n v="28.324999999999999"/>
    <x v="149"/>
    <n v="38.828869212853483"/>
    <n v="49.70318468878699"/>
    <n v="50.87470364250305"/>
  </r>
  <r>
    <s v="S925-WHI-EAR-HOOP-014-025"/>
    <s v="B08P3KHBKC"/>
    <x v="1"/>
    <s v="Polished Twisted Open Hoops with butterfly back"/>
    <x v="335"/>
    <n v="4.8316999999999997"/>
    <s v="925 Silver"/>
    <s v="Earrings"/>
    <x v="0"/>
    <s v="7113.11.10.00"/>
    <s v="7113.11.00"/>
    <s v="7113.11.50.00"/>
    <s v="B08P3KHBKC Polished Twisted Open Hoops with butterfly back"/>
    <n v="5.4845538699040253"/>
    <n v="6.6234579832566345"/>
    <n v="8.4784069712555024"/>
    <n v="8.6782455636180753"/>
    <x v="2"/>
    <x v="1"/>
    <x v="2"/>
    <n v="0"/>
    <x v="2"/>
    <n v="0"/>
    <n v="0"/>
    <n v="0"/>
  </r>
  <r>
    <s v="PAV-S925-EAR-BALL-002-030to050"/>
    <s v="B081VK8FYJ"/>
    <x v="2"/>
    <s v="Earrings - Silver Ball Studs 3  4  5 mm combo pairs"/>
    <x v="146"/>
    <n v="3.1976"/>
    <s v="925 Silver"/>
    <s v="Earrings"/>
    <x v="0"/>
    <s v="7113.11.10.00"/>
    <s v="7113.11.00"/>
    <s v="7113.11.50.00"/>
    <s v="B081VK8FYJ Earrings - Silver Ball Studs 3  4  5 mm combo pairs"/>
    <n v="3.6296561157367204"/>
    <n v="4.3833783652257834"/>
    <n v="5.6109762881152792"/>
    <n v="5.7432286802212795"/>
    <x v="2"/>
    <x v="1"/>
    <x v="2"/>
    <n v="0"/>
    <x v="2"/>
    <n v="0"/>
    <n v="0"/>
    <n v="0"/>
  </r>
  <r>
    <s v="BIA-S925-HOOP-020-SINGLE"/>
    <s v="EBAY"/>
    <x v="0"/>
    <s v="Single Hoop Earrings - variation on ebay"/>
    <x v="320"/>
    <n v="1.0286999999999999"/>
    <s v="925 Silver"/>
    <s v="Earrings"/>
    <x v="0"/>
    <s v="7113.11.10.00"/>
    <s v="7113.11.00"/>
    <s v="7113.11.50.00"/>
    <s v="EBAY Single Hoop Earrings - variation on ebay"/>
    <n v="1.1676967870460233"/>
    <n v="1.4101767964435086"/>
    <n v="1.8051073641431661"/>
    <n v="1.8476542855090163"/>
    <x v="2"/>
    <x v="1"/>
    <x v="2"/>
    <n v="0"/>
    <x v="2"/>
    <n v="0"/>
    <n v="0"/>
    <n v="0"/>
  </r>
  <r>
    <s v="BIA-S925-HOOP-HIN-010-SINGLE"/>
    <s v="EBAY"/>
    <x v="0"/>
    <s v="Single Hoop Earrings - variation on ebay"/>
    <x v="319"/>
    <n v="0.82410000000000005"/>
    <s v="925 Silver"/>
    <s v="Earrings"/>
    <x v="0"/>
    <s v="7113.11.10.00"/>
    <s v="7113.11.00"/>
    <s v="7113.11.50.00"/>
    <s v="EBAY Single Hoop Earrings - variation on ebay"/>
    <n v="0.93545146515468836"/>
    <n v="1.1297041877603728"/>
    <n v="1.446086301925132"/>
    <n v="1.480170989295208"/>
    <x v="2"/>
    <x v="1"/>
    <x v="2"/>
    <n v="0"/>
    <x v="2"/>
    <n v="0"/>
    <n v="0"/>
    <n v="0"/>
  </r>
  <r>
    <s v="MS-S925-LOC-001-CC45"/>
    <s v="EBAY"/>
    <x v="2"/>
    <s v="Locket + Curb Chain 45 cm"/>
    <x v="74"/>
    <n v="4.3414000000000001"/>
    <s v="925 Silver"/>
    <s v="Locket"/>
    <x v="0"/>
    <s v="7113.11.10.00"/>
    <s v="7113.11.00"/>
    <s v="7113.11.10.00"/>
    <s v="EBAY Locket + Curb Chain 45 cm"/>
    <n v="4.9280050853325612"/>
    <n v="5.9513381394768627"/>
    <n v="7.6180549340829611"/>
    <n v="7.7976147711760904"/>
    <x v="2"/>
    <x v="5"/>
    <x v="2"/>
    <n v="0"/>
    <x v="2"/>
    <n v="0"/>
    <n v="0"/>
    <n v="0"/>
  </r>
  <r>
    <s v="MS-S925-LOC-002-CC45"/>
    <s v="EBAY"/>
    <x v="2"/>
    <s v="Locket + Curb Chain 45 cm"/>
    <x v="162"/>
    <n v="4.7876000000000003"/>
    <s v="925 Silver"/>
    <s v="Locket"/>
    <x v="0"/>
    <s v="7113.11.10.00"/>
    <s v="7113.11.00"/>
    <s v="7113.11.10.00"/>
    <s v="EBAY Locket + Curb Chain 45 cm"/>
    <n v="5.4344951275022284"/>
    <n v="6.5630042098307984"/>
    <n v="8.401022666056015"/>
    <n v="8.5990372871614333"/>
    <x v="2"/>
    <x v="5"/>
    <x v="2"/>
    <n v="0"/>
    <x v="2"/>
    <n v="0"/>
    <n v="0"/>
    <n v="0"/>
  </r>
  <r>
    <s v="CN-S925-LOC-003-CC45"/>
    <s v="EBAY"/>
    <x v="3"/>
    <s v="Locket - Round + Curb Chain 45 cm"/>
    <x v="336"/>
    <n v="6.4912000000000001"/>
    <s v="925 Silver"/>
    <s v="Locket"/>
    <x v="0"/>
    <s v="7113.11.10.00"/>
    <s v="7113.11.00"/>
    <s v="7113.11.10.00"/>
    <s v="EBAY Locket - Round + Curb Chain 45 cm"/>
    <n v="7.368283643504566"/>
    <n v="8.8983567814465871"/>
    <n v="11.390408206596792"/>
    <n v="11.658883540484229"/>
    <x v="2"/>
    <x v="5"/>
    <x v="2"/>
    <n v="0"/>
    <x v="2"/>
    <n v="0"/>
    <n v="0"/>
    <n v="0"/>
  </r>
  <r>
    <s v="CN-S925-LOC-004-CC45"/>
    <s v="EBAY"/>
    <x v="3"/>
    <s v="Locket - Heart + Curb Chain 45 cm"/>
    <x v="337"/>
    <n v="6.8156999999999996"/>
    <s v="925 Silver"/>
    <s v="Locket"/>
    <x v="0"/>
    <s v="7113.11.10.00"/>
    <s v="7113.11.00"/>
    <s v="7113.11.10.00"/>
    <s v="EBAY Locket - Heart + Curb Chain 45 cm"/>
    <n v="7.7366297185472748"/>
    <n v="9.3431923704870439"/>
    <n v="11.959823332157653"/>
    <n v="12.241719951145914"/>
    <x v="2"/>
    <x v="5"/>
    <x v="2"/>
    <n v="0"/>
    <x v="2"/>
    <n v="0"/>
    <n v="0"/>
    <n v="0"/>
  </r>
  <r>
    <s v="PAV-S925-LOC-005-CC45"/>
    <s v="EBAY"/>
    <x v="2"/>
    <s v="Locket - Heart + Curb Chain 45 cm"/>
    <x v="338"/>
    <n v="9.0579999999999998"/>
    <s v="925 Silver"/>
    <s v="Locket"/>
    <x v="0"/>
    <s v="7113.11.10.00"/>
    <s v="7113.11.00"/>
    <s v="7113.11.10.00"/>
    <s v="EBAY Locket - Heart + Curb Chain 45 cm"/>
    <n v="10.281906772686769"/>
    <n v="12.417013144925926"/>
    <n v="15.894490623513949"/>
    <n v="16.269128529348372"/>
    <x v="2"/>
    <x v="5"/>
    <x v="2"/>
    <n v="0"/>
    <x v="2"/>
    <n v="0"/>
    <n v="0"/>
    <n v="0"/>
  </r>
  <r>
    <s v="PAV-S925-LOC-005"/>
    <s v="B082L3K95P"/>
    <x v="2"/>
    <s v="Locket - Heart + Tree of Life engraving"/>
    <x v="339"/>
    <n v="7.8735999999999997"/>
    <s v="925 Silver"/>
    <s v="Locket"/>
    <x v="0"/>
    <s v="7113.11.10.00"/>
    <s v="7113.11.00"/>
    <s v="7113.11.10.00"/>
    <s v="B082L3K95P Locket - Heart + Tree of Life engraving"/>
    <n v="8.9374719767527644"/>
    <n v="10.79339751577487"/>
    <n v="13.816169283870547"/>
    <n v="14.141820533084273"/>
    <x v="2"/>
    <x v="5"/>
    <x v="2"/>
    <n v="0"/>
    <x v="2"/>
    <n v="0"/>
    <n v="0"/>
    <n v="0"/>
  </r>
  <r>
    <s v="S925-WHI-PEN-CROS-008"/>
    <s v="B08MFQ5FVJ"/>
    <x v="2"/>
    <s v="Engraved Cross with Knot Pendant"/>
    <x v="265"/>
    <n v="3.9277000000000002"/>
    <s v="925 Silver"/>
    <s v="Pendant"/>
    <x v="0"/>
    <s v="7113.11.10.00"/>
    <s v="7113.11.00"/>
    <s v="7113.11.50.00"/>
    <s v="B08MFQ5FVJ Engraved Cross with Knot Pendant"/>
    <n v="4.4584064066109326"/>
    <n v="5.3842241697201993"/>
    <n v="6.8921164519734752"/>
    <n v="7.05456570155902"/>
    <x v="2"/>
    <x v="4"/>
    <x v="2"/>
    <n v="0"/>
    <x v="2"/>
    <n v="0"/>
    <n v="0"/>
    <n v="0"/>
  </r>
  <r>
    <s v="S925-WHI-PEN-LET-001-B"/>
    <s v="B082BBL6NW"/>
    <x v="1"/>
    <s v="Pendant - Letter - B"/>
    <x v="104"/>
    <n v="4.5663999999999998"/>
    <s v="925 Silver"/>
    <s v="Pendant"/>
    <x v="0"/>
    <s v="7113.11.10.00"/>
    <s v="7113.11.00"/>
    <s v="7113.11.50.00"/>
    <s v="B082BBL6NW Pendant - Letter - B"/>
    <n v="5.18340683228051"/>
    <n v="6.2597757589964393"/>
    <n v="8.0128728177538182"/>
    <n v="8.2017386306487534"/>
    <x v="2"/>
    <x v="4"/>
    <x v="2"/>
    <n v="0"/>
    <x v="2"/>
    <n v="0"/>
    <n v="0"/>
    <n v="0"/>
  </r>
  <r>
    <s v="S925-WHI-PEN-LET-001-C"/>
    <s v="B082BBTLTG"/>
    <x v="1"/>
    <s v="Pendant - Letter - C"/>
    <x v="340"/>
    <n v="4.9919000000000002"/>
    <s v="925 Silver"/>
    <s v="Pendant"/>
    <x v="0"/>
    <s v="7113.11.10.00"/>
    <s v="7113.11.00"/>
    <s v="7113.11.50.00"/>
    <s v="B082BBTLTG Pendant - Letter - C"/>
    <n v="5.6663999137309657"/>
    <n v="6.8430655683545751"/>
    <n v="8.7595173044291545"/>
    <n v="8.9659817515626123"/>
    <x v="2"/>
    <x v="4"/>
    <x v="2"/>
    <n v="0"/>
    <x v="2"/>
    <n v="0"/>
    <n v="0"/>
    <n v="0"/>
  </r>
  <r>
    <s v="S925-WHI-PEN-LET-001-D"/>
    <s v="B082B9CHCZ"/>
    <x v="1"/>
    <s v="Pendant - Letter - D"/>
    <x v="341"/>
    <n v="5.4984999999999999"/>
    <s v="925 Silver"/>
    <s v="Pendant"/>
    <x v="0"/>
    <s v="7113.11.10.00"/>
    <s v="7113.11.00"/>
    <s v="7113.11.50.00"/>
    <s v="B082B9CHCZ Pendant - Letter - D"/>
    <n v="6.2414511359702143"/>
    <n v="7.5375300041262099"/>
    <n v="9.6484717038409631"/>
    <n v="9.875889072490839"/>
    <x v="2"/>
    <x v="4"/>
    <x v="2"/>
    <n v="0"/>
    <x v="2"/>
    <n v="0"/>
    <n v="0"/>
    <n v="0"/>
  </r>
  <r>
    <s v="S925-WHI-EAR-STUD-022"/>
    <s v="B08J8BHNF6"/>
    <x v="2"/>
    <s v="Small Thick Heart Studs"/>
    <x v="334"/>
    <n v="2.7109000000000001"/>
    <s v="925 Silver"/>
    <s v="Earrings"/>
    <x v="0"/>
    <s v="7113.11.10.00"/>
    <s v="7113.11.00"/>
    <s v="7113.11.50.00"/>
    <s v="B08J8BHNF6 Small Thick Heart Studs"/>
    <n v="3.0771937591164238"/>
    <n v="3.7161935233583239"/>
    <n v="4.7569413370814706"/>
    <n v="4.8690638695308568"/>
    <x v="2"/>
    <x v="1"/>
    <x v="2"/>
    <n v="0"/>
    <x v="2"/>
    <n v="0"/>
    <n v="0"/>
    <n v="0"/>
  </r>
  <r>
    <s v="S925-WHI-NEC-CHA-025-047-500"/>
    <s v="B08LW4NW2K"/>
    <x v="1"/>
    <s v="Chain - Super Flat Figaro - Gauge 120 - Width 4.7 mm - Length 50 cm"/>
    <x v="342"/>
    <n v="9.1796000000000006"/>
    <s v="925 Silver"/>
    <s v="chain"/>
    <x v="0"/>
    <s v="7113.11.10.00"/>
    <s v="7113.11.00"/>
    <s v="7113.11.10.00"/>
    <s v="B08LW4NW2K Chain - Super Flat Figaro - Gauge 120 - Width 4.7 mm - Length 50 cm"/>
    <n v="10.419937227926196"/>
    <n v="12.583706542852953"/>
    <n v="16.10786775531118"/>
    <n v="16.487535024067821"/>
    <x v="9"/>
    <x v="0"/>
    <x v="147"/>
    <n v="45.898000000000003"/>
    <x v="150"/>
    <n v="62.918532714264764"/>
    <n v="80.539338776555894"/>
    <n v="82.437675120339108"/>
  </r>
  <r>
    <s v="S925-WHI-PEN-LET-001-G"/>
    <s v="B082BDLQXP"/>
    <x v="1"/>
    <s v="Pendant - Letter - G"/>
    <x v="20"/>
    <n v="3.8370000000000002"/>
    <s v="925 Silver"/>
    <s v="Pendant"/>
    <x v="0"/>
    <s v="7113.11.10.00"/>
    <s v="7113.11.00"/>
    <s v="7113.11.50.00"/>
    <s v="B082BDLQXP Pendant - Letter - G"/>
    <n v="4.3554511246190257"/>
    <n v="5.2598895382071964"/>
    <n v="6.7329609762003777"/>
    <n v="6.8916588835404839"/>
    <x v="2"/>
    <x v="4"/>
    <x v="2"/>
    <n v="0"/>
    <x v="2"/>
    <n v="0"/>
    <n v="0"/>
    <n v="0"/>
  </r>
  <r>
    <s v="S925-WHI-PEN-LET-001-H"/>
    <s v="B082BBN14N"/>
    <x v="1"/>
    <s v="Pendant - Letter - H"/>
    <x v="104"/>
    <n v="4.5663999999999998"/>
    <s v="925 Silver"/>
    <s v="Pendant"/>
    <x v="0"/>
    <s v="7113.11.10.00"/>
    <s v="7113.11.00"/>
    <s v="7113.11.50.00"/>
    <s v="B082BBN14N Pendant - Letter - H"/>
    <n v="5.18340683228051"/>
    <n v="6.2597757589964393"/>
    <n v="8.0128728177538182"/>
    <n v="8.2017386306487534"/>
    <x v="2"/>
    <x v="4"/>
    <x v="2"/>
    <n v="0"/>
    <x v="2"/>
    <n v="0"/>
    <n v="0"/>
    <n v="0"/>
  </r>
  <r>
    <s v="S925-WHI-PEN-LET-001-I"/>
    <s v="B082BBK3VZ"/>
    <x v="1"/>
    <s v="Pendant - Letter - I"/>
    <x v="112"/>
    <n v="3.7964000000000002"/>
    <s v="925 Silver"/>
    <s v="Pendant"/>
    <x v="0"/>
    <s v="7113.11.10.00"/>
    <s v="7113.11.00"/>
    <s v="7113.11.50.00"/>
    <s v="B082BBK3VZ Pendant - Letter - I"/>
    <n v="4.3093652982808628"/>
    <n v="5.2042336833072191"/>
    <n v="6.6617182825246584"/>
    <n v="6.8187369782311951"/>
    <x v="9"/>
    <x v="4"/>
    <x v="148"/>
    <n v="18.981999999999999"/>
    <x v="151"/>
    <n v="26.021168416536096"/>
    <n v="33.308591412623286"/>
    <n v="34.093684891155974"/>
  </r>
  <r>
    <s v="S925-WHI-EAR-STUD-PERL-001-6to7"/>
    <s v="B08ZSTHD3P"/>
    <x v="2"/>
    <s v="Silver Pearl Studs (white) - 6 to 7 mm"/>
    <x v="343"/>
    <n v="1.9806999999999999"/>
    <s v="925 Silver"/>
    <s v="Earrings"/>
    <x v="0"/>
    <s v="7113.11.10.00"/>
    <s v="7113.11.00"/>
    <s v="7113.11.50.00"/>
    <s v="B08ZSTHD3P Silver Pearl Studs (white) - 6 to 7 mm"/>
    <n v="2.248329956354679"/>
    <n v="2.7152106354774546"/>
    <n v="3.4756256986083103"/>
    <n v="3.5575472375889068"/>
    <x v="2"/>
    <x v="1"/>
    <x v="2"/>
    <n v="0"/>
    <x v="2"/>
    <n v="0"/>
    <n v="0"/>
    <n v="0"/>
  </r>
  <r>
    <s v="S925-WHI-EAR-STUD-PERL-001-7to8"/>
    <s v="B08ZSVSK7Z"/>
    <x v="2"/>
    <s v="Silver Pearl Studs (white) - 7 to 8 mm"/>
    <x v="0"/>
    <n v="2.0619000000000001"/>
    <s v="925 Silver"/>
    <s v="Earrings"/>
    <x v="0"/>
    <s v="7113.11.10.00"/>
    <s v="7113.11.00"/>
    <s v="7113.11.50.00"/>
    <s v="B08ZSVSK7Z Silver Pearl Studs (white) - 7 to 8 mm"/>
    <n v="2.3405016090310058"/>
    <n v="2.8265223452774091"/>
    <n v="3.6181110859597494"/>
    <n v="3.7033910482074859"/>
    <x v="2"/>
    <x v="1"/>
    <x v="2"/>
    <n v="0"/>
    <x v="2"/>
    <n v="0"/>
    <n v="0"/>
    <n v="0"/>
  </r>
  <r>
    <s v="S925-WHI-PEN-LET-001-L"/>
    <s v="B082BCWM1R"/>
    <x v="1"/>
    <s v="Pendant - Letter - L"/>
    <x v="344"/>
    <n v="4.8703000000000003"/>
    <s v="925 Silver"/>
    <s v="Pendant"/>
    <x v="0"/>
    <s v="7113.11.10.00"/>
    <s v="7113.11.00"/>
    <s v="7113.11.50.00"/>
    <s v="B082BCWM1R Pendant - Letter - L"/>
    <n v="5.5283694584915413"/>
    <n v="6.67637217042755"/>
    <n v="8.5461401726319259"/>
    <n v="8.7475752568431648"/>
    <x v="2"/>
    <x v="4"/>
    <x v="2"/>
    <n v="0"/>
    <x v="2"/>
    <n v="0"/>
    <n v="0"/>
    <n v="0"/>
  </r>
  <r>
    <s v="S925-WHI-EAR-STUD-PERL-001-9to10"/>
    <s v="B08ZSSZDS8"/>
    <x v="2"/>
    <s v="Silver Pearl Studs (white) - 9 to 10 mm"/>
    <x v="345"/>
    <n v="2.7919999999999998"/>
    <s v="925 Silver"/>
    <s v="Earrings"/>
    <x v="0"/>
    <s v="7113.11.10.00"/>
    <s v="7113.11.00"/>
    <s v="7113.11.50.00"/>
    <s v="B08ZSSZDS8 Silver Pearl Studs (white) - 9 to 10 mm"/>
    <n v="3.1692518999052175"/>
    <n v="3.8273681497718246"/>
    <n v="4.8992512498179446"/>
    <n v="5.0147280695452254"/>
    <x v="2"/>
    <x v="1"/>
    <x v="2"/>
    <n v="0"/>
    <x v="2"/>
    <n v="0"/>
    <n v="0"/>
    <n v="0"/>
  </r>
  <r>
    <s v="S925-WHI-PEN-LET-001-N"/>
    <s v="B082BD3NVQ"/>
    <x v="1"/>
    <s v="Pendant - Letter - N"/>
    <x v="346"/>
    <n v="4.3232999999999997"/>
    <s v="925 Silver"/>
    <s v="Pendant"/>
    <x v="0"/>
    <s v="7113.11.10.00"/>
    <s v="7113.11.00"/>
    <s v="7113.11.50.00"/>
    <s v="B082BD3NVQ Pendant - Letter - N"/>
    <n v="4.9074594336891924"/>
    <n v="5.926526046528843"/>
    <n v="7.5862940287743266"/>
    <n v="7.7651052518140657"/>
    <x v="2"/>
    <x v="4"/>
    <x v="2"/>
    <n v="0"/>
    <x v="2"/>
    <n v="0"/>
    <n v="0"/>
    <n v="0"/>
  </r>
  <r>
    <s v="S925-WHI-PEN-LET-001-O"/>
    <s v="B082BCF48D"/>
    <x v="1"/>
    <s v="Pendant - Letter - O"/>
    <x v="347"/>
    <n v="4.3638000000000003"/>
    <s v="925 Silver"/>
    <s v="Pendant"/>
    <x v="0"/>
    <s v="7113.11.10.00"/>
    <s v="7113.11.00"/>
    <s v="7113.11.50.00"/>
    <s v="B082BCF48D Pendant - Letter - O"/>
    <n v="4.953431748139824"/>
    <n v="5.9820448180423673"/>
    <n v="7.6573612478350821"/>
    <n v="7.8378475465191464"/>
    <x v="2"/>
    <x v="4"/>
    <x v="2"/>
    <n v="0"/>
    <x v="2"/>
    <n v="0"/>
    <n v="0"/>
    <n v="0"/>
  </r>
  <r>
    <s v="S925-WHI-PEN-LET-001-P"/>
    <s v="B082B96V8V"/>
    <x v="1"/>
    <s v="Pendant - Letter - P"/>
    <x v="348"/>
    <n v="4.4650999999999996"/>
    <s v="925 Silver"/>
    <s v="Pendant"/>
    <x v="0"/>
    <s v="7113.11.10.00"/>
    <s v="7113.11.00"/>
    <s v="7113.11.50.00"/>
    <s v="B082B96V8V Pendant - Letter - P"/>
    <n v="5.0684192902101666"/>
    <n v="6.1209102885194033"/>
    <n v="7.8351170327944502"/>
    <n v="8.019793088583949"/>
    <x v="2"/>
    <x v="4"/>
    <x v="2"/>
    <n v="0"/>
    <x v="2"/>
    <n v="0"/>
    <n v="0"/>
    <n v="0"/>
  </r>
  <r>
    <s v="S925-WHI-PEN-LET-001-Q"/>
    <s v="B082BDB7X8"/>
    <x v="1"/>
    <s v="Pendant - Letter - Q"/>
    <x v="349"/>
    <n v="4.1205999999999996"/>
    <s v="925 Silver"/>
    <s v="Pendant"/>
    <x v="0"/>
    <s v="7113.11.10.00"/>
    <s v="7113.11.00"/>
    <s v="7113.11.50.00"/>
    <s v="B082BDB7X8 Pendant - Letter - Q"/>
    <n v="4.6773708376609733"/>
    <n v="5.6486580221883163"/>
    <n v="7.230606984240624"/>
    <n v="7.4010345570802487"/>
    <x v="2"/>
    <x v="4"/>
    <x v="2"/>
    <n v="0"/>
    <x v="2"/>
    <n v="0"/>
    <n v="0"/>
    <n v="0"/>
  </r>
  <r>
    <s v="S925-WHI-PEN-LOC-011"/>
    <s v="B08Z4B83GL"/>
    <x v="2"/>
    <s v="Silver Locket - Engraved Angel Wings"/>
    <x v="350"/>
    <n v="7.2538"/>
    <s v="925 Silver"/>
    <s v="Pendant"/>
    <x v="0"/>
    <s v="7113.11.10.00"/>
    <s v="7113.11.00"/>
    <s v="7113.11.50.00"/>
    <s v="B08Z4B83GL Silver Locket - Engraved Angel Wings"/>
    <n v="8.2339252978268149"/>
    <n v="9.9437546865382753"/>
    <n v="12.728577620318555"/>
    <n v="13.028594008190243"/>
    <x v="2"/>
    <x v="4"/>
    <x v="2"/>
    <n v="0"/>
    <x v="2"/>
    <n v="0"/>
    <n v="0"/>
    <n v="0"/>
  </r>
  <r>
    <s v="BIA-GP-CHAIN-004-040-600"/>
    <s v="B073GB6WNZ"/>
    <x v="0"/>
    <s v="Figaro Chain"/>
    <x v="63"/>
    <n v="3.2492000000000001"/>
    <s v="925 Silver"/>
    <s v="chain"/>
    <x v="0"/>
    <s v="7113.11.10.00"/>
    <s v="7113.11.00"/>
    <s v="7113.11.10.00"/>
    <s v="B073GB6WNZ Figaro Chain"/>
    <n v="3.6882282497034504"/>
    <n v="4.4541133926356062"/>
    <n v="5.7015211894371296"/>
    <n v="5.8359077519936777"/>
    <x v="2"/>
    <x v="0"/>
    <x v="2"/>
    <n v="0"/>
    <x v="2"/>
    <n v="0"/>
    <n v="0"/>
    <n v="0"/>
  </r>
  <r>
    <s v="BIA-GP-CHAIN-015-120-700"/>
    <s v="B073G8GNBV"/>
    <x v="1"/>
    <s v="Ball Chain"/>
    <x v="152"/>
    <n v="3.8658999999999999"/>
    <s v="925 Silver"/>
    <s v="chain"/>
    <x v="0"/>
    <s v="7113.11.10.00"/>
    <s v="7113.11.00"/>
    <s v="7113.11.10.00"/>
    <s v="B073G8GNBV Ball Chain"/>
    <n v="4.3882560601158955"/>
    <n v="5.2995066368921551"/>
    <n v="6.7836731399252121"/>
    <n v="6.9435663481571943"/>
    <x v="0"/>
    <x v="0"/>
    <x v="149"/>
    <n v="38.658999999999999"/>
    <x v="152"/>
    <n v="52.995066368921549"/>
    <n v="67.836731399252116"/>
    <n v="69.435663481571936"/>
  </r>
  <r>
    <s v="S925-WHI-PEN-LET-001-U"/>
    <s v="B082BCDTHV"/>
    <x v="1"/>
    <s v="Pendant - Letter - U"/>
    <x v="202"/>
    <n v="4.9310999999999998"/>
    <s v="925 Silver"/>
    <s v="Pendant"/>
    <x v="0"/>
    <s v="7113.11.10.00"/>
    <s v="7113.11.00"/>
    <s v="7113.11.50.00"/>
    <s v="B082BCDTHV Pendant - Letter - U"/>
    <n v="5.5973846861112531"/>
    <n v="6.7597188693910617"/>
    <n v="8.6528287385305394"/>
    <n v="8.8567785042028877"/>
    <x v="2"/>
    <x v="4"/>
    <x v="2"/>
    <n v="0"/>
    <x v="2"/>
    <n v="0"/>
    <n v="0"/>
    <n v="0"/>
  </r>
  <r>
    <s v="S925-WHI-PEN-LET-001-V"/>
    <s v="B082BCLWBF"/>
    <x v="1"/>
    <s v="Pendant - Letter - V"/>
    <x v="351"/>
    <n v="6.4103000000000003"/>
    <s v="925 Silver"/>
    <s v="Pendant"/>
    <x v="0"/>
    <s v="7113.11.10.00"/>
    <s v="7113.11.00"/>
    <s v="7113.11.50.00"/>
    <s v="B082BCLWBF Pendant - Letter - V"/>
    <n v="7.2764525264908375"/>
    <n v="8.7874563218059922"/>
    <n v="11.248449243090249"/>
    <n v="11.513578561678282"/>
    <x v="2"/>
    <x v="4"/>
    <x v="2"/>
    <n v="0"/>
    <x v="2"/>
    <n v="0"/>
    <n v="0"/>
    <n v="0"/>
  </r>
  <r>
    <s v="S925-WHI-PEN-LET-001-W"/>
    <s v="B082BBDK8Z"/>
    <x v="1"/>
    <s v="Pendant - Letter - W"/>
    <x v="352"/>
    <n v="6.1670999999999996"/>
    <s v="925 Silver"/>
    <s v="Pendant"/>
    <x v="0"/>
    <s v="7113.11.10.00"/>
    <s v="7113.11.00"/>
    <s v="7113.11.50.00"/>
    <s v="B082BBDK8Z Pendant - Letter - W"/>
    <n v="7.0003916160119868"/>
    <n v="8.4540695259519403"/>
    <n v="10.82169497949579"/>
    <n v="11.076765572239383"/>
    <x v="2"/>
    <x v="4"/>
    <x v="2"/>
    <n v="0"/>
    <x v="2"/>
    <n v="0"/>
    <n v="0"/>
    <n v="0"/>
  </r>
  <r>
    <s v="S925-WHI-PEN-LET-001-X"/>
    <s v="B082BBRJ4F"/>
    <x v="1"/>
    <s v="Pendant - Letter - X"/>
    <x v="353"/>
    <n v="5.7213000000000003"/>
    <s v="925 Silver"/>
    <s v="Pendant"/>
    <x v="0"/>
    <s v="7113.11.10.00"/>
    <s v="7113.11.00"/>
    <s v="7113.11.50.00"/>
    <s v="B082BBRJ4F Pendant - Letter - X"/>
    <n v="6.4943556213924509"/>
    <n v="7.842951789143819"/>
    <n v="10.039429145982597"/>
    <n v="10.276061498670881"/>
    <x v="2"/>
    <x v="4"/>
    <x v="2"/>
    <n v="0"/>
    <x v="2"/>
    <n v="0"/>
    <n v="0"/>
    <n v="0"/>
  </r>
  <r>
    <s v="S925-WHI-PEN-LET-001-Y"/>
    <s v="B082BC9GCD"/>
    <x v="1"/>
    <s v="Pendant - Letter - Y"/>
    <x v="354"/>
    <n v="3.9382999999999999"/>
    <s v="925 Silver"/>
    <s v="Pendant"/>
    <x v="0"/>
    <s v="7113.11.10.00"/>
    <s v="7113.11.00"/>
    <s v="7113.11.50.00"/>
    <s v="B082BC9GCD Pendant - Letter - Y"/>
    <n v="4.4704386666893692"/>
    <n v="5.3987550086842324"/>
    <n v="6.9107167611597466"/>
    <n v="7.0736044256052875"/>
    <x v="2"/>
    <x v="4"/>
    <x v="2"/>
    <n v="0"/>
    <x v="2"/>
    <n v="0"/>
    <n v="0"/>
    <n v="0"/>
  </r>
  <r>
    <s v="S925-WHI-PEN-LET-001-Z"/>
    <s v="B082BBKPRX"/>
    <x v="1"/>
    <s v="Pendant - Letter - Z"/>
    <x v="172"/>
    <n v="5.2553000000000001"/>
    <s v="925 Silver"/>
    <s v="Pendant"/>
    <x v="0"/>
    <s v="7113.11.10.00"/>
    <s v="7113.11.00"/>
    <s v="7113.11.50.00"/>
    <s v="B082BBKPRX Pendant - Letter - Z"/>
    <n v="5.9653902254913644"/>
    <n v="7.2041432082721597"/>
    <n v="9.2217174402465059"/>
    <n v="9.4390760830519422"/>
    <x v="2"/>
    <x v="4"/>
    <x v="2"/>
    <n v="0"/>
    <x v="2"/>
    <n v="0"/>
    <n v="0"/>
    <n v="0"/>
  </r>
  <r>
    <s v="S925-WHI-PEN-TREE-003"/>
    <s v="B084SY1V7J"/>
    <x v="2"/>
    <s v="Tree of Life Pendant - Yggdrasil "/>
    <x v="355"/>
    <n v="2.6297000000000001"/>
    <s v="925 Silver"/>
    <s v="Pendant"/>
    <x v="0"/>
    <s v="7113.11.10.00"/>
    <s v="7113.11.00"/>
    <s v="7113.11.50.00"/>
    <s v="B084SY1V7J Tree of Life Pendant - Yggdrasil "/>
    <n v="2.985022106440097"/>
    <n v="3.6048818135583698"/>
    <n v="4.6144559497300319"/>
    <n v="4.7232200589122781"/>
    <x v="2"/>
    <x v="4"/>
    <x v="2"/>
    <n v="0"/>
    <x v="2"/>
    <n v="0"/>
    <n v="0"/>
    <n v="0"/>
  </r>
  <r>
    <s v="BIA-GP-CHAIN-020-200-500"/>
    <s v="B073G9PK56"/>
    <x v="1"/>
    <s v="Ball Chain"/>
    <x v="77"/>
    <n v="6.6493000000000002"/>
    <s v="925 Silver"/>
    <s v="chain"/>
    <x v="0"/>
    <s v="7113.11.10.00"/>
    <s v="7113.11.00"/>
    <s v="7113.11.10.00"/>
    <s v="B073G9PK56 Ball Chain"/>
    <n v="7.5477459376933256"/>
    <n v="9.1150856154290096"/>
    <n v="11.667833572856182"/>
    <n v="11.942847905740354"/>
    <x v="2"/>
    <x v="0"/>
    <x v="2"/>
    <n v="0"/>
    <x v="2"/>
    <n v="0"/>
    <n v="0"/>
    <n v="0"/>
  </r>
  <r>
    <s v="BIA-ROSE-CHAIN-001-035-700"/>
    <s v="B073G9LNHZ"/>
    <x v="0"/>
    <s v="Curb Chain"/>
    <x v="133"/>
    <n v="3.5350000000000001"/>
    <s v="925 Silver"/>
    <s v="chain"/>
    <x v="0"/>
    <s v="7113.11.10.00"/>
    <s v="7113.11.00"/>
    <s v="7113.11.10.00"/>
    <s v="B073G9LNHZ Curb Chain"/>
    <n v="4.0126452242711119"/>
    <n v="4.8458977111186963"/>
    <n v="6.2030276390066028"/>
    <n v="6.3492348588260645"/>
    <x v="2"/>
    <x v="0"/>
    <x v="2"/>
    <n v="0"/>
    <x v="2"/>
    <n v="0"/>
    <n v="0"/>
    <n v="0"/>
  </r>
  <r>
    <s v="BIA-ROSE-CHAIN-001-040-250"/>
    <s v="B0783Q93YJ"/>
    <x v="0"/>
    <s v="Curb Chain"/>
    <x v="356"/>
    <n v="2.4735999999999998"/>
    <s v="925 Silver"/>
    <s v="Anklet"/>
    <x v="0"/>
    <s v="7113.11.10.00"/>
    <s v="7113.11.00"/>
    <s v="7113.11.10.00"/>
    <s v="B0783Q93YJ Curb Chain"/>
    <n v="2.8078300500019862"/>
    <n v="3.390894647305009"/>
    <n v="4.3405400757699386"/>
    <n v="4.4428479057403543"/>
    <x v="2"/>
    <x v="2"/>
    <x v="2"/>
    <n v="0"/>
    <x v="2"/>
    <n v="0"/>
    <n v="0"/>
    <n v="0"/>
  </r>
  <r>
    <s v="BIA-ROSE-CHAIN-008-030-700"/>
    <s v="B073JJLZBQ"/>
    <x v="0"/>
    <s v="Singapore Chain"/>
    <x v="18"/>
    <n v="4.1429"/>
    <s v="925 Silver"/>
    <s v="chain"/>
    <x v="0"/>
    <s v="7113.11.10.00"/>
    <s v="7113.11.00"/>
    <s v="7113.11.10.00"/>
    <s v="B073JJLZBQ Singapore Chain"/>
    <n v="4.7026839885807039"/>
    <n v="5.6792276173673688"/>
    <n v="7.2697378233777803"/>
    <n v="7.4410877218190956"/>
    <x v="2"/>
    <x v="0"/>
    <x v="2"/>
    <n v="0"/>
    <x v="2"/>
    <n v="0"/>
    <n v="0"/>
    <n v="0"/>
  </r>
  <r>
    <s v="BIA-ROSE-CHAIN-012-100-500"/>
    <s v="B073G8CQ93"/>
    <x v="0"/>
    <s v="Box Chain"/>
    <x v="135"/>
    <n v="3.1953999999999998"/>
    <s v="925 Silver"/>
    <s v="chain"/>
    <x v="0"/>
    <s v="7113.11.10.00"/>
    <s v="7113.11.00"/>
    <s v="7113.11.10.00"/>
    <s v="B073G8CQ93 Box Chain"/>
    <n v="3.6271588542110069"/>
    <n v="4.3803625307238141"/>
    <n v="5.6071158465860531"/>
    <n v="5.7392772469286584"/>
    <x v="2"/>
    <x v="0"/>
    <x v="2"/>
    <n v="0"/>
    <x v="2"/>
    <n v="0"/>
    <n v="0"/>
    <n v="0"/>
  </r>
  <r>
    <s v="S925-WHI-EAR-CEL-006"/>
    <s v="B083KM9FLZ"/>
    <x v="2"/>
    <s v="Silver Earrings - Celtic Design- Drop/Hooks/Dangle"/>
    <x v="357"/>
    <n v="6.1181000000000001"/>
    <s v="925 Silver"/>
    <s v="Earrings"/>
    <x v="0"/>
    <s v="7113.11.10.00"/>
    <s v="7113.11.00"/>
    <s v="7113.11.50.00"/>
    <s v="B083KM9FLZ Silver Earrings - Celtic Design- Drop/Hooks/Dangle"/>
    <n v="6.9447707911211003"/>
    <n v="8.3868986665899001"/>
    <n v="10.735712418163025"/>
    <n v="10.988756376176449"/>
    <x v="2"/>
    <x v="1"/>
    <x v="2"/>
    <n v="0"/>
    <x v="2"/>
    <n v="0"/>
    <n v="0"/>
    <n v="0"/>
  </r>
  <r>
    <s v="BIA-ROSE-CHAIN-012-100-600"/>
    <s v="B073G7ZTRK"/>
    <x v="0"/>
    <s v="Box Chain"/>
    <x v="23"/>
    <n v="3.7479"/>
    <s v="925 Silver"/>
    <s v="chain"/>
    <x v="0"/>
    <s v="7113.11.10.00"/>
    <s v="7113.11.00"/>
    <s v="7113.11.10.00"/>
    <s v="B073G7ZTRK Box Chain"/>
    <n v="4.254312032827638"/>
    <n v="5.1377482408774435"/>
    <n v="6.576613094266718"/>
    <n v="6.731625835189309"/>
    <x v="9"/>
    <x v="0"/>
    <x v="150"/>
    <n v="18.7395"/>
    <x v="153"/>
    <n v="25.688741204387217"/>
    <n v="32.883065471333587"/>
    <n v="33.658129175946542"/>
  </r>
  <r>
    <s v="S925-BLA-NEC-CHA-001-013-450"/>
    <s v="B0848W58XR"/>
    <x v="1"/>
    <s v="Curb Chain"/>
    <x v="20"/>
    <n v="2.0609000000000002"/>
    <s v="925 Silver"/>
    <s v="chain"/>
    <x v="0"/>
    <s v="7113.11.10.00"/>
    <s v="7113.11.00"/>
    <s v="7113.11.10.00"/>
    <s v="B0848W58XR Curb Chain"/>
    <n v="2.3393664901556819"/>
    <n v="2.8251515114128778"/>
    <n v="3.6163563398101015"/>
    <n v="3.7015949421653858"/>
    <x v="2"/>
    <x v="0"/>
    <x v="2"/>
    <n v="0"/>
    <x v="2"/>
    <n v="0"/>
    <n v="0"/>
    <n v="0"/>
  </r>
  <r>
    <s v="BIA-ROSE-CHAIN-020-200-190"/>
    <s v="B073V39W6R"/>
    <x v="1"/>
    <s v="Ball Chain"/>
    <x v="33"/>
    <n v="3.0363000000000002"/>
    <s v="925 Silver"/>
    <s v="Bracelet"/>
    <x v="0"/>
    <s v="7113.11.10.00"/>
    <s v="7113.11.00"/>
    <s v="7113.11.10.00"/>
    <s v="B073V39W6R Ball Chain"/>
    <n v="3.4465614411469243"/>
    <n v="4.1622628628768599"/>
    <n v="5.3279357341770153"/>
    <n v="5.4535167756304332"/>
    <x v="2"/>
    <x v="3"/>
    <x v="2"/>
    <n v="0"/>
    <x v="2"/>
    <n v="0"/>
    <n v="0"/>
    <n v="0"/>
  </r>
  <r>
    <s v="BIA-ROSE-CHAIN-022-150-180"/>
    <s v="B073V37ZPN"/>
    <x v="1"/>
    <s v="French Rope Chain"/>
    <x v="37"/>
    <n v="2.3812000000000002"/>
    <s v="925 Silver"/>
    <s v="Bracelet"/>
    <x v="0"/>
    <s v="7113.11.10.00"/>
    <s v="7113.11.00"/>
    <s v="7113.11.10.00"/>
    <s v="B073V37ZPN French Rope Chain"/>
    <n v="2.7029450659220289"/>
    <n v="3.2642295982223031"/>
    <n v="4.1784015315424394"/>
    <n v="4.276887707450248"/>
    <x v="0"/>
    <x v="3"/>
    <x v="151"/>
    <n v="23.812000000000001"/>
    <x v="154"/>
    <n v="32.642295982223025"/>
    <n v="41.784015315424391"/>
    <n v="42.768877074502484"/>
  </r>
  <r>
    <s v="S925-BLA-NEC-CHA-002-015-450"/>
    <s v="B0848CNWK7"/>
    <x v="1"/>
    <s v="Figaro Chain"/>
    <x v="2"/>
    <n v="2.2423999999999999"/>
    <s v="925 Silver"/>
    <s v="chain"/>
    <x v="0"/>
    <s v="7113.11.10.00"/>
    <s v="7113.11.00"/>
    <s v="7113.11.10.00"/>
    <s v="B0848CNWK7 Figaro Chain"/>
    <n v="2.5453905660270273"/>
    <n v="3.0739578578253366"/>
    <n v="3.9348427659712604"/>
    <n v="4.0275881888066669"/>
    <x v="2"/>
    <x v="0"/>
    <x v="2"/>
    <n v="0"/>
    <x v="2"/>
    <n v="0"/>
    <n v="0"/>
    <n v="0"/>
  </r>
  <r>
    <s v="S925-BLA-NEC-CHA-002-015-500"/>
    <s v="B0848MX3S6"/>
    <x v="1"/>
    <s v="Figaro Chain"/>
    <x v="257"/>
    <n v="2.4556"/>
    <s v="925 Silver"/>
    <s v="chain"/>
    <x v="0"/>
    <s v="7113.11.10.00"/>
    <s v="7113.11.00"/>
    <s v="7113.11.10.00"/>
    <s v="B0848MX3S6 Figaro Chain"/>
    <n v="2.7873979102461504"/>
    <n v="3.366219637743443"/>
    <n v="4.3089546450762697"/>
    <n v="4.4105179969825414"/>
    <x v="2"/>
    <x v="0"/>
    <x v="2"/>
    <n v="0"/>
    <x v="2"/>
    <n v="0"/>
    <n v="0"/>
    <n v="0"/>
  </r>
  <r>
    <s v="S925-BLA-NEC-CHA-002-015-600"/>
    <s v="B0848QJ5D9"/>
    <x v="1"/>
    <s v="Figaro Chain"/>
    <x v="172"/>
    <n v="2.7753999999999999"/>
    <s v="925 Silver"/>
    <s v="chain"/>
    <x v="0"/>
    <s v="7113.11.10.00"/>
    <s v="7113.11.00"/>
    <s v="7113.11.10.00"/>
    <s v="B0848QJ5D9 Figaro Chain"/>
    <n v="3.1504089265748356"/>
    <n v="3.8046123076206024"/>
    <n v="4.8701224637337832"/>
    <n v="4.9849127092463537"/>
    <x v="2"/>
    <x v="0"/>
    <x v="2"/>
    <n v="0"/>
    <x v="2"/>
    <n v="0"/>
    <n v="0"/>
    <n v="0"/>
  </r>
  <r>
    <s v="BIA-ROSE-CHAIN-024-140-500"/>
    <s v="B073G969SY"/>
    <x v="1"/>
    <s v="Snake Chain"/>
    <x v="40"/>
    <n v="5.0015999999999998"/>
    <s v="925 Silver"/>
    <s v="chain"/>
    <x v="0"/>
    <s v="7113.11.10.00"/>
    <s v="7113.11.00"/>
    <s v="7113.11.10.00"/>
    <s v="B073G969SY Snake Chain"/>
    <n v="5.6774105668216102"/>
    <n v="6.8563626568405294"/>
    <n v="8.7765383420807428"/>
    <n v="8.9834039801709888"/>
    <x v="9"/>
    <x v="0"/>
    <x v="152"/>
    <n v="25.007999999999999"/>
    <x v="155"/>
    <n v="34.281813284202649"/>
    <n v="43.882691710403712"/>
    <n v="44.917019900854946"/>
  </r>
  <r>
    <s v="BIA-ROSE-CHAIN-024-140-600"/>
    <s v="B073GBYRL5"/>
    <x v="1"/>
    <s v="Snake Chain"/>
    <x v="196"/>
    <n v="5.98"/>
    <s v="925 Silver"/>
    <s v="chain"/>
    <x v="0"/>
    <s v="7113.11.10.00"/>
    <s v="7113.11.00"/>
    <s v="7113.11.10.00"/>
    <s v="B073GBYRL5 Snake Chain"/>
    <n v="6.7880108744388261"/>
    <n v="8.1975865098981071"/>
    <n v="10.493381974896602"/>
    <n v="10.74071413176234"/>
    <x v="2"/>
    <x v="0"/>
    <x v="2"/>
    <n v="0"/>
    <x v="2"/>
    <n v="0"/>
    <n v="0"/>
    <n v="0"/>
  </r>
  <r>
    <s v="S925-BLA-NEC-CHA-004-013-700"/>
    <s v="B0848QBDS5"/>
    <x v="1"/>
    <s v="Belcher/Trace Chain"/>
    <x v="241"/>
    <n v="3.3877000000000002"/>
    <s v="925 Silver"/>
    <s v="chain"/>
    <x v="0"/>
    <s v="7113.11.10.00"/>
    <s v="7113.11.00"/>
    <s v="7113.11.10.00"/>
    <s v="B0848QBDS5 Belcher/Trace Chain"/>
    <n v="3.8454422139358546"/>
    <n v="4.6439738828732136"/>
    <n v="5.9445535311634146"/>
    <n v="6.0846684388246279"/>
    <x v="2"/>
    <x v="0"/>
    <x v="2"/>
    <n v="0"/>
    <x v="2"/>
    <n v="0"/>
    <n v="0"/>
    <n v="0"/>
  </r>
  <r>
    <s v="S925-BLA-NEC-CHA-006-010-450"/>
    <s v="B0848VQQLN"/>
    <x v="1"/>
    <s v="Box Chain"/>
    <x v="158"/>
    <n v="2.5217000000000001"/>
    <s v="925 Silver"/>
    <s v="chain"/>
    <x v="0"/>
    <s v="7113.11.10.00"/>
    <s v="7113.11.00"/>
    <s v="7113.11.10.00"/>
    <s v="B0848VQQLN Box Chain"/>
    <n v="2.8624292679050813"/>
    <n v="3.4568317561889721"/>
    <n v="4.4249433655680201"/>
    <n v="4.5292406063653994"/>
    <x v="2"/>
    <x v="0"/>
    <x v="2"/>
    <n v="0"/>
    <x v="2"/>
    <n v="0"/>
    <n v="0"/>
    <n v="0"/>
  </r>
  <r>
    <s v="BIA-ROSE-CHAIN-031-230-600"/>
    <s v="B071KL1BNN"/>
    <x v="1"/>
    <s v="Heart Chain"/>
    <x v="48"/>
    <n v="5.4409999999999998"/>
    <s v="925 Silver"/>
    <s v="chain"/>
    <x v="0"/>
    <s v="7113.11.10.00"/>
    <s v="7113.11.00"/>
    <s v="7113.11.10.00"/>
    <s v="B071KL1BNN Heart Chain"/>
    <n v="6.1761818006390721"/>
    <n v="7.4587070569156513"/>
    <n v="9.5475738002361883"/>
    <n v="9.7726129750700466"/>
    <x v="9"/>
    <x v="0"/>
    <x v="153"/>
    <n v="27.204999999999998"/>
    <x v="156"/>
    <n v="37.293535284578255"/>
    <n v="47.73786900118094"/>
    <n v="48.863064875350233"/>
  </r>
  <r>
    <s v="S925-BLA-NEC-CHA-006-010-600"/>
    <s v="B0848QH3TQ"/>
    <x v="1"/>
    <s v="Box Chain"/>
    <x v="253"/>
    <n v="3.2555000000000001"/>
    <s v="925 Silver"/>
    <s v="chain"/>
    <x v="0"/>
    <s v="7113.11.10.00"/>
    <s v="7113.11.00"/>
    <s v="7113.11.10.00"/>
    <s v="B0848QH3TQ Box Chain"/>
    <n v="3.6953794986179926"/>
    <n v="4.4627496459821545"/>
    <n v="5.7125760901799136"/>
    <n v="5.847223220058912"/>
    <x v="2"/>
    <x v="0"/>
    <x v="2"/>
    <n v="0"/>
    <x v="2"/>
    <n v="0"/>
    <n v="0"/>
    <n v="0"/>
  </r>
  <r>
    <s v="S925-BLA-NEC-CHA-007-012-450"/>
    <s v="B0848LC4L5"/>
    <x v="1"/>
    <s v="Ball Chain"/>
    <x v="259"/>
    <n v="2.7534000000000001"/>
    <s v="925 Silver"/>
    <s v="chain"/>
    <x v="0"/>
    <s v="7113.11.10.00"/>
    <s v="7113.11.00"/>
    <s v="7113.11.10.00"/>
    <s v="B0848LC4L5 Ball Chain"/>
    <n v="3.1254363113177028"/>
    <n v="3.7744539626009108"/>
    <n v="4.8315180484415219"/>
    <n v="4.9453983763201377"/>
    <x v="2"/>
    <x v="0"/>
    <x v="2"/>
    <n v="0"/>
    <x v="2"/>
    <n v="0"/>
    <n v="0"/>
    <n v="0"/>
  </r>
  <r>
    <s v="BIA-ROSE-CHAIN-041-220-250"/>
    <s v="B0783PRGMM"/>
    <x v="1"/>
    <s v="Bismark Chain"/>
    <x v="287"/>
    <n v="4.3091999999999997"/>
    <s v="925 Silver"/>
    <s v="Anklet"/>
    <x v="0"/>
    <s v="7113.11.10.00"/>
    <s v="7113.11.00"/>
    <s v="7113.11.10.00"/>
    <s v="B0783PRGMM Bismark Chain"/>
    <n v="4.8914542575471209"/>
    <n v="5.9071972890389493"/>
    <n v="7.5615521080642862"/>
    <n v="7.739780156620446"/>
    <x v="2"/>
    <x v="2"/>
    <x v="2"/>
    <n v="0"/>
    <x v="2"/>
    <n v="0"/>
    <n v="0"/>
    <n v="0"/>
  </r>
  <r>
    <s v="S925-BLA-NEC-CHA-007-012-700"/>
    <s v="B0848SVW8Y"/>
    <x v="1"/>
    <s v="Ball Chain"/>
    <x v="49"/>
    <n v="3.9647000000000001"/>
    <s v="925 Silver"/>
    <s v="chain"/>
    <x v="0"/>
    <s v="7113.11.10.00"/>
    <s v="7113.11.00"/>
    <s v="7113.11.10.00"/>
    <s v="B0848SVW8Y Ball Chain"/>
    <n v="4.5004058049979285"/>
    <n v="5.4349450227078631"/>
    <n v="6.957042059510461"/>
    <n v="7.1210216251167466"/>
    <x v="2"/>
    <x v="0"/>
    <x v="2"/>
    <n v="0"/>
    <x v="2"/>
    <n v="0"/>
    <n v="0"/>
    <n v="0"/>
  </r>
  <r>
    <s v="GL-9K-CHAIN-004-140-510"/>
    <s v="B07ZC8BN6K"/>
    <x v="1"/>
    <s v="Yellow Gold 10k Spiga Wheat Chain (Hollow)"/>
    <x v="28"/>
    <n v="54.709499999999998"/>
    <s v="9K Gold"/>
    <s v="chain"/>
    <x v="1"/>
    <s v=" 7113.19.10.00"/>
    <s v=" 7113.19.00"/>
    <s v="7113.11.50.00"/>
    <s v="B07ZC8BN6K Yellow Gold 10k Spiga Wheat Chain (Hollow)"/>
    <n v="62.101786109550318"/>
    <n v="74.997635311583679"/>
    <n v="96.001284474181531"/>
    <n v="98.26406351030964"/>
    <x v="2"/>
    <x v="10"/>
    <x v="2"/>
    <n v="0"/>
    <x v="2"/>
    <n v="0"/>
    <n v="0"/>
    <n v="0"/>
  </r>
  <r>
    <s v="GL-9K-CHAIN-005-140-510"/>
    <s v="B07ZC7ZQMN"/>
    <x v="1"/>
    <s v="White Gold 10k Classic Long Curb Chain - Diamond Cut (Hollow)"/>
    <x v="131"/>
    <n v="36.305300000000003"/>
    <s v="9K Gold"/>
    <s v="chain"/>
    <x v="1"/>
    <s v=" 7113.19.10.00"/>
    <s v=" 7113.19.00"/>
    <s v="7113.11.50.00"/>
    <s v="B07ZC7ZQMN White Gold 10k Classic Long Curb Chain - Diamond Cut (Hollow)"/>
    <n v="41.21083130430835"/>
    <n v="49.76853470197387"/>
    <n v="63.706585386825019"/>
    <n v="65.208168690279479"/>
    <x v="2"/>
    <x v="10"/>
    <x v="2"/>
    <n v="0"/>
    <x v="2"/>
    <n v="0"/>
    <n v="0"/>
    <n v="0"/>
  </r>
  <r>
    <s v="GL-9K-CHAIN-006-140-510"/>
    <s v="B07ZC76LN6"/>
    <x v="1"/>
    <s v="Rose Gold 10K - Long Anchor Chain"/>
    <x v="333"/>
    <n v="35.0595"/>
    <s v="9K Gold"/>
    <s v="chain"/>
    <x v="1"/>
    <s v=" 7113.19.10.00"/>
    <s v=" 7113.19.00"/>
    <s v="7113.11.50.00"/>
    <s v="B07ZC76LN6 Rose Gold 10K - Long Anchor Chain"/>
    <n v="39.796700209429432"/>
    <n v="48.06074987354058"/>
    <n v="61.52052263359321"/>
    <n v="62.970579783030388"/>
    <x v="2"/>
    <x v="10"/>
    <x v="2"/>
    <n v="0"/>
    <x v="2"/>
    <n v="0"/>
    <n v="0"/>
    <n v="0"/>
  </r>
  <r>
    <s v="BIA-S925-CHAIN-001-040-220-250"/>
    <s v="B072882QN5"/>
    <x v="0"/>
    <s v="Curb Chain"/>
    <x v="358"/>
    <n v="2.0207999999999999"/>
    <s v="925 Silver"/>
    <s v="Anklet"/>
    <x v="0"/>
    <s v="7113.11.10.00"/>
    <s v="7113.11.00"/>
    <s v="7113.11.10.00"/>
    <s v="B072882QN5 Curb Chain"/>
    <n v="2.2938482232551802"/>
    <n v="2.770181073445166"/>
    <n v="3.5459910192092057"/>
    <n v="3.6295710898771461"/>
    <x v="7"/>
    <x v="2"/>
    <x v="154"/>
    <n v="40.415999999999997"/>
    <x v="157"/>
    <n v="55.403621468903317"/>
    <n v="70.919820384184106"/>
    <n v="72.591421797542921"/>
  </r>
  <r>
    <s v="BIA-S925-CHAIN-004-040-450"/>
    <s v="B00DKCYWN6"/>
    <x v="0"/>
    <s v="Figaro Chain"/>
    <x v="257"/>
    <n v="2.3252000000000002"/>
    <s v="925 Silver"/>
    <s v="chain"/>
    <x v="0"/>
    <s v="7113.11.10.00"/>
    <s v="7113.11.00"/>
    <s v="7113.11.10.00"/>
    <s v="B00DKCYWN6 Figaro Chain"/>
    <n v="2.6393784089038728"/>
    <n v="3.1874629018085412"/>
    <n v="4.0801357471621369"/>
    <n v="4.1763057690926075"/>
    <x v="2"/>
    <x v="0"/>
    <x v="2"/>
    <n v="0"/>
    <x v="2"/>
    <n v="0"/>
    <n v="0"/>
    <n v="0"/>
  </r>
  <r>
    <s v="BIA-S925-CHAIN-006-035-550"/>
    <s v="B00DKCZF96"/>
    <x v="0"/>
    <s v="Rhombus Chain"/>
    <x v="359"/>
    <n v="3.1861000000000002"/>
    <s v="925 Silver"/>
    <s v="chain"/>
    <x v="0"/>
    <s v="7113.11.10.00"/>
    <s v="7113.11.00"/>
    <s v="7113.11.10.00"/>
    <s v="B00DKCZF96 Rhombus Chain"/>
    <n v="3.6166022486704921"/>
    <n v="4.3676137757836715"/>
    <n v="5.5907967073943245"/>
    <n v="5.7225734607371219"/>
    <x v="2"/>
    <x v="0"/>
    <x v="2"/>
    <n v="0"/>
    <x v="2"/>
    <n v="0"/>
    <n v="0"/>
    <n v="0"/>
  </r>
  <r>
    <s v="BIA-S925-CHAIN-008-035-450"/>
    <s v="B00DKCZKQY"/>
    <x v="0"/>
    <s v="Singapore Chain"/>
    <x v="360"/>
    <n v="2.9348999999999998"/>
    <s v="925 Silver"/>
    <s v="chain"/>
    <x v="0"/>
    <s v="7113.11.10.00"/>
    <s v="7113.11.00"/>
    <s v="7113.11.10.00"/>
    <s v="B00DKCZKQY Singapore Chain"/>
    <n v="3.3314603871890482"/>
    <n v="4.0232603090133692"/>
    <n v="5.1500044746026807"/>
    <n v="5.2713916229614188"/>
    <x v="2"/>
    <x v="0"/>
    <x v="2"/>
    <n v="0"/>
    <x v="2"/>
    <n v="0"/>
    <n v="0"/>
    <n v="0"/>
  </r>
  <r>
    <s v="S925-WHI-NEC-PEN-005"/>
    <s v="B085F37RXH"/>
    <x v="1"/>
    <s v="Necklace - Rolo chain - tripple circle Pendant"/>
    <x v="361"/>
    <n v="8.6523000000000003"/>
    <s v="925 Silver"/>
    <s v="chain"/>
    <x v="0"/>
    <s v="7113.11.10.00"/>
    <s v="7113.11.00"/>
    <s v="7113.11.10.00"/>
    <s v="B085F37RXH Necklace - Rolo chain - tripple circle Pendant"/>
    <n v="9.8213890449677343"/>
    <n v="11.860865846085517"/>
    <n v="15.18259011060165"/>
    <n v="15.540448308068108"/>
    <x v="2"/>
    <x v="0"/>
    <x v="2"/>
    <n v="0"/>
    <x v="2"/>
    <n v="0"/>
    <n v="0"/>
    <n v="0"/>
  </r>
  <r>
    <s v="S925-WHI-NEC-PEN-006"/>
    <s v="B085F34DW7"/>
    <x v="1"/>
    <s v="Necklace - Rolo chain - interlocking Circles Pendant"/>
    <x v="362"/>
    <n v="8.0725999999999996"/>
    <s v="925 Silver"/>
    <s v="chain"/>
    <x v="0"/>
    <s v="7113.11.10.00"/>
    <s v="7113.11.00"/>
    <s v="7113.11.10.00"/>
    <s v="B085F34DW7 Necklace - Rolo chain - interlocking Circles Pendant"/>
    <n v="9.1633606329422843"/>
    <n v="11.066193454816631"/>
    <n v="14.165363767650552"/>
    <n v="14.499245635462316"/>
    <x v="2"/>
    <x v="0"/>
    <x v="2"/>
    <n v="0"/>
    <x v="2"/>
    <n v="0"/>
    <n v="0"/>
    <n v="0"/>
  </r>
  <r>
    <s v="S925-WHI-NEC-PEN-007"/>
    <s v="B085F2X79R"/>
    <x v="1"/>
    <s v="Necklace - Rolo chain - interlocking Circles Pendant"/>
    <x v="363"/>
    <n v="6.0450999999999997"/>
    <s v="925 Silver"/>
    <s v="chain"/>
    <x v="0"/>
    <s v="7113.11.10.00"/>
    <s v="7113.11.00"/>
    <s v="7113.11.10.00"/>
    <s v="B085F2X79R Necklace - Rolo chain - interlocking Circles Pendant"/>
    <n v="6.8619071132224319"/>
    <n v="8.2868277944791036"/>
    <n v="10.607615949238703"/>
    <n v="10.857640635103095"/>
    <x v="2"/>
    <x v="0"/>
    <x v="2"/>
    <n v="0"/>
    <x v="2"/>
    <n v="0"/>
    <n v="0"/>
    <n v="0"/>
  </r>
  <r>
    <s v="S925-YEL-PEN-TREE-004"/>
    <s v="B084SW9YWK"/>
    <x v="1"/>
    <s v="Pendant - Tree of Life"/>
    <x v="131"/>
    <n v="4.4024999999999999"/>
    <s v="925 Silver"/>
    <s v="Pendant"/>
    <x v="0"/>
    <s v="7113.11.10.00"/>
    <s v="7113.11.00"/>
    <s v="7113.11.50.00"/>
    <s v="B084SW9YWK Pendant - Tree of Life"/>
    <n v="4.9973608486148713"/>
    <n v="6.035096088599734"/>
    <n v="7.7252699238264686"/>
    <n v="7.9073568503484442"/>
    <x v="2"/>
    <x v="4"/>
    <x v="2"/>
    <n v="0"/>
    <x v="2"/>
    <n v="0"/>
    <n v="0"/>
    <n v="0"/>
  </r>
  <r>
    <s v="S925-ROS-PEN-TREE-005"/>
    <s v="B084SX21MQ"/>
    <x v="1"/>
    <s v="Pendant - Tree of Life - shiny"/>
    <x v="364"/>
    <n v="7.6242999999999999"/>
    <s v="925 Silver"/>
    <s v="Pendant"/>
    <x v="0"/>
    <s v="7113.11.10.00"/>
    <s v="7113.11.00"/>
    <s v="7113.11.50.00"/>
    <s v="B084SX21MQ Pendant - Tree of Life - shiny"/>
    <n v="8.6544868411344371"/>
    <n v="10.451648633347178"/>
    <n v="13.378711068763236"/>
    <n v="13.694051296788562"/>
    <x v="2"/>
    <x v="4"/>
    <x v="2"/>
    <n v="0"/>
    <x v="2"/>
    <n v="0"/>
    <n v="0"/>
    <n v="0"/>
  </r>
  <r>
    <s v="BIA-S925-CHAIN-012-200-450"/>
    <s v="B073D6H1YK"/>
    <x v="0"/>
    <s v="Venice Box Chain"/>
    <x v="365"/>
    <n v="9.1045999999999996"/>
    <s v="925 Silver"/>
    <s v="chain"/>
    <x v="0"/>
    <s v="7113.11.10.00"/>
    <s v="7113.11.00"/>
    <s v="7113.11.10.00"/>
    <s v="B073D6H1YK Venice Box Chain"/>
    <n v="10.334803312276877"/>
    <n v="12.480894003013093"/>
    <n v="15.976261794087558"/>
    <n v="16.352827070910266"/>
    <x v="9"/>
    <x v="0"/>
    <x v="155"/>
    <n v="45.522999999999996"/>
    <x v="158"/>
    <n v="62.404470015065456"/>
    <n v="79.881308970437786"/>
    <n v="81.764135354551328"/>
  </r>
  <r>
    <s v="BIA-S925-CHAIN-013-075-650"/>
    <s v="B073D6QSLB"/>
    <x v="1"/>
    <s v="Byzantine Chain"/>
    <x v="366"/>
    <n v="26.358499999999999"/>
    <s v="925 Silver"/>
    <s v="chain"/>
    <x v="0"/>
    <s v="7113.11.10.00"/>
    <s v="7113.11.00"/>
    <s v="7113.11.10.00"/>
    <s v="B073D6QSLB Byzantine Chain"/>
    <n v="29.920030875233408"/>
    <n v="36.133124418252379"/>
    <n v="46.252476385503691"/>
    <n v="47.342661110711973"/>
    <x v="9"/>
    <x v="0"/>
    <x v="156"/>
    <n v="131.79249999999999"/>
    <x v="159"/>
    <n v="180.66562209126189"/>
    <n v="231.26238192751842"/>
    <n v="236.71330555355985"/>
  </r>
  <r>
    <s v="BIA-S925-CHAIN-019-110-450"/>
    <s v="B00DKD0L5S"/>
    <x v="1"/>
    <s v="Ball Chain"/>
    <x v="367"/>
    <n v="4.0297999999999998"/>
    <s v="925 Silver"/>
    <s v="chain"/>
    <x v="0"/>
    <s v="7113.11.10.00"/>
    <s v="7113.11.00"/>
    <s v="7113.11.10.00"/>
    <s v="B00DKD0L5S Ball Chain"/>
    <n v="4.5743020437815352"/>
    <n v="5.5241863072888604"/>
    <n v="7.0712760338525618"/>
    <n v="7.2379481284575036"/>
    <x v="7"/>
    <x v="0"/>
    <x v="157"/>
    <n v="80.596000000000004"/>
    <x v="160"/>
    <n v="110.48372614577723"/>
    <n v="141.42552067705125"/>
    <n v="144.75896256915007"/>
  </r>
  <r>
    <s v="G9K-ROS-BRA-CHA-001-190"/>
    <s v="B085QKX58N"/>
    <x v="1"/>
    <s v="Chain Bracelet - Heart - 9K Gold Rose"/>
    <x v="83"/>
    <n v="41.372799999999998"/>
    <s v="9K Gold"/>
    <s v="Bracelet"/>
    <x v="1"/>
    <s v=" 7113.19.10.00"/>
    <s v=" 7113.19.00"/>
    <s v="7113.19.10.00"/>
    <s v="B085QKX58N Chain Bracelet - Heart - 9K Gold Rose"/>
    <n v="46.963046205013818"/>
    <n v="56.715235310487017"/>
    <n v="72.598761500167569"/>
    <n v="74.309936058624899"/>
    <x v="2"/>
    <x v="12"/>
    <x v="2"/>
    <n v="0"/>
    <x v="2"/>
    <n v="0"/>
    <n v="0"/>
    <n v="0"/>
  </r>
  <r>
    <s v="S925-WHI-PEN-COIN-001-CC50"/>
    <s v="EBAY"/>
    <x v="1"/>
    <s v="Coin Pendant - St Christopher - Silver"/>
    <x v="368"/>
    <n v="4.5381999999999998"/>
    <s v="925 Silver"/>
    <s v="Pendant"/>
    <x v="0"/>
    <s v="7113.11.10.00"/>
    <s v="7113.11.00"/>
    <s v="7113.11.50.00"/>
    <s v="EBAY Coin Pendant - St Christopher - Silver"/>
    <n v="5.1513964799963672"/>
    <n v="6.2211182440166528"/>
    <n v="7.9633889763337375"/>
    <n v="8.1510884402615122"/>
    <x v="2"/>
    <x v="4"/>
    <x v="2"/>
    <n v="0"/>
    <x v="2"/>
    <n v="0"/>
    <n v="0"/>
    <n v="0"/>
  </r>
  <r>
    <s v="S925-YEL-PEN-COIN-001-CC50g"/>
    <s v="EBAY"/>
    <x v="1"/>
    <s v="Coin Pendant - St Christopher - Gold Plated"/>
    <x v="369"/>
    <n v="4.5804999999999998"/>
    <s v="925 Silver"/>
    <s v="Pendant"/>
    <x v="0"/>
    <s v="7113.11.10.00"/>
    <s v="7113.11.00"/>
    <s v="7113.11.50.00"/>
    <s v="EBAY Coin Pendant - St Christopher - Gold Plated"/>
    <n v="5.1994120084225814"/>
    <n v="6.2791045164863331"/>
    <n v="8.0376147384638585"/>
    <n v="8.2270637258423722"/>
    <x v="2"/>
    <x v="4"/>
    <x v="2"/>
    <n v="0"/>
    <x v="2"/>
    <n v="0"/>
    <n v="0"/>
    <n v="0"/>
  </r>
  <r>
    <s v="G10K-YEL-EAR-HOOP-001-010"/>
    <s v="Listed as 9K"/>
    <x v="1"/>
    <s v="10k Gold Hoops - 10 mm"/>
    <x v="308"/>
    <n v="9.9943000000000008"/>
    <s v="9K Gold"/>
    <s v="Earrings"/>
    <x v="1"/>
    <s v=" 7113.19.10.00"/>
    <s v=" 7113.19.00"/>
    <s v="7113.19.29.00"/>
    <s v="Listed as 9K 10k Gold Hoops - 10 mm"/>
    <n v="11.344718575652836"/>
    <n v="13.70052489228673"/>
    <n v="17.537459443429618"/>
    <n v="17.950822616567283"/>
    <x v="2"/>
    <x v="7"/>
    <x v="2"/>
    <n v="0"/>
    <x v="2"/>
    <n v="0"/>
    <n v="0"/>
    <n v="0"/>
  </r>
  <r>
    <s v="G10K-YEL-EAR-HOOP-001-015"/>
    <s v="Listed as 9K"/>
    <x v="1"/>
    <s v="10k Gold Hoops - 15 mm"/>
    <x v="370"/>
    <n v="16.803100000000001"/>
    <s v="9K Gold"/>
    <s v="Earrings"/>
    <x v="1"/>
    <s v=" 7113.19.10.00"/>
    <s v=" 7113.19.00"/>
    <s v="7113.19.29.00"/>
    <s v="Listed as 9K 10k Gold Hoops - 15 mm"/>
    <n v="19.073515973960372"/>
    <n v="23.034258509108508"/>
    <n v="29.485175027154696"/>
    <n v="30.180149436022703"/>
    <x v="2"/>
    <x v="7"/>
    <x v="2"/>
    <n v="0"/>
    <x v="2"/>
    <n v="0"/>
    <n v="0"/>
    <n v="0"/>
  </r>
  <r>
    <s v="G10K-YEL-EAR-HOOP-001-020"/>
    <s v="Listed as 9K"/>
    <x v="1"/>
    <s v="10k Gold Hoops - 20 mm"/>
    <x v="371"/>
    <n v="24.751200000000001"/>
    <s v="9K Gold"/>
    <s v="Earrings"/>
    <x v="1"/>
    <s v=" 7113.19.10.00"/>
    <s v=" 7113.19.00"/>
    <s v="7113.19.29.00"/>
    <s v="Listed as 9K 10k Gold Hoops - 20 mm"/>
    <n v="28.095554306924793"/>
    <n v="33.929783147790971"/>
    <n v="43.432072899174038"/>
    <n v="44.455779869243479"/>
    <x v="2"/>
    <x v="7"/>
    <x v="2"/>
    <n v="0"/>
    <x v="2"/>
    <n v="0"/>
    <n v="0"/>
    <n v="0"/>
  </r>
  <r>
    <s v="G10K-YEL-NEC-CHA-001-014-510"/>
    <s v="Listed as 9K"/>
    <x v="1"/>
    <s v="10K Curb Chain"/>
    <x v="333"/>
    <n v="35.0595"/>
    <s v="9K Gold"/>
    <s v="chain"/>
    <x v="1"/>
    <s v=" 7113.19.10.00"/>
    <s v=" 7113.19.00"/>
    <s v="7113.11.50.00"/>
    <s v="Listed as 9K 10K Curb Chain"/>
    <n v="39.796700209429432"/>
    <n v="48.06074987354058"/>
    <n v="61.52052263359321"/>
    <n v="62.970579783030388"/>
    <x v="2"/>
    <x v="10"/>
    <x v="2"/>
    <n v="0"/>
    <x v="2"/>
    <n v="0"/>
    <n v="0"/>
    <n v="0"/>
  </r>
  <r>
    <s v="G10K-YEL-NEC-CHA-002-014-510"/>
    <s v="Listed as 9K"/>
    <x v="1"/>
    <s v="10K Anchor Chain"/>
    <x v="10"/>
    <n v="30.741399999999999"/>
    <s v="9K Gold"/>
    <s v="chain"/>
    <x v="1"/>
    <s v=" 7113.19.10.00"/>
    <s v=" 7113.19.00"/>
    <s v="7113.11.50.00"/>
    <s v="Listed as 9K 10K Anchor Chain"/>
    <n v="34.895143393891921"/>
    <n v="42.141352163107292"/>
    <n v="53.943353284797048"/>
    <n v="55.214814282635238"/>
    <x v="2"/>
    <x v="10"/>
    <x v="2"/>
    <n v="0"/>
    <x v="2"/>
    <n v="0"/>
    <n v="0"/>
    <n v="0"/>
  </r>
  <r>
    <s v="G10K-YEL-NEC-CHA-003-014-510"/>
    <s v="Listed as 9K"/>
    <x v="1"/>
    <s v="10K Figaro Chain"/>
    <x v="76"/>
    <n v="25.2883"/>
    <s v="9K Gold"/>
    <s v="chain"/>
    <x v="1"/>
    <s v=" 7113.19.10.00"/>
    <s v=" 7113.19.00"/>
    <s v="7113.11.50.00"/>
    <s v="Listed as 9K 10K Figaro Chain"/>
    <n v="28.705226654861431"/>
    <n v="34.666058016430817"/>
    <n v="44.374547056150121"/>
    <n v="45.420468424455777"/>
    <x v="2"/>
    <x v="10"/>
    <x v="2"/>
    <n v="0"/>
    <x v="2"/>
    <n v="0"/>
    <n v="0"/>
    <n v="0"/>
  </r>
  <r>
    <s v="S925-WHI-BRA-BAN-006-600"/>
    <s v="B08618C612"/>
    <x v="1"/>
    <s v="Silver Adjustable Bangle"/>
    <x v="372"/>
    <n v="8.7980999999999998"/>
    <s v="925 Silver"/>
    <s v="Bracelet"/>
    <x v="0"/>
    <s v="7113.11.10.00"/>
    <s v="7113.11.00"/>
    <s v="7113.11.10.00"/>
    <s v="B08618C612 Silver Adjustable Bangle"/>
    <n v="9.9868893769900051"/>
    <n v="12.060733423534202"/>
    <n v="15.438432099220366"/>
    <n v="15.802320569006392"/>
    <x v="2"/>
    <x v="3"/>
    <x v="2"/>
    <n v="0"/>
    <x v="2"/>
    <n v="0"/>
    <n v="0"/>
    <n v="0"/>
  </r>
  <r>
    <s v="S925-ROS-BRA-BAN-006-600"/>
    <s v="B08618HGR4"/>
    <x v="1"/>
    <s v="Rose Plated Adjustable Bangle"/>
    <x v="373"/>
    <n v="9.2271000000000001"/>
    <s v="925 Silver"/>
    <s v="Bracelet"/>
    <x v="0"/>
    <s v="7113.11.10.00"/>
    <s v="7113.11.00"/>
    <s v="7113.11.10.00"/>
    <s v="B08618HGR4 Rose Plated Adjustable Bangle"/>
    <n v="10.473855374504096"/>
    <n v="12.648821151418197"/>
    <n v="16.19121819741947"/>
    <n v="16.572850061067605"/>
    <x v="2"/>
    <x v="3"/>
    <x v="2"/>
    <n v="0"/>
    <x v="2"/>
    <n v="0"/>
    <n v="0"/>
    <n v="0"/>
  </r>
  <r>
    <s v="S925-YEL-BRA-BAN-006-600"/>
    <s v="B08618N9LX"/>
    <x v="1"/>
    <s v="Gold Plated Adjustable Bangle"/>
    <x v="374"/>
    <n v="9.6729000000000003"/>
    <s v="925 Silver"/>
    <s v="Bracelet"/>
    <x v="0"/>
    <s v="7113.11.10.00"/>
    <s v="7113.11.00"/>
    <s v="7113.11.10.00"/>
    <s v="B08618N9LX Gold Plated Adjustable Bangle"/>
    <n v="10.979891369123632"/>
    <n v="13.259938888226319"/>
    <n v="16.973484030932664"/>
    <n v="17.373554134636109"/>
    <x v="2"/>
    <x v="3"/>
    <x v="2"/>
    <n v="0"/>
    <x v="2"/>
    <n v="0"/>
    <n v="0"/>
    <n v="0"/>
  </r>
  <r>
    <s v="S925-WHI-BRA-ELA-002"/>
    <s v="B09968Z6K4"/>
    <x v="1"/>
    <s v="Silver Elastic Snake Bracelet"/>
    <x v="375"/>
    <n v="21.157699999999998"/>
    <s v="925 Silver"/>
    <s v="Bracelet"/>
    <x v="0"/>
    <s v="7113.11.10.00"/>
    <s v="7113.11.00"/>
    <s v="7113.11.10.00"/>
    <s v="B09968Z6K4 Silver Elastic Snake Bracelet"/>
    <n v="24.016504628447212"/>
    <n v="29.00369165559718"/>
    <n v="37.126392610413006"/>
    <n v="38.001472806954517"/>
    <x v="2"/>
    <x v="3"/>
    <x v="2"/>
    <n v="0"/>
    <x v="2"/>
    <n v="0"/>
    <n v="0"/>
    <n v="0"/>
  </r>
  <r>
    <s v="BIA-S925-CHAIN-024-190-200"/>
    <s v="B01NAVHGB2"/>
    <x v="1"/>
    <s v="Rat Tail"/>
    <x v="376"/>
    <n v="3.3736999999999999"/>
    <s v="925 Silver"/>
    <s v="Bracelet"/>
    <x v="0"/>
    <s v="7113.11.10.00"/>
    <s v="7113.11.00"/>
    <s v="7113.11.10.00"/>
    <s v="B01NAVHGB2 Rat Tail"/>
    <n v="3.8295505496813154"/>
    <n v="4.6247822087697728"/>
    <n v="5.919987085068338"/>
    <n v="6.0595229542352174"/>
    <x v="2"/>
    <x v="3"/>
    <x v="2"/>
    <n v="0"/>
    <x v="2"/>
    <n v="0"/>
    <n v="0"/>
    <n v="0"/>
  </r>
  <r>
    <s v="S925-MUL-BRA-LAY-002-200"/>
    <s v="B0872DTX5C"/>
    <x v="1"/>
    <s v="Adjustable 3 layer bracelet with Small Beads."/>
    <x v="40"/>
    <n v="5.8137999999999996"/>
    <s v="925 Silver"/>
    <s v="Bracelet"/>
    <x v="0"/>
    <s v="7113.11.10.00"/>
    <s v="7113.11.00"/>
    <s v="7113.11.10.00"/>
    <s v="B0872DTX5C Adjustable 3 layer bracelet with Small Beads."/>
    <n v="6.5993541173599404"/>
    <n v="7.9697539216129778"/>
    <n v="10.201743164825059"/>
    <n v="10.442201307565197"/>
    <x v="2"/>
    <x v="3"/>
    <x v="2"/>
    <n v="0"/>
    <x v="2"/>
    <n v="0"/>
    <n v="0"/>
    <n v="0"/>
  </r>
  <r>
    <s v="BIA-S925-CHAIN-024-190-650"/>
    <s v="B073D5W5TK"/>
    <x v="1"/>
    <s v="Rat Tail"/>
    <x v="377"/>
    <n v="9.9238"/>
    <s v="925 Silver"/>
    <s v="chain"/>
    <x v="0"/>
    <s v="7113.11.10.00"/>
    <s v="7113.11.00"/>
    <s v="7113.11.10.00"/>
    <s v="B073D5W5TK Rat Tail"/>
    <n v="11.264692694942477"/>
    <n v="13.603881104837262"/>
    <n v="17.413749839879411"/>
    <n v="17.824197140599178"/>
    <x v="9"/>
    <x v="0"/>
    <x v="158"/>
    <n v="49.619"/>
    <x v="161"/>
    <n v="68.019405524186311"/>
    <n v="87.068749199397061"/>
    <n v="89.120985702995895"/>
  </r>
  <r>
    <s v="S925-MUL-NEC-LAY-002-010-450"/>
    <s v="B087CZF1D2"/>
    <x v="1"/>
    <s v="Adjustable 3 layered chain. Chains with knot."/>
    <x v="378"/>
    <n v="8.5765999999999991"/>
    <s v="925 Silver"/>
    <s v="chain"/>
    <x v="0"/>
    <s v="7113.11.10.00"/>
    <s v="7113.11.00"/>
    <s v="7113.11.10.00"/>
    <s v="B087CZF1D2 Adjustable 3 layered chain. Chains with knot."/>
    <n v="9.7354605461056902"/>
    <n v="11.757093722540484"/>
    <n v="15.049755827073275"/>
    <n v="15.40448308068108"/>
    <x v="2"/>
    <x v="0"/>
    <x v="2"/>
    <n v="0"/>
    <x v="2"/>
    <n v="0"/>
    <n v="0"/>
    <n v="0"/>
  </r>
  <r>
    <s v="S925-MUL-NEC-LAY-003-009-450"/>
    <s v="B087D5B5VF"/>
    <x v="1"/>
    <s v="Adjustable 3 necklace with small Beads."/>
    <x v="379"/>
    <n v="11.355600000000001"/>
    <s v="925 Silver"/>
    <s v="chain"/>
    <x v="0"/>
    <s v="7113.11.10.00"/>
    <s v="7113.11.00"/>
    <s v="7113.11.10.00"/>
    <s v="B087D5B5VF Adjustable 3 necklace with small Beads."/>
    <n v="12.889955900631694"/>
    <n v="15.566641032073401"/>
    <n v="19.926195376945795"/>
    <n v="20.395861771679002"/>
    <x v="2"/>
    <x v="0"/>
    <x v="2"/>
    <n v="0"/>
    <x v="2"/>
    <n v="0"/>
    <n v="0"/>
    <n v="0"/>
  </r>
  <r>
    <s v="S925-MUL-NEC-LAY-004-013-450"/>
    <s v="B087D5DP5K"/>
    <x v="1"/>
    <s v="Adjustable 3 necklace with small and medium Beads."/>
    <x v="380"/>
    <n v="8.8606999999999996"/>
    <s v="925 Silver"/>
    <s v="chain"/>
    <x v="0"/>
    <s v="7113.11.10.00"/>
    <s v="7113.11.00"/>
    <s v="7113.11.10.00"/>
    <s v="B087D5DP5K Adjustable 3 necklace with small and medium Beads."/>
    <n v="10.057947818585301"/>
    <n v="12.14654762345387"/>
    <n v="15.548279208188346"/>
    <n v="15.914756807241897"/>
    <x v="2"/>
    <x v="0"/>
    <x v="2"/>
    <n v="0"/>
    <x v="2"/>
    <n v="0"/>
    <n v="0"/>
    <n v="0"/>
  </r>
  <r>
    <s v="S925-ROS-ANK-COIN-002"/>
    <s v="B08ZSYCJKR"/>
    <x v="1"/>
    <s v="Adjustable Anklet with Coins"/>
    <x v="381"/>
    <n v="5.0643000000000002"/>
    <s v="925 Silver"/>
    <s v="Anklet"/>
    <x v="0"/>
    <s v="7113.11.10.00"/>
    <s v="7113.11.00"/>
    <s v="7113.11.10.00"/>
    <s v="B08ZSYCJKR Adjustable Anklet with Coins"/>
    <n v="5.7485825203044394"/>
    <n v="6.9423139401466525"/>
    <n v="8.886560925663689"/>
    <n v="9.0960198290107055"/>
    <x v="2"/>
    <x v="2"/>
    <x v="2"/>
    <n v="0"/>
    <x v="2"/>
    <n v="0"/>
    <n v="0"/>
    <n v="0"/>
  </r>
  <r>
    <s v="S925-ROS-BRA-COIN-001-200"/>
    <s v="B08ZSZ45Z4"/>
    <x v="1"/>
    <s v="Adjustable ROSE Gold Plated Bracelet with Coins"/>
    <x v="382"/>
    <n v="4.9263000000000003"/>
    <s v="925 Silver"/>
    <s v="Bracelet"/>
    <x v="0"/>
    <s v="7113.11.10.00"/>
    <s v="7113.11.00"/>
    <s v="7113.11.10.00"/>
    <s v="B08ZSZ45Z4 Adjustable ROSE Gold Plated Bracelet with Coins"/>
    <n v="5.5919361155096974"/>
    <n v="6.7531388668413115"/>
    <n v="8.6444059570122285"/>
    <n v="8.8481571952008053"/>
    <x v="2"/>
    <x v="3"/>
    <x v="2"/>
    <n v="0"/>
    <x v="2"/>
    <n v="0"/>
    <n v="0"/>
    <n v="0"/>
  </r>
  <r>
    <s v="S925-ROS-NEC-COIN-001-013-450"/>
    <s v="B08ZSZQCN7"/>
    <x v="1"/>
    <s v="Adjustable Necklace with Coins"/>
    <x v="383"/>
    <n v="8.2971000000000004"/>
    <s v="925 Silver"/>
    <s v="chain"/>
    <x v="0"/>
    <s v="7113.11.10.00"/>
    <s v="7113.11.00"/>
    <s v="7113.11.10.00"/>
    <s v="B08ZSZQCN7 Adjustable Necklace with Coins"/>
    <n v="9.4181948204525732"/>
    <n v="11.373945657403944"/>
    <n v="14.559304278246588"/>
    <n v="14.90247144191393"/>
    <x v="2"/>
    <x v="0"/>
    <x v="2"/>
    <n v="0"/>
    <x v="2"/>
    <n v="0"/>
    <n v="0"/>
    <n v="0"/>
  </r>
  <r>
    <s v="S925-WHI-BRA-CHA-041-200"/>
    <s v="B093QCKKBM"/>
    <x v="1"/>
    <s v="Adjustable Rolo Chain Bracelet with BABY tag"/>
    <x v="384"/>
    <n v="4.1638000000000002"/>
    <s v="925 Silver"/>
    <s v="Bracelet"/>
    <x v="0"/>
    <s v="7113.11.10.00"/>
    <s v="7113.11.00"/>
    <s v="7113.11.10.00"/>
    <s v="B093QCKKBM Adjustable Rolo Chain Bracelet with BABY tag"/>
    <n v="4.7264079730749806"/>
    <n v="5.7078780451360762"/>
    <n v="7.3064120179054299"/>
    <n v="7.4786263380990015"/>
    <x v="2"/>
    <x v="3"/>
    <x v="2"/>
    <n v="0"/>
    <x v="2"/>
    <n v="0"/>
    <n v="0"/>
    <n v="0"/>
  </r>
  <r>
    <s v="S925-WHI-BRA-COIN-002-190"/>
    <s v="B08ZSZBC63"/>
    <x v="1"/>
    <s v="Adjustable Silver Bracelet with Coins"/>
    <x v="385"/>
    <n v="9.5685000000000002"/>
    <s v="925 Silver"/>
    <s v="Bracelet"/>
    <x v="0"/>
    <s v="7113.11.10.00"/>
    <s v="7113.11.00"/>
    <s v="7113.11.10.00"/>
    <s v="B08ZSZBC63 Adjustable Silver Bracelet with Coins"/>
    <n v="10.861384958539784"/>
    <n v="13.116823832769235"/>
    <n v="16.790288532909386"/>
    <n v="17.186040663840792"/>
    <x v="2"/>
    <x v="3"/>
    <x v="2"/>
    <n v="0"/>
    <x v="2"/>
    <n v="0"/>
    <n v="0"/>
    <n v="0"/>
  </r>
  <r>
    <s v="S925-WHI-BRA-COIN-003-200"/>
    <s v="B08ZSXS83F"/>
    <x v="1"/>
    <s v="Adjustable Bracelet with Small and Big Coins"/>
    <x v="386"/>
    <n v="22.741199999999999"/>
    <s v="925 Silver"/>
    <s v="Bracelet"/>
    <x v="0"/>
    <s v="7113.11.10.00"/>
    <s v="7113.11.00"/>
    <s v="7113.11.10.00"/>
    <s v="B08ZSXS83F Adjustable Bracelet with Small and Big Coins"/>
    <n v="25.813965367523114"/>
    <n v="31.174407080082744"/>
    <n v="39.905033138381036"/>
    <n v="40.845606724621021"/>
    <x v="2"/>
    <x v="3"/>
    <x v="2"/>
    <n v="0"/>
    <x v="2"/>
    <n v="0"/>
    <n v="0"/>
    <n v="0"/>
  </r>
  <r>
    <s v="S925-WHI-BRA-MEN-004-230"/>
    <s v="B092975BJC"/>
    <x v="1"/>
    <s v="Adjustable Unisex Bracelet with Cylinder Beads"/>
    <x v="387"/>
    <n v="11.338699999999999"/>
    <s v="925 Silver"/>
    <s v="Bracelet"/>
    <x v="0"/>
    <s v="7113.11.10.00"/>
    <s v="7113.11.00"/>
    <s v="7113.11.10.00"/>
    <s v="B092975BJC Adjustable Unisex Bracelet with Cylinder Beads"/>
    <n v="12.870772391638713"/>
    <n v="15.543473939762817"/>
    <n v="19.896540167016738"/>
    <n v="20.365507579567495"/>
    <x v="2"/>
    <x v="3"/>
    <x v="2"/>
    <n v="0"/>
    <x v="2"/>
    <n v="0"/>
    <n v="0"/>
    <n v="0"/>
  </r>
  <r>
    <s v="S925-WHI-BRA-MEN-005-230"/>
    <s v="B0929C1L6F"/>
    <x v="1"/>
    <s v="Adjustable Unisex Bracelet with Cylinder Beads and Balls"/>
    <x v="388"/>
    <n v="8.2437000000000005"/>
    <s v="925 Silver"/>
    <s v="Bracelet"/>
    <x v="0"/>
    <s v="7113.11.10.00"/>
    <s v="7113.11.00"/>
    <s v="7113.11.10.00"/>
    <s v="B0929C1L6F Adjustable Unisex Bracelet with Cylinder Beads and Balls"/>
    <n v="9.3575794725102597"/>
    <n v="11.300743129037963"/>
    <n v="14.465600833855371"/>
    <n v="14.806559379265751"/>
    <x v="2"/>
    <x v="3"/>
    <x v="2"/>
    <n v="0"/>
    <x v="2"/>
    <n v="0"/>
    <n v="0"/>
    <n v="0"/>
  </r>
  <r>
    <s v="S925-WHI-NEC-COIN-002-029-450"/>
    <s v="B08ZSSLC47"/>
    <x v="1"/>
    <s v="Adjustable Cable Necklace with Coin"/>
    <x v="389"/>
    <n v="11.7873"/>
    <s v="925 Silver"/>
    <s v="chain"/>
    <x v="0"/>
    <s v="7113.11.10.00"/>
    <s v="7113.11.00"/>
    <s v="7113.11.10.00"/>
    <s v="B08ZSSLC47 Adjustable Cable Necklace with Coin"/>
    <n v="13.379986719109159"/>
    <n v="16.15843001139163"/>
    <n v="20.683719289748947"/>
    <n v="21.171240750053883"/>
    <x v="2"/>
    <x v="0"/>
    <x v="2"/>
    <n v="0"/>
    <x v="2"/>
    <n v="0"/>
    <n v="0"/>
    <n v="0"/>
  </r>
  <r>
    <s v="S925-WHI-NEC-COIN-003-008-450"/>
    <s v="B08ZT1C8B6"/>
    <x v="1"/>
    <s v="Adjustable Rolo Chain with Coin and Beads"/>
    <x v="74"/>
    <n v="4.8677000000000001"/>
    <s v="925 Silver"/>
    <s v="chain"/>
    <x v="0"/>
    <s v="7113.11.10.00"/>
    <s v="7113.11.00"/>
    <s v="7113.11.10.00"/>
    <s v="B08ZT1C8B6 Adjustable Rolo Chain with Coin and Beads"/>
    <n v="5.5254181494156978"/>
    <n v="6.6728080023797682"/>
    <n v="8.5415778326428402"/>
    <n v="8.7429053811337027"/>
    <x v="2"/>
    <x v="0"/>
    <x v="2"/>
    <n v="0"/>
    <x v="2"/>
    <n v="0"/>
    <n v="0"/>
    <n v="0"/>
  </r>
  <r>
    <s v="S925-WHI-NEC-COIN-004-029-430"/>
    <s v="B08ZSZR19N"/>
    <x v="1"/>
    <s v="Adjustable Chain Necklace with Small and Big Coins"/>
    <x v="390"/>
    <n v="26.603000000000002"/>
    <s v="925 Silver"/>
    <s v="chain"/>
    <x v="0"/>
    <s v="7113.11.10.00"/>
    <s v="7113.11.00"/>
    <s v="7113.11.10.00"/>
    <s v="B08ZSZR19N Adjustable Chain Necklace with Small and Big Coins"/>
    <n v="30.197567440250182"/>
    <n v="36.46829329813032"/>
    <n v="46.681511819092691"/>
    <n v="47.781809038005605"/>
    <x v="2"/>
    <x v="0"/>
    <x v="2"/>
    <n v="0"/>
    <x v="2"/>
    <n v="0"/>
    <n v="0"/>
    <n v="0"/>
  </r>
  <r>
    <s v="S925-WHI-NEC-LAY-001-017-450"/>
    <s v="B087D4XHNS"/>
    <x v="1"/>
    <s v="Adjustable 3 Layered Chain. 2 Ball Chains and 1 Snake Chain with Beads"/>
    <x v="391"/>
    <n v="18.486699999999999"/>
    <s v="925 Silver"/>
    <s v="chain"/>
    <x v="0"/>
    <s v="7113.11.10.00"/>
    <s v="7113.11.00"/>
    <s v="7113.11.10.00"/>
    <s v="B087D4XHNS Adjustable 3 Layered Chain. 2 Ball Chains and 1 Snake Chain with Beads"/>
    <n v="20.984602112456226"/>
    <n v="25.342194403433663"/>
    <n v="32.439465644702508"/>
    <n v="33.204073568503482"/>
    <x v="2"/>
    <x v="0"/>
    <x v="2"/>
    <n v="0"/>
    <x v="2"/>
    <n v="0"/>
    <n v="0"/>
    <n v="0"/>
  </r>
  <r>
    <s v="S925-YEL-BRA-COIN-001-200"/>
    <s v="B08ZT12JR3"/>
    <x v="1"/>
    <s v="Adjustable Gold Plated Bracelet with Coins"/>
    <x v="382"/>
    <n v="4.9263000000000003"/>
    <s v="925 Silver"/>
    <s v="Bracelet"/>
    <x v="0"/>
    <s v="7113.11.10.00"/>
    <s v="7113.11.00"/>
    <s v="7113.11.10.00"/>
    <s v="B08ZT12JR3 Adjustable Gold Plated Bracelet with Coins"/>
    <n v="5.5919361155096974"/>
    <n v="6.7531388668413115"/>
    <n v="8.6444059570122285"/>
    <n v="8.8481571952008053"/>
    <x v="2"/>
    <x v="3"/>
    <x v="2"/>
    <n v="0"/>
    <x v="2"/>
    <n v="0"/>
    <n v="0"/>
    <n v="0"/>
  </r>
  <r>
    <s v="S925-ROS-EAR-SWA-002-261"/>
    <s v="B08CXV5JZK"/>
    <x v="1"/>
    <s v="Stud Earrings with Swarovski. LIGHT SILK"/>
    <x v="117"/>
    <n v="2.1419999999999999"/>
    <s v="925 Silver"/>
    <s v="Earrings"/>
    <x v="0"/>
    <s v="7113.11.10.00"/>
    <s v="7113.11.00"/>
    <s v="7113.11.50.00"/>
    <s v="B08CXV5JZK Stud Earrings with Swarovski. LIGHT SILK"/>
    <n v="2.4314246309444756"/>
    <n v="2.9363261378263785"/>
    <n v="3.758666252546575"/>
    <n v="3.847259142179754"/>
    <x v="2"/>
    <x v="1"/>
    <x v="2"/>
    <n v="0"/>
    <x v="2"/>
    <n v="0"/>
    <n v="0"/>
    <n v="0"/>
  </r>
  <r>
    <s v="S925-ROS-EAR-SWA-002-280"/>
    <s v="B08CXLVPPF"/>
    <x v="1"/>
    <s v="Stud Earrings with Swarovski. JET"/>
    <x v="117"/>
    <n v="2.1419999999999999"/>
    <s v="925 Silver"/>
    <s v="Earrings"/>
    <x v="0"/>
    <s v="7113.11.10.00"/>
    <s v="7113.11.00"/>
    <s v="7113.11.50.00"/>
    <s v="B08CXLVPPF Stud Earrings with Swarovski. JET"/>
    <n v="2.4314246309444756"/>
    <n v="2.9363261378263785"/>
    <n v="3.758666252546575"/>
    <n v="3.847259142179754"/>
    <x v="2"/>
    <x v="1"/>
    <x v="2"/>
    <n v="0"/>
    <x v="2"/>
    <n v="0"/>
    <n v="0"/>
    <n v="0"/>
  </r>
  <r>
    <s v="S925-WHI-EAR-SWA-002-001"/>
    <s v="B08CXHGKYR"/>
    <x v="1"/>
    <s v="Stud Earrings with Swarovski. CRYSTAL"/>
    <x v="117"/>
    <n v="2.1419999999999999"/>
    <s v="925 Silver"/>
    <s v="Earrings"/>
    <x v="0"/>
    <s v="7113.11.10.00"/>
    <s v="7113.11.00"/>
    <s v="7113.11.50.00"/>
    <s v="B08CXHGKYR Stud Earrings with Swarovski. CRYSTAL"/>
    <n v="2.4314246309444756"/>
    <n v="2.9363261378263785"/>
    <n v="3.758666252546575"/>
    <n v="3.847259142179754"/>
    <x v="2"/>
    <x v="1"/>
    <x v="2"/>
    <n v="0"/>
    <x v="2"/>
    <n v="0"/>
    <n v="0"/>
    <n v="0"/>
  </r>
  <r>
    <s v="S925-WHI-EAR-SWA-002-001-AB"/>
    <s v="B08CXMXLDN"/>
    <x v="1"/>
    <s v="Stud Earrings with Swarovski. AURORA BOREALE"/>
    <x v="117"/>
    <n v="2.1419999999999999"/>
    <s v="925 Silver"/>
    <s v="Earrings"/>
    <x v="0"/>
    <s v="7113.11.10.00"/>
    <s v="7113.11.00"/>
    <s v="7113.11.50.00"/>
    <s v="B08CXMXLDN Stud Earrings with Swarovski. AURORA BOREALE"/>
    <n v="2.4314246309444756"/>
    <n v="2.9363261378263785"/>
    <n v="3.758666252546575"/>
    <n v="3.847259142179754"/>
    <x v="2"/>
    <x v="1"/>
    <x v="2"/>
    <n v="0"/>
    <x v="2"/>
    <n v="0"/>
    <n v="0"/>
    <n v="0"/>
  </r>
  <r>
    <s v="S925-WHI-EAR-SWA-002-205"/>
    <s v="B08CXQMDR1"/>
    <x v="1"/>
    <s v="Stud Earrings with Swarovski. EMERALD"/>
    <x v="117"/>
    <n v="2.1419999999999999"/>
    <s v="925 Silver"/>
    <s v="Earrings"/>
    <x v="0"/>
    <s v="7113.11.10.00"/>
    <s v="7113.11.00"/>
    <s v="7113.11.50.00"/>
    <s v="B08CXQMDR1 Stud Earrings with Swarovski. EMERALD"/>
    <n v="2.4314246309444756"/>
    <n v="2.9363261378263785"/>
    <n v="3.758666252546575"/>
    <n v="3.847259142179754"/>
    <x v="2"/>
    <x v="1"/>
    <x v="2"/>
    <n v="0"/>
    <x v="2"/>
    <n v="0"/>
    <n v="0"/>
    <n v="0"/>
  </r>
  <r>
    <s v="S925-WHI-EAR-SWA-002-206"/>
    <s v="B08CXKT94H"/>
    <x v="1"/>
    <s v="Stud Earrings with Swarovski. SAPPHIRE"/>
    <x v="117"/>
    <n v="2.1419999999999999"/>
    <s v="925 Silver"/>
    <s v="Earrings"/>
    <x v="0"/>
    <s v="7113.11.10.00"/>
    <s v="7113.11.00"/>
    <s v="7113.11.50.00"/>
    <s v="B08CXKT94H Stud Earrings with Swarovski. SAPPHIRE"/>
    <n v="2.4314246309444756"/>
    <n v="2.9363261378263785"/>
    <n v="3.758666252546575"/>
    <n v="3.847259142179754"/>
    <x v="2"/>
    <x v="1"/>
    <x v="2"/>
    <n v="0"/>
    <x v="2"/>
    <n v="0"/>
    <n v="0"/>
    <n v="0"/>
  </r>
  <r>
    <s v="S925-WHI-EAR-SWA-002-209"/>
    <s v="B08CXX352G"/>
    <x v="1"/>
    <s v="Stud Earrings with Swarovski. ROSE"/>
    <x v="117"/>
    <n v="2.1419999999999999"/>
    <s v="925 Silver"/>
    <s v="Earrings"/>
    <x v="0"/>
    <s v="7113.11.10.00"/>
    <s v="7113.11.00"/>
    <s v="7113.11.50.00"/>
    <s v="B08CXX352G Stud Earrings with Swarovski. ROSE"/>
    <n v="2.4314246309444756"/>
    <n v="2.9363261378263785"/>
    <n v="3.758666252546575"/>
    <n v="3.847259142179754"/>
    <x v="2"/>
    <x v="1"/>
    <x v="2"/>
    <n v="0"/>
    <x v="2"/>
    <n v="0"/>
    <n v="0"/>
    <n v="0"/>
  </r>
  <r>
    <s v="S925-WHI-EAR-SWA-002-215"/>
    <s v="B08CXR1M6C"/>
    <x v="1"/>
    <s v="Stud Earrings with Swarovski. BLACK DIAMOND"/>
    <x v="117"/>
    <n v="2.1419999999999999"/>
    <s v="925 Silver"/>
    <s v="Earrings"/>
    <x v="0"/>
    <s v="7113.11.10.00"/>
    <s v="7113.11.00"/>
    <s v="7113.11.50.00"/>
    <s v="B08CXR1M6C Stud Earrings with Swarovski. BLACK DIAMOND"/>
    <n v="2.4314246309444756"/>
    <n v="2.9363261378263785"/>
    <n v="3.758666252546575"/>
    <n v="3.847259142179754"/>
    <x v="2"/>
    <x v="1"/>
    <x v="2"/>
    <n v="0"/>
    <x v="2"/>
    <n v="0"/>
    <n v="0"/>
    <n v="0"/>
  </r>
  <r>
    <s v="S925-WHI-EAR-SWA-002-234"/>
    <s v="B08CXJD935"/>
    <x v="1"/>
    <s v="Stud Earrings with Swarovski. WHITE OPAL"/>
    <x v="117"/>
    <n v="2.1419999999999999"/>
    <s v="925 Silver"/>
    <s v="Earrings"/>
    <x v="0"/>
    <s v="7113.11.10.00"/>
    <s v="7113.11.00"/>
    <s v="7113.11.50.00"/>
    <s v="B08CXJD935 Stud Earrings with Swarovski. WHITE OPAL"/>
    <n v="2.4314246309444756"/>
    <n v="2.9363261378263785"/>
    <n v="3.758666252546575"/>
    <n v="3.847259142179754"/>
    <x v="2"/>
    <x v="1"/>
    <x v="2"/>
    <n v="0"/>
    <x v="2"/>
    <n v="0"/>
    <n v="0"/>
    <n v="0"/>
  </r>
  <r>
    <s v="S925-WHI-EAR-SWA-002-238"/>
    <s v="B08CXLTJ2Q"/>
    <x v="1"/>
    <s v="Stud Earrings with Swarovski. CHRYSOLITE"/>
    <x v="117"/>
    <n v="2.1419999999999999"/>
    <s v="925 Silver"/>
    <s v="Earrings"/>
    <x v="0"/>
    <s v="7113.11.10.00"/>
    <s v="7113.11.00"/>
    <s v="7113.11.50.00"/>
    <s v="B08CXLTJ2Q Stud Earrings with Swarovski. CHRYSOLITE"/>
    <n v="2.4314246309444756"/>
    <n v="2.9363261378263785"/>
    <n v="3.758666252546575"/>
    <n v="3.847259142179754"/>
    <x v="2"/>
    <x v="1"/>
    <x v="2"/>
    <n v="0"/>
    <x v="2"/>
    <n v="0"/>
    <n v="0"/>
    <n v="0"/>
  </r>
  <r>
    <s v="S925-WHI-EAR-SWA-002-263"/>
    <s v="B08CXFTTTY"/>
    <x v="1"/>
    <s v="Stud Earrings with Swarovski. LIGHT TURQUOISE"/>
    <x v="117"/>
    <n v="2.1419999999999999"/>
    <s v="925 Silver"/>
    <s v="Earrings"/>
    <x v="0"/>
    <s v="7113.11.10.00"/>
    <s v="7113.11.00"/>
    <s v="7113.11.50.00"/>
    <s v="B08CXFTTTY Stud Earrings with Swarovski. LIGHT TURQUOISE"/>
    <n v="2.4314246309444756"/>
    <n v="2.9363261378263785"/>
    <n v="3.758666252546575"/>
    <n v="3.847259142179754"/>
    <x v="2"/>
    <x v="1"/>
    <x v="2"/>
    <n v="0"/>
    <x v="2"/>
    <n v="0"/>
    <n v="0"/>
    <n v="0"/>
  </r>
  <r>
    <s v="S925-WHI-EAR-SWA-002-266"/>
    <s v="B08CXN1B8Y"/>
    <x v="1"/>
    <s v="Stud Earrings with Swarovski. DENIM BLUE"/>
    <x v="117"/>
    <n v="2.1419999999999999"/>
    <s v="925 Silver"/>
    <s v="Earrings"/>
    <x v="0"/>
    <s v="7113.11.10.00"/>
    <s v="7113.11.00"/>
    <s v="7113.11.50.00"/>
    <s v="B08CXN1B8Y Stud Earrings with Swarovski. DENIM BLUE"/>
    <n v="2.4314246309444756"/>
    <n v="2.9363261378263785"/>
    <n v="3.758666252546575"/>
    <n v="3.847259142179754"/>
    <x v="2"/>
    <x v="1"/>
    <x v="2"/>
    <n v="0"/>
    <x v="2"/>
    <n v="0"/>
    <n v="0"/>
    <n v="0"/>
  </r>
  <r>
    <s v="S925-WHI-EAR-SWA-002-280"/>
    <s v="B08CXKT7P2"/>
    <x v="1"/>
    <s v="Stud Earrings with Swarovski. JET"/>
    <x v="117"/>
    <n v="2.1419999999999999"/>
    <s v="925 Silver"/>
    <s v="Earrings"/>
    <x v="0"/>
    <s v="7113.11.10.00"/>
    <s v="7113.11.00"/>
    <s v="7113.11.50.00"/>
    <s v="B08CXKT7P2 Stud Earrings with Swarovski. JET"/>
    <n v="2.4314246309444756"/>
    <n v="2.9363261378263785"/>
    <n v="3.758666252546575"/>
    <n v="3.847259142179754"/>
    <x v="2"/>
    <x v="1"/>
    <x v="2"/>
    <n v="0"/>
    <x v="2"/>
    <n v="0"/>
    <n v="0"/>
    <n v="0"/>
  </r>
  <r>
    <s v="S925-WHI-EAR-SWA-002-296"/>
    <s v="B08CXPY2RR"/>
    <x v="1"/>
    <s v="Stud Earrings with Swarovski. MAJESTIC BLUE"/>
    <x v="117"/>
    <n v="2.1419999999999999"/>
    <s v="925 Silver"/>
    <s v="Earrings"/>
    <x v="0"/>
    <s v="7113.11.10.00"/>
    <s v="7113.11.00"/>
    <s v="7113.11.50.00"/>
    <s v="B08CXPY2RR Stud Earrings with Swarovski. MAJESTIC BLUE"/>
    <n v="2.4314246309444756"/>
    <n v="2.9363261378263785"/>
    <n v="3.758666252546575"/>
    <n v="3.847259142179754"/>
    <x v="2"/>
    <x v="1"/>
    <x v="2"/>
    <n v="0"/>
    <x v="2"/>
    <n v="0"/>
    <n v="0"/>
    <n v="0"/>
  </r>
  <r>
    <s v="S925-YEL-EAR-SWA-002-001"/>
    <s v="B08CXL6KJH"/>
    <x v="1"/>
    <s v="Stud Earrings with Swarovski. CRYSTAL"/>
    <x v="117"/>
    <n v="2.1419999999999999"/>
    <s v="925 Silver"/>
    <s v="Earrings"/>
    <x v="0"/>
    <s v="7113.11.10.00"/>
    <s v="7113.11.00"/>
    <s v="7113.11.50.00"/>
    <s v="B08CXL6KJH Stud Earrings with Swarovski. CRYSTAL"/>
    <n v="2.4314246309444756"/>
    <n v="2.9363261378263785"/>
    <n v="3.758666252546575"/>
    <n v="3.847259142179754"/>
    <x v="2"/>
    <x v="1"/>
    <x v="2"/>
    <n v="0"/>
    <x v="2"/>
    <n v="0"/>
    <n v="0"/>
    <n v="0"/>
  </r>
  <r>
    <s v="S925-WHI-EAR-CUFF-001"/>
    <s v="B08NQ4W888"/>
    <x v="2"/>
    <s v="Cuff Earrings  Celtic Design  Connected"/>
    <x v="392"/>
    <n v="0.86929999999999996"/>
    <s v="925 Silver"/>
    <s v="Earrings"/>
    <x v="0"/>
    <s v="7113.11.10.00"/>
    <s v="7113.11.00"/>
    <s v="7113.11.50.00"/>
    <s v="B08NQ4W888 Cuff Earrings  Celtic Design  Connected"/>
    <n v="0.98675883831934297"/>
    <n v="1.1916658784371945"/>
    <n v="1.5254008278892333"/>
    <n v="1.5613549823981607"/>
    <x v="2"/>
    <x v="1"/>
    <x v="2"/>
    <n v="0"/>
    <x v="2"/>
    <n v="0"/>
    <n v="0"/>
    <n v="0"/>
  </r>
  <r>
    <s v="S925-WHI-EAR-CUFF-002"/>
    <s v="B08NQ42WC1"/>
    <x v="2"/>
    <s v="Cuff Earrings  Celtic Design  Parallel Lines"/>
    <x v="393"/>
    <n v="0.86929999999999996"/>
    <s v="925 Silver"/>
    <s v="Earrings"/>
    <x v="0"/>
    <s v="7113.11.10.00"/>
    <s v="7113.11.00"/>
    <s v="7113.11.50.00"/>
    <s v="B08NQ42WC1 Cuff Earrings  Celtic Design  Parallel Lines"/>
    <n v="0.98675883831934297"/>
    <n v="1.1916658784371945"/>
    <n v="1.5254008278892333"/>
    <n v="1.5613549823981607"/>
    <x v="2"/>
    <x v="1"/>
    <x v="2"/>
    <n v="0"/>
    <x v="2"/>
    <n v="0"/>
    <n v="0"/>
    <n v="0"/>
  </r>
  <r>
    <s v="BIA-S925-CHAIN-029-500-COL-190"/>
    <s v="B0164MQB3C"/>
    <x v="1"/>
    <s v="Herringbone Chain"/>
    <x v="92"/>
    <n v="4.6695000000000002"/>
    <s v="925 Silver"/>
    <s v="Bracelet"/>
    <x v="0"/>
    <s v="7113.11.10.00"/>
    <s v="7113.11.00"/>
    <s v="7113.11.10.00"/>
    <s v="B0164MQB3C Herringbone Chain"/>
    <n v="5.3004375883264379"/>
    <n v="6.401108730429633"/>
    <n v="8.1937871457825562"/>
    <n v="8.386917163589338"/>
    <x v="2"/>
    <x v="3"/>
    <x v="2"/>
    <n v="0"/>
    <x v="2"/>
    <n v="0"/>
    <n v="0"/>
    <n v="0"/>
  </r>
  <r>
    <s v="S925-WHI-EAR-CUFF-004"/>
    <s v="B08NQ4VDR8"/>
    <x v="2"/>
    <s v="Cuff Earrings  Celtic Design  Parallel Lines  Big Gap"/>
    <x v="393"/>
    <n v="0.86929999999999996"/>
    <s v="925 Silver"/>
    <s v="Earrings"/>
    <x v="0"/>
    <s v="7113.11.10.00"/>
    <s v="7113.11.00"/>
    <s v="7113.11.50.00"/>
    <s v="B08NQ4VDR8 Cuff Earrings  Celtic Design  Parallel Lines  Big Gap"/>
    <n v="0.98675883831934297"/>
    <n v="1.1916658784371945"/>
    <n v="1.5254008278892333"/>
    <n v="1.5613549823981607"/>
    <x v="2"/>
    <x v="1"/>
    <x v="2"/>
    <n v="0"/>
    <x v="2"/>
    <n v="0"/>
    <n v="0"/>
    <n v="0"/>
  </r>
  <r>
    <s v="S925-WHI-EAR-CUFF-005"/>
    <s v="B08NQ4WCBL"/>
    <x v="2"/>
    <s v="Cuff Earrings  Celtic Design  3 Parallel Lines  Big Gap"/>
    <x v="394"/>
    <n v="0.86929999999999996"/>
    <s v="925 Silver"/>
    <s v="Earrings"/>
    <x v="0"/>
    <s v="7113.11.10.00"/>
    <s v="7113.11.00"/>
    <s v="7113.11.50.00"/>
    <s v="B08NQ4WCBL Cuff Earrings  Celtic Design  3 Parallel Lines  Big Gap"/>
    <n v="0.98675883831934297"/>
    <n v="1.1916658784371945"/>
    <n v="1.5254008278892333"/>
    <n v="1.5613549823981607"/>
    <x v="2"/>
    <x v="1"/>
    <x v="2"/>
    <n v="0"/>
    <x v="2"/>
    <n v="0"/>
    <n v="0"/>
    <n v="0"/>
  </r>
  <r>
    <s v="S925-WHI-EAR-CUFF-006"/>
    <s v="B08NQ35WQT"/>
    <x v="2"/>
    <s v="Cuff Earrings  Parallel 5 Lines"/>
    <x v="395"/>
    <n v="0.65029999999999999"/>
    <s v="925 Silver"/>
    <s v="Earrings"/>
    <x v="0"/>
    <s v="7113.11.10.00"/>
    <s v="7113.11.00"/>
    <s v="7113.11.50.00"/>
    <s v="B08NQ35WQT Cuff Earrings  Parallel 5 Lines"/>
    <n v="0.7381678046233392"/>
    <n v="0.89145326210480569"/>
    <n v="1.1411114211162641"/>
    <n v="1.1680077591781017"/>
    <x v="2"/>
    <x v="1"/>
    <x v="2"/>
    <n v="0"/>
    <x v="2"/>
    <n v="0"/>
    <n v="0"/>
    <n v="0"/>
  </r>
  <r>
    <s v="S925-WHI-EAR-CUFF-007"/>
    <s v="B08NQ57V79"/>
    <x v="2"/>
    <s v="Cuff Earrings  Parallel 4 Lines"/>
    <x v="396"/>
    <n v="1.0478000000000001"/>
    <s v="925 Silver"/>
    <s v="Earrings"/>
    <x v="0"/>
    <s v="7113.11.10.00"/>
    <s v="7113.11.00"/>
    <s v="7113.11.50.00"/>
    <s v="B08NQ57V79 Cuff Earrings  Parallel 4 Lines"/>
    <n v="1.1893775575647161"/>
    <n v="1.4363597232560594"/>
    <n v="1.838623015601448"/>
    <n v="1.8819599109131404"/>
    <x v="2"/>
    <x v="1"/>
    <x v="2"/>
    <n v="0"/>
    <x v="2"/>
    <n v="0"/>
    <n v="0"/>
    <n v="0"/>
  </r>
  <r>
    <s v="S925-WHI-RIN-CEL-001"/>
    <s v="B08C35MTZ6"/>
    <x v="2"/>
    <s v="Celtic Adjustable Braid Ring"/>
    <x v="397"/>
    <n v="3.0354000000000001"/>
    <s v="925 Silver"/>
    <s v="Ring"/>
    <x v="0"/>
    <s v="7113.11.10.00"/>
    <s v="7113.11.00"/>
    <s v="7113.11.50.00"/>
    <s v="B08C35MTZ6 Celtic Adjustable Braid Ring"/>
    <n v="3.4455398341591326"/>
    <n v="4.161029112398781"/>
    <n v="5.3263564626423321"/>
    <n v="5.4519002801925422"/>
    <x v="2"/>
    <x v="8"/>
    <x v="2"/>
    <n v="0"/>
    <x v="2"/>
    <n v="0"/>
    <n v="0"/>
    <n v="0"/>
  </r>
  <r>
    <s v="S925-WHI-RIN-CEL-002"/>
    <s v="B08C34BKFF"/>
    <x v="2"/>
    <s v="Celtic Adjustable Feather Ring"/>
    <x v="398"/>
    <n v="5.3879000000000001"/>
    <s v="925 Silver"/>
    <s v="Ring"/>
    <x v="0"/>
    <s v="7113.11.10.00"/>
    <s v="7113.11.00"/>
    <s v="7113.11.50.00"/>
    <s v="B08C34BKFF Celtic Adjustable Feather Ring"/>
    <n v="6.115906988359356"/>
    <n v="7.3859157787090313"/>
    <n v="9.4543967796898656"/>
    <n v="9.6772397442345"/>
    <x v="2"/>
    <x v="8"/>
    <x v="2"/>
    <n v="0"/>
    <x v="2"/>
    <n v="0"/>
    <n v="0"/>
    <n v="0"/>
  </r>
  <r>
    <s v="BIA-S925-CHAIN-036-140-180"/>
    <s v="B01NBWM4C5"/>
    <x v="1"/>
    <s v="Cube and Oval Link Chain"/>
    <x v="399"/>
    <n v="2.9628000000000001"/>
    <s v="925 Silver"/>
    <s v="Bracelet"/>
    <x v="0"/>
    <s v="7113.11.10.00"/>
    <s v="7113.11.00"/>
    <s v="7113.11.10.00"/>
    <s v="B01NBWM4C5 Cube and Oval Link Chain"/>
    <n v="3.3631302038105941"/>
    <n v="4.0615065738337979"/>
    <n v="5.1989618921778682"/>
    <n v="5.32150298153603"/>
    <x v="2"/>
    <x v="3"/>
    <x v="2"/>
    <n v="0"/>
    <x v="2"/>
    <n v="0"/>
    <n v="0"/>
    <n v="0"/>
  </r>
  <r>
    <s v="S925-WHI-RIN-CEL-004"/>
    <s v="B08C35FS73"/>
    <x v="2"/>
    <s v="Celtic Adjustable Knot Ring"/>
    <x v="400"/>
    <n v="5.9558"/>
    <s v="925 Silver"/>
    <s v="Ring"/>
    <x v="0"/>
    <s v="7113.11.10.00"/>
    <s v="7113.11.00"/>
    <s v="7113.11.50.00"/>
    <s v="B08C35FS73 Celtic Adjustable Knot Ring"/>
    <n v="6.7605409976559798"/>
    <n v="8.1644123303764449"/>
    <n v="10.450917118075113"/>
    <n v="10.697248365543501"/>
    <x v="2"/>
    <x v="8"/>
    <x v="2"/>
    <n v="0"/>
    <x v="2"/>
    <n v="0"/>
    <n v="0"/>
    <n v="0"/>
  </r>
  <r>
    <s v="S925-WHI-RIN-CEL-005"/>
    <s v="B08C34Z2NK"/>
    <x v="2"/>
    <s v="Celtic Adjustable Shield Ring"/>
    <x v="401"/>
    <n v="3.5221"/>
    <s v="925 Silver"/>
    <s v="Ring"/>
    <x v="0"/>
    <s v="7113.11.10.00"/>
    <s v="7113.11.00"/>
    <s v="7113.11.50.00"/>
    <s v="B08C34Z2NK Celtic Adjustable Shield Ring"/>
    <n v="3.9980021907794292"/>
    <n v="4.828213954266241"/>
    <n v="6.1803914136761406"/>
    <n v="6.326065090882965"/>
    <x v="2"/>
    <x v="8"/>
    <x v="2"/>
    <n v="0"/>
    <x v="2"/>
    <n v="0"/>
    <n v="0"/>
    <n v="0"/>
  </r>
  <r>
    <s v="S925-WHI-RIN-CEL-006-J"/>
    <s v="B08C34PJMC"/>
    <x v="2"/>
    <s v="Celtic Braid Ring - J"/>
    <x v="146"/>
    <n v="3.8466"/>
    <s v="925 Silver"/>
    <s v="Ring"/>
    <x v="0"/>
    <s v="7113.11.10.00"/>
    <s v="7113.11.00"/>
    <s v="7113.11.50.00"/>
    <s v="B08C34PJMC Celtic Braid Ring - J"/>
    <n v="4.366348265822138"/>
    <n v="5.2730495433066977"/>
    <n v="6.7498065392370012"/>
    <n v="6.9089015015446504"/>
    <x v="2"/>
    <x v="8"/>
    <x v="2"/>
    <n v="0"/>
    <x v="2"/>
    <n v="0"/>
    <n v="0"/>
    <n v="0"/>
  </r>
  <r>
    <s v="S925-WHI-RIN-CEL-006-L"/>
    <s v="B08C34DGJD"/>
    <x v="2"/>
    <s v="Celtic Braid Ring - L"/>
    <x v="402"/>
    <n v="3.8466"/>
    <s v="925 Silver"/>
    <s v="Ring"/>
    <x v="0"/>
    <s v="7113.11.10.00"/>
    <s v="7113.11.00"/>
    <s v="7113.11.50.00"/>
    <s v="B08C34DGJD Celtic Braid Ring - L"/>
    <n v="4.366348265822138"/>
    <n v="5.2730495433066977"/>
    <n v="6.7498065392370012"/>
    <n v="6.9089015015446504"/>
    <x v="2"/>
    <x v="8"/>
    <x v="2"/>
    <n v="0"/>
    <x v="2"/>
    <n v="0"/>
    <n v="0"/>
    <n v="0"/>
  </r>
  <r>
    <s v="S925-WHI-RIN-CEL-006-M"/>
    <s v="B08C35VZK9"/>
    <x v="2"/>
    <s v="Celtic Braid Ring - M"/>
    <x v="403"/>
    <n v="3.8466"/>
    <s v="925 Silver"/>
    <s v="Ring"/>
    <x v="0"/>
    <s v="7113.11.10.00"/>
    <s v="7113.11.00"/>
    <s v="7113.11.50.00"/>
    <s v="B08C35VZK9 Celtic Braid Ring - M"/>
    <n v="4.366348265822138"/>
    <n v="5.2730495433066977"/>
    <n v="6.7498065392370012"/>
    <n v="6.9089015015446504"/>
    <x v="2"/>
    <x v="8"/>
    <x v="2"/>
    <n v="0"/>
    <x v="2"/>
    <n v="0"/>
    <n v="0"/>
    <n v="0"/>
  </r>
  <r>
    <s v="S925-WHI-RIN-CEL-006-N"/>
    <s v="B08C34NJ4G"/>
    <x v="2"/>
    <s v="Celtic Braid Ring - N"/>
    <x v="404"/>
    <n v="3.8466"/>
    <s v="925 Silver"/>
    <s v="Ring"/>
    <x v="0"/>
    <s v="7113.11.10.00"/>
    <s v="7113.11.00"/>
    <s v="7113.11.50.00"/>
    <s v="B08C34NJ4G Celtic Braid Ring - N"/>
    <n v="4.366348265822138"/>
    <n v="5.2730495433066977"/>
    <n v="6.7498065392370012"/>
    <n v="6.9089015015446504"/>
    <x v="9"/>
    <x v="8"/>
    <x v="159"/>
    <n v="19.233000000000001"/>
    <x v="147"/>
    <n v="26.365247716533492"/>
    <n v="33.749032696185004"/>
    <n v="34.544507507723253"/>
  </r>
  <r>
    <s v="S925-WHI-RIN-CEL-006-O"/>
    <s v="B08C35SP74"/>
    <x v="2"/>
    <s v="Celtic Braid Ring - O"/>
    <x v="250"/>
    <n v="3.8466"/>
    <s v="925 Silver"/>
    <s v="Ring"/>
    <x v="0"/>
    <s v="7113.11.10.00"/>
    <s v="7113.11.00"/>
    <s v="7113.11.50.00"/>
    <s v="B08C35SP74 Celtic Braid Ring - O"/>
    <n v="4.366348265822138"/>
    <n v="5.2730495433066977"/>
    <n v="6.7498065392370012"/>
    <n v="6.9089015015446504"/>
    <x v="2"/>
    <x v="8"/>
    <x v="2"/>
    <n v="0"/>
    <x v="2"/>
    <n v="0"/>
    <n v="0"/>
    <n v="0"/>
  </r>
  <r>
    <s v="BIA-S925-CHAIN-036-140-190"/>
    <s v="B01MZC1R4W"/>
    <x v="1"/>
    <s v="Cube and Oval Link Chain"/>
    <x v="405"/>
    <n v="3.0402"/>
    <s v="925 Silver"/>
    <s v="Bracelet"/>
    <x v="0"/>
    <s v="7113.11.10.00"/>
    <s v="7113.11.00"/>
    <s v="7113.11.10.00"/>
    <s v="B01MZC1R4W Cube and Oval Link Chain"/>
    <n v="3.4509884047606887"/>
    <n v="4.1676091149485321"/>
    <n v="5.334779244160643"/>
    <n v="5.4605215891946255"/>
    <x v="2"/>
    <x v="3"/>
    <x v="2"/>
    <n v="0"/>
    <x v="2"/>
    <n v="0"/>
    <n v="0"/>
    <n v="0"/>
  </r>
  <r>
    <s v="BIA-S925-CHAIN-041-220-450"/>
    <s v="B0164MQFDI"/>
    <x v="1"/>
    <s v="Bismark chain"/>
    <x v="406"/>
    <n v="4.4966999999999997"/>
    <s v="925 Silver"/>
    <s v="chain"/>
    <x v="0"/>
    <s v="7113.11.10.00"/>
    <s v="7113.11.00"/>
    <s v="7113.11.10.00"/>
    <s v="B0164MQFDI Bismark chain"/>
    <n v="5.1042890466704121"/>
    <n v="6.1642286386385967"/>
    <n v="7.890567011123335"/>
    <n v="8.0765500395143324"/>
    <x v="9"/>
    <x v="0"/>
    <x v="160"/>
    <n v="22.483499999999999"/>
    <x v="162"/>
    <n v="30.821143193192988"/>
    <n v="39.452835055616674"/>
    <n v="40.38275019757166"/>
  </r>
  <r>
    <s v="S925-WHI-RIN-GEM-001-L"/>
    <s v="B08C34MCWL"/>
    <x v="2"/>
    <s v="Ring with CZ - L"/>
    <x v="13"/>
    <n v="3.9683000000000002"/>
    <s v="925 Silver"/>
    <s v="Ring"/>
    <x v="0"/>
    <s v="7113.11.10.00"/>
    <s v="7113.11.00"/>
    <s v="7113.11.50.00"/>
    <s v="B08C34MCWL Ring with CZ - L"/>
    <n v="4.5044922329490955"/>
    <n v="5.4398800246201766"/>
    <n v="6.9633591456491946"/>
    <n v="7.1274876068683097"/>
    <x v="2"/>
    <x v="8"/>
    <x v="2"/>
    <n v="0"/>
    <x v="2"/>
    <n v="0"/>
    <n v="0"/>
    <n v="0"/>
  </r>
  <r>
    <s v="BIA-S925-CHAIN-045-140-190"/>
    <s v="B01N5RK8OL"/>
    <x v="1"/>
    <s v="Singapore with Beads Chain"/>
    <x v="407"/>
    <n v="2.2345999999999999"/>
    <s v="925 Silver"/>
    <s v="Bracelet"/>
    <x v="0"/>
    <s v="7113.11.10.00"/>
    <s v="7113.11.00"/>
    <s v="7113.11.10.00"/>
    <s v="B01N5RK8OL Singapore with Beads Chain"/>
    <n v="2.5365366387994981"/>
    <n v="3.0632653536819912"/>
    <n v="3.9211557460040041"/>
    <n v="4.0135785616782815"/>
    <x v="7"/>
    <x v="3"/>
    <x v="161"/>
    <n v="44.692"/>
    <x v="163"/>
    <n v="61.265307073639825"/>
    <n v="78.423114920080081"/>
    <n v="80.271571233565624"/>
  </r>
  <r>
    <s v="BIA-S925-CHAIN-052-040-600"/>
    <s v="B01NAV4IYF"/>
    <x v="1"/>
    <s v="Heart Chain"/>
    <x v="408"/>
    <n v="3.7902999999999998"/>
    <s v="925 Silver"/>
    <s v="chain"/>
    <x v="0"/>
    <s v="7113.11.10.00"/>
    <s v="7113.11.00"/>
    <s v="7113.11.10.00"/>
    <s v="B01NAV4IYF Heart Chain"/>
    <n v="4.3024410731413845"/>
    <n v="5.1958715967335767"/>
    <n v="6.6510143310118037"/>
    <n v="6.8077807313743799"/>
    <x v="0"/>
    <x v="0"/>
    <x v="162"/>
    <n v="37.902999999999999"/>
    <x v="164"/>
    <n v="51.95871596733577"/>
    <n v="66.510143310118039"/>
    <n v="68.077807313743804"/>
  </r>
  <r>
    <s v="BIA-GP-HOOP-HIN-020"/>
    <s v="B077MH9DJB"/>
    <x v="0"/>
    <s v="Hinged Hoop Earrings"/>
    <x v="172"/>
    <n v="3.9559000000000002"/>
    <s v="925 Silver"/>
    <s v="Earrings"/>
    <x v="0"/>
    <s v="7113.11.10.00"/>
    <s v="7113.11.00"/>
    <s v="7113.11.50.00"/>
    <s v="B077MH9DJB Hinged Hoop Earrings"/>
    <n v="4.4904167588950754"/>
    <n v="5.4228816846999868"/>
    <n v="6.9416002933935559"/>
    <n v="7.1052158919462602"/>
    <x v="7"/>
    <x v="1"/>
    <x v="147"/>
    <n v="79.118000000000009"/>
    <x v="165"/>
    <n v="108.45763369399974"/>
    <n v="138.83200586787115"/>
    <n v="142.1043178389252"/>
  </r>
  <r>
    <s v="S925-BC-1764-PEN-6G"/>
    <s v="B06ZZV8L6T"/>
    <x v="0"/>
    <s v="Pendant - SUN"/>
    <x v="2"/>
    <n v="3.1057999999999999"/>
    <s v="925 Silver"/>
    <s v="Pendant"/>
    <x v="0"/>
    <s v="7113.11.10.00"/>
    <s v="7113.11.00"/>
    <s v="7113.11.50.00"/>
    <s v="B06ZZV8L6T Pendant - SUN"/>
    <n v="3.5254522029819571"/>
    <n v="4.2575358164617958"/>
    <n v="5.4498905915775691"/>
    <n v="5.5783461455564334"/>
    <x v="5"/>
    <x v="4"/>
    <x v="125"/>
    <n v="46.586999999999996"/>
    <x v="166"/>
    <n v="63.863037246926929"/>
    <n v="81.748358873663534"/>
    <n v="83.675192183346496"/>
  </r>
  <r>
    <s v="S925-WHI-PEN-LEAF-001"/>
    <s v="B091FSR26S"/>
    <x v="2"/>
    <s v="Pendant - Leaves - Flat Leaf"/>
    <x v="409"/>
    <n v="2.3052000000000001"/>
    <s v="925 Silver"/>
    <s v="Pendant"/>
    <x v="0"/>
    <s v="7113.11.10.00"/>
    <s v="7113.11.00"/>
    <s v="7113.11.50.00"/>
    <s v="B091FSR26S Pendant - Leaves - Flat Leaf"/>
    <n v="2.6166760313973882"/>
    <n v="3.1600462245179122"/>
    <n v="4.0450408241691713"/>
    <n v="4.1403836482505927"/>
    <x v="2"/>
    <x v="4"/>
    <x v="2"/>
    <n v="0"/>
    <x v="2"/>
    <n v="0"/>
    <n v="0"/>
    <n v="0"/>
  </r>
  <r>
    <s v="S925-WHI-PEN-LEAF-002"/>
    <s v="B091FRW8WS"/>
    <x v="2"/>
    <s v="Pendant - Leaves - Curved Leaf"/>
    <x v="410"/>
    <n v="1.9806999999999999"/>
    <s v="925 Silver"/>
    <s v="Pendant"/>
    <x v="0"/>
    <s v="7113.11.10.00"/>
    <s v="7113.11.00"/>
    <s v="7113.11.50.00"/>
    <s v="B091FRW8WS Pendant - Leaves - Curved Leaf"/>
    <n v="2.248329956354679"/>
    <n v="2.7152106354774546"/>
    <n v="3.4756256986083103"/>
    <n v="3.5575472375889068"/>
    <x v="2"/>
    <x v="4"/>
    <x v="2"/>
    <n v="0"/>
    <x v="2"/>
    <n v="0"/>
    <n v="0"/>
    <n v="0"/>
  </r>
  <r>
    <s v="S925-WHI-PEN-LEAF-003"/>
    <s v="B091FSWXY3"/>
    <x v="2"/>
    <s v="Pendant - Leaves - Four-Leaf Clover"/>
    <x v="411"/>
    <n v="2.4674999999999998"/>
    <s v="925 Silver"/>
    <s v="Pendant"/>
    <x v="0"/>
    <s v="7113.11.10.00"/>
    <s v="7113.11.00"/>
    <s v="7113.11.50.00"/>
    <s v="B091FSWXY3 Pendant - Leaves - Four-Leaf Clover"/>
    <n v="2.8009058248625087"/>
    <n v="3.382532560731367"/>
    <n v="4.329836124257084"/>
    <n v="4.43189165888354"/>
    <x v="2"/>
    <x v="4"/>
    <x v="2"/>
    <n v="0"/>
    <x v="2"/>
    <n v="0"/>
    <n v="0"/>
    <n v="0"/>
  </r>
  <r>
    <s v="S925-WHI-PEN-BALL-001"/>
    <s v="B091FS5G8F"/>
    <x v="2"/>
    <s v="Pendant - Ball - Moon"/>
    <x v="412"/>
    <n v="1.9806999999999999"/>
    <s v="925 Silver"/>
    <s v="Pendant"/>
    <x v="0"/>
    <s v="7113.11.10.00"/>
    <s v="7113.11.00"/>
    <s v="7113.11.50.00"/>
    <s v="B091FS5G8F Pendant - Ball - Moon"/>
    <n v="2.248329956354679"/>
    <n v="2.7152106354774546"/>
    <n v="3.4756256986083103"/>
    <n v="3.5575472375889068"/>
    <x v="2"/>
    <x v="4"/>
    <x v="2"/>
    <n v="0"/>
    <x v="2"/>
    <n v="0"/>
    <n v="0"/>
    <n v="0"/>
  </r>
  <r>
    <s v="S925-BC-4013-PIN-3H"/>
    <s v="B071D3WXKC"/>
    <x v="0"/>
    <s v="Pin - Sunflower"/>
    <x v="74"/>
    <n v="6.101"/>
    <s v="925 Silver"/>
    <s v="Pin"/>
    <x v="0"/>
    <s v="7113.11.10.00"/>
    <s v="7113.11.00"/>
    <s v="7113.11.50.00"/>
    <s v="B071D3WXKC Pin - Sunflower"/>
    <n v="6.9253602583530558"/>
    <n v="8.363457407506413"/>
    <n v="10.705706259004041"/>
    <n v="10.958042962856526"/>
    <x v="9"/>
    <x v="9"/>
    <x v="163"/>
    <n v="30.504999999999999"/>
    <x v="167"/>
    <n v="41.817287037532061"/>
    <n v="53.528531295020201"/>
    <n v="54.790214814282628"/>
  </r>
  <r>
    <s v="S925-BC-4107-PIN-6G"/>
    <s v="B071XSR69C"/>
    <x v="0"/>
    <s v="Pin - Mouse"/>
    <x v="253"/>
    <n v="3.9426999999999999"/>
    <s v="925 Silver"/>
    <s v="Pin"/>
    <x v="0"/>
    <s v="7113.11.10.00"/>
    <s v="7113.11.00"/>
    <s v="7113.11.50.00"/>
    <s v="B071XSR69C Pin - Mouse"/>
    <n v="4.4754331897407953"/>
    <n v="5.404786677688171"/>
    <n v="6.9184376442181987"/>
    <n v="7.0815072921905307"/>
    <x v="9"/>
    <x v="9"/>
    <x v="0"/>
    <n v="19.7135"/>
    <x v="168"/>
    <n v="27.023933388440856"/>
    <n v="34.592188221090993"/>
    <n v="35.407536460952656"/>
  </r>
  <r>
    <s v="S925-WHI-PEN-ANML-001"/>
    <s v="B091FRRZGQ"/>
    <x v="2"/>
    <s v="Pendant - Animals - Dolphin"/>
    <x v="410"/>
    <n v="2.1429999999999998"/>
    <s v="925 Silver"/>
    <s v="Pendant"/>
    <x v="0"/>
    <s v="7113.11.10.00"/>
    <s v="7113.11.00"/>
    <s v="7113.11.50.00"/>
    <s v="B091FRRZGQ Pendant - Animals - Dolphin"/>
    <n v="2.4325597498197995"/>
    <n v="2.9376969716909098"/>
    <n v="3.7604209986962229"/>
    <n v="3.8490552482218545"/>
    <x v="2"/>
    <x v="4"/>
    <x v="2"/>
    <n v="0"/>
    <x v="2"/>
    <n v="0"/>
    <n v="0"/>
    <n v="0"/>
  </r>
  <r>
    <s v="S925-BC-5940-EAR-1W"/>
    <s v="B06ZZV4613"/>
    <x v="0"/>
    <s v="Earrings - Round Stud  petals"/>
    <x v="20"/>
    <n v="2.4098000000000002"/>
    <s v="925 Silver"/>
    <s v="Earrings"/>
    <x v="0"/>
    <s v="7113.11.10.00"/>
    <s v="7113.11.00"/>
    <s v="7113.11.50.00"/>
    <s v="B06ZZV4613 Earrings - Round Stud  petals"/>
    <n v="2.7354094657563017"/>
    <n v="3.3034354467479026"/>
    <n v="4.2285872714223798"/>
    <n v="4.3282563402543284"/>
    <x v="2"/>
    <x v="1"/>
    <x v="2"/>
    <n v="0"/>
    <x v="2"/>
    <n v="0"/>
    <n v="0"/>
    <n v="0"/>
  </r>
  <r>
    <s v="S925-WHI-PEN-MUS-001"/>
    <s v="B091FQPMZK"/>
    <x v="2"/>
    <s v="Pendant - Music - Music Note"/>
    <x v="413"/>
    <n v="2.8325"/>
    <s v="925 Silver"/>
    <s v="Pendant"/>
    <x v="0"/>
    <s v="7113.11.10.00"/>
    <s v="7113.11.00"/>
    <s v="7113.11.50.00"/>
    <s v="B091FQPMZK Pendant - Music - Music Note"/>
    <n v="3.2152242143558483"/>
    <n v="3.8828869212853485"/>
    <n v="4.9703184688786992"/>
    <n v="5.0874703642503052"/>
    <x v="2"/>
    <x v="4"/>
    <x v="2"/>
    <n v="0"/>
    <x v="2"/>
    <n v="0"/>
    <n v="0"/>
    <n v="0"/>
  </r>
  <r>
    <s v="CS-9K-HOOP-020"/>
    <s v="B07R4JXYTP"/>
    <x v="1"/>
    <s v="9K Circle Hoop Earrings"/>
    <x v="93"/>
    <n v="20.637699999999999"/>
    <s v="9K Gold"/>
    <s v="Earrings"/>
    <x v="1"/>
    <s v=" 7113.19.10.00"/>
    <s v=" 7113.19.00"/>
    <s v="7113.19.29.00"/>
    <s v="B07R4JXYTP 9K Circle Hoop Earrings"/>
    <n v="23.42624281327862"/>
    <n v="28.290858046040825"/>
    <n v="36.213924612595918"/>
    <n v="37.067497665062142"/>
    <x v="9"/>
    <x v="7"/>
    <x v="164"/>
    <n v="103.18849999999999"/>
    <x v="169"/>
    <n v="141.45429023020412"/>
    <n v="181.06962306297956"/>
    <n v="185.33748832531072"/>
  </r>
  <r>
    <s v="S925-WHI-PEN-PLOC-001"/>
    <s v="B091FRN6MN"/>
    <x v="2"/>
    <s v="Pendant - Padlock"/>
    <x v="414"/>
    <n v="2.9542000000000002"/>
    <s v="925 Silver"/>
    <s v="Pendant"/>
    <x v="0"/>
    <s v="7113.11.10.00"/>
    <s v="7113.11.00"/>
    <s v="7113.11.50.00"/>
    <s v="B091FRN6MN Pendant - Padlock"/>
    <n v="3.3533681814828058"/>
    <n v="4.0497174025988274"/>
    <n v="5.1838710752908934"/>
    <n v="5.3060564695739636"/>
    <x v="2"/>
    <x v="4"/>
    <x v="2"/>
    <n v="0"/>
    <x v="2"/>
    <n v="0"/>
    <n v="0"/>
    <n v="0"/>
  </r>
  <r>
    <s v="S925-WHI-EAR-STUD-010"/>
    <s v="B08J89FDQR"/>
    <x v="2"/>
    <s v="Stud Earrings - Shell"/>
    <x v="318"/>
    <n v="2.4268999999999998"/>
    <s v="925 Silver"/>
    <s v="Earrings"/>
    <x v="0"/>
    <s v="7113.11.10.00"/>
    <s v="7113.11.00"/>
    <s v="7113.11.50.00"/>
    <s v="B08J89FDQR Stud Earrings - Shell"/>
    <n v="2.7548199985243453"/>
    <n v="3.3268767058313902"/>
    <n v="4.2585934305813646"/>
    <n v="4.3589697535742502"/>
    <x v="2"/>
    <x v="1"/>
    <x v="2"/>
    <n v="0"/>
    <x v="2"/>
    <n v="0"/>
    <n v="0"/>
    <n v="0"/>
  </r>
  <r>
    <s v="S925-WHI-EAR-STUD-011"/>
    <s v="B08J87MT2X"/>
    <x v="2"/>
    <s v="Stud Earrings - Turtle"/>
    <x v="415"/>
    <n v="2.7109000000000001"/>
    <s v="925 Silver"/>
    <s v="Earrings"/>
    <x v="0"/>
    <s v="7113.11.10.00"/>
    <s v="7113.11.00"/>
    <s v="7113.11.50.00"/>
    <s v="B08J87MT2X Stud Earrings - Turtle"/>
    <n v="3.0771937591164238"/>
    <n v="3.7161935233583239"/>
    <n v="4.7569413370814706"/>
    <n v="4.8690638695308568"/>
    <x v="9"/>
    <x v="1"/>
    <x v="165"/>
    <n v="13.554500000000001"/>
    <x v="139"/>
    <n v="18.580967616791618"/>
    <n v="23.784706685407357"/>
    <n v="24.345319347654282"/>
  </r>
  <r>
    <s v="GS-S925-BRA-SLI-001"/>
    <s v="B07PRLLPQS"/>
    <x v="1"/>
    <s v="Round Box Chain with Hearts and Donut Slider Bracelet"/>
    <x v="241"/>
    <n v="6.1978999999999997"/>
    <s v="925 Silver"/>
    <s v="Bracelet"/>
    <x v="0"/>
    <s v="7113.11.10.00"/>
    <s v="7113.11.00"/>
    <s v="7113.11.10.00"/>
    <s v="B07PRLLPQS Round Box Chain with Hearts and Donut Slider Bracelet"/>
    <n v="7.0353532773719722"/>
    <n v="8.4962912089795104"/>
    <n v="10.875741160904957"/>
    <n v="11.132085638336086"/>
    <x v="2"/>
    <x v="3"/>
    <x v="2"/>
    <n v="0"/>
    <x v="2"/>
    <n v="0"/>
    <n v="0"/>
    <n v="0"/>
  </r>
  <r>
    <s v="S925-WHI-EAR-STUD-013"/>
    <s v="B08J8712Z4"/>
    <x v="2"/>
    <s v="Stud Earrings - Fish Bone"/>
    <x v="250"/>
    <n v="3.157"/>
    <s v="925 Silver"/>
    <s v="Earrings"/>
    <x v="0"/>
    <s v="7113.11.10.00"/>
    <s v="7113.11.00"/>
    <s v="7113.11.50.00"/>
    <s v="B08J8712Z4 Stud Earrings - Fish Bone"/>
    <n v="3.5835702893985575"/>
    <n v="4.3277225103258061"/>
    <n v="5.5397335944395598"/>
    <n v="5.6703067749119906"/>
    <x v="9"/>
    <x v="1"/>
    <x v="166"/>
    <n v="15.785"/>
    <x v="170"/>
    <n v="21.638612551629031"/>
    <n v="27.6986679721978"/>
    <n v="28.351533874559955"/>
  </r>
  <r>
    <s v="S925-WHI-EAR-STUD-014"/>
    <s v="B08J87RYMD"/>
    <x v="2"/>
    <s v="Stud Earrings - Leaf"/>
    <x v="416"/>
    <n v="2.9298999999999999"/>
    <s v="925 Silver"/>
    <s v="Earrings"/>
    <x v="0"/>
    <s v="7113.11.10.00"/>
    <s v="7113.11.00"/>
    <s v="7113.11.50.00"/>
    <s v="B08J87RYMD Stud Earrings - Leaf"/>
    <n v="3.3257847928124273"/>
    <n v="4.0164061396907123"/>
    <n v="5.1412307438544396"/>
    <n v="5.2624110927509156"/>
    <x v="2"/>
    <x v="1"/>
    <x v="2"/>
    <n v="0"/>
    <x v="2"/>
    <n v="0"/>
    <n v="0"/>
    <n v="0"/>
  </r>
  <r>
    <s v="GS-S925-BRA-SLI-003"/>
    <s v="B07PRM2XVB"/>
    <x v="1"/>
    <s v="Wheat Chain with Arc and Donut Slider Bracelet"/>
    <x v="264"/>
    <n v="5.8632"/>
    <s v="925 Silver"/>
    <s v="Bracelet"/>
    <x v="0"/>
    <s v="7113.11.10.00"/>
    <s v="7113.11.00"/>
    <s v="7113.11.10.00"/>
    <s v="B07PRM2XVB Wheat Chain with Arc and Donut Slider Bracelet"/>
    <n v="6.6554289898009573"/>
    <n v="8.0374731145208322"/>
    <n v="10.288427624617684"/>
    <n v="10.530928946044973"/>
    <x v="2"/>
    <x v="3"/>
    <x v="2"/>
    <n v="0"/>
    <x v="2"/>
    <n v="0"/>
    <n v="0"/>
    <n v="0"/>
  </r>
  <r>
    <s v="S925-WHI-EAR-STUD-016"/>
    <s v="B08J846JBG"/>
    <x v="2"/>
    <s v="Stud Earrings - Owl"/>
    <x v="1"/>
    <n v="2.3052000000000001"/>
    <s v="925 Silver"/>
    <s v="Earrings"/>
    <x v="0"/>
    <s v="7113.11.10.00"/>
    <s v="7113.11.00"/>
    <s v="7113.11.50.00"/>
    <s v="B08J846JBG Stud Earrings - Owl"/>
    <n v="2.6166760313973882"/>
    <n v="3.1600462245179122"/>
    <n v="4.0450408241691713"/>
    <n v="4.1403836482505927"/>
    <x v="2"/>
    <x v="1"/>
    <x v="2"/>
    <n v="0"/>
    <x v="2"/>
    <n v="0"/>
    <n v="0"/>
    <n v="0"/>
  </r>
  <r>
    <s v="BIA-GP-CHAIN-058-060-700"/>
    <s v="B07RR1YS6P"/>
    <x v="1"/>
    <s v="Chain - French Rope for men"/>
    <x v="417"/>
    <n v="33.0899"/>
    <s v="925 Silver"/>
    <s v="chain"/>
    <x v="0"/>
    <s v="7113.11.10.00"/>
    <s v="7113.11.00"/>
    <s v="7113.11.10.00"/>
    <s v="B07RR1YS6P Chain - French Rope for men"/>
    <n v="37.560970072590855"/>
    <n v="45.360755493959424"/>
    <n v="58.064374617245996"/>
    <n v="59.432969322508796"/>
    <x v="2"/>
    <x v="0"/>
    <x v="2"/>
    <n v="0"/>
    <x v="2"/>
    <n v="0"/>
    <n v="0"/>
    <n v="0"/>
  </r>
  <r>
    <s v="S925-WHI-EAR-STUD-018"/>
    <s v="B08J884SGN"/>
    <x v="2"/>
    <s v="Stud Earrings - Interlocking Circles "/>
    <x v="209"/>
    <n v="2.9137"/>
    <s v="925 Silver"/>
    <s v="Earrings"/>
    <x v="0"/>
    <s v="7113.11.10.00"/>
    <s v="7113.11.00"/>
    <s v="7113.11.50.00"/>
    <s v="B08J884SGN Stud Earrings - Interlocking Circles "/>
    <n v="3.307395867032175"/>
    <n v="3.994198631085303"/>
    <n v="5.1128038562301379"/>
    <n v="5.2333141748688838"/>
    <x v="2"/>
    <x v="1"/>
    <x v="2"/>
    <n v="0"/>
    <x v="2"/>
    <n v="0"/>
    <n v="0"/>
    <n v="0"/>
  </r>
  <r>
    <s v="GS-S925-BRA-028-190"/>
    <s v="B07WS1LJGS"/>
    <x v="1"/>
    <s v="Silver Bracelet - Hollow - Thick and Heavy - Rectangular Cable - 3 colour"/>
    <x v="277"/>
    <n v="9.6866000000000003"/>
    <s v="925 Silver"/>
    <s v="Bracelet"/>
    <x v="0"/>
    <s v="7113.11.10.00"/>
    <s v="7113.11.00"/>
    <s v="7113.11.10.00"/>
    <s v="B07WS1LJGS Silver Bracelet - Hollow - Thick and Heavy - Rectangular Cable - 3 colour"/>
    <n v="10.995442497715574"/>
    <n v="13.2787193121704"/>
    <n v="16.997524053182847"/>
    <n v="17.398160787412888"/>
    <x v="2"/>
    <x v="3"/>
    <x v="2"/>
    <n v="0"/>
    <x v="2"/>
    <n v="0"/>
    <n v="0"/>
    <n v="0"/>
  </r>
  <r>
    <s v="S925-WHI-EAR-STUD-020"/>
    <s v="B08J8CB3KB"/>
    <x v="2"/>
    <s v="Stud Earrings - Knot"/>
    <x v="418"/>
    <n v="2.0619000000000001"/>
    <s v="925 Silver"/>
    <s v="Earrings"/>
    <x v="0"/>
    <s v="7113.11.10.00"/>
    <s v="7113.11.00"/>
    <s v="7113.11.50.00"/>
    <s v="B08J8CB3KB Stud Earrings - Knot"/>
    <n v="2.3405016090310058"/>
    <n v="2.8265223452774091"/>
    <n v="3.6181110859597494"/>
    <n v="3.7033910482074859"/>
    <x v="2"/>
    <x v="1"/>
    <x v="2"/>
    <n v="0"/>
    <x v="2"/>
    <n v="0"/>
    <n v="0"/>
    <n v="0"/>
  </r>
  <r>
    <s v="S925-WHI-EAR-STUD-021"/>
    <s v="B08J89S5PD"/>
    <x v="2"/>
    <s v="Stud Earrings - Unicorn"/>
    <x v="76"/>
    <n v="2.1187"/>
    <s v="925 Silver"/>
    <s v="Earrings"/>
    <x v="0"/>
    <s v="7113.11.10.00"/>
    <s v="7113.11.00"/>
    <s v="7113.11.50.00"/>
    <s v="B08J89S5PD Stud Earrings - Unicorn"/>
    <n v="2.4049763611494215"/>
    <n v="2.9043857087827956"/>
    <n v="3.7177806672597709"/>
    <n v="3.8054098713988074"/>
    <x v="2"/>
    <x v="1"/>
    <x v="2"/>
    <n v="0"/>
    <x v="2"/>
    <n v="0"/>
    <n v="0"/>
    <n v="0"/>
  </r>
  <r>
    <s v="S925-WHI-RIN-TOE-005"/>
    <s v="B08C34DY3Z"/>
    <x v="2"/>
    <s v="Toe Ring - Leaf/Feather"/>
    <x v="283"/>
    <n v="2.2646999999999999"/>
    <s v="925 Silver"/>
    <s v="Toe Ring"/>
    <x v="0"/>
    <s v="7113.11.10.00"/>
    <s v="7113.11.00"/>
    <s v="7113.11.50.00"/>
    <s v="B08C34DY3Z Toe Ring - Leaf/Feather"/>
    <n v="2.570703716946757"/>
    <n v="3.1045274530043878"/>
    <n v="3.9739736051084167"/>
    <n v="4.0676413535455129"/>
    <x v="9"/>
    <x v="11"/>
    <x v="167"/>
    <n v="11.323499999999999"/>
    <x v="171"/>
    <n v="15.52263726502194"/>
    <n v="19.869868025542083"/>
    <n v="20.338206767727563"/>
  </r>
  <r>
    <s v="S925-WHI-PEN-LOC-006"/>
    <s v="B08Z4869H6"/>
    <x v="2"/>
    <s v="Pendant - Locket with a Plant"/>
    <x v="419"/>
    <n v="7.3754999999999997"/>
    <s v="925 Silver"/>
    <s v="Locket"/>
    <x v="0"/>
    <s v="7113.11.10.00"/>
    <s v="7113.11.00"/>
    <s v="7113.11.10.00"/>
    <s v="B08Z4869H6 Pendant - Locket with a Plant"/>
    <n v="8.3720692649537725"/>
    <n v="10.110585167851752"/>
    <n v="12.942130226730749"/>
    <n v="13.247180113513901"/>
    <x v="2"/>
    <x v="5"/>
    <x v="2"/>
    <n v="0"/>
    <x v="2"/>
    <n v="0"/>
    <n v="0"/>
    <n v="0"/>
  </r>
  <r>
    <s v="S925-WHI-EAR-CRAW-007"/>
    <s v="B08NQZ8G92"/>
    <x v="2"/>
    <s v="Crawler Earrings with Hearts"/>
    <x v="420"/>
    <n v="2.5486"/>
    <s v="925 Silver"/>
    <s v="Earrings"/>
    <x v="0"/>
    <s v="7113.11.10.00"/>
    <s v="7113.11.00"/>
    <s v="7113.11.50.00"/>
    <s v="B08NQZ8G92 Crawler Earrings with Hearts"/>
    <n v="2.8929639656513029"/>
    <n v="3.4937071871448682"/>
    <n v="4.4721460369935579"/>
    <n v="4.5775558588979086"/>
    <x v="2"/>
    <x v="1"/>
    <x v="2"/>
    <n v="0"/>
    <x v="2"/>
    <n v="0"/>
    <n v="0"/>
    <n v="0"/>
  </r>
  <r>
    <s v="S925-WHI-EAR-CRAW-008-WH"/>
    <s v="B08NQZ8SNT"/>
    <x v="2"/>
    <s v="Crawler Earrings with White CZ"/>
    <x v="290"/>
    <n v="2.8731"/>
    <s v="925 Silver"/>
    <s v="Earrings"/>
    <x v="0"/>
    <s v="7113.11.10.00"/>
    <s v="7113.11.00"/>
    <s v="7113.11.50.00"/>
    <s v="B08NQZ8SNT Crawler Earrings with White CZ"/>
    <n v="3.2613100406940116"/>
    <n v="3.9385427761853258"/>
    <n v="5.0415611625544186"/>
    <n v="5.1603922695595941"/>
    <x v="9"/>
    <x v="1"/>
    <x v="168"/>
    <n v="14.365500000000001"/>
    <x v="172"/>
    <n v="19.692713880926629"/>
    <n v="25.207805812772097"/>
    <n v="25.80196134779797"/>
  </r>
  <r>
    <s v="S925-WHI-EAR-CRAW-009-PNK"/>
    <s v="B08NQ37246"/>
    <x v="2"/>
    <s v="Crawler Earrings with Pink CZ"/>
    <x v="279"/>
    <n v="5.3879000000000001"/>
    <s v="925 Silver"/>
    <s v="Earrings"/>
    <x v="0"/>
    <s v="7113.11.10.00"/>
    <s v="7113.11.00"/>
    <s v="7113.11.50.00"/>
    <s v="B08NQ37246 Crawler Earrings with Pink CZ"/>
    <n v="6.115906988359356"/>
    <n v="7.3859157787090313"/>
    <n v="9.4543967796898656"/>
    <n v="9.6772397442345"/>
    <x v="2"/>
    <x v="1"/>
    <x v="2"/>
    <n v="0"/>
    <x v="2"/>
    <n v="0"/>
    <n v="0"/>
    <n v="0"/>
  </r>
  <r>
    <s v="S925-WHI-EAR-DROP-006"/>
    <s v="B08PC5RJC8"/>
    <x v="2"/>
    <s v="Drop Earrings - Asymmetrical Cubes"/>
    <x v="208"/>
    <n v="4.1711"/>
    <s v="925 Silver"/>
    <s v="Earrings"/>
    <x v="0"/>
    <s v="7113.11.10.00"/>
    <s v="7113.11.00"/>
    <s v="7113.11.50.00"/>
    <s v="B08PC5RJC8 Drop Earrings - Asymmetrical Cubes"/>
    <n v="4.7346943408648468"/>
    <n v="5.7178851323471553"/>
    <n v="7.3192216647978618"/>
    <n v="7.4917379122063359"/>
    <x v="2"/>
    <x v="1"/>
    <x v="2"/>
    <n v="0"/>
    <x v="2"/>
    <n v="0"/>
    <n v="0"/>
    <n v="0"/>
  </r>
  <r>
    <s v="S925-WHI-PEN-TREE-002"/>
    <s v="B084SX25L1"/>
    <x v="2"/>
    <s v="Tree of Life Pendant - with Giraffe"/>
    <x v="13"/>
    <n v="2.2241"/>
    <s v="925 Silver"/>
    <s v="Pendant"/>
    <x v="0"/>
    <s v="7113.11.10.00"/>
    <s v="7113.11.00"/>
    <s v="7113.11.50.00"/>
    <s v="B084SX25L1 Tree of Life Pendant - with Giraffe"/>
    <n v="2.5246178906085941"/>
    <n v="3.048871598104411"/>
    <n v="3.9027309114326973"/>
    <n v="3.9947194482362236"/>
    <x v="2"/>
    <x v="4"/>
    <x v="2"/>
    <n v="0"/>
    <x v="2"/>
    <n v="0"/>
    <n v="0"/>
    <n v="0"/>
  </r>
  <r>
    <s v="S925-WHI-EAR-DROP-008"/>
    <s v="B08PC6F2G3"/>
    <x v="2"/>
    <s v="Drop Earrings - Keys"/>
    <x v="349"/>
    <n v="2.0619000000000001"/>
    <s v="925 Silver"/>
    <s v="Earrings"/>
    <x v="0"/>
    <s v="7113.11.10.00"/>
    <s v="7113.11.00"/>
    <s v="7113.11.50.00"/>
    <s v="B08PC6F2G3 Drop Earrings - Keys"/>
    <n v="2.3405016090310058"/>
    <n v="2.8265223452774091"/>
    <n v="3.6181110859597494"/>
    <n v="3.7033910482074859"/>
    <x v="2"/>
    <x v="1"/>
    <x v="2"/>
    <n v="0"/>
    <x v="2"/>
    <n v="0"/>
    <n v="0"/>
    <n v="0"/>
  </r>
  <r>
    <s v="S925-WHI-EAR-DROP-009"/>
    <s v="B08PC8RXQN"/>
    <x v="2"/>
    <s v="Drop Earrings - Music Note"/>
    <x v="421"/>
    <n v="3.2787000000000002"/>
    <s v="925 Silver"/>
    <s v="Earrings"/>
    <x v="0"/>
    <s v="7113.11.10.00"/>
    <s v="7113.11.00"/>
    <s v="7113.11.50.00"/>
    <s v="B08PC8RXQN Drop Earrings - Music Note"/>
    <n v="3.721714256525515"/>
    <n v="4.4945529916392841"/>
    <n v="5.753286200851754"/>
    <n v="5.8888928802356491"/>
    <x v="2"/>
    <x v="1"/>
    <x v="2"/>
    <n v="0"/>
    <x v="2"/>
    <n v="0"/>
    <n v="0"/>
    <n v="0"/>
  </r>
  <r>
    <s v="S925-WHI-EAR-DROP-010"/>
    <s v="B08PC7P4DG"/>
    <x v="2"/>
    <s v="Drop Earrings - Flower Countour"/>
    <x v="422"/>
    <n v="1.8185"/>
    <s v="925 Silver"/>
    <s v="Earrings"/>
    <x v="0"/>
    <s v="7113.11.10.00"/>
    <s v="7113.11.00"/>
    <s v="7113.11.50.00"/>
    <s v="B08PC7P4DG Drop Earrings - Flower Countour"/>
    <n v="2.0642136747770912"/>
    <n v="2.4928613826504527"/>
    <n v="3.1910058731353628"/>
    <n v="3.2662188375601695"/>
    <x v="2"/>
    <x v="1"/>
    <x v="2"/>
    <n v="0"/>
    <x v="2"/>
    <n v="0"/>
    <n v="0"/>
    <n v="0"/>
  </r>
  <r>
    <s v="S925-WHI-EAR-DROP-011"/>
    <s v="B08PC6PM4R"/>
    <x v="2"/>
    <s v="Drop Earrings - Celtic Shield"/>
    <x v="209"/>
    <n v="2.8731"/>
    <s v="925 Silver"/>
    <s v="Earrings"/>
    <x v="0"/>
    <s v="7113.11.10.00"/>
    <s v="7113.11.00"/>
    <s v="7113.11.50.00"/>
    <s v="B08PC6PM4R Drop Earrings - Celtic Shield"/>
    <n v="3.2613100406940116"/>
    <n v="3.9385427761853258"/>
    <n v="5.0415611625544186"/>
    <n v="5.1603922695595941"/>
    <x v="9"/>
    <x v="1"/>
    <x v="169"/>
    <n v="14.365500000000001"/>
    <x v="172"/>
    <n v="19.692713880926629"/>
    <n v="25.207805812772097"/>
    <n v="25.80196134779797"/>
  </r>
  <r>
    <s v="S925-WHI-PEN-LET-001-F"/>
    <s v="B082BC8HVH"/>
    <x v="1"/>
    <s v="Pendant - Letter - F"/>
    <x v="423"/>
    <n v="4.4852999999999996"/>
    <s v="925 Silver"/>
    <s v="Pendant"/>
    <x v="0"/>
    <s v="7113.11.10.00"/>
    <s v="7113.11.00"/>
    <s v="7113.11.50.00"/>
    <s v="B082BC8HVH Pendant - Letter - F"/>
    <n v="5.0913486914917163"/>
    <n v="6.1486011325829386"/>
    <n v="7.8705629050173442"/>
    <n v="8.0560744306343839"/>
    <x v="9"/>
    <x v="4"/>
    <x v="170"/>
    <n v="22.426499999999997"/>
    <x v="173"/>
    <n v="30.74300566291469"/>
    <n v="39.352814525086721"/>
    <n v="40.280372153171918"/>
  </r>
  <r>
    <s v="S925-WHI-EAR-DROP-013"/>
    <s v="B08PC7RRS5"/>
    <x v="2"/>
    <s v="Drop Earrings - Padlock and Key"/>
    <x v="424"/>
    <n v="3.1976"/>
    <s v="925 Silver"/>
    <s v="Earrings"/>
    <x v="0"/>
    <s v="7113.11.10.00"/>
    <s v="7113.11.00"/>
    <s v="7113.11.50.00"/>
    <s v="B08PC7RRS5 Drop Earrings - Padlock and Key"/>
    <n v="3.6296561157367204"/>
    <n v="4.3833783652257834"/>
    <n v="5.6109762881152792"/>
    <n v="5.7432286802212795"/>
    <x v="9"/>
    <x v="1"/>
    <x v="171"/>
    <n v="15.988"/>
    <x v="174"/>
    <n v="21.916891826128914"/>
    <n v="28.054881440576398"/>
    <n v="28.716143401106397"/>
  </r>
  <r>
    <s v="S925-WHI-EAR-DROP-014"/>
    <s v="B08PC7HL1K"/>
    <x v="2"/>
    <s v="Drop Earrings - Celtic Square"/>
    <x v="425"/>
    <n v="3.6032000000000002"/>
    <s v="925 Silver"/>
    <s v="Earrings"/>
    <x v="0"/>
    <s v="7113.11.10.00"/>
    <s v="7113.11.00"/>
    <s v="7113.11.50.00"/>
    <s v="B08PC7HL1K Drop Earrings - Celtic Square"/>
    <n v="4.0900603315682238"/>
    <n v="4.9393885806797417"/>
    <n v="6.3227013264126146"/>
    <n v="6.4717292908973345"/>
    <x v="2"/>
    <x v="1"/>
    <x v="2"/>
    <n v="0"/>
    <x v="2"/>
    <n v="0"/>
    <n v="0"/>
    <n v="0"/>
  </r>
  <r>
    <s v="S925-WHI-PEN-LET-001-K"/>
    <s v="B082BCPQGS"/>
    <x v="1"/>
    <s v="Pendant - Letter - K"/>
    <x v="171"/>
    <n v="4.6069000000000004"/>
    <s v="925 Silver"/>
    <s v="Pendant"/>
    <x v="0"/>
    <s v="7113.11.10.00"/>
    <s v="7113.11.00"/>
    <s v="7113.11.50.00"/>
    <s v="B082BCPQGS Pendant - Letter - K"/>
    <n v="5.2293791467311417"/>
    <n v="6.3152945305099646"/>
    <n v="8.0839400368145746"/>
    <n v="8.2744809253538332"/>
    <x v="9"/>
    <x v="4"/>
    <x v="172"/>
    <n v="23.034500000000001"/>
    <x v="175"/>
    <n v="31.576472652549821"/>
    <n v="40.419700184072873"/>
    <n v="41.372404626769168"/>
  </r>
  <r>
    <s v="S925-WHI-EAR-DROP-016"/>
    <s v="B08PC8YPWJ"/>
    <x v="2"/>
    <s v="Drop Earrings - Small and Big White CZ"/>
    <x v="426"/>
    <n v="3.7654999999999998"/>
    <s v="925 Silver"/>
    <s v="Earrings"/>
    <x v="0"/>
    <s v="7113.11.10.00"/>
    <s v="7113.11.00"/>
    <s v="7113.11.50.00"/>
    <s v="B08PC8YPWJ Drop Earrings - Small and Big White CZ"/>
    <n v="4.2742901250333443"/>
    <n v="5.161874916893197"/>
    <n v="6.6074966265005264"/>
    <n v="6.7632373015302818"/>
    <x v="2"/>
    <x v="1"/>
    <x v="2"/>
    <n v="0"/>
    <x v="2"/>
    <n v="0"/>
    <n v="0"/>
    <n v="0"/>
  </r>
  <r>
    <s v="S925-YEL-BRA-CHA-042-180"/>
    <s v="B08F7XK7MR"/>
    <x v="0"/>
    <s v="Singapore chain bracelet - gold plated"/>
    <x v="402"/>
    <n v="2.3195000000000001"/>
    <s v="925 Silver"/>
    <s v=""/>
    <x v="0"/>
    <s v="7113.11.10.00"/>
    <s v="7113.11.00"/>
    <s v="7113.11.10.00"/>
    <s v="B08F7XK7MR Singapore chain bracelet - gold plated"/>
    <n v="2.6329082313145244"/>
    <n v="3.1796491487807121"/>
    <n v="4.0701336941091419"/>
    <n v="4.1660679646526333"/>
    <x v="2"/>
    <x v="13"/>
    <x v="2"/>
    <n v="0"/>
    <x v="2"/>
    <n v="0"/>
    <n v="0"/>
    <n v="0"/>
  </r>
  <r>
    <s v="S925-WHI-PEN-LET-001-R"/>
    <s v="B082BBPN73"/>
    <x v="1"/>
    <s v="Pendant - Letter - R"/>
    <x v="427"/>
    <n v="5.62"/>
    <s v="925 Silver"/>
    <s v="Pendant"/>
    <x v="0"/>
    <s v="7113.11.10.00"/>
    <s v="7113.11.00"/>
    <s v="7113.11.50.00"/>
    <s v="B082BBPN73 Pendant - Letter - R"/>
    <n v="6.3793680793221075"/>
    <n v="7.7040863186667821"/>
    <n v="9.861673361023227"/>
    <n v="10.094115956606078"/>
    <x v="2"/>
    <x v="4"/>
    <x v="2"/>
    <n v="0"/>
    <x v="2"/>
    <n v="0"/>
    <n v="0"/>
    <n v="0"/>
  </r>
  <r>
    <s v="S925-WHI-EAR-CEL-001"/>
    <s v="B083KMSZX9"/>
    <x v="2"/>
    <s v="Silver Earrings - Celtic Design- Drop/Hooks/Dangle - Irish Knot"/>
    <x v="364"/>
    <n v="4.7389999999999999"/>
    <s v="925 Silver"/>
    <s v="Earrings"/>
    <x v="0"/>
    <s v="7113.11.10.00"/>
    <s v="7113.11.00"/>
    <s v="7113.11.50.00"/>
    <s v="B083KMSZX9 Silver Earrings - Celtic Design- Drop/Hooks/Dangle - Irish Knot"/>
    <n v="5.3793283501614706"/>
    <n v="6.4963816840145689"/>
    <n v="8.3157420031831091"/>
    <n v="8.5117465335153373"/>
    <x v="2"/>
    <x v="1"/>
    <x v="2"/>
    <n v="0"/>
    <x v="2"/>
    <n v="0"/>
    <n v="0"/>
    <n v="0"/>
  </r>
  <r>
    <s v="S925-ROS-BRA-CHA-042-190"/>
    <s v="B08FTJP1RV"/>
    <x v="0"/>
    <s v="Singapore chain bracelet - rose plated"/>
    <x v="185"/>
    <n v="2.3685999999999998"/>
    <s v="925 Silver"/>
    <s v=""/>
    <x v="0"/>
    <s v="7113.11.10.00"/>
    <s v="7113.11.00"/>
    <s v="7113.11.10.00"/>
    <s v="B08FTJP1RV Singapore chain bracelet - rose plated"/>
    <n v="2.6886425680929436"/>
    <n v="3.2469570915292061"/>
    <n v="4.1562917300568705"/>
    <n v="4.2542567713197785"/>
    <x v="2"/>
    <x v="13"/>
    <x v="2"/>
    <n v="0"/>
    <x v="2"/>
    <n v="0"/>
    <n v="0"/>
    <n v="0"/>
  </r>
  <r>
    <s v="S925-YEL-BRA-CHA-004-200"/>
    <s v="B08KRSQX81"/>
    <x v="0"/>
    <s v="Link chain - Charm Bracelet"/>
    <x v="253"/>
    <n v="3.6520000000000001"/>
    <s v="925 Silver"/>
    <s v=""/>
    <x v="0"/>
    <s v="7113.11.10.00"/>
    <s v="7113.11.00"/>
    <s v="7113.11.10.00"/>
    <s v="B08KRSQX81 Link chain - Charm Bracelet"/>
    <n v="4.1454541326840451"/>
    <n v="5.006285273268877"/>
    <n v="6.4083329385154499"/>
    <n v="6.5593792657518497"/>
    <x v="2"/>
    <x v="13"/>
    <x v="2"/>
    <n v="0"/>
    <x v="2"/>
    <n v="0"/>
    <n v="0"/>
    <n v="0"/>
  </r>
  <r>
    <s v="S925-ROS-BRA-CHA-004-200"/>
    <s v="B08KRSV2FM"/>
    <x v="0"/>
    <s v="Link chain - Charm Bracelet"/>
    <x v="253"/>
    <n v="3.6783999999999999"/>
    <s v="925 Silver"/>
    <s v=""/>
    <x v="0"/>
    <s v="7113.11.10.00"/>
    <s v="7113.11.00"/>
    <s v="7113.11.10.00"/>
    <s v="B08KRSV2FM Link chain - Charm Bracelet"/>
    <n v="4.1754212709926044"/>
    <n v="5.0424752872925067"/>
    <n v="6.4546582368661634"/>
    <n v="6.6067964652633089"/>
    <x v="2"/>
    <x v="13"/>
    <x v="2"/>
    <n v="0"/>
    <x v="2"/>
    <n v="0"/>
    <n v="0"/>
    <n v="0"/>
  </r>
  <r>
    <s v="BIA-S925-CHAIN-001-030-400"/>
    <s v="B00D94C26O"/>
    <x v="0"/>
    <s v="Curb Chain 1.1 mm thick"/>
    <x v="428"/>
    <n v="0.3483"/>
    <s v="925 Silver"/>
    <s v=""/>
    <x v="0"/>
    <s v="7113.11.10.00"/>
    <s v="7113.11.00"/>
    <s v="7113.11.10.00"/>
    <s v="B00D94C26O Curb Chain 1.1 mm thick"/>
    <n v="0.39536190427542522"/>
    <n v="0.47746143501630606"/>
    <n v="0.61117808392248929"/>
    <n v="0.62558373446368265"/>
    <x v="2"/>
    <x v="13"/>
    <x v="2"/>
    <n v="0"/>
    <x v="2"/>
    <n v="0"/>
    <n v="0"/>
    <n v="0"/>
  </r>
  <r>
    <s v="G9K-YEL-PEN-COIN-001"/>
    <s v="B08MFPYD6Y"/>
    <x v="1"/>
    <s v="St Christopher Octogonal Coin Pendant"/>
    <x v="315"/>
    <n v="32.904600000000002"/>
    <s v="9K Gold"/>
    <s v=""/>
    <x v="1"/>
    <s v=" 7113.19.10.00"/>
    <s v=" 7113.19.00"/>
    <s v="7113.19.29.00"/>
    <s v="B08MFPYD6Y St Christopher Octogonal Coin Pendant"/>
    <n v="37.350632544993275"/>
    <n v="45.106739978861746"/>
    <n v="57.739220155716175"/>
    <n v="59.100150872907534"/>
    <x v="2"/>
    <x v="14"/>
    <x v="2"/>
    <n v="0"/>
    <x v="2"/>
    <n v="0"/>
    <n v="0"/>
    <n v="0"/>
  </r>
  <r>
    <s v="G9K-YEL-PEN-COIN-002"/>
    <s v="B08MFP6S9X"/>
    <x v="1"/>
    <s v="O'Maria Virgin Mary Oval Coin Pendant"/>
    <x v="176"/>
    <n v="42.907899999999998"/>
    <s v="9K Gold"/>
    <s v=""/>
    <x v="1"/>
    <s v=" 7113.19.10.00"/>
    <s v=" 7113.19.00"/>
    <s v="7113.19.29.00"/>
    <s v="B08MFP6S9X O'Maria Virgin Mary Oval Coin Pendant"/>
    <n v="48.705567190524029"/>
    <n v="58.81960237592925"/>
    <n v="75.292472314492613"/>
    <n v="77.067138443853722"/>
    <x v="2"/>
    <x v="14"/>
    <x v="2"/>
    <n v="0"/>
    <x v="2"/>
    <n v="0"/>
    <n v="0"/>
    <n v="0"/>
  </r>
  <r>
    <s v="G9K-YEL-PEN-CROS-001"/>
    <s v="B08MFQ9GX5"/>
    <x v="1"/>
    <s v="Small Cross Pendant"/>
    <x v="429"/>
    <n v="11.155900000000001"/>
    <s v="9K Gold"/>
    <s v="Pendant"/>
    <x v="1"/>
    <s v=" 7113.19.10.00"/>
    <s v=" 7113.19.00"/>
    <s v="7113.19.50.90"/>
    <s v="B08MFQ9GX5 Small Cross Pendant"/>
    <n v="12.663272661229449"/>
    <n v="15.292885509326469"/>
    <n v="19.575772570861037"/>
    <n v="20.037179395071487"/>
    <x v="2"/>
    <x v="15"/>
    <x v="2"/>
    <n v="0"/>
    <x v="2"/>
    <n v="0"/>
    <n v="0"/>
    <n v="0"/>
  </r>
  <r>
    <s v="G9K-YEL-PEN-CROS-002"/>
    <s v="B08MFRFP67"/>
    <x v="1"/>
    <s v="Medium Cross Pendant"/>
    <x v="283"/>
    <n v="21.025600000000001"/>
    <s v="9K Gold"/>
    <s v=""/>
    <x v="1"/>
    <s v=" 7113.19.10.00"/>
    <s v=" 7113.19.00"/>
    <s v="7113.19.29.00"/>
    <s v="B08MFRFP67 Medium Cross Pendant"/>
    <n v="23.866555425016887"/>
    <n v="28.822604502092581"/>
    <n v="36.894590644044477"/>
    <n v="37.764207198793017"/>
    <x v="2"/>
    <x v="14"/>
    <x v="2"/>
    <n v="0"/>
    <x v="2"/>
    <n v="0"/>
    <n v="0"/>
    <n v="0"/>
  </r>
  <r>
    <s v="G9K-YEL-PEN-CROS-003"/>
    <s v="B08MFPM4MT"/>
    <x v="1"/>
    <s v="Flat Cross Pendant"/>
    <x v="283"/>
    <n v="21.025600000000001"/>
    <s v="9K Gold"/>
    <s v="Pendant"/>
    <x v="1"/>
    <s v=" 7113.19.10.00"/>
    <s v=" 7113.19.00"/>
    <s v="7113.19.50.90"/>
    <s v="B08MFPM4MT Flat Cross Pendant"/>
    <n v="23.866555425016887"/>
    <n v="28.822604502092581"/>
    <n v="36.894590644044477"/>
    <n v="37.764207198793017"/>
    <x v="9"/>
    <x v="15"/>
    <x v="167"/>
    <n v="105.128"/>
    <x v="176"/>
    <n v="144.11302251046288"/>
    <n v="184.47295322022239"/>
    <n v="188.8210359939651"/>
  </r>
  <r>
    <s v="G9K-YEL-PEN-CROS-004"/>
    <s v="B08MFPD6T2"/>
    <x v="1"/>
    <s v="Cross with Jesus Christ Pendant"/>
    <x v="430"/>
    <n v="24.5685"/>
    <s v="9K Gold"/>
    <s v="Pendant"/>
    <x v="1"/>
    <s v=" 7113.19.10.00"/>
    <s v=" 7113.19.00"/>
    <s v="7113.19.50.90"/>
    <s v="B08MFPD6T2 Cross with Jesus Christ Pendant"/>
    <n v="27.888168088403059"/>
    <n v="33.679331800741075"/>
    <n v="43.111480777633304"/>
    <n v="44.127631295351676"/>
    <x v="9"/>
    <x v="15"/>
    <x v="173"/>
    <n v="122.8425"/>
    <x v="177"/>
    <n v="168.39665900370537"/>
    <n v="215.5574038881665"/>
    <n v="220.63815647675838"/>
  </r>
  <r>
    <s v="G9K-YEL-PEN-CROS-005"/>
    <s v="B08MFPCLM5"/>
    <x v="1"/>
    <s v="Celtic Cross Pendant"/>
    <x v="431"/>
    <n v="34.363399999999999"/>
    <s v="9K Gold"/>
    <s v=""/>
    <x v="1"/>
    <s v=" 7113.19.10.00"/>
    <s v=" 7113.19.00"/>
    <s v="7113.19.29.00"/>
    <s v="B08MFPCLM5 Celtic Cross Pendant"/>
    <n v="39.006543960316243"/>
    <n v="47.106512420440225"/>
    <n v="60.299043838823053"/>
    <n v="61.720310367124071"/>
    <x v="2"/>
    <x v="14"/>
    <x v="2"/>
    <n v="0"/>
    <x v="2"/>
    <n v="0"/>
    <n v="0"/>
    <n v="0"/>
  </r>
  <r>
    <s v="G9K-YEL-PEN-HART-001"/>
    <s v="B08WPDB9G5"/>
    <x v="1"/>
    <s v="Heart Shape Pendant"/>
    <x v="93"/>
    <n v="21.6508"/>
    <s v="9K Gold"/>
    <s v="Pendant"/>
    <x v="1"/>
    <s v=" 7113.19.10.00"/>
    <s v=" 7113.19.00"/>
    <s v="7113.19.50.90"/>
    <s v="B08WPDB9G5 Heart Shape Pendant"/>
    <n v="24.576231745869588"/>
    <n v="29.679649834197644"/>
    <n v="37.991657936804572"/>
    <n v="38.887132696314389"/>
    <x v="9"/>
    <x v="15"/>
    <x v="164"/>
    <n v="108.254"/>
    <x v="178"/>
    <n v="148.39824917098824"/>
    <n v="189.95828968402287"/>
    <n v="194.43566348157194"/>
  </r>
  <r>
    <s v="G9K-YEL-PEN-KEY-001"/>
    <s v="B08WPD6WV5"/>
    <x v="1"/>
    <s v="Key Pendant"/>
    <x v="432"/>
    <n v="13.031499999999999"/>
    <s v="9K Gold"/>
    <s v=""/>
    <x v="1"/>
    <s v=" 7113.19.10.00"/>
    <s v=" 7113.19.00"/>
    <s v="7113.19.29.00"/>
    <s v="B08WPD6WV5 Key Pendant"/>
    <n v="14.79230162378755"/>
    <n v="17.864021505641666"/>
    <n v="22.866974449141313"/>
    <n v="23.405955887635603"/>
    <x v="2"/>
    <x v="14"/>
    <x v="2"/>
    <n v="0"/>
    <x v="2"/>
    <n v="0"/>
    <n v="0"/>
    <n v="0"/>
  </r>
  <r>
    <s v="S925-BLA-NEC-CHA-001-013-400"/>
    <s v="B0848DGCL7"/>
    <x v="1"/>
    <s v="Curb Chain"/>
    <x v="93"/>
    <n v="1.1940999999999999"/>
    <s v="925 Silver"/>
    <s v="chain"/>
    <x v="0"/>
    <s v="7113.11.10.00"/>
    <s v="7113.11.00"/>
    <s v="7113.11.10.00"/>
    <s v="B0848DGCL7 Curb Chain"/>
    <n v="1.355445449024649"/>
    <n v="1.6369127176370113"/>
    <n v="2.0953423772949886"/>
    <n v="2.1447302248724762"/>
    <x v="2"/>
    <x v="0"/>
    <x v="2"/>
    <n v="0"/>
    <x v="2"/>
    <n v="0"/>
    <n v="0"/>
    <n v="0"/>
  </r>
  <r>
    <s v="S925-WHI-EAR-HOOP-009-020"/>
    <s v="B08P3KDVBZ"/>
    <x v="1"/>
    <s v="Textured Hoops with post notch"/>
    <x v="433"/>
    <n v="2.7414999999999998"/>
    <s v="925 Silver"/>
    <s v=""/>
    <x v="0"/>
    <s v="7113.11.10.00"/>
    <s v="7113.11.00"/>
    <s v="7113.11.10.00"/>
    <s v="B08P3KDVBZ Textured Hoops with post notch"/>
    <n v="3.1119283967013445"/>
    <n v="3.758141039612986"/>
    <n v="4.8106365692607076"/>
    <n v="4.9240247144191391"/>
    <x v="2"/>
    <x v="13"/>
    <x v="2"/>
    <n v="0"/>
    <x v="2"/>
    <n v="0"/>
    <n v="0"/>
    <n v="0"/>
  </r>
  <r>
    <s v="S925-WHI-EAR-HOOP-010-020"/>
    <s v="B08P3HR1R4"/>
    <x v="1"/>
    <s v="Twisted Hoops with two textures and post notch"/>
    <x v="434"/>
    <n v="3.4272999999999998"/>
    <s v="925 Silver"/>
    <s v="Earrings"/>
    <x v="0"/>
    <s v="7113.11.10.00"/>
    <s v="7113.11.00"/>
    <s v="7113.11.50.00"/>
    <s v="B08P3HR1R4 Twisted Hoops with two textures and post notch"/>
    <n v="3.8903929213986932"/>
    <n v="4.6982589039086582"/>
    <n v="6.0140414786894851"/>
    <n v="6.1557942380918158"/>
    <x v="2"/>
    <x v="1"/>
    <x v="2"/>
    <n v="0"/>
    <x v="2"/>
    <n v="0"/>
    <n v="0"/>
    <n v="0"/>
  </r>
  <r>
    <s v="S925-BLA-NEC-CHA-001-013-500"/>
    <s v="B0848XD3PT"/>
    <x v="1"/>
    <s v="Curb Chain"/>
    <x v="250"/>
    <n v="2.1692999999999998"/>
    <s v="925 Silver"/>
    <s v="chain"/>
    <x v="0"/>
    <s v="7113.11.10.00"/>
    <s v="7113.11.00"/>
    <s v="7113.11.10.00"/>
    <s v="B0848XD3PT Curb Chain"/>
    <n v="2.4624133762408267"/>
    <n v="2.9737499023280867"/>
    <n v="3.8065708224319721"/>
    <n v="3.8962928371291037"/>
    <x v="9"/>
    <x v="0"/>
    <x v="166"/>
    <n v="10.846499999999999"/>
    <x v="179"/>
    <n v="14.868749511640434"/>
    <n v="19.03285411215986"/>
    <n v="19.481464185645518"/>
  </r>
  <r>
    <s v="S925-WHI-EAR-HOOP-012-020"/>
    <s v="B08P3JRT26"/>
    <x v="1"/>
    <s v="Polished Curb Open Hoops with butterfly back"/>
    <x v="344"/>
    <n v="2.9594999999999998"/>
    <s v="925 Silver"/>
    <s v=""/>
    <x v="0"/>
    <s v="7113.11.10.00"/>
    <s v="7113.11.00"/>
    <s v="7113.11.10.00"/>
    <s v="B08P3JRT26 Polished Curb Open Hoops with butterfly back"/>
    <n v="3.3593843115220241"/>
    <n v="4.056982822080843"/>
    <n v="5.1931712298840278"/>
    <n v="5.3155758315970969"/>
    <x v="2"/>
    <x v="13"/>
    <x v="2"/>
    <n v="0"/>
    <x v="2"/>
    <n v="0"/>
    <n v="0"/>
    <n v="0"/>
  </r>
  <r>
    <s v="S925-BLA-NEC-CHA-001-013-700"/>
    <s v="B0848PBC87"/>
    <x v="1"/>
    <s v="Curb Chain"/>
    <x v="264"/>
    <n v="3.1444999999999999"/>
    <s v="925 Silver"/>
    <s v="chain"/>
    <x v="0"/>
    <s v="7113.11.10.00"/>
    <s v="7113.11.00"/>
    <s v="7113.11.10.00"/>
    <s v="B0848PBC87 Curb Chain"/>
    <n v="3.5693813034570043"/>
    <n v="4.3105870870191625"/>
    <n v="5.5177992675689564"/>
    <n v="5.6478554493857311"/>
    <x v="2"/>
    <x v="0"/>
    <x v="2"/>
    <n v="0"/>
    <x v="2"/>
    <n v="0"/>
    <n v="0"/>
    <n v="0"/>
  </r>
  <r>
    <s v="S925-BLA-NEC-CHA-004-013-450"/>
    <s v="B0848HKWN9"/>
    <x v="1"/>
    <s v="Belcher/Trace Chain"/>
    <x v="318"/>
    <n v="2.3304999999999998"/>
    <s v="925 Silver"/>
    <s v="chain"/>
    <x v="0"/>
    <s v="7113.11.10.00"/>
    <s v="7113.11.00"/>
    <s v="7113.11.10.00"/>
    <s v="B0848HKWN9 Belcher/Trace Chain"/>
    <n v="2.6453945389430906"/>
    <n v="3.1947283212905577"/>
    <n v="4.0894359017552722"/>
    <n v="4.1858251311157408"/>
    <x v="9"/>
    <x v="0"/>
    <x v="174"/>
    <n v="11.6525"/>
    <x v="180"/>
    <n v="15.973641606452789"/>
    <n v="20.447179508776362"/>
    <n v="20.929125655578705"/>
  </r>
  <r>
    <s v="S925-WHI-EAR-HOOP-015-035"/>
    <s v="B08P3KRGGG"/>
    <x v="1"/>
    <s v="Big Polished Curb Open Hoops with butterfly back (hexagon)"/>
    <x v="435"/>
    <n v="5.5243000000000002"/>
    <s v="925 Silver"/>
    <s v=""/>
    <x v="0"/>
    <s v="7113.11.10.00"/>
    <s v="7113.11.00"/>
    <s v="7113.11.10.00"/>
    <s v="B08P3KRGGG Big Polished Curb Open Hoops with butterfly back (hexagon)"/>
    <n v="6.2707372029535797"/>
    <n v="7.5728975178311222"/>
    <n v="9.6937441545018892"/>
    <n v="9.9222286083770381"/>
    <x v="2"/>
    <x v="13"/>
    <x v="2"/>
    <n v="0"/>
    <x v="2"/>
    <n v="0"/>
    <n v="0"/>
    <n v="0"/>
  </r>
  <r>
    <s v="S925-WHI-EAR-DROP-017"/>
    <s v="B08PC57JQL"/>
    <x v="1"/>
    <s v="Polished Infinity Drop Earrings with post notch"/>
    <x v="425"/>
    <n v="4.9085999999999999"/>
    <s v="925 Silver"/>
    <s v=""/>
    <x v="0"/>
    <s v="7113.11.10.00"/>
    <s v="7113.11.00"/>
    <s v="7113.11.10.00"/>
    <s v="B08PC57JQL Polished Infinity Drop Earrings with post notch"/>
    <n v="5.5718445114164581"/>
    <n v="6.7288751074391042"/>
    <n v="8.6133469501634536"/>
    <n v="8.8163661182556208"/>
    <x v="2"/>
    <x v="13"/>
    <x v="2"/>
    <n v="0"/>
    <x v="2"/>
    <n v="0"/>
    <n v="0"/>
    <n v="0"/>
  </r>
  <r>
    <s v="S925-WHI-EAR-DROP-018"/>
    <s v="B08PC9HQJX"/>
    <x v="1"/>
    <s v="Big Single Heart Drop Earrings with butterfly back"/>
    <x v="253"/>
    <n v="4.5034000000000001"/>
    <s v="925 Silver"/>
    <s v=""/>
    <x v="0"/>
    <s v="7113.11.10.00"/>
    <s v="7113.11.00"/>
    <s v="7113.11.10.00"/>
    <s v="B08PC9HQJX Big Single Heart Drop Earrings with butterfly back"/>
    <n v="5.1118943431350852"/>
    <n v="6.1734132255309584"/>
    <n v="7.9023238103259787"/>
    <n v="8.0885839499964067"/>
    <x v="2"/>
    <x v="13"/>
    <x v="2"/>
    <n v="0"/>
    <x v="2"/>
    <n v="0"/>
    <n v="0"/>
    <n v="0"/>
  </r>
  <r>
    <s v="S925-WHI-PEN-CROS-001"/>
    <s v="B08MFPJZGP"/>
    <x v="2"/>
    <s v="Polished Medium Cross Pendant"/>
    <x v="436"/>
    <n v="2.2646999999999999"/>
    <s v="925 Silver"/>
    <s v="Pendant"/>
    <x v="0"/>
    <s v="7113.11.10.00"/>
    <s v="7113.11.00"/>
    <s v="7113.11.50.00"/>
    <s v="B08MFPJZGP Polished Medium Cross Pendant"/>
    <n v="2.570703716946757"/>
    <n v="3.1045274530043878"/>
    <n v="3.9739736051084167"/>
    <n v="4.0676413535455129"/>
    <x v="2"/>
    <x v="4"/>
    <x v="2"/>
    <n v="0"/>
    <x v="2"/>
    <n v="0"/>
    <n v="0"/>
    <n v="0"/>
  </r>
  <r>
    <s v="S925-BLA-NEC-CHA-004-013-500"/>
    <s v="B0848TSCTS"/>
    <x v="1"/>
    <s v="Belcher/Trace Chain"/>
    <x v="158"/>
    <n v="2.5419"/>
    <s v="925 Silver"/>
    <s v="chain"/>
    <x v="0"/>
    <s v="7113.11.10.00"/>
    <s v="7113.11.00"/>
    <s v="7113.11.10.00"/>
    <s v="B0848TSCTS Belcher/Trace Chain"/>
    <n v="2.8853586691866306"/>
    <n v="3.4845226002525078"/>
    <n v="4.4603892377909151"/>
    <n v="4.5655219484158343"/>
    <x v="2"/>
    <x v="0"/>
    <x v="2"/>
    <n v="0"/>
    <x v="2"/>
    <n v="0"/>
    <n v="0"/>
    <n v="0"/>
  </r>
  <r>
    <s v="S925-BLA-NEC-CHA-007-012-500"/>
    <s v="B0848RZ8LJ"/>
    <x v="1"/>
    <s v="Ball Chain"/>
    <x v="252"/>
    <n v="2.9735999999999998"/>
    <s v="925 Silver"/>
    <s v="chain"/>
    <x v="0"/>
    <s v="7113.11.10.00"/>
    <s v="7113.11.00"/>
    <s v="7113.11.10.00"/>
    <s v="B0848RZ8LJ Ball Chain"/>
    <n v="3.3753894876640955"/>
    <n v="4.0763115795707368"/>
    <n v="5.217913150594069"/>
    <n v="5.3409009267907175"/>
    <x v="9"/>
    <x v="0"/>
    <x v="175"/>
    <n v="14.867999999999999"/>
    <x v="181"/>
    <n v="20.381557897853682"/>
    <n v="26.089565752970344"/>
    <n v="26.704504633953587"/>
  </r>
  <r>
    <s v="S925-WHI-BRA-CHA-038-190"/>
    <s v="B0854N4TG7"/>
    <x v="1"/>
    <s v="Bracelet - Rolo chain with Trees of Life"/>
    <x v="437"/>
    <n v="5.1440000000000001"/>
    <s v="925 Silver"/>
    <s v="Bracelet"/>
    <x v="0"/>
    <s v="7113.11.10.00"/>
    <s v="7113.11.00"/>
    <s v="7113.11.10.00"/>
    <s v="B0854N4TG7 Bracelet - Rolo chain with Trees of Life"/>
    <n v="5.8390514946677792"/>
    <n v="7.051569399149809"/>
    <n v="9.0264141937906555"/>
    <n v="9.2391694805661331"/>
    <x v="2"/>
    <x v="3"/>
    <x v="2"/>
    <n v="0"/>
    <x v="2"/>
    <n v="0"/>
    <n v="0"/>
    <n v="0"/>
  </r>
  <r>
    <s v="S925-WHI-BRA-CHA-039-200"/>
    <s v="B0854P65F1"/>
    <x v="1"/>
    <s v="Bracelet - Rolo Chain with Infinity"/>
    <x v="438"/>
    <n v="6.1809000000000003"/>
    <s v="925 Silver"/>
    <s v="Bracelet"/>
    <x v="0"/>
    <s v="7113.11.10.00"/>
    <s v="7113.11.00"/>
    <s v="7113.11.10.00"/>
    <s v="B0854P65F1 Bracelet - Rolo Chain with Infinity"/>
    <n v="7.0160562564914617"/>
    <n v="8.4729870332824753"/>
    <n v="10.845910476360936"/>
    <n v="11.101551835620375"/>
    <x v="9"/>
    <x v="3"/>
    <x v="176"/>
    <n v="30.904500000000002"/>
    <x v="182"/>
    <n v="42.36493516641238"/>
    <n v="54.229552381804687"/>
    <n v="55.507759178101878"/>
  </r>
  <r>
    <s v="S925-WHI-PEN-CROS-006"/>
    <s v="B08MFP1L2H"/>
    <x v="2"/>
    <s v="Engraved Viking Axe/Cross Pendant"/>
    <x v="439"/>
    <n v="8.0244999999999997"/>
    <s v="925 Silver"/>
    <s v=""/>
    <x v="0"/>
    <s v="7113.11.10.00"/>
    <s v="7113.11.00"/>
    <s v="7113.11.10.00"/>
    <s v="B08MFP1L2H Engraved Viking Axe/Cross Pendant"/>
    <n v="9.10876141503919"/>
    <n v="11.000256345932668"/>
    <n v="14.08096047785247"/>
    <n v="14.412852934837272"/>
    <x v="2"/>
    <x v="13"/>
    <x v="2"/>
    <n v="0"/>
    <x v="2"/>
    <n v="0"/>
    <n v="0"/>
    <n v="0"/>
  </r>
  <r>
    <s v="S925-WHI-PEN-CROS-007"/>
    <s v="B08MFN64Q6"/>
    <x v="2"/>
    <s v="Hammered Cross Pendant"/>
    <x v="440"/>
    <n v="9.6064000000000007"/>
    <s v="925 Silver"/>
    <s v=""/>
    <x v="0"/>
    <s v="7113.11.10.00"/>
    <s v="7113.11.00"/>
    <s v="7113.11.10.00"/>
    <s v="B08MFN64Q6 Hammered Cross Pendant"/>
    <n v="10.904405963914572"/>
    <n v="13.168778436234978"/>
    <n v="16.856793411981055"/>
    <n v="17.254113082836412"/>
    <x v="2"/>
    <x v="13"/>
    <x v="2"/>
    <n v="0"/>
    <x v="2"/>
    <n v="0"/>
    <n v="0"/>
    <n v="0"/>
  </r>
  <r>
    <s v="S925-WHI-PEN-TREE-006"/>
    <s v="B084SSWKL4"/>
    <x v="1"/>
    <s v="Pendant - Tree of Life - shiny"/>
    <x v="2"/>
    <n v="4.8853"/>
    <s v="925 Silver"/>
    <s v="Pendant"/>
    <x v="0"/>
    <s v="7113.11.10.00"/>
    <s v="7113.11.00"/>
    <s v="7113.11.50.00"/>
    <s v="B084SSWKL4 Pendant - Tree of Life - shiny"/>
    <n v="5.545396241621404"/>
    <n v="6.6969346783955208"/>
    <n v="8.5724613648766503"/>
    <n v="8.7745168474746738"/>
    <x v="2"/>
    <x v="4"/>
    <x v="2"/>
    <n v="0"/>
    <x v="2"/>
    <n v="0"/>
    <n v="0"/>
    <n v="0"/>
  </r>
  <r>
    <s v="G9K-YEL-BRA-CHA-001-190"/>
    <s v="B085QL5Q9X"/>
    <x v="1"/>
    <s v="Chain Bracelet - Heart - 9K Gold Yellow"/>
    <x v="441"/>
    <n v="40.388100000000001"/>
    <s v="9K Gold"/>
    <s v="Bracelet"/>
    <x v="1"/>
    <s v=" 7113.19.10.00"/>
    <s v=" 7113.19.00"/>
    <s v="7113.19.10.00"/>
    <s v="B085QL5Q9X Chain Bracelet - Heart - 9K Gold Yellow"/>
    <n v="45.845294648482067"/>
    <n v="55.365375204082895"/>
    <n v="70.870862966608939"/>
    <n v="72.54131043896831"/>
    <x v="2"/>
    <x v="12"/>
    <x v="2"/>
    <n v="0"/>
    <x v="2"/>
    <n v="0"/>
    <n v="0"/>
    <n v="0"/>
  </r>
  <r>
    <s v="S925-MUL-BRA-LAY-001-200"/>
    <s v="B0872DCQ9Q"/>
    <x v="1"/>
    <s v="Adjustable 3 layer bracelet with Big Beads."/>
    <x v="40"/>
    <n v="6.8181000000000003"/>
    <s v="925 Silver"/>
    <s v="Bracelet"/>
    <x v="0"/>
    <s v="7113.11.10.00"/>
    <s v="7113.11.00"/>
    <s v="7113.11.10.00"/>
    <s v="B0872DCQ9Q Adjustable 3 layer bracelet with Big Beads."/>
    <n v="7.7393540038480531"/>
    <n v="9.346482371761919"/>
    <n v="11.964034722916809"/>
    <n v="12.246030605646958"/>
    <x v="2"/>
    <x v="3"/>
    <x v="2"/>
    <n v="0"/>
    <x v="2"/>
    <n v="0"/>
    <n v="0"/>
    <n v="0"/>
  </r>
  <r>
    <s v="S925-WHI-RIN-GEM-001-J"/>
    <s v="B08C32SND1"/>
    <x v="2"/>
    <s v="Ring with CZ - J"/>
    <x v="182"/>
    <n v="3.9683000000000002"/>
    <s v="925 Silver"/>
    <s v="Ring"/>
    <x v="0"/>
    <s v="7113.11.10.00"/>
    <s v="7113.11.00"/>
    <s v="7113.11.50.00"/>
    <s v="B08C32SND1 Ring with CZ - J"/>
    <n v="4.5044922329490955"/>
    <n v="5.4398800246201766"/>
    <n v="6.9633591456491946"/>
    <n v="7.1274876068683097"/>
    <x v="2"/>
    <x v="8"/>
    <x v="2"/>
    <n v="0"/>
    <x v="2"/>
    <n v="0"/>
    <n v="0"/>
    <n v="0"/>
  </r>
  <r>
    <s v="S925-YEL-EAR-STUD-022"/>
    <s v="B08J889B27"/>
    <x v="2"/>
    <s v="Yellow Gold Plated Small Thick Heart Studs"/>
    <x v="334"/>
    <n v="3.7654999999999998"/>
    <s v="925 Silver"/>
    <s v=""/>
    <x v="0"/>
    <s v="7113.11.10.00"/>
    <s v="7113.11.00"/>
    <s v="7113.11.10.00"/>
    <s v="B08J889B27 Yellow Gold Plated Small Thick Heart Studs"/>
    <n v="4.2742901250333443"/>
    <n v="5.161874916893197"/>
    <n v="6.6074966265005264"/>
    <n v="6.7632373015302818"/>
    <x v="2"/>
    <x v="13"/>
    <x v="2"/>
    <n v="0"/>
    <x v="2"/>
    <n v="0"/>
    <n v="0"/>
    <n v="0"/>
  </r>
  <r>
    <s v="S925-WHI-EAR-HOOP-016-020"/>
    <s v="B08P3J9956"/>
    <x v="2"/>
    <s v="Half Pave Half Openwork Hoops with Post Notch"/>
    <x v="442"/>
    <n v="10.498699999999999"/>
    <s v="925 Silver"/>
    <s v="Earrings"/>
    <x v="0"/>
    <s v="7113.11.10.00"/>
    <s v="7113.11.00"/>
    <s v="7113.11.50.00"/>
    <s v="B08P3J9956 Half Pave Half Openwork Hoops with Post Notch"/>
    <n v="11.917272536366371"/>
    <n v="14.391973493556394"/>
    <n v="18.422553401312197"/>
    <n v="18.856778504202886"/>
    <x v="2"/>
    <x v="1"/>
    <x v="2"/>
    <n v="0"/>
    <x v="2"/>
    <n v="0"/>
    <n v="0"/>
    <n v="0"/>
  </r>
  <r>
    <s v="S925-WHI-EAR-HOOP-017-020"/>
    <s v="B08P3KYWMH"/>
    <x v="2"/>
    <s v="Complete Pave Hoops with Post Notch"/>
    <x v="443"/>
    <n v="11.472200000000001"/>
    <s v="925 Silver"/>
    <s v="Earrings"/>
    <x v="0"/>
    <s v="7113.11.10.00"/>
    <s v="7113.11.00"/>
    <s v="7113.11.50.00"/>
    <s v="B08P3KYWMH Complete Pave Hoops with Post Notch"/>
    <n v="13.022310761494499"/>
    <n v="15.72648026067777"/>
    <n v="20.13079877799478"/>
    <n v="20.605287736187943"/>
    <x v="2"/>
    <x v="1"/>
    <x v="2"/>
    <n v="0"/>
    <x v="2"/>
    <n v="0"/>
    <n v="0"/>
    <n v="0"/>
  </r>
  <r>
    <s v="S925-WHI-RIN-GEM-001-Q"/>
    <s v="B08C343PST"/>
    <x v="2"/>
    <s v="Ring with CZ - Q"/>
    <x v="444"/>
    <n v="3.9683000000000002"/>
    <s v="925 Silver"/>
    <s v="Ring"/>
    <x v="0"/>
    <s v="7113.11.10.00"/>
    <s v="7113.11.00"/>
    <s v="7113.11.50.00"/>
    <s v="B08C343PST Ring with CZ - Q"/>
    <n v="4.5044922329490955"/>
    <n v="5.4398800246201766"/>
    <n v="6.9633591456491946"/>
    <n v="7.1274876068683097"/>
    <x v="2"/>
    <x v="8"/>
    <x v="2"/>
    <n v="0"/>
    <x v="2"/>
    <n v="0"/>
    <n v="0"/>
    <n v="0"/>
  </r>
  <r>
    <s v="S925-WHI-PEN-LOC-008"/>
    <s v="B08Z4BFXWM"/>
    <x v="2"/>
    <s v="Locket - Heart 4 Pictures"/>
    <x v="321"/>
    <n v="12.161799999999999"/>
    <s v="925 Silver"/>
    <s v=""/>
    <x v="0"/>
    <s v="7113.11.10.00"/>
    <s v="7113.11.00"/>
    <s v="7113.11.10.00"/>
    <s v="B08Z4BFXWM Locket - Heart 4 Pictures"/>
    <n v="13.805088737918078"/>
    <n v="16.671807293658659"/>
    <n v="21.340871722792219"/>
    <n v="21.843882462820602"/>
    <x v="2"/>
    <x v="13"/>
    <x v="2"/>
    <n v="0"/>
    <x v="2"/>
    <n v="0"/>
    <n v="0"/>
    <n v="0"/>
  </r>
  <r>
    <s v="S925-WHI-PEN-LOC-009"/>
    <s v="B08Z4B7LSJ"/>
    <x v="2"/>
    <s v="Locket - Leaves Engraving 4 Pictures"/>
    <x v="445"/>
    <n v="8.8356999999999992"/>
    <s v="925 Silver"/>
    <s v=""/>
    <x v="0"/>
    <s v="7113.11.10.00"/>
    <s v="7113.11.00"/>
    <s v="7113.11.10.00"/>
    <s v="B08Z4B7LSJ Locket - Leaves Engraving 4 Pictures"/>
    <n v="10.029569846702195"/>
    <n v="12.112276776840583"/>
    <n v="15.504410554447139"/>
    <n v="15.86985415618938"/>
    <x v="2"/>
    <x v="13"/>
    <x v="2"/>
    <n v="0"/>
    <x v="2"/>
    <n v="0"/>
    <n v="0"/>
    <n v="0"/>
  </r>
  <r>
    <s v="S925-WHI-NEC-PEN-008"/>
    <s v="Not listed"/>
    <x v="1"/>
    <s v="Rolo Chain with Heart Shape Pendant with White Swarovski Crystals"/>
    <x v="402"/>
    <n v="4.5945999999999998"/>
    <s v="925 Silver"/>
    <s v=""/>
    <x v="0"/>
    <s v="7113.11.10.00"/>
    <s v="7113.11.00"/>
    <s v="7113.11.10.00"/>
    <s v="Not listed Rolo Chain with Heart Shape Pendant with White Swarovski Crystals"/>
    <n v="5.2154171845646538"/>
    <n v="6.2984332739762268"/>
    <n v="8.0623566591739007"/>
    <n v="8.2523888210359928"/>
    <x v="2"/>
    <x v="13"/>
    <x v="2"/>
    <n v="0"/>
    <x v="2"/>
    <n v="0"/>
    <n v="0"/>
    <n v="0"/>
  </r>
  <r>
    <s v="S925-ROS-NEC-PEN-008"/>
    <s v="Not listed"/>
    <x v="1"/>
    <s v="Rose Gold Plated Rolo Chain with Heart Shape Pendant with Multicolour Swarovski Crystals"/>
    <x v="83"/>
    <n v="4.7443999999999997"/>
    <s v="925 Silver"/>
    <s v=""/>
    <x v="0"/>
    <s v="7113.11.10.00"/>
    <s v="7113.11.00"/>
    <s v="7113.11.10.00"/>
    <s v="Not listed Rose Gold Plated Rolo Chain with Heart Shape Pendant with Multicolour Swarovski Crystals"/>
    <n v="5.3854579920882211"/>
    <n v="6.5037841868830384"/>
    <n v="8.3252176323912099"/>
    <n v="8.5214455061426815"/>
    <x v="2"/>
    <x v="13"/>
    <x v="2"/>
    <n v="0"/>
    <x v="2"/>
    <n v="0"/>
    <n v="0"/>
    <n v="0"/>
  </r>
  <r>
    <s v="S925-WHI-EAR-SWA-003-001"/>
    <s v="Not listed"/>
    <x v="1"/>
    <s v="Stud Heart Earrings with White Swarovski Crystals"/>
    <x v="446"/>
    <n v="3.3348"/>
    <s v="925 Silver"/>
    <s v=""/>
    <x v="0"/>
    <s v="7113.11.10.00"/>
    <s v="7113.11.00"/>
    <s v="7113.11.10.00"/>
    <s v="Not listed Stud Heart Earrings with White Swarovski Crystals"/>
    <n v="3.7853944254312033"/>
    <n v="4.5714567714394994"/>
    <n v="5.8517274598470213"/>
    <n v="5.9896544291974996"/>
    <x v="2"/>
    <x v="13"/>
    <x v="2"/>
    <n v="0"/>
    <x v="2"/>
    <n v="0"/>
    <n v="0"/>
    <n v="0"/>
  </r>
  <r>
    <s v="S925-ROS-EAR-SWA-003-MUL"/>
    <s v="Not listed"/>
    <x v="1"/>
    <s v="Rose Gold Plated Stud Heart Earrings with Multicolour Swarovski Crystals"/>
    <x v="447"/>
    <n v="3.3435999999999999"/>
    <s v="925 Silver"/>
    <s v=""/>
    <x v="0"/>
    <s v="7113.11.10.00"/>
    <s v="7113.11.00"/>
    <s v="7113.11.10.00"/>
    <s v="Not listed Rose Gold Plated Stud Heart Earrings with Multicolour Swarovski Crystals"/>
    <n v="3.7953834715340564"/>
    <n v="4.5835201094473756"/>
    <n v="5.8671692259639254"/>
    <n v="6.005460162367986"/>
    <x v="2"/>
    <x v="13"/>
    <x v="2"/>
    <n v="0"/>
    <x v="2"/>
    <n v="0"/>
    <n v="0"/>
    <n v="0"/>
  </r>
  <r>
    <s v="S925-WHI-EAR-HOOP-018-020"/>
    <s v="Not listed"/>
    <x v="1"/>
    <s v="Open Twisted Hoop in Dark Silver RH with Butterfly Back "/>
    <x v="112"/>
    <n v="2.9119000000000002"/>
    <s v="925 Silver"/>
    <s v=""/>
    <x v="0"/>
    <s v="7113.11.10.00"/>
    <s v="7113.11.00"/>
    <s v="7113.11.10.00"/>
    <s v="Not listed Open Twisted Hoop in Dark Silver RH with Butterfly Back "/>
    <n v="3.3053526530565915"/>
    <n v="3.9917311301291467"/>
    <n v="5.1096453131607715"/>
    <n v="5.2300811839931027"/>
    <x v="2"/>
    <x v="13"/>
    <x v="2"/>
    <n v="0"/>
    <x v="2"/>
    <n v="0"/>
    <n v="0"/>
    <n v="0"/>
  </r>
  <r>
    <s v="S925-WHI-EAR-HOOP-019-020"/>
    <s v="Not listed"/>
    <x v="1"/>
    <s v="Open Textured Hoop in Dark Silver RH with Butterfly Back "/>
    <x v="448"/>
    <n v="2.5859999999999999"/>
    <s v="925 Silver"/>
    <s v=""/>
    <x v="0"/>
    <s v="7113.11.10.00"/>
    <s v="7113.11.00"/>
    <s v="7113.11.10.00"/>
    <s v="Not listed Open Textured Hoop in Dark Silver RH with Butterfly Back "/>
    <n v="2.9354174115884284"/>
    <n v="3.5449763736783448"/>
    <n v="4.5377735429904025"/>
    <n v="4.6447302248724762"/>
    <x v="2"/>
    <x v="13"/>
    <x v="2"/>
    <n v="0"/>
    <x v="2"/>
    <n v="0"/>
    <n v="0"/>
    <n v="0"/>
  </r>
  <r>
    <s v="S925-WHI-EAR-DROP-019"/>
    <s v="B08PC6PZQZ"/>
    <x v="1"/>
    <s v="Leaf / Feather Drop Earrings with White Swarowski Stone"/>
    <x v="449"/>
    <n v="4.3227000000000002"/>
    <s v="925 Silver"/>
    <s v=""/>
    <x v="0"/>
    <s v="7113.11.10.00"/>
    <s v="7113.11.00"/>
    <s v="7113.11.10.00"/>
    <s v="B08PC6PZQZ Leaf / Feather Drop Earrings with White Swarowski Stone"/>
    <n v="4.9067783623639984"/>
    <n v="5.9257035462101246"/>
    <n v="7.5852411810845384"/>
    <n v="7.7640275881888066"/>
    <x v="2"/>
    <x v="13"/>
    <x v="2"/>
    <n v="0"/>
    <x v="2"/>
    <n v="0"/>
    <n v="0"/>
    <n v="0"/>
  </r>
  <r>
    <s v="S925-WHI-EAR-SWA-004-001"/>
    <s v="B08CWLTBX2"/>
    <x v="1"/>
    <s v="Round Stud Earrings with Swarovski. CRYSTAL"/>
    <x v="450"/>
    <n v="2.5419"/>
    <s v="925 Silver"/>
    <s v=""/>
    <x v="0"/>
    <s v="7113.11.10.00"/>
    <s v="7113.11.00"/>
    <s v="7113.11.10.00"/>
    <s v="B08CWLTBX2 Round Stud Earrings with Swarovski. CRYSTAL"/>
    <n v="2.8853586691866306"/>
    <n v="3.4845226002525078"/>
    <n v="4.4603892377909151"/>
    <n v="4.5655219484158343"/>
    <x v="2"/>
    <x v="13"/>
    <x v="2"/>
    <n v="0"/>
    <x v="2"/>
    <n v="0"/>
    <n v="0"/>
    <n v="0"/>
  </r>
  <r>
    <s v="S925-WHI-EAR-SWA-004-001-AB"/>
    <s v="B08CXGRPRS"/>
    <x v="1"/>
    <s v="Round Stud Earrings with Swarovski. AURORE BOREALE"/>
    <x v="450"/>
    <n v="2.5419"/>
    <s v="925 Silver"/>
    <s v=""/>
    <x v="0"/>
    <s v="7113.11.10.00"/>
    <s v="7113.11.00"/>
    <s v="7113.11.10.00"/>
    <s v="B08CXGRPRS Round Stud Earrings with Swarovski. AURORE BOREALE"/>
    <n v="2.8853586691866306"/>
    <n v="3.4845226002525078"/>
    <n v="4.4603892377909151"/>
    <n v="4.5655219484158343"/>
    <x v="2"/>
    <x v="13"/>
    <x v="2"/>
    <n v="0"/>
    <x v="2"/>
    <n v="0"/>
    <n v="0"/>
    <n v="0"/>
  </r>
  <r>
    <s v="S925-WHI-EAR-SWA-004-001-L103"/>
    <s v="B08CXNV18Z"/>
    <x v="1"/>
    <s v="Round Stud Earrings with Swarovski. POWDER ROSE"/>
    <x v="450"/>
    <n v="2.5419"/>
    <s v="925 Silver"/>
    <s v=""/>
    <x v="0"/>
    <s v="7113.11.10.00"/>
    <s v="7113.11.00"/>
    <s v="7113.11.10.00"/>
    <s v="B08CXNV18Z Round Stud Earrings with Swarovski. POWDER ROSE"/>
    <n v="2.8853586691866306"/>
    <n v="3.4845226002525078"/>
    <n v="4.4603892377909151"/>
    <n v="4.5655219484158343"/>
    <x v="2"/>
    <x v="13"/>
    <x v="2"/>
    <n v="0"/>
    <x v="2"/>
    <n v="0"/>
    <n v="0"/>
    <n v="0"/>
  </r>
  <r>
    <s v="S925-WHI-EAR-SWA-004-246"/>
    <s v="B08CXWDLP1"/>
    <x v="1"/>
    <s v="Round Stud Earrings with Swarovski. LIGHT COLORADO TOPAZ"/>
    <x v="450"/>
    <n v="2.5419"/>
    <s v="925 Silver"/>
    <s v=""/>
    <x v="0"/>
    <s v="7113.11.10.00"/>
    <s v="7113.11.00"/>
    <s v="7113.11.10.00"/>
    <s v="B08CXWDLP1 Round Stud Earrings with Swarovski. LIGHT COLORADO TOPAZ"/>
    <n v="2.8853586691866306"/>
    <n v="3.4845226002525078"/>
    <n v="4.4603892377909151"/>
    <n v="4.5655219484158343"/>
    <x v="2"/>
    <x v="13"/>
    <x v="2"/>
    <n v="0"/>
    <x v="2"/>
    <n v="0"/>
    <n v="0"/>
    <n v="0"/>
  </r>
  <r>
    <s v="S925-WHI-EAR-SWA-004-202"/>
    <s v="B08CXVYFT9"/>
    <x v="1"/>
    <s v="Round Stud Earrings with Swarovski. AQUAMARINE"/>
    <x v="450"/>
    <n v="2.5419"/>
    <s v="925 Silver"/>
    <s v=""/>
    <x v="0"/>
    <s v="7113.11.10.00"/>
    <s v="7113.11.00"/>
    <s v="7113.11.10.00"/>
    <s v="B08CXVYFT9 Round Stud Earrings with Swarovski. AQUAMARINE"/>
    <n v="2.8853586691866306"/>
    <n v="3.4845226002525078"/>
    <n v="4.4603892377909151"/>
    <n v="4.5655219484158343"/>
    <x v="2"/>
    <x v="13"/>
    <x v="2"/>
    <n v="0"/>
    <x v="2"/>
    <n v="0"/>
    <n v="0"/>
    <n v="0"/>
  </r>
  <r>
    <s v="S925-WHI-EAR-SWA-004-207"/>
    <s v="B08CX45BP1"/>
    <x v="1"/>
    <s v="Round Stud Earrings with Swarovski. MONTANA"/>
    <x v="450"/>
    <n v="2.5419"/>
    <s v="925 Silver"/>
    <s v=""/>
    <x v="0"/>
    <s v="7113.11.10.00"/>
    <s v="7113.11.00"/>
    <s v="7113.11.10.00"/>
    <s v="B08CX45BP1 Round Stud Earrings with Swarovski. MONTANA"/>
    <n v="2.8853586691866306"/>
    <n v="3.4845226002525078"/>
    <n v="4.4603892377909151"/>
    <n v="4.5655219484158343"/>
    <x v="2"/>
    <x v="13"/>
    <x v="2"/>
    <n v="0"/>
    <x v="2"/>
    <n v="0"/>
    <n v="0"/>
    <n v="0"/>
  </r>
  <r>
    <s v="S925-WHI-EAR-SWA-005-001"/>
    <s v="B08CXRHBFJ"/>
    <x v="1"/>
    <s v="Square Stud Earrings with Swarovski. CRYSTAL"/>
    <x v="451"/>
    <n v="2.7622"/>
    <s v="925 Silver"/>
    <s v=""/>
    <x v="0"/>
    <s v="7113.11.10.00"/>
    <s v="7113.11.00"/>
    <s v="7113.11.10.00"/>
    <s v="B08CXRHBFJ Square Stud Earrings with Swarovski. CRYSTAL"/>
    <n v="3.1354253574205559"/>
    <n v="3.7865173006087876"/>
    <n v="4.8469598145584269"/>
    <n v="4.9612041094906241"/>
    <x v="2"/>
    <x v="13"/>
    <x v="2"/>
    <n v="0"/>
    <x v="2"/>
    <n v="0"/>
    <n v="0"/>
    <n v="0"/>
  </r>
  <r>
    <s v="S925-WHI-EAR-SWA-005-001-AB"/>
    <s v="B08CXS1VKP"/>
    <x v="1"/>
    <s v="Square Stud Earrings with Swarovski. AURORE BOREALE"/>
    <x v="451"/>
    <n v="2.7622"/>
    <s v="925 Silver"/>
    <s v=""/>
    <x v="0"/>
    <s v="7113.11.10.00"/>
    <s v="7113.11.00"/>
    <s v="7113.11.10.00"/>
    <s v="B08CXS1VKP Square Stud Earrings with Swarovski. AURORE BOREALE"/>
    <n v="3.1354253574205559"/>
    <n v="3.7865173006087876"/>
    <n v="4.8469598145584269"/>
    <n v="4.9612041094906241"/>
    <x v="2"/>
    <x v="13"/>
    <x v="2"/>
    <n v="0"/>
    <x v="2"/>
    <n v="0"/>
    <n v="0"/>
    <n v="0"/>
  </r>
  <r>
    <s v="S925-WHI-EAR-SWA-005-001-L103"/>
    <s v="B08CXMLHK9"/>
    <x v="1"/>
    <s v="Square Stud Earrings with Swarovski. POWDER ROSE"/>
    <x v="451"/>
    <n v="2.7622"/>
    <s v="925 Silver"/>
    <s v=""/>
    <x v="0"/>
    <s v="7113.11.10.00"/>
    <s v="7113.11.00"/>
    <s v="7113.11.10.00"/>
    <s v="B08CXMLHK9 Square Stud Earrings with Swarovski. POWDER ROSE"/>
    <n v="3.1354253574205559"/>
    <n v="3.7865173006087876"/>
    <n v="4.8469598145584269"/>
    <n v="4.9612041094906241"/>
    <x v="2"/>
    <x v="13"/>
    <x v="2"/>
    <n v="0"/>
    <x v="2"/>
    <n v="0"/>
    <n v="0"/>
    <n v="0"/>
  </r>
  <r>
    <s v="S925-WHI-EAR-SWA-005-246"/>
    <s v="B08CXPW5XR"/>
    <x v="1"/>
    <s v="Square Stud Earrings with Swarovski. LIGHT COLORADO TOPAZ"/>
    <x v="451"/>
    <n v="2.7622"/>
    <s v="925 Silver"/>
    <s v="Earrings"/>
    <x v="0"/>
    <s v="7113.11.10.00"/>
    <s v="7113.11.00"/>
    <s v="7113.11.50.00"/>
    <s v="B08CXPW5XR Square Stud Earrings with Swarovski. LIGHT COLORADO TOPAZ"/>
    <n v="3.1354253574205559"/>
    <n v="3.7865173006087876"/>
    <n v="4.8469598145584269"/>
    <n v="4.9612041094906241"/>
    <x v="9"/>
    <x v="1"/>
    <x v="177"/>
    <n v="13.811"/>
    <x v="183"/>
    <n v="18.932586503043936"/>
    <n v="24.234799072792132"/>
    <n v="24.806020547453119"/>
  </r>
  <r>
    <s v="S925-WHI-PEN-COIN-002"/>
    <s v="B091FQ62VJ"/>
    <x v="2"/>
    <s v="Pendant - Coins - Eye of Providence/God"/>
    <x v="208"/>
    <n v="3.3193000000000001"/>
    <s v="925 Silver"/>
    <s v="Pendant"/>
    <x v="0"/>
    <s v="7113.11.10.00"/>
    <s v="7113.11.00"/>
    <s v="7113.11.50.00"/>
    <s v="B091FQ62VJ Pendant - Coins - Eye of Providence/God"/>
    <n v="3.767800082863678"/>
    <n v="4.5502088465392614"/>
    <n v="5.8245288945274734"/>
    <n v="5.9618147855449388"/>
    <x v="9"/>
    <x v="4"/>
    <x v="95"/>
    <n v="16.596499999999999"/>
    <x v="184"/>
    <n v="22.751044232696305"/>
    <n v="29.122644472637361"/>
    <n v="29.809073927724693"/>
  </r>
  <r>
    <s v="S925-WHI-EAR-SWA-005-266"/>
    <s v="B08CXM16GW"/>
    <x v="1"/>
    <s v="Square Stud Earrings with Swarovski. DENIM BLUE"/>
    <x v="451"/>
    <n v="2.7622"/>
    <s v="925 Silver"/>
    <s v="Earrings"/>
    <x v="0"/>
    <s v="7113.11.10.00"/>
    <s v="7113.11.00"/>
    <s v="7113.11.50.00"/>
    <s v="B08CXM16GW Square Stud Earrings with Swarovski. DENIM BLUE"/>
    <n v="3.1354253574205559"/>
    <n v="3.7865173006087876"/>
    <n v="4.8469598145584269"/>
    <n v="4.9612041094906241"/>
    <x v="9"/>
    <x v="1"/>
    <x v="177"/>
    <n v="13.811"/>
    <x v="183"/>
    <n v="18.932586503043936"/>
    <n v="24.234799072792132"/>
    <n v="24.806020547453119"/>
  </r>
  <r>
    <s v="S925-WHI-NEC-CHA-024-047-450"/>
    <s v="B08LW3T1NG"/>
    <x v="1"/>
    <s v="Chain - Super Flat Curb - Gauge 120 - Width 4.7 mm - Length 45 cm"/>
    <x v="452"/>
    <n v="9.7654999999999994"/>
    <s v="925 Silver"/>
    <s v="chain"/>
    <x v="0"/>
    <s v="7113.11.10.00"/>
    <s v="7113.11.00"/>
    <s v="7113.11.10.00"/>
    <s v="B08LW3T1NG Chain - Super Flat Curb - Gauge 120 - Width 4.7 mm - Length 45 cm"/>
    <n v="11.085003376978653"/>
    <n v="13.386878104081932"/>
    <n v="17.135973524390092"/>
    <n v="17.539873554134633"/>
    <x v="2"/>
    <x v="0"/>
    <x v="2"/>
    <n v="0"/>
    <x v="2"/>
    <n v="0"/>
    <n v="0"/>
    <n v="0"/>
  </r>
  <r>
    <s v="S925-WHI-NEC-CHA-024-047-500"/>
    <s v="B08LW3RVMX"/>
    <x v="1"/>
    <s v="Chain - Super Flat Curb - Gauge 120 - Width 4.7 mm - Length 50 cm"/>
    <x v="453"/>
    <n v="10.6526"/>
    <s v="925 Silver"/>
    <s v="chain"/>
    <x v="0"/>
    <s v="7113.11.10.00"/>
    <s v="7113.11.00"/>
    <s v="7113.11.10.00"/>
    <s v="B08LW3RVMX Chain - Super Flat Curb - Gauge 120 - Width 4.7 mm - Length 50 cm"/>
    <n v="12.091967331278768"/>
    <n v="14.602944825307786"/>
    <n v="18.692608833743066"/>
    <n v="19.133199224082187"/>
    <x v="2"/>
    <x v="0"/>
    <x v="2"/>
    <n v="0"/>
    <x v="2"/>
    <n v="0"/>
    <n v="0"/>
    <n v="0"/>
  </r>
  <r>
    <s v="S925-WHI-PEN-SEA-001"/>
    <s v="B091FS72KX"/>
    <x v="2"/>
    <s v="Pendant - Sea - Anchor"/>
    <x v="454"/>
    <n v="5.1445999999999996"/>
    <s v="925 Silver"/>
    <s v="Pendant"/>
    <x v="0"/>
    <s v="7113.11.10.00"/>
    <s v="7113.11.00"/>
    <s v="7113.11.50.00"/>
    <s v="B091FS72KX Pendant - Sea - Anchor"/>
    <n v="5.8397325659929731"/>
    <n v="7.0523918994685273"/>
    <n v="9.0274670414804437"/>
    <n v="9.2402471441913914"/>
    <x v="2"/>
    <x v="4"/>
    <x v="2"/>
    <n v="0"/>
    <x v="2"/>
    <n v="0"/>
    <n v="0"/>
    <n v="0"/>
  </r>
  <r>
    <s v="S925-WHI-NEC-CHA-024-055-550"/>
    <s v="B08LW5ZY2C"/>
    <x v="1"/>
    <s v="Chain - Super Flat Curb - Gauge 150 - Width 5.5 mm - Length 55 cm"/>
    <x v="455"/>
    <n v="12.661199999999999"/>
    <s v="925 Silver"/>
    <s v=""/>
    <x v="0"/>
    <s v="7113.11.10.00"/>
    <s v="7113.11.00"/>
    <s v="7113.11.10.00"/>
    <s v="B08LW5ZY2C Chain - Super Flat Curb - Gauge 150 - Width 5.5 mm - Length 55 cm"/>
    <n v="14.371967104254992"/>
    <n v="17.356401725605668"/>
    <n v="22.217191949926562"/>
    <n v="22.740857820245704"/>
    <x v="2"/>
    <x v="13"/>
    <x v="2"/>
    <n v="0"/>
    <x v="2"/>
    <n v="0"/>
    <n v="0"/>
    <n v="0"/>
  </r>
  <r>
    <s v="S925-WHI-EAR-STUD-015"/>
    <s v="B08J8BRHCZ"/>
    <x v="2"/>
    <s v="Stud Earrings - Celtic Design"/>
    <x v="330"/>
    <n v="3.0596999999999999"/>
    <s v="925 Silver"/>
    <s v="Earrings"/>
    <x v="0"/>
    <s v="7113.11.10.00"/>
    <s v="7113.11.00"/>
    <s v="7113.11.50.00"/>
    <s v="B08J8BRHCZ Stud Earrings - Celtic Design"/>
    <n v="3.4731232228295106"/>
    <n v="4.1943403753068953"/>
    <n v="5.3689967940787842"/>
    <n v="5.4955456570155894"/>
    <x v="2"/>
    <x v="1"/>
    <x v="2"/>
    <n v="0"/>
    <x v="2"/>
    <n v="0"/>
    <n v="0"/>
    <n v="0"/>
  </r>
  <r>
    <s v="S925-WHI-NEC-CHA-024-079-550"/>
    <s v="B08LW3Y5D4"/>
    <x v="1"/>
    <s v="Chain - Super Flat Curb - Gauge 200 - Width 7.9 mm - Length 55 cm"/>
    <x v="456"/>
    <n v="29.734300000000001"/>
    <s v="925 Silver"/>
    <s v="chain"/>
    <x v="0"/>
    <s v="7113.11.10.00"/>
    <s v="7113.11.00"/>
    <s v="7113.11.10.00"/>
    <s v="B08LW3Y5D4 Chain - Super Flat Curb - Gauge 200 - Width 7.9 mm - Length 55 cm"/>
    <n v="33.751965174552907"/>
    <n v="40.760785378137669"/>
    <n v="52.17614843748629"/>
    <n v="53.405955887635606"/>
    <x v="2"/>
    <x v="0"/>
    <x v="2"/>
    <n v="0"/>
    <x v="2"/>
    <n v="0"/>
    <n v="0"/>
    <n v="0"/>
  </r>
  <r>
    <s v="S925-WHI-EAR-STUD-017"/>
    <s v="B08J88JQTR"/>
    <x v="2"/>
    <s v="Stud Earrings - Angel Wings"/>
    <x v="430"/>
    <n v="2.5891999999999999"/>
    <s v="925 Silver"/>
    <s v="Earrings"/>
    <x v="0"/>
    <s v="7113.11.10.00"/>
    <s v="7113.11.00"/>
    <s v="7113.11.50.00"/>
    <s v="B08J88JQTR Stud Earrings - Angel Wings"/>
    <n v="2.9390497919894663"/>
    <n v="3.5493630420448454"/>
    <n v="4.5433887306692773"/>
    <n v="4.6504777642071984"/>
    <x v="2"/>
    <x v="1"/>
    <x v="2"/>
    <n v="0"/>
    <x v="2"/>
    <n v="0"/>
    <n v="0"/>
    <n v="0"/>
  </r>
  <r>
    <s v="S925-WHI-EAR-DROP-007"/>
    <s v="B08PC64BC9"/>
    <x v="2"/>
    <s v="Drop Earrings - Flower"/>
    <x v="457"/>
    <n v="6.7670000000000003"/>
    <s v="925 Silver"/>
    <s v="Earrings"/>
    <x v="0"/>
    <s v="7113.11.10.00"/>
    <s v="7113.11.00"/>
    <s v="7113.11.50.00"/>
    <s v="B08PC64BC9 Drop Earrings - Flower"/>
    <n v="7.6813494293189857"/>
    <n v="9.2764327612843616"/>
    <n v="11.874367194669784"/>
    <n v="12.15424958689561"/>
    <x v="9"/>
    <x v="1"/>
    <x v="178"/>
    <n v="33.835000000000001"/>
    <x v="185"/>
    <n v="46.382163806421808"/>
    <n v="59.371835973348915"/>
    <n v="60.771247934478048"/>
  </r>
  <r>
    <s v="S925-WHI-NEC-CHA-025-055-500"/>
    <s v="B08LW5BJ84"/>
    <x v="1"/>
    <s v="Chain - Super Flat Figaro - Gauge 150 - Width 5.5 mm - Length 50 cm"/>
    <x v="458"/>
    <n v="11.464399999999999"/>
    <s v="925 Silver"/>
    <s v=""/>
    <x v="0"/>
    <s v="7113.11.10.00"/>
    <s v="7113.11.00"/>
    <s v="7113.11.10.00"/>
    <s v="B08LW5BJ84 Chain - Super Flat Figaro - Gauge 150 - Width 5.5 mm - Length 50 cm"/>
    <n v="13.013456834266968"/>
    <n v="15.715787756534422"/>
    <n v="20.117111758027523"/>
    <n v="20.591278109059555"/>
    <x v="2"/>
    <x v="13"/>
    <x v="2"/>
    <n v="0"/>
    <x v="2"/>
    <n v="0"/>
    <n v="0"/>
    <n v="0"/>
  </r>
  <r>
    <s v="S925-WHI-EAR-DROP-012"/>
    <s v="B08PC621HT"/>
    <x v="2"/>
    <s v="Drop Earrings - 3 Interlocking Circles"/>
    <x v="459"/>
    <n v="5.1040000000000001"/>
    <s v="925 Silver"/>
    <s v="Earrings"/>
    <x v="0"/>
    <s v="7113.11.10.00"/>
    <s v="7113.11.00"/>
    <s v="7113.11.50.00"/>
    <s v="B08PC621HT Drop Earrings - 3 Interlocking Circles"/>
    <n v="5.7936467396548101"/>
    <n v="6.9967360445685509"/>
    <n v="8.9562243478047243"/>
    <n v="9.1673252388821034"/>
    <x v="9"/>
    <x v="1"/>
    <x v="179"/>
    <n v="25.52"/>
    <x v="186"/>
    <n v="34.98368022284275"/>
    <n v="44.781121739023618"/>
    <n v="45.836626194410513"/>
  </r>
  <r>
    <s v="S925-WHI-NEC-CHA-025-077-500"/>
    <s v="B08LW4JTPS"/>
    <x v="1"/>
    <s v="Chain - Super Flat Figaro - Gauge 180 - Width 7.7 mm - Length 50 cm"/>
    <x v="460"/>
    <n v="20.5701"/>
    <s v="925 Silver"/>
    <s v="chain"/>
    <x v="0"/>
    <s v="7113.11.10.00"/>
    <s v="7113.11.00"/>
    <s v="7113.11.10.00"/>
    <s v="B08LW4JTPS Chain - Super Flat Figaro - Gauge 180 - Width 7.7 mm - Length 50 cm"/>
    <n v="23.349508777306703"/>
    <n v="28.198189676798499"/>
    <n v="36.095303772879696"/>
    <n v="36.946080896616131"/>
    <x v="9"/>
    <x v="0"/>
    <x v="180"/>
    <n v="102.8505"/>
    <x v="187"/>
    <n v="140.9909483839925"/>
    <n v="180.47651886439846"/>
    <n v="184.73040448308066"/>
  </r>
  <r>
    <s v="S925-WHI-NEC-CHA-025-077-550"/>
    <s v="B08LW4B9ZY"/>
    <x v="1"/>
    <s v="Chain - Super Flat Figaro - Gauge 180 - Width 7.7 mm - Length 55 cm"/>
    <x v="461"/>
    <n v="22.2272"/>
    <s v="925 Silver"/>
    <s v="chain"/>
    <x v="0"/>
    <s v="7113.11.10.00"/>
    <s v="7113.11.00"/>
    <s v="7113.11.10.00"/>
    <s v="B08LW4B9ZY Chain - Super Flat Figaro - Gauge 180 - Width 7.7 mm - Length 55 cm"/>
    <n v="25.230514265606466"/>
    <n v="30.469798473713574"/>
    <n v="39.003093617461829"/>
    <n v="39.922408218981246"/>
    <x v="9"/>
    <x v="0"/>
    <x v="181"/>
    <n v="111.136"/>
    <x v="188"/>
    <n v="152.34899236856788"/>
    <n v="195.01546808730913"/>
    <n v="199.61204109490623"/>
  </r>
  <r>
    <s v="S925-BAW-BRA-CHA-012-190"/>
    <s v="B08LGR98JB"/>
    <x v="1"/>
    <s v="Bracelet - Herringbone 2W1B - Gauge 040 each - Width 4.5 mm - Length 19 cm"/>
    <x v="462"/>
    <n v="4.6688999999999998"/>
    <s v="925 Silver"/>
    <s v=""/>
    <x v="0"/>
    <s v="7113.11.10.00"/>
    <s v="7113.11.00"/>
    <s v="7113.11.10.00"/>
    <s v="B08LGR98JB Bracelet - Herringbone 2W1B - Gauge 040 each - Width 4.5 mm - Length 19 cm"/>
    <n v="5.2997565170012431"/>
    <n v="6.4002862301109138"/>
    <n v="8.1927342980927662"/>
    <n v="8.385839499964078"/>
    <x v="2"/>
    <x v="13"/>
    <x v="2"/>
    <n v="0"/>
    <x v="2"/>
    <n v="0"/>
    <n v="0"/>
    <n v="0"/>
  </r>
  <r>
    <s v="S925-BAW-NEC-CHA-016-045-450"/>
    <s v="B08LGY5RXS"/>
    <x v="1"/>
    <s v="Chain - Herringbone 2W1B - Gauge 040 each - Width 4.5 mm - Length 45 cm"/>
    <x v="463"/>
    <n v="10.6378"/>
    <s v="925 Silver"/>
    <s v=""/>
    <x v="0"/>
    <s v="7113.11.10.00"/>
    <s v="7113.11.00"/>
    <s v="7113.11.10.00"/>
    <s v="B08LGY5RXS Chain - Herringbone 2W1B - Gauge 040 each - Width 4.5 mm - Length 45 cm"/>
    <n v="12.07516757192397"/>
    <n v="14.582656484112722"/>
    <n v="18.666638590728272"/>
    <n v="19.106616854659098"/>
    <x v="2"/>
    <x v="13"/>
    <x v="2"/>
    <n v="0"/>
    <x v="2"/>
    <n v="0"/>
    <n v="0"/>
    <n v="0"/>
  </r>
  <r>
    <s v="G9K-YEL-BRA-CHA-002-190"/>
    <s v="B09311RFPZ"/>
    <x v="1"/>
    <s v="Oval Link Chain Bracelet - Width 4.4 mm - Length 19 cm"/>
    <x v="464"/>
    <n v="28.203399999999998"/>
    <s v="9K Gold"/>
    <s v=""/>
    <x v="1"/>
    <s v=" 7113.19.10.00"/>
    <s v=" 7113.19.00"/>
    <s v="7113.19.29.00"/>
    <s v="B09311RFPZ Oval Link Chain Bracelet - Width 4.4 mm - Length 19 cm"/>
    <n v="32.014211688319058"/>
    <n v="38.662175814926456"/>
    <n v="49.48980755698976"/>
    <n v="50.656297147783597"/>
    <x v="2"/>
    <x v="14"/>
    <x v="2"/>
    <n v="0"/>
    <x v="2"/>
    <n v="0"/>
    <n v="0"/>
    <n v="0"/>
  </r>
  <r>
    <s v="G9K-YEL-BRA-CHA-003-190"/>
    <s v="B09314BZFT"/>
    <x v="1"/>
    <s v="Round Link Chain Bracelet - Width 5.0 mm - Length 19 cm"/>
    <x v="331"/>
    <n v="25.090599999999998"/>
    <s v="9K Gold"/>
    <s v=""/>
    <x v="1"/>
    <s v=" 7113.19.10.00"/>
    <s v=" 7113.19.00"/>
    <s v="7113.19.29.00"/>
    <s v="B09314BZFT Round Link Chain Bracelet - Width 5.0 mm - Length 19 cm"/>
    <n v="28.480813653209832"/>
    <n v="34.395044161412947"/>
    <n v="44.027633742364657"/>
    <n v="45.065378259932459"/>
    <x v="2"/>
    <x v="14"/>
    <x v="2"/>
    <n v="0"/>
    <x v="2"/>
    <n v="0"/>
    <n v="0"/>
    <n v="0"/>
  </r>
  <r>
    <s v="S925-WHI-EAR-DROP-015"/>
    <s v="B08PC4VQPZ"/>
    <x v="2"/>
    <s v="Drop Earrings - Gothic Heart"/>
    <x v="250"/>
    <n v="3.7248999999999999"/>
    <s v="925 Silver"/>
    <s v="Earrings"/>
    <x v="0"/>
    <s v="7113.11.10.00"/>
    <s v="7113.11.00"/>
    <s v="7113.11.50.00"/>
    <s v="B08PC4VQPZ Drop Earrings - Gothic Heart"/>
    <n v="4.2282042986951804"/>
    <n v="5.1062190619932197"/>
    <n v="6.536253932824807"/>
    <n v="6.690315396220992"/>
    <x v="2"/>
    <x v="1"/>
    <x v="2"/>
    <n v="0"/>
    <x v="2"/>
    <n v="0"/>
    <n v="0"/>
    <n v="0"/>
  </r>
  <r>
    <s v="S925-WHI-BRA-CHA-044-190"/>
    <s v="B08L5FQJ3K"/>
    <x v="1"/>
    <s v="Square Byzantine Chain Bracelet - Width 4.7 mm - Length 19 cm"/>
    <x v="465"/>
    <n v="12.9748"/>
    <s v="925 Silver"/>
    <s v=""/>
    <x v="0"/>
    <s v="7113.11.10.00"/>
    <s v="7113.11.00"/>
    <s v="7113.11.10.00"/>
    <s v="B08L5FQJ3K Square Byzantine Chain Bracelet - Width 4.7 mm - Length 19 cm"/>
    <n v="14.727940383556668"/>
    <n v="17.786295225522732"/>
    <n v="22.767480342456256"/>
    <n v="23.304116675048494"/>
    <x v="2"/>
    <x v="13"/>
    <x v="2"/>
    <n v="0"/>
    <x v="2"/>
    <n v="0"/>
    <n v="0"/>
    <n v="0"/>
  </r>
  <r>
    <s v="S925-WHI-BRA-CHA-044-200"/>
    <s v="B08L5FZDV4"/>
    <x v="1"/>
    <s v="Square Byzantine Chain Bracelet - Width 4.7 mm - Length 20 cm"/>
    <x v="466"/>
    <n v="13.9756"/>
    <s v="925 Silver"/>
    <s v=""/>
    <x v="0"/>
    <s v="7113.11.10.00"/>
    <s v="7113.11.00"/>
    <s v="7113.11.10.00"/>
    <s v="B08L5FZDV4 Square Byzantine Chain Bracelet - Width 4.7 mm - Length 20 cm"/>
    <n v="15.863967353981145"/>
    <n v="19.158225757145814"/>
    <n v="24.523630289024236"/>
    <n v="25.101659601982899"/>
    <x v="2"/>
    <x v="13"/>
    <x v="2"/>
    <n v="0"/>
    <x v="2"/>
    <n v="0"/>
    <n v="0"/>
    <n v="0"/>
  </r>
  <r>
    <s v="S925-WHI-COM-NAE-001"/>
    <s v="B08CXL4LD1"/>
    <x v="1"/>
    <s v="SET: Rolo Chain with Heart Shape Pendant + Stud Heart Earrings with White Swarovski Crystals"/>
    <x v="246"/>
    <n v="7.9039000000000001"/>
    <s v="925 Silver"/>
    <s v=""/>
    <x v="0"/>
    <s v="7113.11.10.00"/>
    <s v="7113.11.00"/>
    <s v="7113.11.10.00"/>
    <s v="B08CXL4LD1 SET: Rolo Chain with Heart Shape Pendant + Stud Heart Earrings with White Swarovski Crystals"/>
    <n v="8.9718660786750899"/>
    <n v="10.834933781870173"/>
    <n v="13.86933809220489"/>
    <n v="14.196242546159924"/>
    <x v="2"/>
    <x v="13"/>
    <x v="2"/>
    <n v="0"/>
    <x v="2"/>
    <n v="0"/>
    <n v="0"/>
    <n v="0"/>
  </r>
  <r>
    <s v="S925-ROS-COM-NAE-001"/>
    <s v="B08CXPL628"/>
    <x v="1"/>
    <s v="SET: Rose Gold Plated Rolo Chain with Heart Shape Pendant + Stud Heart Earrings with Multicolour Swarovski Crystals"/>
    <x v="127"/>
    <n v="8.0625"/>
    <s v="925 Silver"/>
    <s v=""/>
    <x v="0"/>
    <s v="7113.11.10.00"/>
    <s v="7113.11.00"/>
    <s v="7113.11.10.00"/>
    <s v="B08CXPL628 SET: Rose Gold Plated Rolo Chain with Heart Shape Pendant + Stud Heart Earrings with Multicolour Swarovski Crystals"/>
    <n v="9.1518959323015103"/>
    <n v="11.052348032784863"/>
    <n v="14.147640831539105"/>
    <n v="14.481104964437099"/>
    <x v="2"/>
    <x v="13"/>
    <x v="2"/>
    <n v="0"/>
    <x v="2"/>
    <n v="0"/>
    <n v="0"/>
    <n v="0"/>
  </r>
  <r>
    <s v="S925-YEL-NEC-CHA-026-047-450"/>
    <s v="B08L5FPM3T"/>
    <x v="1"/>
    <s v="Round Byzantine Chain Necklace- Width 4.7 mm-Length 45cm"/>
    <x v="467"/>
    <n v="20.0776"/>
    <s v="925 Silver"/>
    <s v=""/>
    <x v="0"/>
    <s v="7113.11.10.00"/>
    <s v="7113.11.00"/>
    <s v="7113.11.10.00"/>
    <s v="B08L5FPM3T Round Byzantine Chain Necklace- Width 4.7 mm-Length 45cm"/>
    <n v="22.790462731209526"/>
    <n v="27.523053998516758"/>
    <n v="35.231091294177929"/>
    <n v="36.061498670881527"/>
    <x v="2"/>
    <x v="13"/>
    <x v="2"/>
    <n v="0"/>
    <x v="2"/>
    <n v="0"/>
    <n v="0"/>
    <n v="0"/>
  </r>
  <r>
    <s v="S925-YEL-NEC-CHA-026-047-650"/>
    <s v="B08L5GM72G"/>
    <x v="1"/>
    <s v="Round Byzantine Chain Necklace- Width 4.7 mm-Length 65cm"/>
    <x v="468"/>
    <n v="26.741199999999999"/>
    <s v="925 Silver"/>
    <s v=""/>
    <x v="0"/>
    <s v="7113.11.10.00"/>
    <s v="7113.11.00"/>
    <s v="7113.11.10.00"/>
    <s v="B08L5GM72G Round Byzantine Chain Necklace- Width 4.7 mm-Length 65cm"/>
    <n v="30.354440868819985"/>
    <n v="36.657742538208566"/>
    <n v="46.924017736974079"/>
    <n v="48.03003089302392"/>
    <x v="2"/>
    <x v="13"/>
    <x v="2"/>
    <n v="0"/>
    <x v="2"/>
    <n v="0"/>
    <n v="0"/>
    <n v="0"/>
  </r>
  <r>
    <s v="S925-YEL-BRA-CHA-020-200"/>
    <s v="B091V3CDL4"/>
    <x v="1"/>
    <s v="Gold Plated Heart Chain"/>
    <x v="469"/>
    <n v="1.9769000000000001"/>
    <s v="925 Silver"/>
    <s v="Bracelet"/>
    <x v="0"/>
    <s v="7113.11.10.00"/>
    <s v="7113.11.00"/>
    <s v="7113.11.10.00"/>
    <s v="B091V3CDL4 Gold Plated Heart Chain"/>
    <n v="2.2440165046284473"/>
    <n v="2.7100014667922352"/>
    <n v="3.4689576632396473"/>
    <n v="3.5507220346289246"/>
    <x v="12"/>
    <x v="3"/>
    <x v="182"/>
    <n v="79.076000000000008"/>
    <x v="189"/>
    <n v="108.40005867168941"/>
    <n v="138.75830652958589"/>
    <n v="142.02888138515698"/>
  </r>
  <r>
    <s v="S925-ROS-BRA-CHA-042-180"/>
    <s v="B08FTMH29W"/>
    <x v="0"/>
    <s v="Singapore chain bracelet - rose plated"/>
    <x v="402"/>
    <n v="2.3353000000000002"/>
    <s v="925 Silver"/>
    <s v="Bracelet"/>
    <x v="0"/>
    <s v="7113.11.10.00"/>
    <s v="7113.11.00"/>
    <s v="7113.11.10.00"/>
    <s v="B08FTMH29W Singapore chain bracelet - rose plated"/>
    <n v="2.6508431095446472"/>
    <n v="3.2013083238403093"/>
    <n v="4.0978586832735839"/>
    <n v="4.194446440117825"/>
    <x v="9"/>
    <x v="3"/>
    <x v="183"/>
    <n v="11.676500000000001"/>
    <x v="190"/>
    <n v="16.006541619201546"/>
    <n v="20.489293416367921"/>
    <n v="20.972232200589126"/>
  </r>
  <r>
    <s v="S925-WHI-EAR-HOOP-011-025"/>
    <s v="B08P3HWL2P"/>
    <x v="1"/>
    <s v="Flat Mayan Hoops with post notch"/>
    <x v="326"/>
    <n v="4.6818999999999997"/>
    <s v="925 Silver"/>
    <s v="Earrings"/>
    <x v="0"/>
    <s v="7113.11.10.00"/>
    <s v="7113.11.00"/>
    <s v="7113.11.50.00"/>
    <s v="B08P3HWL2P Flat Mayan Hoops with post notch"/>
    <n v="5.3145130623804571"/>
    <n v="6.4181070703498229"/>
    <n v="8.2155459980381931"/>
    <n v="8.4091888785113866"/>
    <x v="9"/>
    <x v="1"/>
    <x v="184"/>
    <n v="23.409499999999998"/>
    <x v="191"/>
    <n v="32.090535351749111"/>
    <n v="41.07772999019096"/>
    <n v="42.045944392556933"/>
  </r>
  <r>
    <s v="S925-WHI-EAR-HOOP-013-020"/>
    <s v="B08P3J83NZ"/>
    <x v="1"/>
    <s v="Spiral Open Hoops with butterfly back"/>
    <x v="470"/>
    <n v="4.6033999999999997"/>
    <s v="925 Silver"/>
    <s v="Earrings"/>
    <x v="0"/>
    <s v="7113.11.10.00"/>
    <s v="7113.11.00"/>
    <s v="7113.11.50.00"/>
    <s v="B08P3J83NZ Spiral Open Hoops with butterfly back"/>
    <n v="5.225406230667506"/>
    <n v="6.3104966119841031"/>
    <n v="8.0777984252908048"/>
    <n v="8.2681945542064792"/>
    <x v="9"/>
    <x v="1"/>
    <x v="185"/>
    <n v="23.016999999999999"/>
    <x v="192"/>
    <n v="31.552483059920519"/>
    <n v="40.388992126454021"/>
    <n v="41.340972771032398"/>
  </r>
  <r>
    <s v="S925-WHI-PEN-CROS-004"/>
    <s v="B08MFNMZNP"/>
    <x v="2"/>
    <s v="Engraved Medium Celtic Cross Pendant"/>
    <x v="226"/>
    <n v="8.0244999999999997"/>
    <s v="925 Silver"/>
    <s v="Pendant"/>
    <x v="0"/>
    <s v="7113.11.10.00"/>
    <s v="7113.11.00"/>
    <s v="7113.11.50.00"/>
    <s v="B08MFNMZNP Engraved Medium Celtic Cross Pendant"/>
    <n v="9.10876141503919"/>
    <n v="11.000256345932668"/>
    <n v="14.08096047785247"/>
    <n v="14.412852934837272"/>
    <x v="2"/>
    <x v="4"/>
    <x v="2"/>
    <n v="0"/>
    <x v="2"/>
    <n v="0"/>
    <n v="0"/>
    <n v="0"/>
  </r>
  <r>
    <s v="S925-YEL-EAR-STUD-PERL-001-6to7"/>
    <s v="B08ZSVZLK9"/>
    <x v="2"/>
    <s v="Yellow Gold Plated Pearl Studs (white) - 6 to 7 mm"/>
    <x v="110"/>
    <n v="2.4918"/>
    <s v="925 Silver"/>
    <s v=""/>
    <x v="0"/>
    <s v="7113.11.10.00"/>
    <s v="7113.11.00"/>
    <s v="7113.11.10.00"/>
    <s v="B08ZSVZLK9 Yellow Gold Plated Pearl Studs (white) - 6 to 7 mm"/>
    <n v="2.8284892135328872"/>
    <n v="3.4158438236394817"/>
    <n v="4.3724764556935369"/>
    <n v="4.475537035706588"/>
    <x v="2"/>
    <x v="13"/>
    <x v="2"/>
    <n v="0"/>
    <x v="2"/>
    <n v="0"/>
    <n v="0"/>
    <n v="0"/>
  </r>
  <r>
    <s v="S925-WHI-PEN-CROS-005"/>
    <s v="B08MFQCP6F"/>
    <x v="2"/>
    <s v="Engraved Small Celtic Cross Pendant"/>
    <x v="471"/>
    <n v="3.3597999999999999"/>
    <s v="925 Silver"/>
    <s v="Pendant"/>
    <x v="0"/>
    <s v="7113.11.10.00"/>
    <s v="7113.11.00"/>
    <s v="7113.11.50.00"/>
    <s v="B08MFQCP6F Engraved Small Celtic Cross Pendant"/>
    <n v="3.8137723973143087"/>
    <n v="4.6057276180527849"/>
    <n v="5.8955961135882271"/>
    <n v="6.0345570802500177"/>
    <x v="2"/>
    <x v="4"/>
    <x v="2"/>
    <n v="0"/>
    <x v="2"/>
    <n v="0"/>
    <n v="0"/>
    <n v="0"/>
  </r>
  <r>
    <s v="S925-YEL-EAR-STUD-PERL-001-9to10"/>
    <s v="B08ZSTH9H3"/>
    <x v="2"/>
    <s v="Yellow Gold Plated Pearl Studs (white) - 9 to 10 mm"/>
    <x v="345"/>
    <n v="3.3031000000000001"/>
    <s v="925 Silver"/>
    <s v=""/>
    <x v="0"/>
    <s v="7113.11.10.00"/>
    <s v="7113.11.00"/>
    <s v="7113.11.10.00"/>
    <s v="B08ZSTH9H3 Yellow Gold Plated Pearl Studs (white) - 9 to 10 mm"/>
    <n v="3.7494111570834256"/>
    <n v="4.5280013379338522"/>
    <n v="5.7961020069031717"/>
    <n v="5.9327178676629071"/>
    <x v="2"/>
    <x v="13"/>
    <x v="2"/>
    <n v="0"/>
    <x v="2"/>
    <n v="0"/>
    <n v="0"/>
    <n v="0"/>
  </r>
  <r>
    <s v="S925-WHI-EAR-STUD-PERL-002-6to7"/>
    <s v="B08ZSWSCXX"/>
    <x v="2"/>
    <s v="Silver Pearl Studs (black) - 6 to 7 mm"/>
    <x v="247"/>
    <n v="1.9806999999999999"/>
    <s v="925 Silver"/>
    <s v=""/>
    <x v="0"/>
    <s v="7113.11.10.00"/>
    <s v="7113.11.00"/>
    <s v="7113.11.10.00"/>
    <s v="B08ZSWSCXX Silver Pearl Studs (black) - 6 to 7 mm"/>
    <n v="2.248329956354679"/>
    <n v="2.7152106354774546"/>
    <n v="3.4756256986083103"/>
    <n v="3.5575472375889068"/>
    <x v="2"/>
    <x v="13"/>
    <x v="2"/>
    <n v="0"/>
    <x v="2"/>
    <n v="0"/>
    <n v="0"/>
    <n v="0"/>
  </r>
  <r>
    <s v="S925-WHI-EAR-STUD-PERL-002-7to8"/>
    <s v="B08ZST4DBL"/>
    <x v="2"/>
    <s v="Silver Pearl Studs (black) - 7 to 8 mm"/>
    <x v="254"/>
    <n v="2.0619000000000001"/>
    <s v="925 Silver"/>
    <s v="Earrings"/>
    <x v="0"/>
    <s v="7113.11.10.00"/>
    <s v="7113.11.00"/>
    <s v="7113.11.50.00"/>
    <s v="B08ZST4DBL Silver Pearl Studs (black) - 7 to 8 mm"/>
    <n v="2.3405016090310058"/>
    <n v="2.8265223452774091"/>
    <n v="3.6181110859597494"/>
    <n v="3.7033910482074859"/>
    <x v="2"/>
    <x v="1"/>
    <x v="2"/>
    <n v="0"/>
    <x v="2"/>
    <n v="0"/>
    <n v="0"/>
    <n v="0"/>
  </r>
  <r>
    <s v="S925-ROS-EAR-STUD-022"/>
    <s v="B08J88JZ2Q"/>
    <x v="2"/>
    <s v="Rose Gold Plated Small Thick Heart Studs"/>
    <x v="334"/>
    <n v="3.9683000000000002"/>
    <s v="925 Silver"/>
    <s v="Earrings"/>
    <x v="0"/>
    <s v="7113.11.10.00"/>
    <s v="7113.11.00"/>
    <s v="7113.11.50.00"/>
    <s v="B08J88JZ2Q Rose Gold Plated Small Thick Heart Studs"/>
    <n v="4.5044922329490955"/>
    <n v="5.4398800246201766"/>
    <n v="6.9633591456491946"/>
    <n v="7.1274876068683097"/>
    <x v="9"/>
    <x v="1"/>
    <x v="186"/>
    <n v="19.8415"/>
    <x v="83"/>
    <n v="27.19940012310088"/>
    <n v="34.816795728245971"/>
    <n v="35.63743803434155"/>
  </r>
  <r>
    <s v="S925-WHI-EAR-SWA-005-202"/>
    <s v="B08CXS1VKY"/>
    <x v="1"/>
    <s v="Square Stud Earrings with Swarovski. AQUAMARINE"/>
    <x v="451"/>
    <n v="2.7622"/>
    <s v="925 Silver"/>
    <s v="Earrings"/>
    <x v="0"/>
    <s v="7113.11.10.00"/>
    <s v="7113.11.00"/>
    <s v="7113.11.50.00"/>
    <s v="B08CXS1VKY Square Stud Earrings with Swarovski. AQUAMARINE"/>
    <n v="3.1354253574205559"/>
    <n v="3.7865173006087876"/>
    <n v="4.8469598145584269"/>
    <n v="4.9612041094906241"/>
    <x v="2"/>
    <x v="1"/>
    <x v="2"/>
    <n v="0"/>
    <x v="2"/>
    <n v="0"/>
    <n v="0"/>
    <n v="0"/>
  </r>
  <r>
    <s v="S925-YEL-EAR-HOOP-020-012"/>
    <s v="B0943XS5HL"/>
    <x v="2"/>
    <s v="GP Huggie Hoops - Pave - 12 mm"/>
    <x v="472"/>
    <n v="3.7248999999999999"/>
    <s v="925 Silver"/>
    <s v=""/>
    <x v="0"/>
    <s v="7113.11.10.00"/>
    <s v="7113.11.00"/>
    <s v="7113.11.10.00"/>
    <s v="B0943XS5HL GP Huggie Hoops - Pave - 12 mm"/>
    <n v="4.2282042986951804"/>
    <n v="5.1062190619932197"/>
    <n v="6.536253932824807"/>
    <n v="6.690315396220992"/>
    <x v="2"/>
    <x v="13"/>
    <x v="2"/>
    <n v="0"/>
    <x v="2"/>
    <n v="0"/>
    <n v="0"/>
    <n v="0"/>
  </r>
  <r>
    <s v="S925-WHI-NEC-CHA-025-055-550"/>
    <s v="B08LW67L49"/>
    <x v="1"/>
    <s v="Chain - Super Flat Figaro - Gauge 150 - Width 5.5 mm - Length 55 cm"/>
    <x v="473"/>
    <n v="12.5022"/>
    <s v="925 Silver"/>
    <s v="chain"/>
    <x v="0"/>
    <s v="7113.11.10.00"/>
    <s v="7113.11.00"/>
    <s v="7113.11.10.00"/>
    <s v="B08LW67L49 Chain - Super Flat Figaro - Gauge 150 - Width 5.5 mm - Length 55 cm"/>
    <n v="14.191483203078443"/>
    <n v="17.138439141145167"/>
    <n v="21.938187312132488"/>
    <n v="22.455276959551689"/>
    <x v="9"/>
    <x v="0"/>
    <x v="187"/>
    <n v="62.511000000000003"/>
    <x v="193"/>
    <n v="85.692195705725837"/>
    <n v="109.69093656066245"/>
    <n v="112.27638479775845"/>
  </r>
  <r>
    <s v="S925-WHI-EAR-STUD-PERL-002-9to10"/>
    <s v="B08ZSTGZ6N"/>
    <x v="2"/>
    <s v="Silver Pearl Studs (black) - 9 to 10 mm"/>
    <x v="87"/>
    <n v="2.7919999999999998"/>
    <s v="925 Silver"/>
    <s v="Earrings"/>
    <x v="0"/>
    <s v="7113.11.10.00"/>
    <s v="7113.11.00"/>
    <s v="7113.11.50.00"/>
    <s v="B08ZSTGZ6N Silver Pearl Studs (black) - 9 to 10 mm"/>
    <n v="3.1692518999052175"/>
    <n v="3.8273681497718246"/>
    <n v="4.8992512498179446"/>
    <n v="5.0147280695452254"/>
    <x v="2"/>
    <x v="1"/>
    <x v="2"/>
    <n v="0"/>
    <x v="2"/>
    <n v="0"/>
    <n v="0"/>
    <n v="0"/>
  </r>
  <r>
    <s v="S925-WHI-EAR-HOOP-020-020"/>
    <s v="B0943YDNJC"/>
    <x v="2"/>
    <s v="Silver Huggie Hoops - Pave - 20 mm"/>
    <x v="474"/>
    <n v="5.9964000000000004"/>
    <s v="925 Silver"/>
    <s v="Earrings"/>
    <x v="0"/>
    <s v="7113.11.10.00"/>
    <s v="7113.11.00"/>
    <s v="7113.11.50.00"/>
    <s v="B0943YDNJC Silver Huggie Hoops - Pave - 20 mm"/>
    <n v="6.8066268239941436"/>
    <n v="8.220068185276423"/>
    <n v="10.522159811750834"/>
    <n v="10.770170270852791"/>
    <x v="2"/>
    <x v="1"/>
    <x v="2"/>
    <n v="0"/>
    <x v="2"/>
    <n v="0"/>
    <n v="0"/>
    <n v="0"/>
  </r>
  <r>
    <s v="G9K-YEL-NEC-CHA-001-011-450"/>
    <s v="B08XY33TMG"/>
    <x v="1"/>
    <s v="1.1mm Curb Chain 9K - 45cm"/>
    <x v="418"/>
    <n v="20.457000000000001"/>
    <s v="9K Gold"/>
    <s v=""/>
    <x v="1"/>
    <s v=" 7113.19.10.00"/>
    <s v=" 7113.19.00"/>
    <s v="7113.19.29.00"/>
    <s v="B08XY33TMG 1.1mm Curb Chain 9K - 45cm"/>
    <n v="23.221126832507537"/>
    <n v="28.043148366719993"/>
    <n v="35.896841983354477"/>
    <n v="36.74294130325454"/>
    <x v="2"/>
    <x v="14"/>
    <x v="2"/>
    <n v="0"/>
    <x v="2"/>
    <n v="0"/>
    <n v="0"/>
    <n v="0"/>
  </r>
  <r>
    <s v="G9K-YEL-NEC-CHA-001-011-500"/>
    <s v="B08XY3GMG8"/>
    <x v="1"/>
    <s v="1.1mm Curb Chain 9K - 50cm"/>
    <x v="475"/>
    <n v="21.258900000000001"/>
    <s v="9K Gold"/>
    <s v=""/>
    <x v="1"/>
    <s v=" 7113.19.10.00"/>
    <s v=" 7113.19.00"/>
    <s v="7113.19.29.00"/>
    <s v="B08XY3GMG8 1.1mm Curb Chain 9K - 50cm"/>
    <n v="24.131378658630027"/>
    <n v="29.142420042687768"/>
    <n v="37.303972920757417"/>
    <n v="38.183238738415113"/>
    <x v="2"/>
    <x v="14"/>
    <x v="2"/>
    <n v="0"/>
    <x v="2"/>
    <n v="0"/>
    <n v="0"/>
    <n v="0"/>
  </r>
  <r>
    <s v="G9K-YEL-NEC-CHA-001-011-600"/>
    <s v="B08XY4GZTZ"/>
    <x v="1"/>
    <s v="1.1mm Curb Chain 9K - 60 cm"/>
    <x v="343"/>
    <n v="25.468900000000001"/>
    <s v="9K Gold"/>
    <s v=""/>
    <x v="1"/>
    <s v=" 7113.19.10.00"/>
    <s v=" 7113.19.00"/>
    <s v="7113.19.29.00"/>
    <s v="B08XY4GZTZ 1.1mm Curb Chain 9K - 60 cm"/>
    <n v="28.910229123744987"/>
    <n v="34.913630612365196"/>
    <n v="44.691454210776598"/>
    <n v="45.744845175659172"/>
    <x v="2"/>
    <x v="14"/>
    <x v="2"/>
    <n v="0"/>
    <x v="2"/>
    <n v="0"/>
    <n v="0"/>
    <n v="0"/>
  </r>
  <r>
    <s v="S925-WHI-RIN-CEL-006-I"/>
    <s v="B08R41TJSQ"/>
    <x v="2"/>
    <s v="Celtic Braid Ring - I"/>
    <x v="146"/>
    <n v="3.8466"/>
    <s v="925 Silver"/>
    <s v=""/>
    <x v="0"/>
    <s v="7113.11.10.00"/>
    <s v="7113.11.00"/>
    <s v="7113.11.10.00"/>
    <s v="B08R41TJSQ Celtic Braid Ring - I"/>
    <n v="4.366348265822138"/>
    <n v="5.2730495433066977"/>
    <n v="6.7498065392370012"/>
    <n v="6.9089015015446504"/>
    <x v="2"/>
    <x v="13"/>
    <x v="2"/>
    <n v="0"/>
    <x v="2"/>
    <n v="0"/>
    <n v="0"/>
    <n v="0"/>
  </r>
  <r>
    <s v="G9K-YEL-NEC-CHA-001-011-360"/>
    <s v="B08XY2DJGF"/>
    <x v="1"/>
    <s v="1.1mm Curb Chain 9K - 36cm"/>
    <x v="476"/>
    <n v="16.7499"/>
    <s v="9K Gold"/>
    <s v="chain"/>
    <x v="1"/>
    <s v=" 7113.19.10.00"/>
    <s v=" 7113.19.00"/>
    <s v="7113.11.50.00"/>
    <s v="B08XY2DJGF 1.1mm Curb Chain 9K - 36cm"/>
    <n v="19.013127649793123"/>
    <n v="22.961330147515433"/>
    <n v="29.391822531993409"/>
    <n v="30.084596594582944"/>
    <x v="2"/>
    <x v="10"/>
    <x v="2"/>
    <n v="0"/>
    <x v="2"/>
    <n v="0"/>
    <n v="0"/>
    <n v="0"/>
  </r>
  <r>
    <s v="S925-WHI-RIN-CEL-006-K"/>
    <s v="B08R3ZW9Y5"/>
    <x v="2"/>
    <s v="Celtic Braid Ring - K"/>
    <x v="2"/>
    <n v="3.8466"/>
    <s v="925 Silver"/>
    <s v="Ring"/>
    <x v="0"/>
    <s v="7113.11.10.00"/>
    <s v="7113.11.00"/>
    <s v="7113.11.50.00"/>
    <s v="B08R3ZW9Y5 Celtic Braid Ring - K"/>
    <n v="4.366348265822138"/>
    <n v="5.2730495433066977"/>
    <n v="6.7498065392370012"/>
    <n v="6.9089015015446504"/>
    <x v="9"/>
    <x v="8"/>
    <x v="188"/>
    <n v="19.233000000000001"/>
    <x v="147"/>
    <n v="26.365247716533492"/>
    <n v="33.749032696185004"/>
    <n v="34.544507507723253"/>
  </r>
  <r>
    <s v="S925-WHI-RIN-CEL-006-R"/>
    <s v="B08R42GF7S"/>
    <x v="2"/>
    <s v="Celtic Braid Ring - R"/>
    <x v="423"/>
    <n v="3.8466"/>
    <s v="925 Silver"/>
    <s v="Ring"/>
    <x v="0"/>
    <s v="7113.11.10.00"/>
    <s v="7113.11.00"/>
    <s v="7113.11.50.00"/>
    <s v="B08R42GF7S Celtic Braid Ring - R"/>
    <n v="4.366348265822138"/>
    <n v="5.2730495433066977"/>
    <n v="6.7498065392370012"/>
    <n v="6.9089015015446504"/>
    <x v="9"/>
    <x v="8"/>
    <x v="170"/>
    <n v="19.233000000000001"/>
    <x v="147"/>
    <n v="26.365247716533492"/>
    <n v="33.749032696185004"/>
    <n v="34.544507507723253"/>
  </r>
  <r>
    <s v="S925-WHI-RIN-CEL-006-S"/>
    <s v="B08R424WXD"/>
    <x v="2"/>
    <s v="Celtic Braid Ring - S"/>
    <x v="257"/>
    <n v="3.8466"/>
    <s v="925 Silver"/>
    <s v="Ring"/>
    <x v="0"/>
    <s v="7113.11.10.00"/>
    <s v="7113.11.00"/>
    <s v="7113.11.50.00"/>
    <s v="B08R424WXD Celtic Braid Ring - S"/>
    <n v="4.366348265822138"/>
    <n v="5.2730495433066977"/>
    <n v="6.7498065392370012"/>
    <n v="6.9089015015446504"/>
    <x v="2"/>
    <x v="8"/>
    <x v="2"/>
    <n v="0"/>
    <x v="2"/>
    <n v="0"/>
    <n v="0"/>
    <n v="0"/>
  </r>
  <r>
    <s v="S925-WHI-RIN-GEM-001-I"/>
    <s v="B08R3W4FT3"/>
    <x v="2"/>
    <s v="Ring with CZ - I"/>
    <x v="477"/>
    <n v="3.9683000000000002"/>
    <s v="925 Silver"/>
    <s v=""/>
    <x v="0"/>
    <s v="7113.11.10.00"/>
    <s v="7113.11.00"/>
    <s v="7113.11.10.00"/>
    <s v="B08R3W4FT3 Ring with CZ - I"/>
    <n v="4.5044922329490955"/>
    <n v="5.4398800246201766"/>
    <n v="6.9633591456491946"/>
    <n v="7.1274876068683097"/>
    <x v="2"/>
    <x v="13"/>
    <x v="2"/>
    <n v="0"/>
    <x v="2"/>
    <n v="0"/>
    <n v="0"/>
    <n v="0"/>
  </r>
  <r>
    <s v="S925-WHI-RIN-GEM-001-K"/>
    <s v="B08R3ZN3TN"/>
    <x v="2"/>
    <s v="Ring with CZ - K"/>
    <x v="333"/>
    <n v="3.9683000000000002"/>
    <s v="925 Silver"/>
    <s v=""/>
    <x v="0"/>
    <s v="7113.11.10.00"/>
    <s v="7113.11.00"/>
    <s v="7113.11.10.00"/>
    <s v="B08R3ZN3TN Ring with CZ - K"/>
    <n v="4.5044922329490955"/>
    <n v="5.4398800246201766"/>
    <n v="6.9633591456491946"/>
    <n v="7.1274876068683097"/>
    <x v="2"/>
    <x v="13"/>
    <x v="2"/>
    <n v="0"/>
    <x v="2"/>
    <n v="0"/>
    <n v="0"/>
    <n v="0"/>
  </r>
  <r>
    <s v="S925-WHI-RIN-GEM-001-P"/>
    <s v="B08R41LNFD"/>
    <x v="2"/>
    <s v="Ring with CZ - P"/>
    <x v="478"/>
    <n v="3.9683000000000002"/>
    <s v="925 Silver"/>
    <s v=""/>
    <x v="0"/>
    <s v="7113.11.10.00"/>
    <s v="7113.11.00"/>
    <s v="7113.11.10.00"/>
    <s v="B08R41LNFD Ring with CZ - P"/>
    <n v="4.5044922329490955"/>
    <n v="5.4398800246201766"/>
    <n v="6.9633591456491946"/>
    <n v="7.1274876068683097"/>
    <x v="2"/>
    <x v="13"/>
    <x v="2"/>
    <n v="0"/>
    <x v="2"/>
    <n v="0"/>
    <n v="0"/>
    <n v="0"/>
  </r>
  <r>
    <s v="S925-WHI-RIN-CEL-006-P"/>
    <s v="B08R41X17V"/>
    <x v="2"/>
    <s v="Celtic Braid Ring - P"/>
    <x v="330"/>
    <n v="3.8466"/>
    <s v="925 Silver"/>
    <s v="Ring"/>
    <x v="0"/>
    <s v="7113.11.10.00"/>
    <s v="7113.11.00"/>
    <s v="7113.11.50.00"/>
    <s v="B08R41X17V Celtic Braid Ring - P"/>
    <n v="4.366348265822138"/>
    <n v="5.2730495433066977"/>
    <n v="6.7498065392370012"/>
    <n v="6.9089015015446504"/>
    <x v="9"/>
    <x v="8"/>
    <x v="144"/>
    <n v="19.233000000000001"/>
    <x v="147"/>
    <n v="26.365247716533492"/>
    <n v="33.749032696185004"/>
    <n v="34.544507507723253"/>
  </r>
  <r>
    <s v="S925-WHI-RIN-GEM-001-S"/>
    <s v="B08R42FXDB"/>
    <x v="2"/>
    <s v="Ring with CZ - S"/>
    <x v="479"/>
    <n v="3.9683000000000002"/>
    <s v="925 Silver"/>
    <s v="Ring"/>
    <x v="0"/>
    <s v="7113.11.10.00"/>
    <s v="7113.11.00"/>
    <s v="7113.11.50.00"/>
    <s v="B08R42FXDB Ring with CZ - S"/>
    <n v="4.5044922329490955"/>
    <n v="5.4398800246201766"/>
    <n v="6.9633591456491946"/>
    <n v="7.1274876068683097"/>
    <x v="2"/>
    <x v="8"/>
    <x v="2"/>
    <n v="0"/>
    <x v="2"/>
    <n v="0"/>
    <n v="0"/>
    <n v="0"/>
  </r>
  <r>
    <s v="S925-WHI-PEN-LOC-010"/>
    <s v="B08Z49YBVT"/>
    <x v="2"/>
    <s v="Silver Locket - Wings Design"/>
    <x v="336"/>
    <n v="7.2538"/>
    <s v="925 Silver"/>
    <s v=""/>
    <x v="0"/>
    <s v="7113.11.10.00"/>
    <s v="7113.11.00"/>
    <s v="7113.11.10.00"/>
    <s v="B08Z49YBVT Silver Locket - Wings Design"/>
    <n v="8.2339252978268149"/>
    <n v="9.9437546865382753"/>
    <n v="12.728577620318555"/>
    <n v="13.028594008190243"/>
    <x v="2"/>
    <x v="13"/>
    <x v="2"/>
    <n v="0"/>
    <x v="2"/>
    <n v="0"/>
    <n v="0"/>
    <n v="0"/>
  </r>
  <r>
    <s v="S925-WHI-EAR-STUD-SWA-006-202"/>
    <s v="B099S943ZW"/>
    <x v="2"/>
    <s v="Round Stud Earrings with Swarovski 4 pin crown - Aquamarine"/>
    <x v="480"/>
    <n v="1.5750999999999999"/>
    <s v="925 Silver"/>
    <s v="Earrings"/>
    <x v="0"/>
    <s v="7113.11.10.00"/>
    <s v="7113.11.00"/>
    <s v="7113.11.50.00"/>
    <s v="B099S943ZW Round Stud Earrings with Swarovski 4 pin crown - Aquamarine"/>
    <n v="1.7879257405231763"/>
    <n v="2.1592004200234962"/>
    <n v="2.7639006603109757"/>
    <n v="2.8290466269128527"/>
    <x v="9"/>
    <x v="1"/>
    <x v="189"/>
    <n v="7.8754999999999997"/>
    <x v="194"/>
    <n v="10.79600210011748"/>
    <n v="13.81950330155488"/>
    <n v="14.145233134564263"/>
  </r>
  <r>
    <s v="S925-WHI-EAR-STUD-SWA-006-001-BBL"/>
    <s v="B099SCVL6Q"/>
    <x v="2"/>
    <s v="Round Stud Earrings with Swarovski 4 pin crown - Bermuda Blue"/>
    <x v="436"/>
    <n v="1.5750999999999999"/>
    <s v="925 Silver"/>
    <s v="Earrings"/>
    <x v="0"/>
    <s v="7113.11.10.00"/>
    <s v="7113.11.00"/>
    <s v="7113.11.50.00"/>
    <s v="B099SCVL6Q Round Stud Earrings with Swarovski 4 pin crown - Bermuda Blue"/>
    <n v="1.7879257405231763"/>
    <n v="2.1592004200234962"/>
    <n v="2.7639006603109757"/>
    <n v="2.8290466269128527"/>
    <x v="2"/>
    <x v="1"/>
    <x v="2"/>
    <n v="0"/>
    <x v="2"/>
    <n v="0"/>
    <n v="0"/>
    <n v="0"/>
  </r>
  <r>
    <s v="S925-WHI-EAR-STUD-SWA-006-296"/>
    <s v="B099S9PSXN"/>
    <x v="2"/>
    <s v="Round Stud Earrings with Swarovski 4 pin crown - Majestic Blue"/>
    <x v="436"/>
    <n v="1.5750999999999999"/>
    <s v="925 Silver"/>
    <s v="Earrings"/>
    <x v="0"/>
    <s v="7113.11.10.00"/>
    <s v="7113.11.00"/>
    <s v="7113.11.50.00"/>
    <s v="B099S9PSXN Round Stud Earrings with Swarovski 4 pin crown - Majestic Blue"/>
    <n v="1.7879257405231763"/>
    <n v="2.1592004200234962"/>
    <n v="2.7639006603109757"/>
    <n v="2.8290466269128527"/>
    <x v="2"/>
    <x v="1"/>
    <x v="2"/>
    <n v="0"/>
    <x v="2"/>
    <n v="0"/>
    <n v="0"/>
    <n v="0"/>
  </r>
  <r>
    <s v="S925-WHI-EAR-STUD-SWA-006-266"/>
    <s v="B099S9KP1Z"/>
    <x v="2"/>
    <s v="Round Stud Earrings with Swarovski 4 pin crown - Dark Denim Blue"/>
    <x v="436"/>
    <n v="1.5750999999999999"/>
    <s v="925 Silver"/>
    <s v="Earrings"/>
    <x v="0"/>
    <s v="7113.11.10.00"/>
    <s v="7113.11.00"/>
    <s v="7113.11.50.00"/>
    <s v="B099S9KP1Z Round Stud Earrings with Swarovski 4 pin crown - Dark Denim Blue"/>
    <n v="1.7879257405231763"/>
    <n v="2.1592004200234962"/>
    <n v="2.7639006603109757"/>
    <n v="2.8290466269128527"/>
    <x v="2"/>
    <x v="1"/>
    <x v="2"/>
    <n v="0"/>
    <x v="2"/>
    <n v="0"/>
    <n v="0"/>
    <n v="0"/>
  </r>
  <r>
    <s v="S925-WHI-EAR-CUFF-008"/>
    <s v="B09C6GRXJ6"/>
    <x v="2"/>
    <s v="Silver Bali ear cuff: Rope and Knot pattern"/>
    <x v="481"/>
    <n v="0.94640000000000002"/>
    <s v="925 Silver"/>
    <s v=""/>
    <x v="0"/>
    <s v="7113.11.10.00"/>
    <s v="7113.11.00"/>
    <s v="7113.11.10.00"/>
    <s v="B09C6GRXJ6 Silver Bali ear cuff: Rope and Knot pattern"/>
    <n v="1.0742765036068402"/>
    <n v="1.2973571693925698"/>
    <n v="1.6606917560271144"/>
    <n v="1.6998347582441267"/>
    <x v="2"/>
    <x v="13"/>
    <x v="2"/>
    <n v="0"/>
    <x v="2"/>
    <n v="0"/>
    <n v="0"/>
    <n v="0"/>
  </r>
  <r>
    <s v="S925-WHI-EAR-CUFF-009"/>
    <s v="B09C6JV3K6"/>
    <x v="2"/>
    <s v="Silver Bali ear cuff: Wire pattern"/>
    <x v="305"/>
    <n v="0.84499999999999997"/>
    <s v="925 Silver"/>
    <s v=""/>
    <x v="0"/>
    <s v="7113.11.10.00"/>
    <s v="7113.11.00"/>
    <s v="7113.11.10.00"/>
    <s v="B09C6JV3K6 Silver Bali ear cuff: Wire pattern"/>
    <n v="0.95917544964896451"/>
    <n v="1.1583546155290803"/>
    <n v="1.4827604964527805"/>
    <n v="1.5177096055751129"/>
    <x v="2"/>
    <x v="13"/>
    <x v="2"/>
    <n v="0"/>
    <x v="2"/>
    <n v="0"/>
    <n v="0"/>
    <n v="0"/>
  </r>
  <r>
    <s v="S925-WHI-EAR-CUFF-010"/>
    <s v="B09C6J57RJ"/>
    <x v="2"/>
    <s v="Silver Bali ear cuff: Rope and Ball pattern"/>
    <x v="181"/>
    <n v="0.90590000000000004"/>
    <s v="925 Silver"/>
    <s v=""/>
    <x v="0"/>
    <s v="7113.11.10.00"/>
    <s v="7113.11.00"/>
    <s v="7113.11.10.00"/>
    <s v="B09C6J57RJ Silver Bali ear cuff: Rope and Ball pattern"/>
    <n v="1.0283041891562095"/>
    <n v="1.2418383978790459"/>
    <n v="1.5896245369663597"/>
    <n v="1.6270924635390474"/>
    <x v="2"/>
    <x v="13"/>
    <x v="2"/>
    <n v="0"/>
    <x v="2"/>
    <n v="0"/>
    <n v="0"/>
    <n v="0"/>
  </r>
  <r>
    <s v="S925-WHI-EAR-CUFF-011"/>
    <s v="B09C6HTNQB"/>
    <x v="2"/>
    <s v="Silver Bali ear cuff: 3 ropes pattern"/>
    <x v="392"/>
    <n v="0.90590000000000004"/>
    <s v="925 Silver"/>
    <s v=""/>
    <x v="0"/>
    <s v="7113.11.10.00"/>
    <s v="7113.11.00"/>
    <s v="7113.11.10.00"/>
    <s v="B09C6HTNQB Silver Bali ear cuff: 3 ropes pattern"/>
    <n v="1.0283041891562095"/>
    <n v="1.2418383978790459"/>
    <n v="1.5896245369663597"/>
    <n v="1.6270924635390474"/>
    <x v="2"/>
    <x v="13"/>
    <x v="2"/>
    <n v="0"/>
    <x v="2"/>
    <n v="0"/>
    <n v="0"/>
    <n v="0"/>
  </r>
  <r>
    <s v="S925-WHI-EAR-CUFF-012"/>
    <s v="B09C6JQF6R"/>
    <x v="2"/>
    <s v="Silver Bali ear cuff: 3 wires patern"/>
    <x v="303"/>
    <n v="0.90590000000000004"/>
    <s v="925 Silver"/>
    <s v=""/>
    <x v="0"/>
    <s v="7113.11.10.00"/>
    <s v="7113.11.00"/>
    <s v="7113.11.10.00"/>
    <s v="B09C6JQF6R Silver Bali ear cuff: 3 wires patern"/>
    <n v="1.0283041891562095"/>
    <n v="1.2418383978790459"/>
    <n v="1.5896245369663597"/>
    <n v="1.6270924635390474"/>
    <x v="2"/>
    <x v="13"/>
    <x v="2"/>
    <n v="0"/>
    <x v="2"/>
    <n v="0"/>
    <n v="0"/>
    <n v="0"/>
  </r>
  <r>
    <s v="S925-WHI-EAR-CUFF-013"/>
    <s v="B09C6HFJPM"/>
    <x v="2"/>
    <s v="Silver Bali ear cuff: 3 ropes and wire pattern"/>
    <x v="481"/>
    <n v="0.94640000000000002"/>
    <s v="925 Silver"/>
    <s v=""/>
    <x v="0"/>
    <s v="7113.11.10.00"/>
    <s v="7113.11.00"/>
    <s v="7113.11.10.00"/>
    <s v="B09C6HFJPM Silver Bali ear cuff: 3 ropes and wire pattern"/>
    <n v="1.0742765036068402"/>
    <n v="1.2973571693925698"/>
    <n v="1.6606917560271144"/>
    <n v="1.6998347582441267"/>
    <x v="2"/>
    <x v="13"/>
    <x v="2"/>
    <n v="0"/>
    <x v="2"/>
    <n v="0"/>
    <n v="0"/>
    <n v="0"/>
  </r>
  <r>
    <s v="S925-WHI-RIN-HAM-001-K"/>
    <m/>
    <x v="2"/>
    <s v="Silver Hammered ring: Size K"/>
    <x v="219"/>
    <n v="6.2876000000000003"/>
    <s v="925 Silver"/>
    <s v=""/>
    <x v="0"/>
    <s v="7113.11.10.00"/>
    <s v="7113.11.00"/>
    <s v="7113.11.10.00"/>
    <s v=" Silver Hammered ring: Size K"/>
    <n v="7.1371734404885556"/>
    <n v="8.6192550066279825"/>
    <n v="11.033141890528407"/>
    <n v="11.293196350312522"/>
    <x v="2"/>
    <x v="13"/>
    <x v="2"/>
    <n v="0"/>
    <x v="2"/>
    <n v="0"/>
    <n v="0"/>
    <n v="0"/>
  </r>
  <r>
    <s v="S925-WHI-RIN-HAM-001-L"/>
    <m/>
    <x v="2"/>
    <s v="Silver Hammered ring: Size L"/>
    <x v="482"/>
    <n v="6.2876000000000003"/>
    <s v="925 Silver"/>
    <s v=""/>
    <x v="0"/>
    <s v="7113.11.10.00"/>
    <s v="7113.11.00"/>
    <s v="7113.11.10.00"/>
    <s v=" Silver Hammered ring: Size L"/>
    <n v="7.1371734404885556"/>
    <n v="8.6192550066279825"/>
    <n v="11.033141890528407"/>
    <n v="11.293196350312522"/>
    <x v="2"/>
    <x v="13"/>
    <x v="2"/>
    <n v="0"/>
    <x v="2"/>
    <n v="0"/>
    <n v="0"/>
    <n v="0"/>
  </r>
  <r>
    <s v="S925-WHI-RIN-HAM-001-M"/>
    <m/>
    <x v="2"/>
    <s v="Silver Hammered ring: Size M"/>
    <x v="66"/>
    <n v="6.2876000000000003"/>
    <s v="925 Silver"/>
    <s v=""/>
    <x v="0"/>
    <s v="7113.11.10.00"/>
    <s v="7113.11.00"/>
    <s v="7113.11.10.00"/>
    <s v=" Silver Hammered ring: Size M"/>
    <n v="7.1371734404885556"/>
    <n v="8.6192550066279825"/>
    <n v="11.033141890528407"/>
    <n v="11.293196350312522"/>
    <x v="2"/>
    <x v="13"/>
    <x v="2"/>
    <n v="0"/>
    <x v="2"/>
    <n v="0"/>
    <n v="0"/>
    <n v="0"/>
  </r>
  <r>
    <s v="S925-WHI-RIN-HAM-001-N"/>
    <m/>
    <x v="2"/>
    <s v="Silver Hammered ring: Size N"/>
    <x v="483"/>
    <n v="6.2876000000000003"/>
    <s v="925 Silver"/>
    <s v=""/>
    <x v="0"/>
    <s v="7113.11.10.00"/>
    <s v="7113.11.00"/>
    <s v="7113.11.10.00"/>
    <s v=" Silver Hammered ring: Size N"/>
    <n v="7.1371734404885556"/>
    <n v="8.6192550066279825"/>
    <n v="11.033141890528407"/>
    <n v="11.293196350312522"/>
    <x v="2"/>
    <x v="13"/>
    <x v="2"/>
    <n v="0"/>
    <x v="2"/>
    <n v="0"/>
    <n v="0"/>
    <n v="0"/>
  </r>
  <r>
    <s v="S925-WHI-RIN-HAM-001-O"/>
    <m/>
    <x v="2"/>
    <s v="Silver Hammered ring: Size O"/>
    <x v="484"/>
    <n v="6.2876000000000003"/>
    <s v="925 Silver"/>
    <s v=""/>
    <x v="0"/>
    <s v="7113.11.10.00"/>
    <s v="7113.11.00"/>
    <s v="7113.11.10.00"/>
    <s v=" Silver Hammered ring: Size O"/>
    <n v="7.1371734404885556"/>
    <n v="8.6192550066279825"/>
    <n v="11.033141890528407"/>
    <n v="11.293196350312522"/>
    <x v="2"/>
    <x v="13"/>
    <x v="2"/>
    <n v="0"/>
    <x v="2"/>
    <n v="0"/>
    <n v="0"/>
    <n v="0"/>
  </r>
  <r>
    <s v="S925-WHI-RIN-HAM-001-P"/>
    <m/>
    <x v="2"/>
    <s v="Silver Hammered ring: Size P"/>
    <x v="485"/>
    <n v="6.2876000000000003"/>
    <s v="925 Silver"/>
    <s v=""/>
    <x v="0"/>
    <s v="7113.11.10.00"/>
    <s v="7113.11.00"/>
    <s v="7113.11.10.00"/>
    <s v=" Silver Hammered ring: Size P"/>
    <n v="7.1371734404885556"/>
    <n v="8.6192550066279825"/>
    <n v="11.033141890528407"/>
    <n v="11.293196350312522"/>
    <x v="2"/>
    <x v="13"/>
    <x v="2"/>
    <n v="0"/>
    <x v="2"/>
    <n v="0"/>
    <n v="0"/>
    <n v="0"/>
  </r>
  <r>
    <s v="S925-WHI-RIN-HAM-001-Q"/>
    <m/>
    <x v="2"/>
    <s v="Silver Hammered ring: Size Q"/>
    <x v="438"/>
    <n v="6.2876000000000003"/>
    <s v="925 Silver"/>
    <s v=""/>
    <x v="0"/>
    <s v="7113.11.10.00"/>
    <s v="7113.11.00"/>
    <s v="7113.11.10.00"/>
    <s v=" Silver Hammered ring: Size Q"/>
    <n v="7.1371734404885556"/>
    <n v="8.6192550066279825"/>
    <n v="11.033141890528407"/>
    <n v="11.293196350312522"/>
    <x v="2"/>
    <x v="13"/>
    <x v="2"/>
    <n v="0"/>
    <x v="2"/>
    <n v="0"/>
    <n v="0"/>
    <n v="0"/>
  </r>
  <r>
    <s v="S925-WHI-RIN-HAM-001-R"/>
    <m/>
    <x v="2"/>
    <s v="Silver Hammered ring: Size R"/>
    <x v="486"/>
    <n v="6.2876000000000003"/>
    <s v="925 Silver"/>
    <s v=""/>
    <x v="0"/>
    <s v="7113.11.10.00"/>
    <s v="7113.11.00"/>
    <s v="7113.11.10.00"/>
    <s v=" Silver Hammered ring: Size R"/>
    <n v="7.1371734404885556"/>
    <n v="8.6192550066279825"/>
    <n v="11.033141890528407"/>
    <n v="11.293196350312522"/>
    <x v="2"/>
    <x v="13"/>
    <x v="2"/>
    <n v="0"/>
    <x v="2"/>
    <n v="0"/>
    <n v="0"/>
    <n v="0"/>
  </r>
  <r>
    <s v="S925-WHI-RIN-HAM-001-S"/>
    <m/>
    <x v="2"/>
    <s v="Silver Hammered ring: Size S"/>
    <x v="487"/>
    <n v="6.2876000000000003"/>
    <s v="925 Silver"/>
    <s v=""/>
    <x v="0"/>
    <s v="7113.11.10.00"/>
    <s v="7113.11.00"/>
    <s v="7113.11.10.00"/>
    <s v=" Silver Hammered ring: Size S"/>
    <n v="7.1371734404885556"/>
    <n v="8.6192550066279825"/>
    <n v="11.033141890528407"/>
    <n v="11.293196350312522"/>
    <x v="2"/>
    <x v="13"/>
    <x v="2"/>
    <n v="0"/>
    <x v="2"/>
    <n v="0"/>
    <n v="0"/>
    <n v="0"/>
  </r>
  <r>
    <s v="S925-WHI-EAR-STUD-ZOD-001-ARI"/>
    <s v="B09J5GPZC5"/>
    <x v="2"/>
    <s v="Silver Zodiac Stud: Aries"/>
    <x v="476"/>
    <n v="2.9281999999999999"/>
    <s v="925 Silver"/>
    <s v="Earrings"/>
    <x v="0"/>
    <s v="7113.11.10.00"/>
    <s v="7113.11.00"/>
    <s v="7113.11.50.00"/>
    <s v="B09J5GPZC5 Silver Zodiac Stud: Aries"/>
    <n v="3.323855090724376"/>
    <n v="4.0140757221210093"/>
    <n v="5.1382476754000379"/>
    <n v="5.2593577124793445"/>
    <x v="2"/>
    <x v="1"/>
    <x v="2"/>
    <n v="0"/>
    <x v="2"/>
    <n v="0"/>
    <n v="0"/>
    <n v="0"/>
  </r>
  <r>
    <s v="S925-WHI-EAR-STUD-ZOD-001-TAU"/>
    <s v="B09J5G9MV3"/>
    <x v="2"/>
    <s v="Silver Zodiac Stud: Taurus"/>
    <x v="488"/>
    <n v="2.9281999999999999"/>
    <s v="925 Silver"/>
    <s v="Earrings"/>
    <x v="0"/>
    <s v="7113.11.10.00"/>
    <s v="7113.11.00"/>
    <s v="7113.11.50.00"/>
    <s v="B09J5G9MV3 Silver Zodiac Stud: Taurus"/>
    <n v="3.323855090724376"/>
    <n v="4.0140757221210093"/>
    <n v="5.1382476754000379"/>
    <n v="5.2593577124793445"/>
    <x v="2"/>
    <x v="1"/>
    <x v="2"/>
    <n v="0"/>
    <x v="2"/>
    <n v="0"/>
    <n v="0"/>
    <n v="0"/>
  </r>
  <r>
    <s v="S925-WHI-EAR-STUD-ZOD-001-GEM"/>
    <s v="B09J5T2J41"/>
    <x v="2"/>
    <s v="Silver Zodiac Stud: Gemini"/>
    <x v="283"/>
    <n v="2.9281999999999999"/>
    <s v="925 Silver"/>
    <s v="Earrings"/>
    <x v="0"/>
    <s v="7113.11.10.00"/>
    <s v="7113.11.00"/>
    <s v="7113.11.50.00"/>
    <s v="B09J5T2J41 Silver Zodiac Stud: Gemini"/>
    <n v="3.323855090724376"/>
    <n v="4.0140757221210093"/>
    <n v="5.1382476754000379"/>
    <n v="5.2593577124793445"/>
    <x v="2"/>
    <x v="1"/>
    <x v="2"/>
    <n v="0"/>
    <x v="2"/>
    <n v="0"/>
    <n v="0"/>
    <n v="0"/>
  </r>
  <r>
    <s v="S925-WHI-EAR-STUD-ZOD-001-CAN"/>
    <s v="B09J5GG193"/>
    <x v="2"/>
    <s v="Silver Zodiac Stud: Cancer"/>
    <x v="255"/>
    <n v="2.9281999999999999"/>
    <s v="925 Silver"/>
    <s v=""/>
    <x v="0"/>
    <s v="7113.11.10.00"/>
    <s v="7113.11.00"/>
    <s v="7113.11.10.00"/>
    <s v="B09J5GG193 Silver Zodiac Stud: Cancer"/>
    <n v="3.323855090724376"/>
    <n v="4.0140757221210093"/>
    <n v="5.1382476754000379"/>
    <n v="5.2593577124793445"/>
    <x v="2"/>
    <x v="13"/>
    <x v="2"/>
    <n v="0"/>
    <x v="2"/>
    <n v="0"/>
    <n v="0"/>
    <n v="0"/>
  </r>
  <r>
    <s v="S925-WHI-EAR-STUD-ZOD-001-LEO"/>
    <s v="B09J5J8H6Y"/>
    <x v="2"/>
    <s v="Silver Zodiac Stud: Leo"/>
    <x v="255"/>
    <n v="2.9281999999999999"/>
    <s v="925 Silver"/>
    <s v="Earrings"/>
    <x v="0"/>
    <s v="7113.11.10.00"/>
    <s v="7113.11.00"/>
    <s v="7113.11.50.00"/>
    <s v="B09J5J8H6Y Silver Zodiac Stud: Leo"/>
    <n v="3.323855090724376"/>
    <n v="4.0140757221210093"/>
    <n v="5.1382476754000379"/>
    <n v="5.2593577124793445"/>
    <x v="2"/>
    <x v="1"/>
    <x v="2"/>
    <n v="0"/>
    <x v="2"/>
    <n v="0"/>
    <n v="0"/>
    <n v="0"/>
  </r>
  <r>
    <s v="S925-WHI-EAR-STUD-ZOD-001-VIR"/>
    <s v="B09J5GT8LJ"/>
    <x v="2"/>
    <s v="Silver Zodiac Stud: Virgo"/>
    <x v="93"/>
    <n v="2.9281999999999999"/>
    <s v="925 Silver"/>
    <s v="Earrings"/>
    <x v="0"/>
    <s v="7113.11.10.00"/>
    <s v="7113.11.00"/>
    <s v="7113.11.50.00"/>
    <s v="B09J5GT8LJ Silver Zodiac Stud: Virgo"/>
    <n v="3.323855090724376"/>
    <n v="4.0140757221210093"/>
    <n v="5.1382476754000379"/>
    <n v="5.2593577124793445"/>
    <x v="2"/>
    <x v="1"/>
    <x v="2"/>
    <n v="0"/>
    <x v="2"/>
    <n v="0"/>
    <n v="0"/>
    <n v="0"/>
  </r>
  <r>
    <s v="S925-WHI-EAR-STUD-ZOD-001-LIB"/>
    <s v="B09J5JHY8Y"/>
    <x v="2"/>
    <s v="Silver Zodiac Stud: Libra"/>
    <x v="451"/>
    <n v="2.9281999999999999"/>
    <s v="925 Silver"/>
    <s v=""/>
    <x v="0"/>
    <s v="7113.11.10.00"/>
    <s v="7113.11.00"/>
    <s v="7113.11.10.00"/>
    <s v="B09J5JHY8Y Silver Zodiac Stud: Libra"/>
    <n v="3.323855090724376"/>
    <n v="4.0140757221210093"/>
    <n v="5.1382476754000379"/>
    <n v="5.2593577124793445"/>
    <x v="2"/>
    <x v="13"/>
    <x v="2"/>
    <n v="0"/>
    <x v="2"/>
    <n v="0"/>
    <n v="0"/>
    <n v="0"/>
  </r>
  <r>
    <s v="G9K-WHI-BRA-CHA-001-190"/>
    <s v="B085QKYDGJ"/>
    <x v="1"/>
    <s v="Chain Bracelet - Heart - 9K Gold White"/>
    <x v="318"/>
    <n v="45.610199999999999"/>
    <s v="9K Gold"/>
    <s v="Bracelet"/>
    <x v="1"/>
    <s v=" 7113.19.10.00"/>
    <s v=" 7113.19.00"/>
    <s v="7113.19.10.00"/>
    <s v="B085QKYDGJ Chain Bracelet - Heart - 9K Gold White"/>
    <n v="51.772998927312663"/>
    <n v="62.524006728052605"/>
    <n v="80.034322834687117"/>
    <n v="81.920755801422516"/>
    <x v="2"/>
    <x v="12"/>
    <x v="2"/>
    <n v="0"/>
    <x v="2"/>
    <n v="0"/>
    <n v="0"/>
    <n v="0"/>
  </r>
  <r>
    <s v="S925-WHI-EAR-STUD-ZOD-001-SAG"/>
    <s v="B09J5GX7TF"/>
    <x v="2"/>
    <s v="Silver Zodiac Stud: Sagittarius"/>
    <x v="93"/>
    <n v="2.9281999999999999"/>
    <s v="925 Silver"/>
    <s v="Earrings"/>
    <x v="0"/>
    <s v="7113.11.10.00"/>
    <s v="7113.11.00"/>
    <s v="7113.11.50.00"/>
    <s v="B09J5GX7TF Silver Zodiac Stud: Sagittarius"/>
    <n v="3.323855090724376"/>
    <n v="4.0140757221210093"/>
    <n v="5.1382476754000379"/>
    <n v="5.2593577124793445"/>
    <x v="2"/>
    <x v="1"/>
    <x v="2"/>
    <n v="0"/>
    <x v="2"/>
    <n v="0"/>
    <n v="0"/>
    <n v="0"/>
  </r>
  <r>
    <s v="S925-WHI-EAR-STUD-ZOD-001-CAP"/>
    <s v="B09J5GWWBG"/>
    <x v="2"/>
    <s v="Silver Zodiac Stud: Capricorn"/>
    <x v="248"/>
    <n v="2.9281999999999999"/>
    <s v="925 Silver"/>
    <s v="Earrings"/>
    <x v="0"/>
    <s v="7113.11.10.00"/>
    <s v="7113.11.00"/>
    <s v="7113.11.50.00"/>
    <s v="B09J5GWWBG Silver Zodiac Stud: Capricorn"/>
    <n v="3.323855090724376"/>
    <n v="4.0140757221210093"/>
    <n v="5.1382476754000379"/>
    <n v="5.2593577124793445"/>
    <x v="2"/>
    <x v="1"/>
    <x v="2"/>
    <n v="0"/>
    <x v="2"/>
    <n v="0"/>
    <n v="0"/>
    <n v="0"/>
  </r>
  <r>
    <s v="S925-WHI-EAR-STUD-ZOD-001-AQU"/>
    <s v="B09J5H66LH"/>
    <x v="2"/>
    <s v="Silver Zodiac Stud: Aquarius"/>
    <x v="430"/>
    <n v="2.9281999999999999"/>
    <s v="925 Silver"/>
    <s v="Earrings"/>
    <x v="0"/>
    <s v="7113.11.10.00"/>
    <s v="7113.11.00"/>
    <s v="7113.11.50.00"/>
    <s v="B09J5H66LH Silver Zodiac Stud: Aquarius"/>
    <n v="3.323855090724376"/>
    <n v="4.0140757221210093"/>
    <n v="5.1382476754000379"/>
    <n v="5.2593577124793445"/>
    <x v="2"/>
    <x v="1"/>
    <x v="2"/>
    <n v="0"/>
    <x v="2"/>
    <n v="0"/>
    <n v="0"/>
    <n v="0"/>
  </r>
  <r>
    <s v="S925-WHI-EAR-STUD-ZOD-001-PIS"/>
    <s v="B09J5J23HH"/>
    <x v="2"/>
    <s v="Silver Zodiac Stud: Pisces"/>
    <x v="450"/>
    <n v="2.9281999999999999"/>
    <s v="925 Silver"/>
    <s v="Earrings"/>
    <x v="0"/>
    <s v="7113.11.10.00"/>
    <s v="7113.11.00"/>
    <s v="7113.11.50.00"/>
    <s v="B09J5J23HH Silver Zodiac Stud: Pisces"/>
    <n v="3.323855090724376"/>
    <n v="4.0140757221210093"/>
    <n v="5.1382476754000379"/>
    <n v="5.2593577124793445"/>
    <x v="2"/>
    <x v="1"/>
    <x v="2"/>
    <n v="0"/>
    <x v="2"/>
    <n v="0"/>
    <n v="0"/>
    <n v="0"/>
  </r>
  <r>
    <s v="G9K-YEL-NEC-CHA-001-008-360"/>
    <m/>
    <x v="1"/>
    <m/>
    <x v="489"/>
    <n v="13.2599"/>
    <s v="9K Gold"/>
    <s v=""/>
    <x v="1"/>
    <s v=" 7113.19.10.00"/>
    <s v=" 7113.19.00"/>
    <s v="7113.19.29.00"/>
    <s v=" "/>
    <n v="15.051562774911602"/>
    <n v="18.177119960300651"/>
    <n v="23.267758469720977"/>
    <n v="23.816186507651409"/>
    <x v="2"/>
    <x v="14"/>
    <x v="2"/>
    <n v="0"/>
    <x v="2"/>
    <n v="0"/>
    <n v="0"/>
    <n v="0"/>
  </r>
  <r>
    <s v="G9K-YEL-NEC-CHA-001-008-400"/>
    <m/>
    <x v="1"/>
    <m/>
    <x v="490"/>
    <n v="14.438800000000001"/>
    <s v="9K Gold"/>
    <s v=""/>
    <x v="1"/>
    <s v=" 7113.19.10.00"/>
    <s v=" 7113.19.00"/>
    <s v="7113.19.29.00"/>
    <s v=" "/>
    <n v="16.389754417031323"/>
    <n v="19.793196003196787"/>
    <n v="25.336428705541312"/>
    <n v="25.933615920683955"/>
    <x v="2"/>
    <x v="14"/>
    <x v="2"/>
    <n v="0"/>
    <x v="2"/>
    <n v="0"/>
    <n v="0"/>
    <n v="0"/>
  </r>
  <r>
    <s v="G9K-YEL-NEC-CHA-001-008-450"/>
    <m/>
    <x v="1"/>
    <m/>
    <x v="491"/>
    <n v="15.9115"/>
    <s v="9K Gold"/>
    <s v=""/>
    <x v="1"/>
    <s v=" 7113.19.10.00"/>
    <s v=" 7113.19.00"/>
    <s v="7113.19.29.00"/>
    <s v=" "/>
    <n v="18.061443984721301"/>
    <n v="21.81202303549226"/>
    <n v="27.920643360128306"/>
    <n v="28.578741288885695"/>
    <x v="2"/>
    <x v="14"/>
    <x v="2"/>
    <n v="0"/>
    <x v="2"/>
    <n v="0"/>
    <n v="0"/>
    <n v="0"/>
  </r>
  <r>
    <s v="G9K-YEL-NEC-CHA-007-009-360"/>
    <m/>
    <x v="1"/>
    <m/>
    <x v="492"/>
    <n v="14.3856"/>
    <s v="9K Gold"/>
    <s v=""/>
    <x v="1"/>
    <s v=" 7113.19.10.00"/>
    <s v=" 7113.19.00"/>
    <s v="7113.19.29.00"/>
    <s v=" "/>
    <n v="16.329366092864074"/>
    <n v="19.720267641603712"/>
    <n v="25.243076210380025"/>
    <n v="25.838063079244197"/>
    <x v="2"/>
    <x v="14"/>
    <x v="2"/>
    <n v="0"/>
    <x v="2"/>
    <n v="0"/>
    <n v="0"/>
    <n v="0"/>
  </r>
  <r>
    <s v="G9K-YEL-NEC-CHA-007-009-400"/>
    <m/>
    <x v="1"/>
    <m/>
    <x v="493"/>
    <n v="15.6944"/>
    <s v="9K Gold"/>
    <s v=""/>
    <x v="1"/>
    <s v=" 7113.19.10.00"/>
    <s v=" 7113.19.00"/>
    <s v="7113.19.29.00"/>
    <s v=" "/>
    <n v="17.815009676888412"/>
    <n v="21.514415003502481"/>
    <n v="27.539687971039669"/>
    <n v="28.188806667145627"/>
    <x v="2"/>
    <x v="14"/>
    <x v="2"/>
    <n v="0"/>
    <x v="2"/>
    <n v="0"/>
    <n v="0"/>
    <n v="0"/>
  </r>
  <r>
    <s v="G9K-YEL-NEC-CHA-007-009-450"/>
    <m/>
    <x v="1"/>
    <m/>
    <x v="494"/>
    <n v="17.328800000000001"/>
    <s v="9K Gold"/>
    <s v=""/>
    <x v="1"/>
    <s v=" 7113.19.10.00"/>
    <s v=" 7113.19.00"/>
    <s v="7113.19.29.00"/>
    <s v=" "/>
    <n v="19.670247966718314"/>
    <n v="23.754905871692692"/>
    <n v="30.407645078024789"/>
    <n v="31.124362382355056"/>
    <x v="2"/>
    <x v="14"/>
    <x v="2"/>
    <n v="0"/>
    <x v="2"/>
    <n v="0"/>
    <n v="0"/>
    <n v="0"/>
  </r>
  <r>
    <s v="G9K-YEL-NEC-CHA-008-005-360"/>
    <m/>
    <x v="1"/>
    <m/>
    <x v="495"/>
    <n v="14.451599999999999"/>
    <s v="9K Gold"/>
    <s v=""/>
    <x v="1"/>
    <s v=" 7113.19.10.00"/>
    <s v=" 7113.19.00"/>
    <s v="7113.19.29.00"/>
    <s v=" "/>
    <n v="16.404283938635473"/>
    <n v="19.810742676662787"/>
    <n v="25.358889456256808"/>
    <n v="25.956606078022844"/>
    <x v="2"/>
    <x v="14"/>
    <x v="2"/>
    <n v="0"/>
    <x v="2"/>
    <n v="0"/>
    <n v="0"/>
    <n v="0"/>
  </r>
  <r>
    <s v="G9K-YEL-NEC-CHA-008-005-400"/>
    <m/>
    <x v="1"/>
    <m/>
    <x v="496"/>
    <n v="15.7668"/>
    <s v="9K Gold"/>
    <s v=""/>
    <x v="1"/>
    <s v=" 7113.19.10.00"/>
    <s v=" 7113.19.00"/>
    <s v="7113.19.29.00"/>
    <s v=" "/>
    <n v="17.897192283461884"/>
    <n v="21.613663375294557"/>
    <n v="27.666731592274203"/>
    <n v="28.318844744593719"/>
    <x v="2"/>
    <x v="14"/>
    <x v="2"/>
    <n v="0"/>
    <x v="2"/>
    <n v="0"/>
    <n v="0"/>
    <n v="0"/>
  </r>
  <r>
    <s v="G9K-YEL-NEC-CHA-008-005-450"/>
    <m/>
    <x v="1"/>
    <m/>
    <x v="497"/>
    <n v="17.411799999999999"/>
    <s v="9K Gold"/>
    <s v=""/>
    <x v="1"/>
    <s v=" 7113.19.10.00"/>
    <s v=" 7113.19.00"/>
    <s v="7113.19.29.00"/>
    <s v=" "/>
    <n v="19.764462833370224"/>
    <n v="23.868685082448803"/>
    <n v="30.553289008445592"/>
    <n v="31.273439183849412"/>
    <x v="2"/>
    <x v="14"/>
    <x v="2"/>
    <n v="0"/>
    <x v="2"/>
    <n v="0"/>
    <n v="0"/>
    <n v="0"/>
  </r>
  <r>
    <s v="S925-WHI-BRA-SLI-006-WHI"/>
    <m/>
    <x v="2"/>
    <m/>
    <x v="428"/>
    <n v="15.249000000000001"/>
    <s v="925 Silver"/>
    <s v=""/>
    <x v="0"/>
    <s v="7113.11.10.00"/>
    <s v="7113.11.00"/>
    <s v="7113.11.10.00"/>
    <s v=" "/>
    <n v="17.309427729819006"/>
    <n v="20.903845600240171"/>
    <n v="26.758124035986334"/>
    <n v="27.388821035993963"/>
    <x v="2"/>
    <x v="13"/>
    <x v="2"/>
    <n v="0"/>
    <x v="2"/>
    <n v="0"/>
    <n v="0"/>
    <n v="0"/>
  </r>
  <r>
    <s v="S925-WHI-BRA-SLI-006-RAW"/>
    <m/>
    <x v="2"/>
    <m/>
    <x v="428"/>
    <n v="15.249000000000001"/>
    <s v="925 Silver"/>
    <s v=""/>
    <x v="0"/>
    <s v="7113.11.10.00"/>
    <s v="7113.11.00"/>
    <s v="7113.11.10.00"/>
    <s v=" "/>
    <n v="17.309427729819006"/>
    <n v="20.903845600240171"/>
    <n v="26.758124035986334"/>
    <n v="27.388821035993963"/>
    <x v="2"/>
    <x v="13"/>
    <x v="2"/>
    <n v="0"/>
    <x v="2"/>
    <n v="0"/>
    <n v="0"/>
    <n v="0"/>
  </r>
  <r>
    <s v="S925-WHI-BRA-SLI-006-EAW"/>
    <m/>
    <x v="2"/>
    <m/>
    <x v="428"/>
    <n v="15.249000000000001"/>
    <s v="925 Silver"/>
    <s v=""/>
    <x v="0"/>
    <s v="7113.11.10.00"/>
    <s v="7113.11.00"/>
    <s v="7113.11.10.00"/>
    <s v=" "/>
    <n v="17.309427729819006"/>
    <n v="20.903845600240171"/>
    <n v="26.758124035986334"/>
    <n v="27.388821035993963"/>
    <x v="2"/>
    <x v="13"/>
    <x v="2"/>
    <n v="0"/>
    <x v="2"/>
    <n v="0"/>
    <n v="0"/>
    <n v="0"/>
  </r>
  <r>
    <s v="S925-WHI-BRA-SLI-006-SAW"/>
    <m/>
    <x v="2"/>
    <m/>
    <x v="428"/>
    <n v="15.249000000000001"/>
    <s v="925 Silver"/>
    <s v=""/>
    <x v="0"/>
    <s v="7113.11.10.00"/>
    <s v="7113.11.00"/>
    <s v="7113.11.10.00"/>
    <s v=" "/>
    <n v="17.309427729819006"/>
    <n v="20.903845600240171"/>
    <n v="26.758124035986334"/>
    <n v="27.388821035993963"/>
    <x v="2"/>
    <x v="13"/>
    <x v="2"/>
    <n v="0"/>
    <x v="2"/>
    <n v="0"/>
    <n v="0"/>
    <n v="0"/>
  </r>
  <r>
    <s v="S925-WHI-RIN-GEM-002-RUB"/>
    <m/>
    <x v="2"/>
    <m/>
    <x v="428"/>
    <n v="7.4401000000000002"/>
    <s v="925 Silver"/>
    <s v=""/>
    <x v="0"/>
    <s v="7113.11.10.00"/>
    <s v="7113.11.00"/>
    <s v="7113.11.10.00"/>
    <s v=" "/>
    <n v="8.4453979442997174"/>
    <n v="10.199141035500485"/>
    <n v="13.055486827998028"/>
    <n v="13.363208563833608"/>
    <x v="2"/>
    <x v="13"/>
    <x v="2"/>
    <n v="0"/>
    <x v="2"/>
    <n v="0"/>
    <n v="0"/>
    <n v="0"/>
  </r>
  <r>
    <s v="S925-WHI-RIN-GEM-002-EME"/>
    <m/>
    <x v="2"/>
    <m/>
    <x v="428"/>
    <n v="7.4401000000000002"/>
    <s v="925 Silver"/>
    <s v=""/>
    <x v="0"/>
    <s v="7113.11.10.00"/>
    <s v="7113.11.00"/>
    <s v="7113.11.10.00"/>
    <s v=" "/>
    <n v="8.4453979442997174"/>
    <n v="10.199141035500485"/>
    <n v="13.055486827998028"/>
    <n v="13.363208563833608"/>
    <x v="2"/>
    <x v="13"/>
    <x v="2"/>
    <n v="0"/>
    <x v="2"/>
    <n v="0"/>
    <n v="0"/>
    <n v="0"/>
  </r>
  <r>
    <s v="S925-WHI-RIN-GEM-002-SAP"/>
    <m/>
    <x v="2"/>
    <m/>
    <x v="428"/>
    <n v="7.4401000000000002"/>
    <s v="925 Silver"/>
    <s v=""/>
    <x v="0"/>
    <s v="7113.11.10.00"/>
    <s v="7113.11.00"/>
    <s v="7113.11.10.00"/>
    <s v=" "/>
    <n v="8.4453979442997174"/>
    <n v="10.199141035500485"/>
    <n v="13.055486827998028"/>
    <n v="13.363208563833608"/>
    <x v="2"/>
    <x v="13"/>
    <x v="2"/>
    <n v="0"/>
    <x v="2"/>
    <n v="0"/>
    <n v="0"/>
    <n v="0"/>
  </r>
  <r>
    <s v="S925-WHI-NEC-CHA-SWA-001-001-450"/>
    <m/>
    <x v="1"/>
    <m/>
    <x v="428"/>
    <n v="7.0499999999999993E-2"/>
    <s v="925 Silver"/>
    <s v=""/>
    <x v="0"/>
    <s v="7113.11.10.00"/>
    <s v="7113.11.00"/>
    <s v="7113.11.10.00"/>
    <s v=" "/>
    <n v="8.0025880710357392E-2"/>
    <n v="9.6643787449467625E-2"/>
    <n v="0.1237096035502024"/>
    <n v="0.12662547596810114"/>
    <x v="2"/>
    <x v="13"/>
    <x v="2"/>
    <n v="0"/>
    <x v="2"/>
    <n v="0"/>
    <n v="0"/>
    <n v="0"/>
  </r>
  <r>
    <s v="S925-WHI-NEC-CHA-SWA-001-MUL-450"/>
    <m/>
    <x v="1"/>
    <m/>
    <x v="428"/>
    <n v="7.0499999999999993E-2"/>
    <s v="925 Silver"/>
    <s v=""/>
    <x v="0"/>
    <s v="7113.11.10.00"/>
    <s v="7113.11.00"/>
    <s v="7113.11.10.00"/>
    <s v=" "/>
    <n v="8.0025880710357392E-2"/>
    <n v="9.6643787449467625E-2"/>
    <n v="0.1237096035502024"/>
    <n v="0.12662547596810114"/>
    <x v="2"/>
    <x v="13"/>
    <x v="2"/>
    <n v="0"/>
    <x v="2"/>
    <n v="0"/>
    <n v="0"/>
    <n v="0"/>
  </r>
  <r>
    <s v="S925-WHI-NEC-CHA-SWA-002-001-450"/>
    <m/>
    <x v="1"/>
    <m/>
    <x v="428"/>
    <n v="7.0499999999999993E-2"/>
    <s v="925 Silver"/>
    <s v=""/>
    <x v="0"/>
    <s v="7113.11.10.00"/>
    <s v="7113.11.00"/>
    <s v="7113.11.10.00"/>
    <s v=" "/>
    <n v="8.0025880710357392E-2"/>
    <n v="9.6643787449467625E-2"/>
    <n v="0.1237096035502024"/>
    <n v="0.12662547596810114"/>
    <x v="2"/>
    <x v="13"/>
    <x v="2"/>
    <n v="0"/>
    <x v="2"/>
    <n v="0"/>
    <n v="0"/>
    <n v="0"/>
  </r>
  <r>
    <s v="S925-WHI-NEC-CHA-SWA-002-MUL-450"/>
    <m/>
    <x v="1"/>
    <m/>
    <x v="428"/>
    <n v="7.0499999999999993E-2"/>
    <s v="925 Silver"/>
    <s v=""/>
    <x v="0"/>
    <s v="7113.11.10.00"/>
    <s v="7113.11.00"/>
    <s v="7113.11.10.00"/>
    <s v=" "/>
    <n v="8.0025880710357392E-2"/>
    <n v="9.6643787449467625E-2"/>
    <n v="0.1237096035502024"/>
    <n v="0.12662547596810114"/>
    <x v="2"/>
    <x v="13"/>
    <x v="2"/>
    <n v="0"/>
    <x v="2"/>
    <n v="0"/>
    <n v="0"/>
    <n v="0"/>
  </r>
  <r>
    <s v="S925-WHI-BRA-CHA-SWA-001-001-200"/>
    <m/>
    <x v="1"/>
    <m/>
    <x v="428"/>
    <n v="7.0499999999999993E-2"/>
    <s v="925 Silver"/>
    <s v=""/>
    <x v="0"/>
    <s v="7113.11.10.00"/>
    <s v="7113.11.00"/>
    <s v="7113.11.10.00"/>
    <s v=" "/>
    <n v="8.0025880710357392E-2"/>
    <n v="9.6643787449467625E-2"/>
    <n v="0.1237096035502024"/>
    <n v="0.12662547596810114"/>
    <x v="2"/>
    <x v="13"/>
    <x v="2"/>
    <n v="0"/>
    <x v="2"/>
    <n v="0"/>
    <n v="0"/>
    <n v="0"/>
  </r>
  <r>
    <s v="S925-WHI-BRA-CHA-SWA-001-MUL-200"/>
    <m/>
    <x v="1"/>
    <m/>
    <x v="428"/>
    <n v="7.0499999999999993E-2"/>
    <s v="925 Silver"/>
    <s v=""/>
    <x v="0"/>
    <s v="7113.11.10.00"/>
    <s v="7113.11.00"/>
    <s v="7113.11.10.00"/>
    <s v=" "/>
    <n v="8.0025880710357392E-2"/>
    <n v="9.6643787449467625E-2"/>
    <n v="0.1237096035502024"/>
    <n v="0.12662547596810114"/>
    <x v="2"/>
    <x v="13"/>
    <x v="2"/>
    <n v="0"/>
    <x v="2"/>
    <n v="0"/>
    <n v="0"/>
    <n v="0"/>
  </r>
  <r>
    <s v="S925-WHI-BRA-CHA-SWA-002-001-200"/>
    <m/>
    <x v="1"/>
    <m/>
    <x v="428"/>
    <n v="7.0499999999999993E-2"/>
    <s v="925 Silver"/>
    <s v=""/>
    <x v="0"/>
    <s v="7113.11.10.00"/>
    <s v="7113.11.00"/>
    <s v="7113.11.10.00"/>
    <s v=" "/>
    <n v="8.0025880710357392E-2"/>
    <n v="9.6643787449467625E-2"/>
    <n v="0.1237096035502024"/>
    <n v="0.12662547596810114"/>
    <x v="2"/>
    <x v="13"/>
    <x v="2"/>
    <n v="0"/>
    <x v="2"/>
    <n v="0"/>
    <n v="0"/>
    <n v="0"/>
  </r>
  <r>
    <s v="S925-WHI-BRA-CHA-SWA-002-MUL-200"/>
    <m/>
    <x v="1"/>
    <m/>
    <x v="428"/>
    <n v="7.0499999999999993E-2"/>
    <s v="925 Silver"/>
    <s v=""/>
    <x v="0"/>
    <s v="7113.11.10.00"/>
    <s v="7113.11.00"/>
    <s v="7113.11.10.00"/>
    <s v=" "/>
    <n v="8.0025880710357392E-2"/>
    <n v="9.6643787449467625E-2"/>
    <n v="0.1237096035502024"/>
    <n v="0.12662547596810114"/>
    <x v="2"/>
    <x v="13"/>
    <x v="2"/>
    <n v="0"/>
    <x v="2"/>
    <n v="0"/>
    <n v="0"/>
    <n v="0"/>
  </r>
  <r>
    <s v="G9K-YEL-EAR-STUD-GEM-CZ-001-003"/>
    <m/>
    <x v="4"/>
    <s v="9kt gold studs with 4-claws 3mm CZ. Screwback"/>
    <x v="428"/>
    <n v="7.0499999999999993E-2"/>
    <s v="9K Gold"/>
    <s v=""/>
    <x v="1"/>
    <s v=" 7113.19.10.00"/>
    <s v=" 7113.19.00"/>
    <s v="7113.19.29.00"/>
    <s v=" 9kt gold studs with 4-claws 3mm CZ. Screwback"/>
    <n v="8.0025880710357392E-2"/>
    <n v="9.6643787449467625E-2"/>
    <n v="0.1237096035502024"/>
    <n v="0.12662547596810114"/>
    <x v="2"/>
    <x v="14"/>
    <x v="2"/>
    <n v="0"/>
    <x v="2"/>
    <n v="0"/>
    <n v="0"/>
    <n v="0"/>
  </r>
  <r>
    <s v="G9K-YEL-EAR-STUD-GEM-CZ-001-004"/>
    <m/>
    <x v="4"/>
    <s v="9kt gold studs with 4-claws 3.75mm CZ. Normal butterfly"/>
    <x v="428"/>
    <n v="7.0499999999999993E-2"/>
    <s v="9K Gold"/>
    <s v=""/>
    <x v="1"/>
    <s v=" 7113.19.10.00"/>
    <s v=" 7113.19.00"/>
    <s v="7113.19.29.00"/>
    <s v=" 9kt gold studs with 4-claws 3.75mm CZ. Normal butterfly"/>
    <n v="8.0025880710357392E-2"/>
    <n v="9.6643787449467625E-2"/>
    <n v="0.1237096035502024"/>
    <n v="0.12662547596810114"/>
    <x v="2"/>
    <x v="14"/>
    <x v="2"/>
    <n v="0"/>
    <x v="2"/>
    <n v="0"/>
    <n v="0"/>
    <n v="0"/>
  </r>
  <r>
    <s v="G9K-YEL-EAR-STUD-GEM-CZ-001-005"/>
    <m/>
    <x v="4"/>
    <s v="9kt gold studs with 4-claws 5mm CZ. Normal butterfly"/>
    <x v="428"/>
    <n v="7.0499999999999993E-2"/>
    <s v="9K Gold"/>
    <s v=""/>
    <x v="1"/>
    <s v=" 7113.19.10.00"/>
    <s v=" 7113.19.00"/>
    <s v="7113.19.29.00"/>
    <s v=" 9kt gold studs with 4-claws 5mm CZ. Normal butterfly"/>
    <n v="8.0025880710357392E-2"/>
    <n v="9.6643787449467625E-2"/>
    <n v="0.1237096035502024"/>
    <n v="0.12662547596810114"/>
    <x v="2"/>
    <x v="14"/>
    <x v="2"/>
    <n v="0"/>
    <x v="2"/>
    <n v="0"/>
    <n v="0"/>
    <n v="0"/>
  </r>
  <r>
    <s v="G9K-YEL-EAR-STUD-GEM-CZ-001-006"/>
    <m/>
    <x v="4"/>
    <s v="9kt gold studs with 4-claws 6mm CZ. Normal butterfly"/>
    <x v="428"/>
    <n v="7.0499999999999993E-2"/>
    <s v="9K Gold"/>
    <s v=""/>
    <x v="1"/>
    <s v=" 7113.19.10.00"/>
    <s v=" 7113.19.00"/>
    <s v="7113.19.29.00"/>
    <s v=" 9kt gold studs with 4-claws 6mm CZ. Normal butterfly"/>
    <n v="8.0025880710357392E-2"/>
    <n v="9.6643787449467625E-2"/>
    <n v="0.1237096035502024"/>
    <n v="0.12662547596810114"/>
    <x v="2"/>
    <x v="14"/>
    <x v="2"/>
    <n v="0"/>
    <x v="2"/>
    <n v="0"/>
    <n v="0"/>
    <n v="0"/>
  </r>
  <r>
    <s v="G9K-YEL-EAR-STUD-PERL-001-3to4"/>
    <m/>
    <x v="4"/>
    <s v="9kt gold stud with freshwater pearl (3-3.5mm). Screwback"/>
    <x v="428"/>
    <n v="7.0499999999999993E-2"/>
    <s v="9K Gold"/>
    <s v=""/>
    <x v="1"/>
    <s v=" 7113.19.10.00"/>
    <s v=" 7113.19.00"/>
    <s v="7113.19.29.00"/>
    <s v=" 9kt gold stud with freshwater pearl (3-3.5mm). Screwback"/>
    <n v="8.0025880710357392E-2"/>
    <n v="9.6643787449467625E-2"/>
    <n v="0.1237096035502024"/>
    <n v="0.12662547596810114"/>
    <x v="2"/>
    <x v="14"/>
    <x v="2"/>
    <n v="0"/>
    <x v="2"/>
    <n v="0"/>
    <n v="0"/>
    <n v="0"/>
  </r>
  <r>
    <s v="G9K-YEL-EAR-STUD-PERL-001-6to7"/>
    <m/>
    <x v="4"/>
    <s v="9kt gold stud with freshwater pearl (6-6.5mm)"/>
    <x v="428"/>
    <n v="7.0499999999999993E-2"/>
    <s v="9K Gold"/>
    <s v=""/>
    <x v="1"/>
    <s v=" 7113.19.10.00"/>
    <s v=" 7113.19.00"/>
    <s v="7113.19.29.00"/>
    <s v=" 9kt gold stud with freshwater pearl (6-6.5mm)"/>
    <n v="8.0025880710357392E-2"/>
    <n v="9.6643787449467625E-2"/>
    <n v="0.1237096035502024"/>
    <n v="0.12662547596810114"/>
    <x v="2"/>
    <x v="14"/>
    <x v="2"/>
    <n v="0"/>
    <x v="2"/>
    <n v="0"/>
    <n v="0"/>
    <n v="0"/>
  </r>
  <r>
    <s v="G9K-YEL-EAR-STUD-PERL-001-7to8"/>
    <m/>
    <x v="4"/>
    <s v="9kt gold stud with freshwater pearl (7-7.5mm)"/>
    <x v="428"/>
    <n v="7.0499999999999993E-2"/>
    <s v="9K Gold"/>
    <s v=""/>
    <x v="1"/>
    <s v=" 7113.19.10.00"/>
    <s v=" 7113.19.00"/>
    <s v="7113.19.29.00"/>
    <s v=" 9kt gold stud with freshwater pearl (7-7.5mm)"/>
    <n v="8.0025880710357392E-2"/>
    <n v="9.6643787449467625E-2"/>
    <n v="0.1237096035502024"/>
    <n v="0.12662547596810114"/>
    <x v="2"/>
    <x v="14"/>
    <x v="2"/>
    <n v="0"/>
    <x v="2"/>
    <n v="0"/>
    <n v="0"/>
    <n v="0"/>
  </r>
  <r>
    <s v="G9K-YEL-EAR-STUD-BALL-001-003"/>
    <m/>
    <x v="4"/>
    <s v="9kt gold 3mm ball stud with screwback"/>
    <x v="428"/>
    <n v="7.0499999999999993E-2"/>
    <s v="9K Gold"/>
    <s v=""/>
    <x v="1"/>
    <s v=" 7113.19.10.00"/>
    <s v=" 7113.19.00"/>
    <s v="7113.19.29.00"/>
    <s v=" 9kt gold 3mm ball stud with screwback"/>
    <n v="8.0025880710357392E-2"/>
    <n v="9.6643787449467625E-2"/>
    <n v="0.1237096035502024"/>
    <n v="0.12662547596810114"/>
    <x v="2"/>
    <x v="14"/>
    <x v="2"/>
    <n v="0"/>
    <x v="2"/>
    <n v="0"/>
    <n v="0"/>
    <n v="0"/>
  </r>
  <r>
    <s v="G9K-YEL-EAR-STUD-BALL-001-004"/>
    <m/>
    <x v="4"/>
    <s v="9kt gold 4mm ball stud with normal butterfly"/>
    <x v="428"/>
    <n v="7.0499999999999993E-2"/>
    <s v="9K Gold"/>
    <s v=""/>
    <x v="1"/>
    <s v=" 7113.19.10.00"/>
    <s v=" 7113.19.00"/>
    <s v="7113.19.29.00"/>
    <s v=" 9kt gold 4mm ball stud with normal butterfly"/>
    <n v="8.0025880710357392E-2"/>
    <n v="9.6643787449467625E-2"/>
    <n v="0.1237096035502024"/>
    <n v="0.12662547596810114"/>
    <x v="2"/>
    <x v="14"/>
    <x v="2"/>
    <n v="0"/>
    <x v="2"/>
    <n v="0"/>
    <n v="0"/>
    <n v="0"/>
  </r>
  <r>
    <s v="G9K-YEL-EAR-STUD-BALL-001-005"/>
    <m/>
    <x v="4"/>
    <s v="9kt gold 5mm ball stud with normal butterfly"/>
    <x v="428"/>
    <n v="7.0499999999999993E-2"/>
    <s v="9K Gold"/>
    <s v=""/>
    <x v="1"/>
    <s v=" 7113.19.10.00"/>
    <s v=" 7113.19.00"/>
    <s v="7113.19.29.00"/>
    <s v=" 9kt gold 5mm ball stud with normal butterfly"/>
    <n v="8.0025880710357392E-2"/>
    <n v="9.6643787449467625E-2"/>
    <n v="0.1237096035502024"/>
    <n v="0.12662547596810114"/>
    <x v="2"/>
    <x v="14"/>
    <x v="2"/>
    <n v="0"/>
    <x v="2"/>
    <n v="0"/>
    <n v="0"/>
    <n v="0"/>
  </r>
  <r>
    <s v="G9K-YEL-EAR-STUD-BALL-001-006"/>
    <m/>
    <x v="4"/>
    <s v="9kt gold 6mm ball stud with normal butterfly"/>
    <x v="428"/>
    <n v="7.0499999999999993E-2"/>
    <s v="9K Gold"/>
    <s v=""/>
    <x v="1"/>
    <s v=" 7113.19.10.00"/>
    <s v=" 7113.19.00"/>
    <s v="7113.19.29.00"/>
    <s v=" 9kt gold 6mm ball stud with normal butterfly"/>
    <n v="8.0025880710357392E-2"/>
    <n v="9.6643787449467625E-2"/>
    <n v="0.1237096035502024"/>
    <n v="0.12662547596810114"/>
    <x v="2"/>
    <x v="14"/>
    <x v="2"/>
    <n v="0"/>
    <x v="2"/>
    <n v="0"/>
    <n v="0"/>
    <n v="0"/>
  </r>
  <r>
    <s v="G9K-YEL-PEN-HART-002"/>
    <m/>
    <x v="4"/>
    <s v="9kt gold heart pendant"/>
    <x v="428"/>
    <n v="7.0499999999999993E-2"/>
    <s v="9K Gold"/>
    <s v=""/>
    <x v="1"/>
    <s v=" 7113.19.10.00"/>
    <s v=" 7113.19.00"/>
    <s v="7113.19.29.00"/>
    <s v=" 9kt gold heart pendant"/>
    <n v="8.0025880710357392E-2"/>
    <n v="9.6643787449467625E-2"/>
    <n v="0.1237096035502024"/>
    <n v="0.12662547596810114"/>
    <x v="2"/>
    <x v="14"/>
    <x v="2"/>
    <n v="0"/>
    <x v="2"/>
    <n v="0"/>
    <n v="0"/>
    <n v="0"/>
  </r>
  <r>
    <s v="G9K-YEL-PEN-GEM-CZ-001"/>
    <m/>
    <x v="4"/>
    <s v="9k gold solitaire heart pendant with CZ"/>
    <x v="428"/>
    <n v="7.0499999999999993E-2"/>
    <s v="9K Gold"/>
    <s v=""/>
    <x v="1"/>
    <s v=" 7113.19.10.00"/>
    <s v=" 7113.19.00"/>
    <s v="7113.19.29.00"/>
    <s v=" 9k gold solitaire heart pendant with CZ"/>
    <n v="8.0025880710357392E-2"/>
    <n v="9.6643787449467625E-2"/>
    <n v="0.1237096035502024"/>
    <n v="0.12662547596810114"/>
    <x v="2"/>
    <x v="14"/>
    <x v="2"/>
    <n v="0"/>
    <x v="2"/>
    <n v="0"/>
    <n v="0"/>
    <n v="0"/>
  </r>
  <r>
    <s v="G9K-YEL-PEN-GEM-CZ-002"/>
    <m/>
    <x v="4"/>
    <s v="9K gold solitaire circle pendant with CZ"/>
    <x v="428"/>
    <n v="7.0499999999999993E-2"/>
    <s v="9K Gold"/>
    <s v=""/>
    <x v="1"/>
    <s v=" 7113.19.10.00"/>
    <s v=" 7113.19.00"/>
    <s v="7113.19.29.00"/>
    <s v=" 9K gold solitaire circle pendant with CZ"/>
    <n v="8.0025880710357392E-2"/>
    <n v="9.6643787449467625E-2"/>
    <n v="0.1237096035502024"/>
    <n v="0.12662547596810114"/>
    <x v="2"/>
    <x v="14"/>
    <x v="2"/>
    <n v="0"/>
    <x v="2"/>
    <n v="0"/>
    <n v="0"/>
    <n v="0"/>
  </r>
  <r>
    <s v="G9K-YEL-EAR-HOOP-002-010"/>
    <m/>
    <x v="4"/>
    <s v="9kt gold hoops with 10mm external diameter"/>
    <x v="428"/>
    <n v="7.0499999999999993E-2"/>
    <s v="9K Gold"/>
    <s v=""/>
    <x v="1"/>
    <s v=" 7113.19.10.00"/>
    <s v=" 7113.19.00"/>
    <s v="7113.19.29.00"/>
    <s v=" 9kt gold hoops with 10mm external diameter"/>
    <n v="8.0025880710357392E-2"/>
    <n v="9.6643787449467625E-2"/>
    <n v="0.1237096035502024"/>
    <n v="0.12662547596810114"/>
    <x v="2"/>
    <x v="14"/>
    <x v="2"/>
    <n v="0"/>
    <x v="2"/>
    <n v="0"/>
    <n v="0"/>
    <n v="0"/>
  </r>
  <r>
    <s v="G9K-YEL-EAR-HOOP-002-015"/>
    <m/>
    <x v="4"/>
    <s v="9kt gold hoops with 15mm external diameter"/>
    <x v="428"/>
    <n v="7.0499999999999993E-2"/>
    <s v="9K Gold"/>
    <s v=""/>
    <x v="1"/>
    <s v=" 7113.19.10.00"/>
    <s v=" 7113.19.00"/>
    <s v="7113.19.29.00"/>
    <s v=" 9kt gold hoops with 15mm external diameter"/>
    <n v="8.0025880710357392E-2"/>
    <n v="9.6643787449467625E-2"/>
    <n v="0.1237096035502024"/>
    <n v="0.12662547596810114"/>
    <x v="2"/>
    <x v="14"/>
    <x v="2"/>
    <n v="0"/>
    <x v="2"/>
    <n v="0"/>
    <n v="0"/>
    <n v="0"/>
  </r>
  <r>
    <s v="G9K-YEL-EAR-HOOP-002-020"/>
    <m/>
    <x v="4"/>
    <s v="9kt gold hoops with 20mm external diameter"/>
    <x v="428"/>
    <n v="7.0499999999999993E-2"/>
    <s v="9K Gold"/>
    <s v=""/>
    <x v="1"/>
    <s v=" 7113.19.10.00"/>
    <s v=" 7113.19.00"/>
    <s v="7113.19.29.00"/>
    <s v=" 9kt gold hoops with 20mm external diameter"/>
    <n v="8.0025880710357392E-2"/>
    <n v="9.6643787449467625E-2"/>
    <n v="0.1237096035502024"/>
    <n v="0.12662547596810114"/>
    <x v="2"/>
    <x v="14"/>
    <x v="2"/>
    <n v="0"/>
    <x v="2"/>
    <n v="0"/>
    <n v="0"/>
    <n v="0"/>
  </r>
  <r>
    <s v="S925-WHI-EAR-HOOP-PEN-001-010"/>
    <m/>
    <x v="1"/>
    <s v="Silver click-down hoop with leaf pendant (10mm internal)"/>
    <x v="428"/>
    <n v="7.0499999999999993E-2"/>
    <s v="925 Silver"/>
    <s v=""/>
    <x v="0"/>
    <s v="7113.11.10.00"/>
    <s v="7113.11.00"/>
    <s v="7113.11.10.00"/>
    <s v=" Silver click-down hoop with leaf pendant (10mm internal)"/>
    <n v="8.0025880710357392E-2"/>
    <n v="9.6643787449467625E-2"/>
    <n v="0.1237096035502024"/>
    <n v="0.12662547596810114"/>
    <x v="2"/>
    <x v="13"/>
    <x v="2"/>
    <n v="0"/>
    <x v="2"/>
    <n v="0"/>
    <n v="0"/>
    <n v="0"/>
  </r>
  <r>
    <s v="S925-WHI-EAR-HOOP-PEN-002-010"/>
    <m/>
    <x v="1"/>
    <s v="Silver click-down hoop with lotus silhouette pendant (10mm internal)"/>
    <x v="428"/>
    <n v="7.0499999999999993E-2"/>
    <s v="925 Silver"/>
    <s v=""/>
    <x v="0"/>
    <s v="7113.11.10.00"/>
    <s v="7113.11.00"/>
    <s v="7113.11.10.00"/>
    <s v=" Silver click-down hoop with lotus silhouette pendant (10mm internal)"/>
    <n v="8.0025880710357392E-2"/>
    <n v="9.6643787449467625E-2"/>
    <n v="0.1237096035502024"/>
    <n v="0.12662547596810114"/>
    <x v="2"/>
    <x v="13"/>
    <x v="2"/>
    <n v="0"/>
    <x v="2"/>
    <n v="0"/>
    <n v="0"/>
    <n v="0"/>
  </r>
  <r>
    <s v="S925-WHI-EAR-HOOP-PEN-003-010"/>
    <m/>
    <x v="1"/>
    <s v="Silver click-down hoop with puzzle piece pendant (10mm internal)"/>
    <x v="428"/>
    <n v="7.0499999999999993E-2"/>
    <s v="925 Silver"/>
    <s v=""/>
    <x v="0"/>
    <s v="7113.11.10.00"/>
    <s v="7113.11.00"/>
    <s v="7113.11.10.00"/>
    <s v=" Silver click-down hoop with puzzle piece pendant (10mm internal)"/>
    <n v="8.0025880710357392E-2"/>
    <n v="9.6643787449467625E-2"/>
    <n v="0.1237096035502024"/>
    <n v="0.12662547596810114"/>
    <x v="2"/>
    <x v="13"/>
    <x v="2"/>
    <n v="0"/>
    <x v="2"/>
    <n v="0"/>
    <n v="0"/>
    <n v="0"/>
  </r>
  <r>
    <s v="S925-WHI-EAR-HOOP-PEN-004-012"/>
    <m/>
    <x v="1"/>
    <s v="Silver click-down hoop with roman coin pendant (12mm internal)"/>
    <x v="428"/>
    <n v="7.0499999999999993E-2"/>
    <s v="925 Silver"/>
    <s v=""/>
    <x v="0"/>
    <s v="7113.11.10.00"/>
    <s v="7113.11.00"/>
    <s v="7113.11.10.00"/>
    <s v=" Silver click-down hoop with roman coin pendant (12mm internal)"/>
    <n v="8.0025880710357392E-2"/>
    <n v="9.6643787449467625E-2"/>
    <n v="0.1237096035502024"/>
    <n v="0.12662547596810114"/>
    <x v="2"/>
    <x v="13"/>
    <x v="2"/>
    <n v="0"/>
    <x v="2"/>
    <n v="0"/>
    <n v="0"/>
    <n v="0"/>
  </r>
  <r>
    <s v="S925-WHI-EAR-HOOP-PEN-005-010"/>
    <m/>
    <x v="1"/>
    <s v="Silver click-down hoop with rounded star pendant (10mm internal)"/>
    <x v="428"/>
    <n v="7.0499999999999993E-2"/>
    <s v="925 Silver"/>
    <s v=""/>
    <x v="0"/>
    <s v="7113.11.10.00"/>
    <s v="7113.11.00"/>
    <s v="7113.11.10.00"/>
    <s v=" Silver click-down hoop with rounded star pendant (10mm internal)"/>
    <n v="8.0025880710357392E-2"/>
    <n v="9.6643787449467625E-2"/>
    <n v="0.1237096035502024"/>
    <n v="0.12662547596810114"/>
    <x v="2"/>
    <x v="13"/>
    <x v="2"/>
    <n v="0"/>
    <x v="2"/>
    <n v="0"/>
    <n v="0"/>
    <n v="0"/>
  </r>
  <r>
    <s v="S925-WHI-EAR-HOOP-PEN-006-010"/>
    <m/>
    <x v="1"/>
    <s v="Silver click-down hoop with moon pendant (10mm internal)"/>
    <x v="428"/>
    <n v="7.0499999999999993E-2"/>
    <s v="925 Silver"/>
    <s v=""/>
    <x v="0"/>
    <s v="7113.11.10.00"/>
    <s v="7113.11.00"/>
    <s v="7113.11.10.00"/>
    <s v=" Silver click-down hoop with moon pendant (10mm internal)"/>
    <n v="8.0025880710357392E-2"/>
    <n v="9.6643787449467625E-2"/>
    <n v="0.1237096035502024"/>
    <n v="0.12662547596810114"/>
    <x v="2"/>
    <x v="13"/>
    <x v="2"/>
    <n v="0"/>
    <x v="2"/>
    <n v="0"/>
    <n v="0"/>
    <n v="0"/>
  </r>
  <r>
    <s v="S925-WHI-EAR-HOOP-PEN-007-012"/>
    <m/>
    <x v="1"/>
    <s v="Silver click-down hoop with clover pendant (12mm internal)"/>
    <x v="428"/>
    <n v="7.0499999999999993E-2"/>
    <s v="925 Silver"/>
    <s v=""/>
    <x v="0"/>
    <s v="7113.11.10.00"/>
    <s v="7113.11.00"/>
    <s v="7113.11.10.00"/>
    <s v=" Silver click-down hoop with clover pendant (12mm internal)"/>
    <n v="8.0025880710357392E-2"/>
    <n v="9.6643787449467625E-2"/>
    <n v="0.1237096035502024"/>
    <n v="0.12662547596810114"/>
    <x v="2"/>
    <x v="13"/>
    <x v="2"/>
    <n v="0"/>
    <x v="2"/>
    <n v="0"/>
    <n v="0"/>
    <n v="0"/>
  </r>
  <r>
    <s v="S925-WHI-EAR-HOOP-PEN-008-012"/>
    <m/>
    <x v="1"/>
    <s v="Silver click-down hoop with star silhouette pendant (12mm internal)"/>
    <x v="428"/>
    <n v="7.0499999999999993E-2"/>
    <s v="925 Silver"/>
    <s v=""/>
    <x v="0"/>
    <s v="7113.11.10.00"/>
    <s v="7113.11.00"/>
    <s v="7113.11.10.00"/>
    <s v=" Silver click-down hoop with star silhouette pendant (12mm internal)"/>
    <n v="8.0025880710357392E-2"/>
    <n v="9.6643787449467625E-2"/>
    <n v="0.1237096035502024"/>
    <n v="0.12662547596810114"/>
    <x v="2"/>
    <x v="13"/>
    <x v="2"/>
    <n v="0"/>
    <x v="2"/>
    <n v="0"/>
    <n v="0"/>
    <n v="0"/>
  </r>
  <r>
    <s v="S925-WHI-EAR-HOOP-PEN-009-012"/>
    <m/>
    <x v="1"/>
    <s v="Silver click-down hoop with flat star pendant (12mm internal)"/>
    <x v="428"/>
    <n v="7.0499999999999993E-2"/>
    <s v="925 Silver"/>
    <s v=""/>
    <x v="0"/>
    <s v="7113.11.10.00"/>
    <s v="7113.11.00"/>
    <s v="7113.11.10.00"/>
    <s v=" Silver click-down hoop with flat star pendant (12mm internal)"/>
    <n v="8.0025880710357392E-2"/>
    <n v="9.6643787449467625E-2"/>
    <n v="0.1237096035502024"/>
    <n v="0.12662547596810114"/>
    <x v="2"/>
    <x v="13"/>
    <x v="2"/>
    <n v="0"/>
    <x v="2"/>
    <n v="0"/>
    <n v="0"/>
    <n v="0"/>
  </r>
  <r>
    <s v="S925-WHI-EAR-HOOP-PEN-010-012"/>
    <m/>
    <x v="1"/>
    <s v="Silver click-down hoop with CZ cross pendant (12mm internal)"/>
    <x v="428"/>
    <n v="7.0499999999999993E-2"/>
    <s v="925 Silver"/>
    <s v=""/>
    <x v="0"/>
    <s v="7113.11.10.00"/>
    <s v="7113.11.00"/>
    <s v="7113.11.10.00"/>
    <s v=" Silver click-down hoop with CZ cross pendant (12mm internal)"/>
    <n v="8.0025880710357392E-2"/>
    <n v="9.6643787449467625E-2"/>
    <n v="0.1237096035502024"/>
    <n v="0.12662547596810114"/>
    <x v="2"/>
    <x v="13"/>
    <x v="2"/>
    <n v="0"/>
    <x v="2"/>
    <n v="0"/>
    <n v="0"/>
    <n v="0"/>
  </r>
  <r>
    <s v="S925-WHI-EAR-HOOP-PEN-011-012"/>
    <m/>
    <x v="1"/>
    <s v="Silver click-down hoop with CZ heart silhouette pendant (12mm internal)"/>
    <x v="428"/>
    <n v="7.0499999999999993E-2"/>
    <s v="925 Silver"/>
    <s v=""/>
    <x v="0"/>
    <s v="7113.11.10.00"/>
    <s v="7113.11.00"/>
    <s v="7113.11.10.00"/>
    <s v=" Silver click-down hoop with CZ heart silhouette pendant (12mm internal)"/>
    <n v="8.0025880710357392E-2"/>
    <n v="9.6643787449467625E-2"/>
    <n v="0.1237096035502024"/>
    <n v="0.12662547596810114"/>
    <x v="2"/>
    <x v="13"/>
    <x v="2"/>
    <n v="0"/>
    <x v="2"/>
    <n v="0"/>
    <n v="0"/>
    <n v="0"/>
  </r>
  <r>
    <s v="S925-WHI-EAR-HOOP-PEN-012-012"/>
    <m/>
    <x v="1"/>
    <s v="Silver click-down hoop with CZ snake pendant (12mm internal)"/>
    <x v="428"/>
    <n v="7.0499999999999993E-2"/>
    <s v="925 Silver"/>
    <s v=""/>
    <x v="0"/>
    <s v="7113.11.10.00"/>
    <s v="7113.11.00"/>
    <s v="7113.11.10.00"/>
    <s v=" Silver click-down hoop with CZ snake pendant (12mm internal)"/>
    <n v="8.0025880710357392E-2"/>
    <n v="9.6643787449467625E-2"/>
    <n v="0.1237096035502024"/>
    <n v="0.12662547596810114"/>
    <x v="2"/>
    <x v="13"/>
    <x v="2"/>
    <n v="0"/>
    <x v="2"/>
    <n v="0"/>
    <n v="0"/>
    <n v="0"/>
  </r>
  <r>
    <s v="S925-WHI-EAR-HOOP-PEN-013-012"/>
    <m/>
    <x v="1"/>
    <s v="Silver click-down hoop with pearl pendant (12mm internal)"/>
    <x v="428"/>
    <n v="7.0499999999999993E-2"/>
    <s v="925 Silver"/>
    <s v=""/>
    <x v="0"/>
    <s v="7113.11.10.00"/>
    <s v="7113.11.00"/>
    <s v="7113.11.10.00"/>
    <s v=" Silver click-down hoop with pearl pendant (12mm internal)"/>
    <n v="8.0025880710357392E-2"/>
    <n v="9.6643787449467625E-2"/>
    <n v="0.1237096035502024"/>
    <n v="0.12662547596810114"/>
    <x v="2"/>
    <x v="13"/>
    <x v="2"/>
    <n v="0"/>
    <x v="2"/>
    <n v="0"/>
    <n v="0"/>
    <n v="0"/>
  </r>
  <r>
    <s v="S925-WHI-BRA-BAN-HAM-001-600"/>
    <m/>
    <x v="1"/>
    <s v="Open thin hammered bangle in silver"/>
    <x v="428"/>
    <n v="7.0499999999999993E-2"/>
    <s v="925 Silver"/>
    <s v=""/>
    <x v="0"/>
    <s v="7113.11.10.00"/>
    <s v="7113.11.00"/>
    <s v="7113.11.10.00"/>
    <s v=" Open thin hammered bangle in silver"/>
    <n v="8.0025880710357392E-2"/>
    <n v="9.6643787449467625E-2"/>
    <n v="0.1237096035502024"/>
    <n v="0.12662547596810114"/>
    <x v="2"/>
    <x v="13"/>
    <x v="2"/>
    <n v="0"/>
    <x v="2"/>
    <n v="0"/>
    <n v="0"/>
    <n v="0"/>
  </r>
  <r>
    <s v="S925-YEL-BRA-BAN-HAM-001-600"/>
    <m/>
    <x v="1"/>
    <s v="Open thin hammered bangle in GP"/>
    <x v="428"/>
    <n v="7.0499999999999993E-2"/>
    <s v="925 Silver"/>
    <s v=""/>
    <x v="0"/>
    <s v="7113.11.10.00"/>
    <s v="7113.11.00"/>
    <s v="7113.11.10.00"/>
    <s v=" Open thin hammered bangle in GP"/>
    <n v="8.0025880710357392E-2"/>
    <n v="9.6643787449467625E-2"/>
    <n v="0.1237096035502024"/>
    <n v="0.12662547596810114"/>
    <x v="2"/>
    <x v="13"/>
    <x v="2"/>
    <n v="0"/>
    <x v="2"/>
    <n v="0"/>
    <n v="0"/>
    <n v="0"/>
  </r>
  <r>
    <s v="S925-WHI-BRA-BAN-HAM-002-600"/>
    <m/>
    <x v="1"/>
    <s v="Open thick hammered bangle in silver"/>
    <x v="428"/>
    <n v="7.0499999999999993E-2"/>
    <s v="925 Silver"/>
    <s v=""/>
    <x v="0"/>
    <s v="7113.11.10.00"/>
    <s v="7113.11.00"/>
    <s v="7113.11.10.00"/>
    <s v=" Open thick hammered bangle in silver"/>
    <n v="8.0025880710357392E-2"/>
    <n v="9.6643787449467625E-2"/>
    <n v="0.1237096035502024"/>
    <n v="0.12662547596810114"/>
    <x v="2"/>
    <x v="13"/>
    <x v="2"/>
    <n v="0"/>
    <x v="2"/>
    <n v="0"/>
    <n v="0"/>
    <n v="0"/>
  </r>
  <r>
    <s v="S925-YEL-BRA-BAN-HAM-002-600"/>
    <m/>
    <x v="1"/>
    <s v="Open thick hammered bangle in GP"/>
    <x v="428"/>
    <n v="7.0499999999999993E-2"/>
    <s v="925 Silver"/>
    <s v=""/>
    <x v="0"/>
    <s v="7113.11.10.00"/>
    <s v="7113.11.00"/>
    <s v="7113.11.10.00"/>
    <s v=" Open thick hammered bangle in GP"/>
    <n v="8.0025880710357392E-2"/>
    <n v="9.6643787449467625E-2"/>
    <n v="0.1237096035502024"/>
    <n v="0.12662547596810114"/>
    <x v="2"/>
    <x v="13"/>
    <x v="2"/>
    <n v="0"/>
    <x v="2"/>
    <n v="0"/>
    <n v="0"/>
    <n v="0"/>
  </r>
  <r>
    <s v="G9K-YEL-BRA-CHA-004-060-205"/>
    <m/>
    <x v="1"/>
    <s v="9k Flat curb hollow chain bracelet 6mm - 20.5cm"/>
    <x v="428"/>
    <n v="7.0499999999999993E-2"/>
    <s v=""/>
    <s v=""/>
    <x v="1"/>
    <s v=" 7113.19.10.00"/>
    <s v=" 7113.19.00"/>
    <s v="7113.19.29.00"/>
    <s v=" 9k Flat curb hollow chain bracelet 6mm - 20.5cm"/>
    <n v="8.0025880710357392E-2"/>
    <n v="9.6643787449467625E-2"/>
    <n v="0.1237096035502024"/>
    <n v="0.12662547596810114"/>
    <x v="2"/>
    <x v="16"/>
    <x v="2"/>
    <n v="0"/>
    <x v="2"/>
    <n v="0"/>
    <n v="0"/>
    <n v="0"/>
  </r>
  <r>
    <s v="G9K-YEL-BRA-CHA-004-090-205"/>
    <m/>
    <x v="1"/>
    <s v="9k Flat curb hollow chain bracelet 9mm - 20.5cm"/>
    <x v="428"/>
    <n v="7.0499999999999993E-2"/>
    <s v=""/>
    <s v=""/>
    <x v="1"/>
    <s v=" 7113.19.10.00"/>
    <s v=" 7113.19.00"/>
    <s v="7113.19.29.00"/>
    <s v=" 9k Flat curb hollow chain bracelet 9mm - 20.5cm"/>
    <n v="8.0025880710357392E-2"/>
    <n v="9.6643787449467625E-2"/>
    <n v="0.1237096035502024"/>
    <n v="0.12662547596810114"/>
    <x v="2"/>
    <x v="16"/>
    <x v="2"/>
    <n v="0"/>
    <x v="2"/>
    <n v="0"/>
    <n v="0"/>
    <n v="0"/>
  </r>
  <r>
    <s v="G9K-YEL-NEC-CHA-009-060-500"/>
    <m/>
    <x v="1"/>
    <s v="9k Flat curb hollow chain necklace 6mm - 50cm"/>
    <x v="428"/>
    <n v="7.0499999999999993E-2"/>
    <s v=""/>
    <s v=""/>
    <x v="1"/>
    <s v=" 7113.19.10.00"/>
    <s v=" 7113.19.00"/>
    <s v="7113.19.29.00"/>
    <s v=" 9k Flat curb hollow chain necklace 6mm - 50cm"/>
    <n v="8.0025880710357392E-2"/>
    <n v="9.6643787449467625E-2"/>
    <n v="0.1237096035502024"/>
    <n v="0.12662547596810114"/>
    <x v="2"/>
    <x v="16"/>
    <x v="2"/>
    <n v="0"/>
    <x v="2"/>
    <n v="0"/>
    <n v="0"/>
    <n v="0"/>
  </r>
  <r>
    <s v="G9K-YEL-NEC-CHA-009-060-550"/>
    <m/>
    <x v="1"/>
    <s v="9k Flat curb hollow chain necklace 6mm - 55cm"/>
    <x v="428"/>
    <n v="7.0499999999999993E-2"/>
    <s v=""/>
    <s v=""/>
    <x v="1"/>
    <s v=" 7113.19.10.00"/>
    <s v=" 7113.19.00"/>
    <s v="7113.19.29.00"/>
    <s v=" 9k Flat curb hollow chain necklace 6mm - 55cm"/>
    <n v="8.0025880710357392E-2"/>
    <n v="9.6643787449467625E-2"/>
    <n v="0.1237096035502024"/>
    <n v="0.12662547596810114"/>
    <x v="2"/>
    <x v="16"/>
    <x v="2"/>
    <n v="0"/>
    <x v="2"/>
    <n v="0"/>
    <n v="0"/>
    <n v="0"/>
  </r>
  <r>
    <s v="G9K-YEL-NEC-CHA-009-060-600"/>
    <m/>
    <x v="1"/>
    <s v="9k Flat curb hollow chain necklace 6mm - 60cm"/>
    <x v="428"/>
    <n v="7.0499999999999993E-2"/>
    <s v=""/>
    <s v=""/>
    <x v="1"/>
    <s v=" 7113.19.10.00"/>
    <s v=" 7113.19.00"/>
    <s v="7113.19.29.00"/>
    <s v=" 9k Flat curb hollow chain necklace 6mm - 60cm"/>
    <n v="8.0025880710357392E-2"/>
    <n v="9.6643787449467625E-2"/>
    <n v="0.1237096035502024"/>
    <n v="0.12662547596810114"/>
    <x v="2"/>
    <x v="16"/>
    <x v="2"/>
    <n v="0"/>
    <x v="2"/>
    <n v="0"/>
    <n v="0"/>
    <n v="0"/>
  </r>
  <r>
    <s v="S925-WHI-EAR-STUD-023"/>
    <m/>
    <x v="2"/>
    <s v="Silver hammered star stud earring"/>
    <x v="428"/>
    <n v="7.0499999999999993E-2"/>
    <s v=""/>
    <s v=""/>
    <x v="1"/>
    <s v=" 7113.19.10.00"/>
    <s v=" 7113.19.00"/>
    <s v="7113.19.29.00"/>
    <s v=" Silver hammered star stud earring"/>
    <n v="8.0025880710357392E-2"/>
    <n v="9.6643787449467625E-2"/>
    <n v="0.1237096035502024"/>
    <n v="0.12662547596810114"/>
    <x v="2"/>
    <x v="16"/>
    <x v="2"/>
    <n v="0"/>
    <x v="2"/>
    <n v="0"/>
    <n v="0"/>
    <n v="0"/>
  </r>
  <r>
    <s v="S925-WHI-EAR-STUD-024"/>
    <m/>
    <x v="2"/>
    <s v="Silver spiral/torn stud earring"/>
    <x v="428"/>
    <n v="7.0499999999999993E-2"/>
    <s v=""/>
    <s v=""/>
    <x v="1"/>
    <s v=" 7113.19.10.00"/>
    <s v=" 7113.19.00"/>
    <s v="7113.19.29.00"/>
    <s v=" Silver spiral/torn stud earring"/>
    <n v="8.0025880710357392E-2"/>
    <n v="9.6643787449467625E-2"/>
    <n v="0.1237096035502024"/>
    <n v="0.12662547596810114"/>
    <x v="2"/>
    <x v="16"/>
    <x v="2"/>
    <n v="0"/>
    <x v="2"/>
    <n v="0"/>
    <n v="0"/>
    <n v="0"/>
  </r>
  <r>
    <s v="S925-WHI-EAR-STUD-025"/>
    <m/>
    <x v="2"/>
    <s v="Silver flat star stud earring"/>
    <x v="428"/>
    <n v="7.0499999999999993E-2"/>
    <s v=""/>
    <s v=""/>
    <x v="1"/>
    <s v=" 7113.19.10.00"/>
    <s v=" 7113.19.00"/>
    <s v="7113.19.29.00"/>
    <s v=" Silver flat star stud earring"/>
    <n v="8.0025880710357392E-2"/>
    <n v="9.6643787449467625E-2"/>
    <n v="0.1237096035502024"/>
    <n v="0.12662547596810114"/>
    <x v="2"/>
    <x v="16"/>
    <x v="2"/>
    <n v="0"/>
    <x v="2"/>
    <n v="0"/>
    <n v="0"/>
    <n v="0"/>
  </r>
  <r>
    <s v="S925-WHI-EAR-STUD-026"/>
    <m/>
    <x v="2"/>
    <s v="Silver mismatch moon and star stud earrings"/>
    <x v="428"/>
    <n v="7.0499999999999993E-2"/>
    <s v=""/>
    <s v=""/>
    <x v="1"/>
    <s v=" 7113.19.10.00"/>
    <s v=" 7113.19.00"/>
    <s v="7113.19.29.00"/>
    <s v=" Silver mismatch moon and star stud earrings"/>
    <n v="8.0025880710357392E-2"/>
    <n v="9.6643787449467625E-2"/>
    <n v="0.1237096035502024"/>
    <n v="0.12662547596810114"/>
    <x v="2"/>
    <x v="16"/>
    <x v="2"/>
    <n v="0"/>
    <x v="2"/>
    <n v="0"/>
    <n v="0"/>
    <n v="0"/>
  </r>
  <r>
    <s v="S925-WHI-EAR-STUD-027"/>
    <m/>
    <x v="2"/>
    <s v="Silver moon stud earrings"/>
    <x v="428"/>
    <n v="7.0499999999999993E-2"/>
    <s v=""/>
    <s v=""/>
    <x v="1"/>
    <s v=" 7113.19.10.00"/>
    <s v=" 7113.19.00"/>
    <s v="7113.19.29.00"/>
    <s v=" Silver moon stud earrings"/>
    <n v="8.0025880710357392E-2"/>
    <n v="9.6643787449467625E-2"/>
    <n v="0.1237096035502024"/>
    <n v="0.12662547596810114"/>
    <x v="2"/>
    <x v="16"/>
    <x v="2"/>
    <n v="0"/>
    <x v="2"/>
    <n v="0"/>
    <n v="0"/>
    <n v="0"/>
  </r>
  <r>
    <s v="S925-WHI-EAR-STUD-028"/>
    <m/>
    <x v="2"/>
    <s v="Silver moon silhouette stud earrings"/>
    <x v="428"/>
    <n v="7.0499999999999993E-2"/>
    <s v=""/>
    <s v=""/>
    <x v="1"/>
    <s v=" 7113.19.10.00"/>
    <s v=" 7113.19.00"/>
    <s v="7113.19.29.00"/>
    <s v=" Silver moon silhouette stud earrings"/>
    <n v="8.0025880710357392E-2"/>
    <n v="9.6643787449467625E-2"/>
    <n v="0.1237096035502024"/>
    <n v="0.12662547596810114"/>
    <x v="2"/>
    <x v="16"/>
    <x v="2"/>
    <n v="0"/>
    <x v="2"/>
    <n v="0"/>
    <n v="0"/>
    <n v="0"/>
  </r>
  <r>
    <s v="S925-WHI-EAR-STUD-029"/>
    <m/>
    <x v="1"/>
    <s v="Silver thunder stud earrings"/>
    <x v="428"/>
    <n v="7.0499999999999993E-2"/>
    <s v=""/>
    <s v=""/>
    <x v="1"/>
    <s v=" 7113.19.10.00"/>
    <s v=" 7113.19.00"/>
    <s v="7113.19.29.00"/>
    <s v=" Silver thunder stud earrings"/>
    <n v="8.0025880710357392E-2"/>
    <n v="9.6643787449467625E-2"/>
    <n v="0.1237096035502024"/>
    <n v="0.12662547596810114"/>
    <x v="2"/>
    <x v="16"/>
    <x v="2"/>
    <n v="0"/>
    <x v="2"/>
    <n v="0"/>
    <n v="0"/>
    <n v="0"/>
  </r>
  <r>
    <s v="S925-WHI-EAR-STUD-030"/>
    <m/>
    <x v="1"/>
    <s v="Silver north star stud earrings"/>
    <x v="428"/>
    <n v="7.0499999999999993E-2"/>
    <s v=""/>
    <s v=""/>
    <x v="1"/>
    <s v=" 7113.19.10.00"/>
    <s v=" 7113.19.00"/>
    <s v="7113.19.29.00"/>
    <s v=" Silver north star stud earrings"/>
    <n v="8.0025880710357392E-2"/>
    <n v="9.6643787449467625E-2"/>
    <n v="0.1237096035502024"/>
    <n v="0.12662547596810114"/>
    <x v="2"/>
    <x v="16"/>
    <x v="2"/>
    <n v="0"/>
    <x v="2"/>
    <n v="0"/>
    <n v="0"/>
    <n v="0"/>
  </r>
  <r>
    <s v="S925-YEL-EAR-STUD-023"/>
    <m/>
    <x v="2"/>
    <s v="GP hammered star stud earring"/>
    <x v="428"/>
    <n v="7.0499999999999993E-2"/>
    <s v=""/>
    <s v=""/>
    <x v="1"/>
    <s v=" 7113.19.10.00"/>
    <s v=" 7113.19.00"/>
    <s v="7113.19.29.00"/>
    <s v=" GP hammered star stud earring"/>
    <n v="8.0025880710357392E-2"/>
    <n v="9.6643787449467625E-2"/>
    <n v="0.1237096035502024"/>
    <n v="0.12662547596810114"/>
    <x v="2"/>
    <x v="16"/>
    <x v="2"/>
    <n v="0"/>
    <x v="2"/>
    <n v="0"/>
    <n v="0"/>
    <n v="0"/>
  </r>
  <r>
    <s v="S925-YEL-EAR-STUD-024"/>
    <m/>
    <x v="2"/>
    <s v="GP spiral/torn stud earring"/>
    <x v="428"/>
    <n v="7.0499999999999993E-2"/>
    <s v=""/>
    <s v=""/>
    <x v="1"/>
    <s v=" 7113.19.10.00"/>
    <s v=" 7113.19.00"/>
    <s v="7113.19.29.00"/>
    <s v=" GP spiral/torn stud earring"/>
    <n v="8.0025880710357392E-2"/>
    <n v="9.6643787449467625E-2"/>
    <n v="0.1237096035502024"/>
    <n v="0.12662547596810114"/>
    <x v="2"/>
    <x v="16"/>
    <x v="2"/>
    <n v="0"/>
    <x v="2"/>
    <n v="0"/>
    <n v="0"/>
    <n v="0"/>
  </r>
  <r>
    <s v="S925-YEL-EAR-STUD-025"/>
    <m/>
    <x v="2"/>
    <s v="GP flat star stud earring"/>
    <x v="428"/>
    <n v="7.0499999999999993E-2"/>
    <s v=""/>
    <s v=""/>
    <x v="1"/>
    <s v=" 7113.19.10.00"/>
    <s v=" 7113.19.00"/>
    <s v="7113.19.29.00"/>
    <s v=" GP flat star stud earring"/>
    <n v="8.0025880710357392E-2"/>
    <n v="9.6643787449467625E-2"/>
    <n v="0.1237096035502024"/>
    <n v="0.12662547596810114"/>
    <x v="2"/>
    <x v="16"/>
    <x v="2"/>
    <n v="0"/>
    <x v="2"/>
    <n v="0"/>
    <n v="0"/>
    <n v="0"/>
  </r>
  <r>
    <s v="S925-YEL-EAR-STUD-026"/>
    <m/>
    <x v="2"/>
    <s v="GP mismatch moon and star stud earrings"/>
    <x v="428"/>
    <n v="7.0499999999999993E-2"/>
    <s v=""/>
    <s v=""/>
    <x v="1"/>
    <s v=" 7113.19.10.00"/>
    <s v=" 7113.19.00"/>
    <s v="7113.19.29.00"/>
    <s v=" GP mismatch moon and star stud earrings"/>
    <n v="8.0025880710357392E-2"/>
    <n v="9.6643787449467625E-2"/>
    <n v="0.1237096035502024"/>
    <n v="0.12662547596810114"/>
    <x v="2"/>
    <x v="16"/>
    <x v="2"/>
    <n v="0"/>
    <x v="2"/>
    <n v="0"/>
    <n v="0"/>
    <n v="0"/>
  </r>
  <r>
    <s v="S925-YEL-EAR-STUD-027"/>
    <m/>
    <x v="2"/>
    <s v="GP moon stud earrings"/>
    <x v="428"/>
    <n v="7.0499999999999993E-2"/>
    <s v=""/>
    <s v=""/>
    <x v="1"/>
    <s v=" 7113.19.10.00"/>
    <s v=" 7113.19.00"/>
    <s v="7113.19.29.00"/>
    <s v=" GP moon stud earrings"/>
    <n v="8.0025880710357392E-2"/>
    <n v="9.6643787449467625E-2"/>
    <n v="0.1237096035502024"/>
    <n v="0.12662547596810114"/>
    <x v="2"/>
    <x v="16"/>
    <x v="2"/>
    <n v="0"/>
    <x v="2"/>
    <n v="0"/>
    <n v="0"/>
    <n v="0"/>
  </r>
  <r>
    <s v="S925-YEL-EAR-STUD-028"/>
    <m/>
    <x v="2"/>
    <s v="GP moon silhouette stud earrings"/>
    <x v="428"/>
    <n v="7.0499999999999993E-2"/>
    <s v=""/>
    <s v=""/>
    <x v="1"/>
    <s v=" 7113.19.10.00"/>
    <s v=" 7113.19.00"/>
    <s v="7113.19.29.00"/>
    <s v=" GP moon silhouette stud earrings"/>
    <n v="8.0025880710357392E-2"/>
    <n v="9.6643787449467625E-2"/>
    <n v="0.1237096035502024"/>
    <n v="0.12662547596810114"/>
    <x v="2"/>
    <x v="16"/>
    <x v="2"/>
    <n v="0"/>
    <x v="2"/>
    <n v="0"/>
    <n v="0"/>
    <n v="0"/>
  </r>
  <r>
    <s v="S925-YEL-EAR-STUD-029"/>
    <m/>
    <x v="1"/>
    <s v="GP thunder stud earrings"/>
    <x v="428"/>
    <n v="7.0499999999999993E-2"/>
    <s v=""/>
    <s v=""/>
    <x v="1"/>
    <s v=" 7113.19.10.00"/>
    <s v=" 7113.19.00"/>
    <s v="7113.19.29.00"/>
    <s v=" GP thunder stud earrings"/>
    <n v="8.0025880710357392E-2"/>
    <n v="9.6643787449467625E-2"/>
    <n v="0.1237096035502024"/>
    <n v="0.12662547596810114"/>
    <x v="2"/>
    <x v="16"/>
    <x v="2"/>
    <n v="0"/>
    <x v="2"/>
    <n v="0"/>
    <n v="0"/>
    <n v="0"/>
  </r>
  <r>
    <s v="S925-YEL-EAR-STUD-030"/>
    <m/>
    <x v="1"/>
    <s v="GP north star stud earrings"/>
    <x v="428"/>
    <n v="7.0499999999999993E-2"/>
    <s v=""/>
    <s v=""/>
    <x v="1"/>
    <s v=" 7113.19.10.00"/>
    <s v=" 7113.19.00"/>
    <s v="7113.19.29.00"/>
    <s v=" GP north star stud earrings"/>
    <n v="8.0025880710357392E-2"/>
    <n v="9.6643787449467625E-2"/>
    <n v="0.1237096035502024"/>
    <n v="0.12662547596810114"/>
    <x v="2"/>
    <x v="16"/>
    <x v="2"/>
    <n v="0"/>
    <x v="2"/>
    <n v="0"/>
    <n v="0"/>
    <n v="0"/>
  </r>
  <r>
    <s v="S925-WHI-EAR-STUD-031"/>
    <m/>
    <x v="2"/>
    <s v="Silver flat dot stud earrings"/>
    <x v="498"/>
    <n v="7.0499999999999993E-2"/>
    <s v=""/>
    <s v=""/>
    <x v="1"/>
    <s v=" 7113.19.10.00"/>
    <s v=" 7113.19.00"/>
    <s v="7113.19.29.00"/>
    <s v=" Silver flat dot stud earrings"/>
    <n v="8.0025880710357392E-2"/>
    <n v="9.6643787449467625E-2"/>
    <n v="0.1237096035502024"/>
    <n v="0.12662547596810114"/>
    <x v="2"/>
    <x v="16"/>
    <x v="2"/>
    <n v="0"/>
    <x v="2"/>
    <n v="0"/>
    <n v="0"/>
    <n v="0"/>
  </r>
  <r>
    <s v="S925-WHI-EAR-STUD-032"/>
    <m/>
    <x v="2"/>
    <s v="Silver flat hammered dot stud earrings"/>
    <x v="117"/>
    <n v="7.0499999999999993E-2"/>
    <s v=""/>
    <s v=""/>
    <x v="1"/>
    <s v=" 7113.19.10.00"/>
    <s v=" 7113.19.00"/>
    <s v="7113.19.29.00"/>
    <s v=" Silver flat hammered dot stud earrings"/>
    <n v="8.0025880710357392E-2"/>
    <n v="9.6643787449467625E-2"/>
    <n v="0.1237096035502024"/>
    <n v="0.12662547596810114"/>
    <x v="2"/>
    <x v="16"/>
    <x v="2"/>
    <n v="0"/>
    <x v="2"/>
    <n v="0"/>
    <n v="0"/>
    <n v="0"/>
  </r>
  <r>
    <s v="S925-WHI-EAR-STUD-033"/>
    <m/>
    <x v="2"/>
    <s v="Silver rounded dot stud earrings"/>
    <x v="499"/>
    <n v="7.0499999999999993E-2"/>
    <s v=""/>
    <s v=""/>
    <x v="1"/>
    <s v=" 7113.19.10.00"/>
    <s v=" 7113.19.00"/>
    <s v="7113.19.29.00"/>
    <s v=" Silver rounded dot stud earrings"/>
    <n v="8.0025880710357392E-2"/>
    <n v="9.6643787449467625E-2"/>
    <n v="0.1237096035502024"/>
    <n v="0.12662547596810114"/>
    <x v="2"/>
    <x v="16"/>
    <x v="2"/>
    <n v="0"/>
    <x v="2"/>
    <n v="0"/>
    <n v="0"/>
    <n v="0"/>
  </r>
  <r>
    <s v="S925-WHI-EAR-STUD-034"/>
    <m/>
    <x v="2"/>
    <s v="Silver big circumference stud earrings"/>
    <x v="451"/>
    <n v="7.0499999999999993E-2"/>
    <s v="925 Silver"/>
    <s v=""/>
    <x v="0"/>
    <s v="7113.11.10.00"/>
    <s v="7113.11.00"/>
    <s v="7113.11.10.00"/>
    <s v=" Silver big circumference stud earrings"/>
    <n v="8.0025880710357392E-2"/>
    <n v="9.6643787449467625E-2"/>
    <n v="0.1237096035502024"/>
    <n v="0.12662547596810114"/>
    <x v="2"/>
    <x v="13"/>
    <x v="2"/>
    <n v="0"/>
    <x v="2"/>
    <n v="0"/>
    <n v="0"/>
    <n v="0"/>
  </r>
  <r>
    <s v="S925-WHI-EAR-STUD-035"/>
    <m/>
    <x v="2"/>
    <s v="Silver big hammered circumference stud earrings"/>
    <x v="500"/>
    <n v="7.0499999999999993E-2"/>
    <s v="925 Silver"/>
    <s v=""/>
    <x v="0"/>
    <s v="7113.11.10.00"/>
    <s v="7113.11.00"/>
    <s v="7113.11.10.00"/>
    <s v=" Silver big hammered circumference stud earrings"/>
    <n v="8.0025880710357392E-2"/>
    <n v="9.6643787449467625E-2"/>
    <n v="0.1237096035502024"/>
    <n v="0.12662547596810114"/>
    <x v="2"/>
    <x v="13"/>
    <x v="2"/>
    <n v="0"/>
    <x v="2"/>
    <n v="0"/>
    <n v="0"/>
    <n v="0"/>
  </r>
  <r>
    <s v="S925-WHI-EAR-STUD-036"/>
    <m/>
    <x v="2"/>
    <s v="Silver medium size circumference stud earrings"/>
    <x v="480"/>
    <n v="7.0499999999999993E-2"/>
    <s v=""/>
    <s v=""/>
    <x v="1"/>
    <s v=" 7113.19.10.00"/>
    <s v=" 7113.19.00"/>
    <s v="7113.19.29.00"/>
    <s v=" Silver medium size circumference stud earrings"/>
    <n v="8.0025880710357392E-2"/>
    <n v="9.6643787449467625E-2"/>
    <n v="0.1237096035502024"/>
    <n v="0.12662547596810114"/>
    <x v="2"/>
    <x v="16"/>
    <x v="2"/>
    <n v="0"/>
    <x v="2"/>
    <n v="0"/>
    <n v="0"/>
    <n v="0"/>
  </r>
  <r>
    <s v="S925-WHI-EAR-STUD-037"/>
    <m/>
    <x v="2"/>
    <s v="Silver polished bar stud earrings"/>
    <x v="436"/>
    <n v="7.0499999999999993E-2"/>
    <s v=""/>
    <s v=""/>
    <x v="1"/>
    <s v=" 7113.19.10.00"/>
    <s v=" 7113.19.00"/>
    <s v="7113.19.29.00"/>
    <s v=" Silver polished bar stud earrings"/>
    <n v="8.0025880710357392E-2"/>
    <n v="9.6643787449467625E-2"/>
    <n v="0.1237096035502024"/>
    <n v="0.12662547596810114"/>
    <x v="2"/>
    <x v="16"/>
    <x v="2"/>
    <n v="0"/>
    <x v="2"/>
    <n v="0"/>
    <n v="0"/>
    <n v="0"/>
  </r>
  <r>
    <s v="S925-WHI-EAR-STUD-038"/>
    <m/>
    <x v="2"/>
    <s v="Silver hammered bar stud earrings"/>
    <x v="436"/>
    <n v="7.0499999999999993E-2"/>
    <s v=""/>
    <s v=""/>
    <x v="1"/>
    <s v=" 7113.19.10.00"/>
    <s v=" 7113.19.00"/>
    <s v="7113.19.29.00"/>
    <s v=" Silver hammered bar stud earrings"/>
    <n v="8.0025880710357392E-2"/>
    <n v="9.6643787449467625E-2"/>
    <n v="0.1237096035502024"/>
    <n v="0.12662547596810114"/>
    <x v="2"/>
    <x v="16"/>
    <x v="2"/>
    <n v="0"/>
    <x v="2"/>
    <n v="0"/>
    <n v="0"/>
    <n v="0"/>
  </r>
  <r>
    <s v="S925-WHI-EAR-STUD-039"/>
    <m/>
    <x v="2"/>
    <s v="Silver polished triangle stud earrings"/>
    <x v="501"/>
    <n v="7.0499999999999993E-2"/>
    <s v=""/>
    <s v=""/>
    <x v="1"/>
    <s v=" 7113.19.10.00"/>
    <s v=" 7113.19.00"/>
    <s v="7113.19.29.00"/>
    <s v=" Silver polished triangle stud earrings"/>
    <n v="8.0025880710357392E-2"/>
    <n v="9.6643787449467625E-2"/>
    <n v="0.1237096035502024"/>
    <n v="0.12662547596810114"/>
    <x v="2"/>
    <x v="16"/>
    <x v="2"/>
    <n v="0"/>
    <x v="2"/>
    <n v="0"/>
    <n v="0"/>
    <n v="0"/>
  </r>
  <r>
    <s v="S925-WHI-EAR-STUD-040"/>
    <m/>
    <x v="2"/>
    <s v="Silver hammered triangle stud earrings"/>
    <x v="502"/>
    <n v="7.0499999999999993E-2"/>
    <s v=""/>
    <s v=""/>
    <x v="1"/>
    <s v=" 7113.19.10.00"/>
    <s v=" 7113.19.00"/>
    <s v="7113.19.29.00"/>
    <s v=" Silver hammered triangle stud earrings"/>
    <n v="8.0025880710357392E-2"/>
    <n v="9.6643787449467625E-2"/>
    <n v="0.1237096035502024"/>
    <n v="0.12662547596810114"/>
    <x v="2"/>
    <x v="16"/>
    <x v="2"/>
    <n v="0"/>
    <x v="2"/>
    <n v="0"/>
    <n v="0"/>
    <n v="0"/>
  </r>
  <r>
    <s v="S925-WHI-EAR-STUD-041"/>
    <m/>
    <x v="2"/>
    <s v="Silver polished hexagon stud earrings"/>
    <x v="314"/>
    <n v="7.0499999999999993E-2"/>
    <s v=""/>
    <s v=""/>
    <x v="1"/>
    <s v=" 7113.19.10.00"/>
    <s v=" 7113.19.00"/>
    <s v="7113.19.29.00"/>
    <s v=" Silver polished hexagon stud earrings"/>
    <n v="8.0025880710357392E-2"/>
    <n v="9.6643787449467625E-2"/>
    <n v="0.1237096035502024"/>
    <n v="0.12662547596810114"/>
    <x v="2"/>
    <x v="16"/>
    <x v="2"/>
    <n v="0"/>
    <x v="2"/>
    <n v="0"/>
    <n v="0"/>
    <n v="0"/>
  </r>
  <r>
    <s v="S925-WHI-EAR-STUD-042"/>
    <m/>
    <x v="2"/>
    <s v="Silver hammered hexagon stud earrings"/>
    <x v="503"/>
    <n v="7.0499999999999993E-2"/>
    <s v=""/>
    <s v=""/>
    <x v="1"/>
    <s v=" 7113.19.10.00"/>
    <s v=" 7113.19.00"/>
    <s v="7113.19.29.00"/>
    <s v=" Silver hammered hexagon stud earrings"/>
    <n v="8.0025880710357392E-2"/>
    <n v="9.6643787449467625E-2"/>
    <n v="0.1237096035502024"/>
    <n v="0.12662547596810114"/>
    <x v="2"/>
    <x v="16"/>
    <x v="2"/>
    <n v="0"/>
    <x v="2"/>
    <n v="0"/>
    <n v="0"/>
    <n v="0"/>
  </r>
  <r>
    <s v="S925-WHI-EAR-STUD-043"/>
    <m/>
    <x v="2"/>
    <s v="Silver polished square stud earrings"/>
    <x v="234"/>
    <n v="7.0499999999999993E-2"/>
    <s v=""/>
    <s v=""/>
    <x v="1"/>
    <s v=" 7113.19.10.00"/>
    <s v=" 7113.19.00"/>
    <s v="7113.19.29.00"/>
    <s v=" Silver polished square stud earrings"/>
    <n v="8.0025880710357392E-2"/>
    <n v="9.6643787449467625E-2"/>
    <n v="0.1237096035502024"/>
    <n v="0.12662547596810114"/>
    <x v="2"/>
    <x v="16"/>
    <x v="2"/>
    <n v="0"/>
    <x v="2"/>
    <n v="0"/>
    <n v="0"/>
    <n v="0"/>
  </r>
  <r>
    <s v="S925-WHI-EAR-STUD-044"/>
    <m/>
    <x v="2"/>
    <s v="Silver polished infinity stud earrings"/>
    <x v="429"/>
    <n v="7.0499999999999993E-2"/>
    <s v=""/>
    <s v=""/>
    <x v="1"/>
    <s v=" 7113.19.10.00"/>
    <s v=" 7113.19.00"/>
    <s v="7113.19.29.00"/>
    <s v=" Silver polished infinity stud earrings"/>
    <n v="8.0025880710357392E-2"/>
    <n v="9.6643787449467625E-2"/>
    <n v="0.1237096035502024"/>
    <n v="0.12662547596810114"/>
    <x v="2"/>
    <x v="16"/>
    <x v="2"/>
    <n v="0"/>
    <x v="2"/>
    <n v="0"/>
    <n v="0"/>
    <n v="0"/>
  </r>
  <r>
    <s v="S925-YEL-EAR-STUD-031"/>
    <m/>
    <x v="2"/>
    <s v="GP flat dot stud earrings"/>
    <x v="498"/>
    <n v="7.0499999999999993E-2"/>
    <s v=""/>
    <s v=""/>
    <x v="1"/>
    <s v=" 7113.19.10.00"/>
    <s v=" 7113.19.00"/>
    <s v="7113.19.29.00"/>
    <s v=" GP flat dot stud earrings"/>
    <n v="8.0025880710357392E-2"/>
    <n v="9.6643787449467625E-2"/>
    <n v="0.1237096035502024"/>
    <n v="0.12662547596810114"/>
    <x v="2"/>
    <x v="16"/>
    <x v="2"/>
    <n v="0"/>
    <x v="2"/>
    <n v="0"/>
    <n v="0"/>
    <n v="0"/>
  </r>
  <r>
    <s v="S925-YEL-EAR-STUD-032"/>
    <m/>
    <x v="2"/>
    <s v="GP flat hammered dot stud earrings"/>
    <x v="117"/>
    <n v="7.0499999999999993E-2"/>
    <s v=""/>
    <s v=""/>
    <x v="1"/>
    <s v=" 7113.19.10.00"/>
    <s v=" 7113.19.00"/>
    <s v="7113.19.29.00"/>
    <s v=" GP flat hammered dot stud earrings"/>
    <n v="8.0025880710357392E-2"/>
    <n v="9.6643787449467625E-2"/>
    <n v="0.1237096035502024"/>
    <n v="0.12662547596810114"/>
    <x v="2"/>
    <x v="16"/>
    <x v="2"/>
    <n v="0"/>
    <x v="2"/>
    <n v="0"/>
    <n v="0"/>
    <n v="0"/>
  </r>
  <r>
    <s v="S925-YEL-EAR-STUD-033"/>
    <m/>
    <x v="2"/>
    <s v="GP rounded dot stud earrings"/>
    <x v="499"/>
    <n v="7.0499999999999993E-2"/>
    <s v=""/>
    <s v=""/>
    <x v="1"/>
    <s v=" 7113.19.10.00"/>
    <s v=" 7113.19.00"/>
    <s v="7113.19.29.00"/>
    <s v=" GP rounded dot stud earrings"/>
    <n v="8.0025880710357392E-2"/>
    <n v="9.6643787449467625E-2"/>
    <n v="0.1237096035502024"/>
    <n v="0.12662547596810114"/>
    <x v="2"/>
    <x v="16"/>
    <x v="2"/>
    <n v="0"/>
    <x v="2"/>
    <n v="0"/>
    <n v="0"/>
    <n v="0"/>
  </r>
  <r>
    <s v="S925-YEL-EAR-STUD-034"/>
    <m/>
    <x v="2"/>
    <s v="GP big circumference stud earrings"/>
    <x v="110"/>
    <n v="7.0499999999999993E-2"/>
    <s v="925 Silver"/>
    <s v=""/>
    <x v="0"/>
    <s v="7113.11.10.00"/>
    <s v="7113.11.00"/>
    <s v="7113.11.10.00"/>
    <s v=" GP big circumference stud earrings"/>
    <n v="8.0025880710357392E-2"/>
    <n v="9.6643787449467625E-2"/>
    <n v="0.1237096035502024"/>
    <n v="0.12662547596810114"/>
    <x v="2"/>
    <x v="13"/>
    <x v="2"/>
    <n v="0"/>
    <x v="2"/>
    <n v="0"/>
    <n v="0"/>
    <n v="0"/>
  </r>
  <r>
    <s v="S925-YEL-EAR-STUD-035"/>
    <m/>
    <x v="2"/>
    <s v="GP big hammered circumference stud earrings"/>
    <x v="312"/>
    <n v="7.0499999999999993E-2"/>
    <s v="925 Silver"/>
    <s v=""/>
    <x v="0"/>
    <s v="7113.11.10.00"/>
    <s v="7113.11.00"/>
    <s v="7113.11.10.00"/>
    <s v=" GP big hammered circumference stud earrings"/>
    <n v="8.0025880710357392E-2"/>
    <n v="9.6643787449467625E-2"/>
    <n v="0.1237096035502024"/>
    <n v="0.12662547596810114"/>
    <x v="2"/>
    <x v="13"/>
    <x v="2"/>
    <n v="0"/>
    <x v="2"/>
    <n v="0"/>
    <n v="0"/>
    <n v="0"/>
  </r>
  <r>
    <s v="S925-YEL-EAR-STUD-036"/>
    <m/>
    <x v="2"/>
    <s v="GP medium size circumference stud earrings"/>
    <x v="476"/>
    <n v="7.0499999999999993E-2"/>
    <s v=""/>
    <s v=""/>
    <x v="1"/>
    <s v=" 7113.19.10.00"/>
    <s v=" 7113.19.00"/>
    <s v="7113.19.29.00"/>
    <s v=" GP medium size circumference stud earrings"/>
    <n v="8.0025880710357392E-2"/>
    <n v="9.6643787449467625E-2"/>
    <n v="0.1237096035502024"/>
    <n v="0.12662547596810114"/>
    <x v="2"/>
    <x v="16"/>
    <x v="2"/>
    <n v="0"/>
    <x v="2"/>
    <n v="0"/>
    <n v="0"/>
    <n v="0"/>
  </r>
  <r>
    <s v="S925-YEL-EAR-STUD-037"/>
    <m/>
    <x v="2"/>
    <s v="GP polished bar stud earrings"/>
    <x v="480"/>
    <n v="7.0499999999999993E-2"/>
    <s v=""/>
    <s v=""/>
    <x v="1"/>
    <s v=" 7113.19.10.00"/>
    <s v=" 7113.19.00"/>
    <s v="7113.19.29.00"/>
    <s v=" GP polished bar stud earrings"/>
    <n v="8.0025880710357392E-2"/>
    <n v="9.6643787449467625E-2"/>
    <n v="0.1237096035502024"/>
    <n v="0.12662547596810114"/>
    <x v="2"/>
    <x v="16"/>
    <x v="2"/>
    <n v="0"/>
    <x v="2"/>
    <n v="0"/>
    <n v="0"/>
    <n v="0"/>
  </r>
  <r>
    <s v="S925-YEL-EAR-STUD-038"/>
    <m/>
    <x v="2"/>
    <s v="GP hammered bar stud earrings"/>
    <x v="436"/>
    <n v="7.0499999999999993E-2"/>
    <s v=""/>
    <s v=""/>
    <x v="1"/>
    <s v=" 7113.19.10.00"/>
    <s v=" 7113.19.00"/>
    <s v="7113.19.29.00"/>
    <s v=" GP hammered bar stud earrings"/>
    <n v="8.0025880710357392E-2"/>
    <n v="9.6643787449467625E-2"/>
    <n v="0.1237096035502024"/>
    <n v="0.12662547596810114"/>
    <x v="2"/>
    <x v="16"/>
    <x v="2"/>
    <n v="0"/>
    <x v="2"/>
    <n v="0"/>
    <n v="0"/>
    <n v="0"/>
  </r>
  <r>
    <s v="S925-YEL-EAR-STUD-039"/>
    <m/>
    <x v="2"/>
    <s v="GP polished triangle stud earrings"/>
    <x v="501"/>
    <n v="7.0499999999999993E-2"/>
    <s v=""/>
    <s v=""/>
    <x v="1"/>
    <s v=" 7113.19.10.00"/>
    <s v=" 7113.19.00"/>
    <s v="7113.19.29.00"/>
    <s v=" GP polished triangle stud earrings"/>
    <n v="8.0025880710357392E-2"/>
    <n v="9.6643787449467625E-2"/>
    <n v="0.1237096035502024"/>
    <n v="0.12662547596810114"/>
    <x v="2"/>
    <x v="16"/>
    <x v="2"/>
    <n v="0"/>
    <x v="2"/>
    <n v="0"/>
    <n v="0"/>
    <n v="0"/>
  </r>
  <r>
    <s v="S925-YEL-EAR-STUD-040"/>
    <m/>
    <x v="2"/>
    <s v="GP hammered triangle stud earrings"/>
    <x v="502"/>
    <n v="7.0499999999999993E-2"/>
    <s v=""/>
    <s v=""/>
    <x v="1"/>
    <s v=" 7113.19.10.00"/>
    <s v=" 7113.19.00"/>
    <s v="7113.19.29.00"/>
    <s v=" GP hammered triangle stud earrings"/>
    <n v="8.0025880710357392E-2"/>
    <n v="9.6643787449467625E-2"/>
    <n v="0.1237096035502024"/>
    <n v="0.12662547596810114"/>
    <x v="2"/>
    <x v="16"/>
    <x v="2"/>
    <n v="0"/>
    <x v="2"/>
    <n v="0"/>
    <n v="0"/>
    <n v="0"/>
  </r>
  <r>
    <s v="S925-YEL-EAR-STUD-041"/>
    <m/>
    <x v="2"/>
    <s v="GP polished hexagon stud earrings"/>
    <x v="314"/>
    <n v="7.0499999999999993E-2"/>
    <s v=""/>
    <s v=""/>
    <x v="1"/>
    <s v=" 7113.19.10.00"/>
    <s v=" 7113.19.00"/>
    <s v="7113.19.29.00"/>
    <s v=" GP polished hexagon stud earrings"/>
    <n v="8.0025880710357392E-2"/>
    <n v="9.6643787449467625E-2"/>
    <n v="0.1237096035502024"/>
    <n v="0.12662547596810114"/>
    <x v="2"/>
    <x v="16"/>
    <x v="2"/>
    <n v="0"/>
    <x v="2"/>
    <n v="0"/>
    <n v="0"/>
    <n v="0"/>
  </r>
  <r>
    <s v="S925-YEL-EAR-STUD-042"/>
    <m/>
    <x v="2"/>
    <s v="GP hammered hexagon stud earrings"/>
    <x v="503"/>
    <n v="7.0499999999999993E-2"/>
    <s v=""/>
    <s v=""/>
    <x v="1"/>
    <s v=" 7113.19.10.00"/>
    <s v=" 7113.19.00"/>
    <s v="7113.19.29.00"/>
    <s v=" GP hammered hexagon stud earrings"/>
    <n v="8.0025880710357392E-2"/>
    <n v="9.6643787449467625E-2"/>
    <n v="0.1237096035502024"/>
    <n v="0.12662547596810114"/>
    <x v="2"/>
    <x v="16"/>
    <x v="2"/>
    <n v="0"/>
    <x v="2"/>
    <n v="0"/>
    <n v="0"/>
    <n v="0"/>
  </r>
  <r>
    <s v="S925-YEL-EAR-STUD-043"/>
    <m/>
    <x v="2"/>
    <s v="GP polished square stud earrings"/>
    <x v="234"/>
    <n v="7.0499999999999993E-2"/>
    <s v=""/>
    <s v=""/>
    <x v="1"/>
    <s v=" 7113.19.10.00"/>
    <s v=" 7113.19.00"/>
    <s v="7113.19.29.00"/>
    <s v=" GP polished square stud earrings"/>
    <n v="8.0025880710357392E-2"/>
    <n v="9.6643787449467625E-2"/>
    <n v="0.1237096035502024"/>
    <n v="0.12662547596810114"/>
    <x v="2"/>
    <x v="16"/>
    <x v="2"/>
    <n v="0"/>
    <x v="2"/>
    <n v="0"/>
    <n v="0"/>
    <n v="0"/>
  </r>
  <r>
    <s v="S925-YEL-EAR-STUD-044"/>
    <m/>
    <x v="2"/>
    <s v="GP polished infinity stud earrings"/>
    <x v="502"/>
    <n v="7.0499999999999993E-2"/>
    <s v=""/>
    <s v=""/>
    <x v="1"/>
    <s v=" 7113.19.10.00"/>
    <s v=" 7113.19.00"/>
    <s v="7113.19.29.00"/>
    <s v=" GP polished infinity stud earrings"/>
    <n v="8.0025880710357392E-2"/>
    <n v="9.6643787449467625E-2"/>
    <n v="0.1237096035502024"/>
    <n v="0.12662547596810114"/>
    <x v="2"/>
    <x v="16"/>
    <x v="2"/>
    <n v="0"/>
    <x v="2"/>
    <n v="0"/>
    <n v="0"/>
    <n v="0"/>
  </r>
  <r>
    <s v="S925-WHI-COM-EAR-002"/>
    <m/>
    <x v="2"/>
    <s v="Silver ear studs sets (3pairs): Ball  small circumference and rounded bar"/>
    <x v="428"/>
    <n v="7.0499999999999993E-2"/>
    <s v=""/>
    <s v=""/>
    <x v="1"/>
    <s v=" 7113.19.10.00"/>
    <s v=" 7113.19.00"/>
    <s v="7113.19.29.00"/>
    <s v=" Silver ear studs sets (3pairs): Ball  small circumference and rounded bar"/>
    <n v="8.0025880710357392E-2"/>
    <n v="9.6643787449467625E-2"/>
    <n v="0.1237096035502024"/>
    <n v="0.12662547596810114"/>
    <x v="2"/>
    <x v="16"/>
    <x v="2"/>
    <n v="0"/>
    <x v="2"/>
    <n v="0"/>
    <n v="0"/>
    <n v="0"/>
  </r>
  <r>
    <s v="S925-WHI-COM-EAR-003"/>
    <m/>
    <x v="2"/>
    <s v="Silver ear studs sets (3pairs): Bezel CZ  ball  medium circumference"/>
    <x v="428"/>
    <n v="7.0499999999999993E-2"/>
    <s v=""/>
    <s v=""/>
    <x v="1"/>
    <s v=" 7113.19.10.00"/>
    <s v=" 7113.19.00"/>
    <s v="7113.19.29.00"/>
    <s v=" Silver ear studs sets (3pairs): Bezel CZ  ball  medium circumference"/>
    <n v="8.0025880710357392E-2"/>
    <n v="9.6643787449467625E-2"/>
    <n v="0.1237096035502024"/>
    <n v="0.12662547596810114"/>
    <x v="2"/>
    <x v="16"/>
    <x v="2"/>
    <n v="0"/>
    <x v="2"/>
    <n v="0"/>
    <n v="0"/>
    <n v="0"/>
  </r>
  <r>
    <s v="S925-WHI-COM-EAR-004"/>
    <m/>
    <x v="2"/>
    <s v="Silver ear studs sets (3pairs): Ball  flat dot  rounded bar"/>
    <x v="428"/>
    <n v="7.0499999999999993E-2"/>
    <s v=""/>
    <s v=""/>
    <x v="1"/>
    <s v=" 7113.19.10.00"/>
    <s v=" 7113.19.00"/>
    <s v="7113.19.29.00"/>
    <s v=" Silver ear studs sets (3pairs): Ball  flat dot  rounded bar"/>
    <n v="8.0025880710357392E-2"/>
    <n v="9.6643787449467625E-2"/>
    <n v="0.1237096035502024"/>
    <n v="0.12662547596810114"/>
    <x v="2"/>
    <x v="16"/>
    <x v="2"/>
    <n v="0"/>
    <x v="2"/>
    <n v="0"/>
    <n v="0"/>
    <n v="0"/>
  </r>
  <r>
    <s v="S925-WHI-COM-EAR-005"/>
    <m/>
    <x v="2"/>
    <s v="Silver ear studs sets (3pairs): Ball  hammerd dot  square bar"/>
    <x v="428"/>
    <n v="7.0499999999999993E-2"/>
    <s v=""/>
    <s v=""/>
    <x v="1"/>
    <s v=" 7113.19.10.00"/>
    <s v=" 7113.19.00"/>
    <s v="7113.19.29.00"/>
    <s v=" Silver ear studs sets (3pairs): Ball  hammerd dot  square bar"/>
    <n v="8.0025880710357392E-2"/>
    <n v="9.6643787449467625E-2"/>
    <n v="0.1237096035502024"/>
    <n v="0.12662547596810114"/>
    <x v="2"/>
    <x v="16"/>
    <x v="2"/>
    <n v="0"/>
    <x v="2"/>
    <n v="0"/>
    <n v="0"/>
    <n v="0"/>
  </r>
  <r>
    <s v="S925-WHI-COM-EAR-006"/>
    <m/>
    <x v="2"/>
    <s v="Silver ear studs sets (3pairs): Small triangle  flat dot  flat square"/>
    <x v="428"/>
    <n v="7.0499999999999993E-2"/>
    <s v=""/>
    <s v=""/>
    <x v="1"/>
    <s v=" 7113.19.10.00"/>
    <s v=" 7113.19.00"/>
    <s v="7113.19.29.00"/>
    <s v=" Silver ear studs sets (3pairs): Small triangle  flat dot  flat square"/>
    <n v="8.0025880710357392E-2"/>
    <n v="9.6643787449467625E-2"/>
    <n v="0.1237096035502024"/>
    <n v="0.12662547596810114"/>
    <x v="2"/>
    <x v="16"/>
    <x v="2"/>
    <n v="0"/>
    <x v="2"/>
    <n v="0"/>
    <n v="0"/>
    <n v="0"/>
  </r>
  <r>
    <s v="S925-WHI-COM-EAR-007"/>
    <m/>
    <x v="2"/>
    <s v="Silver ear studs sets (3pairs): Star silhouette  torn  moon"/>
    <x v="428"/>
    <n v="7.0499999999999993E-2"/>
    <s v=""/>
    <s v=""/>
    <x v="1"/>
    <s v=" 7113.19.10.00"/>
    <s v=" 7113.19.00"/>
    <s v="7113.19.29.00"/>
    <s v=" Silver ear studs sets (3pairs): Star silhouette  torn  moon"/>
    <n v="8.0025880710357392E-2"/>
    <n v="9.6643787449467625E-2"/>
    <n v="0.1237096035502024"/>
    <n v="0.12662547596810114"/>
    <x v="2"/>
    <x v="16"/>
    <x v="2"/>
    <n v="0"/>
    <x v="2"/>
    <n v="0"/>
    <n v="0"/>
    <n v="0"/>
  </r>
  <r>
    <s v="S925-WHI-COM-EAR-008"/>
    <m/>
    <x v="1"/>
    <s v="Silver ear studs sets (3pairs): Ball  CZ Star  CZ Moon"/>
    <x v="428"/>
    <n v="7.0499999999999993E-2"/>
    <s v=""/>
    <s v=""/>
    <x v="1"/>
    <s v=" 7113.19.10.00"/>
    <s v=" 7113.19.00"/>
    <s v="7113.19.29.00"/>
    <s v=" Silver ear studs sets (3pairs): Ball  CZ Star  CZ Moon"/>
    <n v="8.0025880710357392E-2"/>
    <n v="9.6643787449467625E-2"/>
    <n v="0.1237096035502024"/>
    <n v="0.12662547596810114"/>
    <x v="2"/>
    <x v="16"/>
    <x v="2"/>
    <n v="0"/>
    <x v="2"/>
    <n v="0"/>
    <n v="0"/>
    <n v="0"/>
  </r>
  <r>
    <s v="S925-WHI-COM-EAR-009"/>
    <m/>
    <x v="1"/>
    <s v="Silver ear studs sets (3pairs): Ball  heart  CZ heart"/>
    <x v="428"/>
    <n v="7.0499999999999993E-2"/>
    <s v=""/>
    <s v=""/>
    <x v="1"/>
    <s v=" 7113.19.10.00"/>
    <s v=" 7113.19.00"/>
    <s v="7113.19.29.00"/>
    <s v=" Silver ear studs sets (3pairs): Ball  heart  CZ heart"/>
    <n v="8.0025880710357392E-2"/>
    <n v="9.6643787449467625E-2"/>
    <n v="0.1237096035502024"/>
    <n v="0.12662547596810114"/>
    <x v="2"/>
    <x v="16"/>
    <x v="2"/>
    <n v="0"/>
    <x v="2"/>
    <n v="0"/>
    <n v="0"/>
    <n v="0"/>
  </r>
  <r>
    <s v="S925-WHI-PEN-COIN-HAM-001"/>
    <m/>
    <x v="2"/>
    <s v="Silver hammered flat coin pendant"/>
    <x v="428"/>
    <n v="7.0499999999999993E-2"/>
    <s v=""/>
    <s v=""/>
    <x v="1"/>
    <s v=" 7113.19.10.00"/>
    <s v=" 7113.19.00"/>
    <s v="7113.19.29.00"/>
    <s v=" Silver hammered flat coin pendant"/>
    <n v="8.0025880710357392E-2"/>
    <n v="9.6643787449467625E-2"/>
    <n v="0.1237096035502024"/>
    <n v="0.12662547596810114"/>
    <x v="2"/>
    <x v="16"/>
    <x v="2"/>
    <n v="0"/>
    <x v="2"/>
    <n v="0"/>
    <n v="0"/>
    <n v="0"/>
  </r>
  <r>
    <s v="S925-WHI-PEN-COIN-HAM-002"/>
    <m/>
    <x v="2"/>
    <s v="Silver hammered wavy coin pendant"/>
    <x v="428"/>
    <n v="7.0499999999999993E-2"/>
    <s v=""/>
    <s v=""/>
    <x v="1"/>
    <s v=" 7113.19.10.00"/>
    <s v=" 7113.19.00"/>
    <s v="7113.19.29.00"/>
    <s v=" Silver hammered wavy coin pendant"/>
    <n v="8.0025880710357392E-2"/>
    <n v="9.6643787449467625E-2"/>
    <n v="0.1237096035502024"/>
    <n v="0.12662547596810114"/>
    <x v="2"/>
    <x v="16"/>
    <x v="2"/>
    <n v="0"/>
    <x v="2"/>
    <n v="0"/>
    <n v="0"/>
    <n v="0"/>
  </r>
  <r>
    <s v="G10K-YEL-BRA-CHA-004-200"/>
    <s v="B09KSB4XFK"/>
    <x v="1"/>
    <s v="Flat Curb Chain Bracelet - Width 5.8 mm - Length 20 cm"/>
    <x v="504"/>
    <n v="140.32079999999999"/>
    <s v="9K Gold"/>
    <s v="Bracelet"/>
    <x v="1"/>
    <s v=" 7113.19.10.00"/>
    <s v=" 7113.19.00"/>
    <s v="7113.19.10.00"/>
    <s v="B09KSB4XFK Flat Curb Chain Bracelet - Width 5.8 mm - Length 20 cm"/>
    <n v="159.28078868059455"/>
    <n v="192.35650453814549"/>
    <n v="246.2273835155637"/>
    <n v="252.03103671240746"/>
    <x v="2"/>
    <x v="12"/>
    <x v="2"/>
    <n v="0"/>
    <x v="2"/>
    <n v="0"/>
    <n v="0"/>
    <n v="0"/>
  </r>
  <r>
    <s v="S925-YEL-PEN-COIN-HAM-001"/>
    <m/>
    <x v="2"/>
    <s v="GP hammered flat coin pendant"/>
    <x v="428"/>
    <n v="7.0499999999999993E-2"/>
    <s v=""/>
    <s v=""/>
    <x v="1"/>
    <s v=" 7113.19.10.00"/>
    <s v=" 7113.19.00"/>
    <s v="7113.19.29.00"/>
    <s v=" GP hammered flat coin pendant"/>
    <n v="8.0025880710357392E-2"/>
    <n v="9.6643787449467625E-2"/>
    <n v="0.1237096035502024"/>
    <n v="0.12662547596810114"/>
    <x v="2"/>
    <x v="16"/>
    <x v="2"/>
    <n v="0"/>
    <x v="2"/>
    <n v="0"/>
    <n v="0"/>
    <n v="0"/>
  </r>
  <r>
    <s v="S925-YEL-PEN-COIN-HAM-002"/>
    <m/>
    <x v="2"/>
    <s v="GP hammered wavy coin pendant"/>
    <x v="428"/>
    <n v="7.0499999999999993E-2"/>
    <s v=""/>
    <s v=""/>
    <x v="1"/>
    <s v=" 7113.19.10.00"/>
    <s v=" 7113.19.00"/>
    <s v="7113.19.29.00"/>
    <s v=" GP hammered wavy coin pendant"/>
    <n v="8.0025880710357392E-2"/>
    <n v="9.6643787449467625E-2"/>
    <n v="0.1237096035502024"/>
    <n v="0.12662547596810114"/>
    <x v="2"/>
    <x v="16"/>
    <x v="2"/>
    <n v="0"/>
    <x v="2"/>
    <n v="0"/>
    <n v="0"/>
    <n v="0"/>
  </r>
  <r>
    <s v="S925-YEL-PEN-COIN-002"/>
    <m/>
    <x v="2"/>
    <s v="GP polished flat coin pendant"/>
    <x v="428"/>
    <n v="7.0499999999999993E-2"/>
    <s v=""/>
    <s v=""/>
    <x v="1"/>
    <s v=" 7113.19.10.00"/>
    <s v=" 7113.19.00"/>
    <s v="7113.19.29.00"/>
    <s v=" GP polished flat coin pendant"/>
    <n v="8.0025880710357392E-2"/>
    <n v="9.6643787449467625E-2"/>
    <n v="0.1237096035502024"/>
    <n v="0.12662547596810114"/>
    <x v="2"/>
    <x v="16"/>
    <x v="2"/>
    <n v="0"/>
    <x v="2"/>
    <n v="0"/>
    <n v="0"/>
    <n v="0"/>
  </r>
  <r>
    <s v="S925-WHI-EAR-DROP-020"/>
    <m/>
    <x v="2"/>
    <s v="Silver hammered coin drop earrings"/>
    <x v="428"/>
    <n v="7.0499999999999993E-2"/>
    <s v=""/>
    <s v=""/>
    <x v="1"/>
    <s v=" 7113.19.10.00"/>
    <s v=" 7113.19.00"/>
    <s v="7113.19.29.00"/>
    <s v=" Silver hammered coin drop earrings"/>
    <n v="8.0025880710357392E-2"/>
    <n v="9.6643787449467625E-2"/>
    <n v="0.1237096035502024"/>
    <n v="0.12662547596810114"/>
    <x v="2"/>
    <x v="16"/>
    <x v="2"/>
    <n v="0"/>
    <x v="2"/>
    <n v="0"/>
    <n v="0"/>
    <n v="0"/>
  </r>
  <r>
    <s v="S925-WHI-EAR-DROP-021"/>
    <m/>
    <x v="2"/>
    <s v="Silver polished coin drop earrings"/>
    <x v="428"/>
    <n v="7.0499999999999993E-2"/>
    <s v=""/>
    <s v=""/>
    <x v="1"/>
    <s v=" 7113.19.10.00"/>
    <s v=" 7113.19.00"/>
    <s v="7113.19.29.00"/>
    <s v=" Silver polished coin drop earrings"/>
    <n v="8.0025880710357392E-2"/>
    <n v="9.6643787449467625E-2"/>
    <n v="0.1237096035502024"/>
    <n v="0.12662547596810114"/>
    <x v="2"/>
    <x v="16"/>
    <x v="2"/>
    <n v="0"/>
    <x v="2"/>
    <n v="0"/>
    <n v="0"/>
    <n v="0"/>
  </r>
  <r>
    <s v="S925-YEL-EAR-DROP-020"/>
    <m/>
    <x v="2"/>
    <s v="GP hammered coin drop earrings"/>
    <x v="428"/>
    <n v="7.0499999999999993E-2"/>
    <s v=""/>
    <s v=""/>
    <x v="1"/>
    <s v=" 7113.19.10.00"/>
    <s v=" 7113.19.00"/>
    <s v="7113.19.29.00"/>
    <s v=" GP hammered coin drop earrings"/>
    <n v="8.0025880710357392E-2"/>
    <n v="9.6643787449467625E-2"/>
    <n v="0.1237096035502024"/>
    <n v="0.12662547596810114"/>
    <x v="2"/>
    <x v="16"/>
    <x v="2"/>
    <n v="0"/>
    <x v="2"/>
    <n v="0"/>
    <n v="0"/>
    <n v="0"/>
  </r>
  <r>
    <s v="S925-YEL-EAR-DROP-021"/>
    <m/>
    <x v="2"/>
    <s v="GP polished coin drop earrings"/>
    <x v="428"/>
    <n v="7.0499999999999993E-2"/>
    <s v=""/>
    <s v=""/>
    <x v="1"/>
    <s v=" 7113.19.10.00"/>
    <s v=" 7113.19.00"/>
    <s v="7113.19.29.00"/>
    <s v=" GP polished coin drop earrings"/>
    <n v="8.0025880710357392E-2"/>
    <n v="9.6643787449467625E-2"/>
    <n v="0.1237096035502024"/>
    <n v="0.12662547596810114"/>
    <x v="2"/>
    <x v="16"/>
    <x v="2"/>
    <n v="0"/>
    <x v="2"/>
    <n v="0"/>
    <n v="0"/>
    <n v="0"/>
  </r>
  <r>
    <s v="S925-WHI-EAR-STUD-SWA-006-001"/>
    <m/>
    <x v="2"/>
    <s v="Round Stud Earrings with Swarovski 4 pin crown - White/Crystal"/>
    <x v="428"/>
    <n v="7.0499999999999993E-2"/>
    <s v=""/>
    <s v=""/>
    <x v="1"/>
    <s v=" 7113.19.10.00"/>
    <s v=" 7113.19.00"/>
    <s v="7113.19.29.00"/>
    <s v=" Round Stud Earrings with Swarovski 4 pin crown - White/Crystal"/>
    <n v="8.0025880710357392E-2"/>
    <n v="9.6643787449467625E-2"/>
    <n v="0.1237096035502024"/>
    <n v="0.12662547596810114"/>
    <x v="2"/>
    <x v="16"/>
    <x v="2"/>
    <n v="0"/>
    <x v="2"/>
    <n v="0"/>
    <n v="0"/>
    <n v="0"/>
  </r>
  <r>
    <s v="S925-WHI-EAR-STUD-SWA-007-001"/>
    <m/>
    <x v="2"/>
    <s v="Square Stud Earrings with Swarovski 4 pin crown - White/Crystal"/>
    <x v="428"/>
    <n v="7.0499999999999993E-2"/>
    <s v=""/>
    <s v=""/>
    <x v="1"/>
    <s v=" 7113.19.10.00"/>
    <s v=" 7113.19.00"/>
    <s v="7113.19.29.00"/>
    <s v=" Square Stud Earrings with Swarovski 4 pin crown - White/Crystal"/>
    <n v="8.0025880710357392E-2"/>
    <n v="9.6643787449467625E-2"/>
    <n v="0.1237096035502024"/>
    <n v="0.12662547596810114"/>
    <x v="2"/>
    <x v="16"/>
    <x v="2"/>
    <n v="0"/>
    <x v="2"/>
    <n v="0"/>
    <n v="0"/>
    <n v="0"/>
  </r>
  <r>
    <s v="S925-WHI-EAR-STUD-SWA-008-001"/>
    <m/>
    <x v="2"/>
    <s v="Tear Stud Earrings with Swarovski 4 pin crown - White/Crystal"/>
    <x v="428"/>
    <n v="7.0499999999999993E-2"/>
    <s v=""/>
    <s v=""/>
    <x v="1"/>
    <s v=" 7113.19.10.00"/>
    <s v=" 7113.19.00"/>
    <s v="7113.19.29.00"/>
    <s v=" Tear Stud Earrings with Swarovski 4 pin crown - White/Crystal"/>
    <n v="8.0025880710357392E-2"/>
    <n v="9.6643787449467625E-2"/>
    <n v="0.1237096035502024"/>
    <n v="0.12662547596810114"/>
    <x v="2"/>
    <x v="16"/>
    <x v="2"/>
    <n v="0"/>
    <x v="2"/>
    <n v="0"/>
    <n v="0"/>
    <n v="0"/>
  </r>
  <r>
    <s v="S925-WHI-EAR-STUD-SWA-009-001"/>
    <m/>
    <x v="2"/>
    <s v="Heart Stud Earrings with CZ 4 pin crown - White/Crystal"/>
    <x v="428"/>
    <n v="7.0499999999999993E-2"/>
    <s v=""/>
    <s v=""/>
    <x v="1"/>
    <s v=" 7113.19.10.00"/>
    <s v=" 7113.19.00"/>
    <s v="7113.19.29.00"/>
    <s v=" Heart Stud Earrings with CZ 4 pin crown - White/Crystal"/>
    <n v="8.0025880710357392E-2"/>
    <n v="9.6643787449467625E-2"/>
    <n v="0.1237096035502024"/>
    <n v="0.12662547596810114"/>
    <x v="2"/>
    <x v="16"/>
    <x v="2"/>
    <n v="0"/>
    <x v="2"/>
    <n v="0"/>
    <n v="0"/>
    <n v="0"/>
  </r>
  <r>
    <s v="S925-WHI-EAR-STUD-SWA-010-001"/>
    <m/>
    <x v="2"/>
    <s v="Star Stud Earrings with CZ 4 pin crown - White/Crystal"/>
    <x v="428"/>
    <n v="7.0499999999999993E-2"/>
    <s v=""/>
    <s v=""/>
    <x v="1"/>
    <s v=" 7113.19.10.00"/>
    <s v=" 7113.19.00"/>
    <s v="7113.19.29.00"/>
    <s v=" Star Stud Earrings with CZ 4 pin crown - White/Crystal"/>
    <n v="8.0025880710357392E-2"/>
    <n v="9.6643787449467625E-2"/>
    <n v="0.1237096035502024"/>
    <n v="0.12662547596810114"/>
    <x v="2"/>
    <x v="16"/>
    <x v="2"/>
    <n v="0"/>
    <x v="2"/>
    <n v="0"/>
    <n v="0"/>
    <n v="0"/>
  </r>
  <r>
    <s v="S925-WHI-EAR-STUD-SWA-011-001"/>
    <m/>
    <x v="2"/>
    <s v="Oval Stud Earrings with CZ 4 pin crown - White/Crystal"/>
    <x v="428"/>
    <n v="7.0499999999999993E-2"/>
    <s v=""/>
    <s v=""/>
    <x v="1"/>
    <s v=" 7113.19.10.00"/>
    <s v=" 7113.19.00"/>
    <s v="7113.19.29.00"/>
    <s v=" Oval Stud Earrings with CZ 4 pin crown - White/Crystal"/>
    <n v="8.0025880710357392E-2"/>
    <n v="9.6643787449467625E-2"/>
    <n v="0.1237096035502024"/>
    <n v="0.12662547596810114"/>
    <x v="2"/>
    <x v="16"/>
    <x v="2"/>
    <n v="0"/>
    <x v="2"/>
    <n v="0"/>
    <n v="0"/>
    <n v="0"/>
  </r>
  <r>
    <s v="S925-WHI-EAR-STUD-SWA-012-001"/>
    <m/>
    <x v="2"/>
    <s v="Baguette Stud Earrings with CZ 4 pin crown - White/Crystal"/>
    <x v="428"/>
    <n v="7.0499999999999993E-2"/>
    <s v=""/>
    <s v=""/>
    <x v="1"/>
    <s v=" 7113.19.10.00"/>
    <s v=" 7113.19.00"/>
    <s v="7113.19.29.00"/>
    <s v=" Baguette Stud Earrings with CZ 4 pin crown - White/Crystal"/>
    <n v="8.0025880710357392E-2"/>
    <n v="9.6643787449467625E-2"/>
    <n v="0.1237096035502024"/>
    <n v="0.12662547596810114"/>
    <x v="2"/>
    <x v="16"/>
    <x v="2"/>
    <n v="0"/>
    <x v="2"/>
    <n v="0"/>
    <n v="0"/>
    <n v="0"/>
  </r>
  <r>
    <s v="S925-WHI-EAR-DROP-SWA-001-515"/>
    <m/>
    <x v="2"/>
    <s v="Birthstones drop earrings"/>
    <x v="428"/>
    <n v="2.9565999999999999"/>
    <s v="925 Silver"/>
    <s v=""/>
    <x v="0"/>
    <s v="7113.11.10.00"/>
    <s v="7113.11.00"/>
    <s v="7113.11.10.00"/>
    <s v=" Birthstones drop earrings"/>
    <n v="3.3560924667835836"/>
    <n v="4.0530074038737025"/>
    <n v="5.1880824660500489"/>
    <n v="5.3103671240750048"/>
    <x v="2"/>
    <x v="13"/>
    <x v="2"/>
    <n v="0"/>
    <x v="2"/>
    <n v="0"/>
    <n v="0"/>
    <n v="0"/>
  </r>
  <r>
    <s v="S925-WHI-EAR-DROP-SWA-001-204"/>
    <m/>
    <x v="2"/>
    <m/>
    <x v="428"/>
    <n v="2.9565999999999999"/>
    <s v="925 Silver"/>
    <s v=""/>
    <x v="0"/>
    <s v="7113.11.10.00"/>
    <s v="7113.11.00"/>
    <s v="7113.11.10.00"/>
    <s v=" "/>
    <n v="3.3560924667835836"/>
    <n v="4.0530074038737025"/>
    <n v="5.1880824660500489"/>
    <n v="5.3103671240750048"/>
    <x v="2"/>
    <x v="13"/>
    <x v="2"/>
    <n v="0"/>
    <x v="2"/>
    <n v="0"/>
    <n v="0"/>
    <n v="0"/>
  </r>
  <r>
    <s v="S925-WHI-EAR-DROP-SWA-001-202"/>
    <m/>
    <x v="2"/>
    <m/>
    <x v="428"/>
    <n v="2.9565999999999999"/>
    <s v="925 Silver"/>
    <s v=""/>
    <x v="0"/>
    <s v="7113.11.10.00"/>
    <s v="7113.11.00"/>
    <s v="7113.11.10.00"/>
    <s v=" "/>
    <n v="3.3560924667835836"/>
    <n v="4.0530074038737025"/>
    <n v="5.1880824660500489"/>
    <n v="5.3103671240750048"/>
    <x v="2"/>
    <x v="13"/>
    <x v="2"/>
    <n v="0"/>
    <x v="2"/>
    <n v="0"/>
    <n v="0"/>
    <n v="0"/>
  </r>
  <r>
    <s v="S925-WHI-EAR-DROP-SWA-001-001"/>
    <m/>
    <x v="2"/>
    <m/>
    <x v="428"/>
    <n v="2.9565999999999999"/>
    <s v="925 Silver"/>
    <s v=""/>
    <x v="0"/>
    <s v="7113.11.10.00"/>
    <s v="7113.11.00"/>
    <s v="7113.11.10.00"/>
    <s v=" "/>
    <n v="3.3560924667835836"/>
    <n v="4.0530074038737025"/>
    <n v="5.1880824660500489"/>
    <n v="5.3103671240750048"/>
    <x v="2"/>
    <x v="13"/>
    <x v="2"/>
    <n v="0"/>
    <x v="2"/>
    <n v="0"/>
    <n v="0"/>
    <n v="0"/>
  </r>
  <r>
    <s v="S925-WHI-EAR-DROP-SWA-001-205"/>
    <m/>
    <x v="2"/>
    <m/>
    <x v="428"/>
    <n v="2.9565999999999999"/>
    <s v="925 Silver"/>
    <s v=""/>
    <x v="0"/>
    <s v="7113.11.10.00"/>
    <s v="7113.11.00"/>
    <s v="7113.11.10.00"/>
    <s v=" "/>
    <n v="3.3560924667835836"/>
    <n v="4.0530074038737025"/>
    <n v="5.1880824660500489"/>
    <n v="5.3103671240750048"/>
    <x v="2"/>
    <x v="13"/>
    <x v="2"/>
    <n v="0"/>
    <x v="2"/>
    <n v="0"/>
    <n v="0"/>
    <n v="0"/>
  </r>
  <r>
    <s v="S925-WHI-EAR-DROP-SWA-001-234"/>
    <m/>
    <x v="2"/>
    <m/>
    <x v="428"/>
    <n v="2.9565999999999999"/>
    <s v="925 Silver"/>
    <s v=""/>
    <x v="0"/>
    <s v="7113.11.10.00"/>
    <s v="7113.11.00"/>
    <s v="7113.11.10.00"/>
    <s v=" "/>
    <n v="3.3560924667835836"/>
    <n v="4.0530074038737025"/>
    <n v="5.1880824660500489"/>
    <n v="5.3103671240750048"/>
    <x v="2"/>
    <x v="13"/>
    <x v="2"/>
    <n v="0"/>
    <x v="2"/>
    <n v="0"/>
    <n v="0"/>
    <n v="0"/>
  </r>
  <r>
    <s v="S925-WHI-EAR-DROP-SWA-001-501"/>
    <m/>
    <x v="2"/>
    <m/>
    <x v="428"/>
    <n v="2.9565999999999999"/>
    <s v="925 Silver"/>
    <s v=""/>
    <x v="0"/>
    <s v="7113.11.10.00"/>
    <s v="7113.11.00"/>
    <s v="7113.11.10.00"/>
    <s v=" "/>
    <n v="3.3560924667835836"/>
    <n v="4.0530074038737025"/>
    <n v="5.1880824660500489"/>
    <n v="5.3103671240750048"/>
    <x v="2"/>
    <x v="13"/>
    <x v="2"/>
    <n v="0"/>
    <x v="2"/>
    <n v="0"/>
    <n v="0"/>
    <n v="0"/>
  </r>
  <r>
    <s v="S925-WHI-EAR-DROP-SWA-001-214"/>
    <m/>
    <x v="2"/>
    <m/>
    <x v="428"/>
    <n v="2.9565999999999999"/>
    <s v="925 Silver"/>
    <s v=""/>
    <x v="0"/>
    <s v="7113.11.10.00"/>
    <s v="7113.11.00"/>
    <s v="7113.11.10.00"/>
    <s v=" "/>
    <n v="3.3560924667835836"/>
    <n v="4.0530074038737025"/>
    <n v="5.1880824660500489"/>
    <n v="5.3103671240750048"/>
    <x v="2"/>
    <x v="13"/>
    <x v="2"/>
    <n v="0"/>
    <x v="2"/>
    <n v="0"/>
    <n v="0"/>
    <n v="0"/>
  </r>
  <r>
    <s v="S925-WHI-EAR-DROP-SWA-001-206"/>
    <m/>
    <x v="2"/>
    <m/>
    <x v="428"/>
    <n v="2.9565999999999999"/>
    <s v="925 Silver"/>
    <s v=""/>
    <x v="0"/>
    <s v="7113.11.10.00"/>
    <s v="7113.11.00"/>
    <s v="7113.11.10.00"/>
    <s v=" "/>
    <n v="3.3560924667835836"/>
    <n v="4.0530074038737025"/>
    <n v="5.1880824660500489"/>
    <n v="5.3103671240750048"/>
    <x v="2"/>
    <x v="13"/>
    <x v="2"/>
    <n v="0"/>
    <x v="2"/>
    <n v="0"/>
    <n v="0"/>
    <n v="0"/>
  </r>
  <r>
    <s v="S925-WHI-EAR-DROP-SWA-001-502"/>
    <m/>
    <x v="2"/>
    <m/>
    <x v="428"/>
    <n v="2.9565999999999999"/>
    <s v="925 Silver"/>
    <s v=""/>
    <x v="0"/>
    <s v="7113.11.10.00"/>
    <s v="7113.11.00"/>
    <s v="7113.11.10.00"/>
    <s v=" "/>
    <n v="3.3560924667835836"/>
    <n v="4.0530074038737025"/>
    <n v="5.1880824660500489"/>
    <n v="5.3103671240750048"/>
    <x v="2"/>
    <x v="13"/>
    <x v="2"/>
    <n v="0"/>
    <x v="2"/>
    <n v="0"/>
    <n v="0"/>
    <n v="0"/>
  </r>
  <r>
    <s v="S925-WHI-EAR-DROP-SWA-001-203"/>
    <m/>
    <x v="2"/>
    <m/>
    <x v="428"/>
    <n v="2.9565999999999999"/>
    <s v="925 Silver"/>
    <s v=""/>
    <x v="0"/>
    <s v="7113.11.10.00"/>
    <s v="7113.11.00"/>
    <s v="7113.11.10.00"/>
    <s v=" "/>
    <n v="3.3560924667835836"/>
    <n v="4.0530074038737025"/>
    <n v="5.1880824660500489"/>
    <n v="5.3103671240750048"/>
    <x v="2"/>
    <x v="13"/>
    <x v="2"/>
    <n v="0"/>
    <x v="2"/>
    <n v="0"/>
    <n v="0"/>
    <n v="0"/>
  </r>
  <r>
    <s v="S925-WHI-EAR-DROP-SWA-001-539"/>
    <m/>
    <x v="2"/>
    <m/>
    <x v="428"/>
    <n v="2.9565999999999999"/>
    <s v="925 Silver"/>
    <s v=""/>
    <x v="0"/>
    <s v="7113.11.10.00"/>
    <s v="7113.11.00"/>
    <s v="7113.11.10.00"/>
    <s v=" "/>
    <n v="3.3560924667835836"/>
    <n v="4.0530074038737025"/>
    <n v="5.1880824660500489"/>
    <n v="5.3103671240750048"/>
    <x v="2"/>
    <x v="13"/>
    <x v="2"/>
    <n v="0"/>
    <x v="2"/>
    <n v="0"/>
    <n v="0"/>
    <n v="0"/>
  </r>
  <r>
    <s v="S925-WHI-NEC-PEN-SWA-001-515"/>
    <m/>
    <x v="2"/>
    <s v="Birthstones necklaces"/>
    <x v="428"/>
    <n v="5.0236999999999998"/>
    <s v="925 Silver"/>
    <s v=""/>
    <x v="0"/>
    <s v="7113.11.10.00"/>
    <s v="7113.11.00"/>
    <s v="7113.11.10.00"/>
    <s v=" Birthstones necklaces"/>
    <n v="5.7024966939662756"/>
    <n v="6.8866580852466743"/>
    <n v="8.8153182319879679"/>
    <n v="9.0230979237014139"/>
    <x v="2"/>
    <x v="13"/>
    <x v="2"/>
    <n v="0"/>
    <x v="2"/>
    <n v="0"/>
    <n v="0"/>
    <n v="0"/>
  </r>
  <r>
    <s v="S925-WHI-NEC-PEN-SWA-001-204"/>
    <m/>
    <x v="2"/>
    <m/>
    <x v="428"/>
    <n v="5.0236999999999998"/>
    <s v="925 Silver"/>
    <s v=""/>
    <x v="0"/>
    <s v="7113.11.10.00"/>
    <s v="7113.11.00"/>
    <s v="7113.11.10.00"/>
    <s v=" "/>
    <n v="5.7024966939662756"/>
    <n v="6.8866580852466743"/>
    <n v="8.8153182319879679"/>
    <n v="9.0230979237014139"/>
    <x v="2"/>
    <x v="13"/>
    <x v="2"/>
    <n v="0"/>
    <x v="2"/>
    <n v="0"/>
    <n v="0"/>
    <n v="0"/>
  </r>
  <r>
    <s v="S925-WHI-NEC-PEN-SWA-001-202"/>
    <m/>
    <x v="2"/>
    <m/>
    <x v="428"/>
    <n v="5.0236999999999998"/>
    <s v="925 Silver"/>
    <s v=""/>
    <x v="0"/>
    <s v="7113.11.10.00"/>
    <s v="7113.11.00"/>
    <s v="7113.11.10.00"/>
    <s v=" "/>
    <n v="5.7024966939662756"/>
    <n v="6.8866580852466743"/>
    <n v="8.8153182319879679"/>
    <n v="9.0230979237014139"/>
    <x v="2"/>
    <x v="13"/>
    <x v="2"/>
    <n v="0"/>
    <x v="2"/>
    <n v="0"/>
    <n v="0"/>
    <n v="0"/>
  </r>
  <r>
    <s v="S925-WHI-NEC-PEN-SWA-001-001"/>
    <m/>
    <x v="2"/>
    <m/>
    <x v="428"/>
    <n v="5.0236999999999998"/>
    <s v="925 Silver"/>
    <s v=""/>
    <x v="0"/>
    <s v="7113.11.10.00"/>
    <s v="7113.11.00"/>
    <s v="7113.11.10.00"/>
    <s v=" "/>
    <n v="5.7024966939662756"/>
    <n v="6.8866580852466743"/>
    <n v="8.8153182319879679"/>
    <n v="9.0230979237014139"/>
    <x v="2"/>
    <x v="13"/>
    <x v="2"/>
    <n v="0"/>
    <x v="2"/>
    <n v="0"/>
    <n v="0"/>
    <n v="0"/>
  </r>
  <r>
    <s v="S925-WHI-NEC-PEN-SWA-001-205"/>
    <m/>
    <x v="2"/>
    <m/>
    <x v="428"/>
    <n v="5.0236999999999998"/>
    <s v="925 Silver"/>
    <s v=""/>
    <x v="0"/>
    <s v="7113.11.10.00"/>
    <s v="7113.11.00"/>
    <s v="7113.11.10.00"/>
    <s v=" "/>
    <n v="5.7024966939662756"/>
    <n v="6.8866580852466743"/>
    <n v="8.8153182319879679"/>
    <n v="9.0230979237014139"/>
    <x v="2"/>
    <x v="13"/>
    <x v="2"/>
    <n v="0"/>
    <x v="2"/>
    <n v="0"/>
    <n v="0"/>
    <n v="0"/>
  </r>
  <r>
    <s v="S925-WHI-NEC-PEN-SWA-001-234"/>
    <m/>
    <x v="2"/>
    <m/>
    <x v="428"/>
    <n v="5.0236999999999998"/>
    <s v="925 Silver"/>
    <s v=""/>
    <x v="0"/>
    <s v="7113.11.10.00"/>
    <s v="7113.11.00"/>
    <s v="7113.11.10.00"/>
    <s v=" "/>
    <n v="5.7024966939662756"/>
    <n v="6.8866580852466743"/>
    <n v="8.8153182319879679"/>
    <n v="9.0230979237014139"/>
    <x v="2"/>
    <x v="13"/>
    <x v="2"/>
    <n v="0"/>
    <x v="2"/>
    <n v="0"/>
    <n v="0"/>
    <n v="0"/>
  </r>
  <r>
    <s v="S925-WHI-NEC-PEN-SWA-001-501"/>
    <m/>
    <x v="2"/>
    <m/>
    <x v="428"/>
    <n v="5.0236999999999998"/>
    <s v="925 Silver"/>
    <s v=""/>
    <x v="0"/>
    <s v="7113.11.10.00"/>
    <s v="7113.11.00"/>
    <s v="7113.11.10.00"/>
    <s v=" "/>
    <n v="5.7024966939662756"/>
    <n v="6.8866580852466743"/>
    <n v="8.8153182319879679"/>
    <n v="9.0230979237014139"/>
    <x v="2"/>
    <x v="13"/>
    <x v="2"/>
    <n v="0"/>
    <x v="2"/>
    <n v="0"/>
    <n v="0"/>
    <n v="0"/>
  </r>
  <r>
    <s v="S925-WHI-NEC-PEN-SWA-001-214"/>
    <m/>
    <x v="2"/>
    <m/>
    <x v="428"/>
    <n v="5.0236999999999998"/>
    <s v="925 Silver"/>
    <s v=""/>
    <x v="0"/>
    <s v="7113.11.10.00"/>
    <s v="7113.11.00"/>
    <s v="7113.11.10.00"/>
    <s v=" "/>
    <n v="5.7024966939662756"/>
    <n v="6.8866580852466743"/>
    <n v="8.8153182319879679"/>
    <n v="9.0230979237014139"/>
    <x v="2"/>
    <x v="13"/>
    <x v="2"/>
    <n v="0"/>
    <x v="2"/>
    <n v="0"/>
    <n v="0"/>
    <n v="0"/>
  </r>
  <r>
    <s v="S925-WHI-NEC-PEN-SWA-001-206"/>
    <m/>
    <x v="2"/>
    <m/>
    <x v="428"/>
    <n v="5.0236999999999998"/>
    <s v="925 Silver"/>
    <s v=""/>
    <x v="0"/>
    <s v="7113.11.10.00"/>
    <s v="7113.11.00"/>
    <s v="7113.11.10.00"/>
    <s v=" "/>
    <n v="5.7024966939662756"/>
    <n v="6.8866580852466743"/>
    <n v="8.8153182319879679"/>
    <n v="9.0230979237014139"/>
    <x v="2"/>
    <x v="13"/>
    <x v="2"/>
    <n v="0"/>
    <x v="2"/>
    <n v="0"/>
    <n v="0"/>
    <n v="0"/>
  </r>
  <r>
    <s v="S925-WHI-NEC-PEN-SWA-001-502"/>
    <m/>
    <x v="2"/>
    <m/>
    <x v="428"/>
    <n v="5.0236999999999998"/>
    <s v="925 Silver"/>
    <s v=""/>
    <x v="0"/>
    <s v="7113.11.10.00"/>
    <s v="7113.11.00"/>
    <s v="7113.11.10.00"/>
    <s v=" "/>
    <n v="5.7024966939662756"/>
    <n v="6.8866580852466743"/>
    <n v="8.8153182319879679"/>
    <n v="9.0230979237014139"/>
    <x v="2"/>
    <x v="13"/>
    <x v="2"/>
    <n v="0"/>
    <x v="2"/>
    <n v="0"/>
    <n v="0"/>
    <n v="0"/>
  </r>
  <r>
    <s v="S925-WHI-NEC-PEN-SWA-001-203"/>
    <m/>
    <x v="2"/>
    <m/>
    <x v="428"/>
    <n v="5.0236999999999998"/>
    <s v="925 Silver"/>
    <s v=""/>
    <x v="0"/>
    <s v="7113.11.10.00"/>
    <s v="7113.11.00"/>
    <s v="7113.11.10.00"/>
    <s v=" "/>
    <n v="5.7024966939662756"/>
    <n v="6.8866580852466743"/>
    <n v="8.8153182319879679"/>
    <n v="9.0230979237014139"/>
    <x v="2"/>
    <x v="13"/>
    <x v="2"/>
    <n v="0"/>
    <x v="2"/>
    <n v="0"/>
    <n v="0"/>
    <n v="0"/>
  </r>
  <r>
    <s v="S925-WHI-NEC-PEN-SWA-001-539"/>
    <m/>
    <x v="2"/>
    <m/>
    <x v="428"/>
    <n v="5.0236999999999998"/>
    <s v="925 Silver"/>
    <s v=""/>
    <x v="0"/>
    <s v="7113.11.10.00"/>
    <s v="7113.11.00"/>
    <s v="7113.11.10.00"/>
    <s v=" "/>
    <n v="5.7024966939662756"/>
    <n v="6.8866580852466743"/>
    <n v="8.8153182319879679"/>
    <n v="9.0230979237014139"/>
    <x v="2"/>
    <x v="13"/>
    <x v="2"/>
    <n v="0"/>
    <x v="2"/>
    <n v="0"/>
    <n v="0"/>
    <n v="0"/>
  </r>
  <r>
    <s v="S925-WHI-NEC-CHA-001-028-410"/>
    <m/>
    <x v="1"/>
    <m/>
    <x v="428"/>
    <n v="7.0499999999999993E-2"/>
    <s v=""/>
    <s v=""/>
    <x v="1"/>
    <s v=" 7113.19.10.00"/>
    <s v=" 7113.19.00"/>
    <s v="7113.19.29.00"/>
    <s v=" "/>
    <n v="8.0025880710357392E-2"/>
    <n v="9.6643787449467625E-2"/>
    <n v="0.1237096035502024"/>
    <n v="0.12662547596810114"/>
    <x v="2"/>
    <x v="16"/>
    <x v="2"/>
    <n v="0"/>
    <x v="2"/>
    <n v="0"/>
    <n v="0"/>
    <n v="0"/>
  </r>
  <r>
    <s v="S925-WHI-NEC-CHA-001-028-450"/>
    <m/>
    <x v="1"/>
    <m/>
    <x v="428"/>
    <n v="7.0499999999999993E-2"/>
    <s v=""/>
    <s v=""/>
    <x v="1"/>
    <s v=" 7113.19.10.00"/>
    <s v=" 7113.19.00"/>
    <s v="7113.19.29.00"/>
    <s v=" "/>
    <n v="8.0025880710357392E-2"/>
    <n v="9.6643787449467625E-2"/>
    <n v="0.1237096035502024"/>
    <n v="0.12662547596810114"/>
    <x v="2"/>
    <x v="16"/>
    <x v="2"/>
    <n v="0"/>
    <x v="2"/>
    <n v="0"/>
    <n v="0"/>
    <n v="0"/>
  </r>
  <r>
    <s v="S925-WHI-NEC-CHA-001-028-500"/>
    <m/>
    <x v="1"/>
    <m/>
    <x v="428"/>
    <n v="7.0499999999999993E-2"/>
    <s v=""/>
    <s v=""/>
    <x v="1"/>
    <s v=" 7113.19.10.00"/>
    <s v=" 7113.19.00"/>
    <s v="7113.19.29.00"/>
    <s v=" "/>
    <n v="8.0025880710357392E-2"/>
    <n v="9.6643787449467625E-2"/>
    <n v="0.1237096035502024"/>
    <n v="0.12662547596810114"/>
    <x v="2"/>
    <x v="16"/>
    <x v="2"/>
    <n v="0"/>
    <x v="2"/>
    <n v="0"/>
    <n v="0"/>
    <n v="0"/>
  </r>
  <r>
    <s v="S925-WHI-NEC-CHA-024-055-410"/>
    <m/>
    <x v="1"/>
    <m/>
    <x v="428"/>
    <n v="7.0499999999999993E-2"/>
    <s v=""/>
    <s v=""/>
    <x v="1"/>
    <s v=" 7113.19.10.00"/>
    <s v=" 7113.19.00"/>
    <s v="7113.19.29.00"/>
    <s v=" "/>
    <n v="8.0025880710357392E-2"/>
    <n v="9.6643787449467625E-2"/>
    <n v="0.1237096035502024"/>
    <n v="0.12662547596810114"/>
    <x v="2"/>
    <x v="16"/>
    <x v="2"/>
    <n v="0"/>
    <x v="2"/>
    <n v="0"/>
    <n v="0"/>
    <n v="0"/>
  </r>
  <r>
    <s v="S925-WHI-NEC-CHA-024-055-450"/>
    <m/>
    <x v="1"/>
    <m/>
    <x v="428"/>
    <n v="7.0499999999999993E-2"/>
    <s v=""/>
    <s v=""/>
    <x v="1"/>
    <s v=" 7113.19.10.00"/>
    <s v=" 7113.19.00"/>
    <s v="7113.19.29.00"/>
    <s v=" "/>
    <n v="8.0025880710357392E-2"/>
    <n v="9.6643787449467625E-2"/>
    <n v="0.1237096035502024"/>
    <n v="0.12662547596810114"/>
    <x v="2"/>
    <x v="16"/>
    <x v="2"/>
    <n v="0"/>
    <x v="2"/>
    <n v="0"/>
    <n v="0"/>
    <n v="0"/>
  </r>
  <r>
    <s v="S925-WHI-NEC-CHA-024-079-410"/>
    <m/>
    <x v="1"/>
    <m/>
    <x v="428"/>
    <n v="7.0499999999999993E-2"/>
    <s v=""/>
    <s v=""/>
    <x v="1"/>
    <s v=" 7113.19.10.00"/>
    <s v=" 7113.19.00"/>
    <s v="7113.19.29.00"/>
    <s v=" "/>
    <n v="8.0025880710357392E-2"/>
    <n v="9.6643787449467625E-2"/>
    <n v="0.1237096035502024"/>
    <n v="0.12662547596810114"/>
    <x v="2"/>
    <x v="16"/>
    <x v="2"/>
    <n v="0"/>
    <x v="2"/>
    <n v="0"/>
    <n v="0"/>
    <n v="0"/>
  </r>
  <r>
    <s v="S925-WHI-NEC-CHA-024-079-450"/>
    <m/>
    <x v="1"/>
    <m/>
    <x v="428"/>
    <n v="7.0499999999999993E-2"/>
    <s v=""/>
    <s v=""/>
    <x v="1"/>
    <s v=" 7113.19.10.00"/>
    <s v=" 7113.19.00"/>
    <s v="7113.19.29.00"/>
    <s v=" "/>
    <n v="8.0025880710357392E-2"/>
    <n v="9.6643787449467625E-2"/>
    <n v="0.1237096035502024"/>
    <n v="0.12662547596810114"/>
    <x v="2"/>
    <x v="16"/>
    <x v="2"/>
    <n v="0"/>
    <x v="2"/>
    <n v="0"/>
    <n v="0"/>
    <n v="0"/>
  </r>
  <r>
    <s v="S925-YEL-NEC-CHA-001-028-410"/>
    <m/>
    <x v="1"/>
    <m/>
    <x v="428"/>
    <n v="7.0499999999999993E-2"/>
    <s v=""/>
    <s v=""/>
    <x v="1"/>
    <s v=" 7113.19.10.00"/>
    <s v=" 7113.19.00"/>
    <s v="7113.19.29.00"/>
    <s v=" "/>
    <n v="8.0025880710357392E-2"/>
    <n v="9.6643787449467625E-2"/>
    <n v="0.1237096035502024"/>
    <n v="0.12662547596810114"/>
    <x v="2"/>
    <x v="16"/>
    <x v="2"/>
    <n v="0"/>
    <x v="2"/>
    <n v="0"/>
    <n v="0"/>
    <n v="0"/>
  </r>
  <r>
    <s v="S925-YEL-NEC-CHA-001-028-450"/>
    <m/>
    <x v="1"/>
    <m/>
    <x v="428"/>
    <n v="7.0499999999999993E-2"/>
    <s v=""/>
    <s v=""/>
    <x v="1"/>
    <s v=" 7113.19.10.00"/>
    <s v=" 7113.19.00"/>
    <s v="7113.19.29.00"/>
    <s v=" "/>
    <n v="8.0025880710357392E-2"/>
    <n v="9.6643787449467625E-2"/>
    <n v="0.1237096035502024"/>
    <n v="0.12662547596810114"/>
    <x v="2"/>
    <x v="16"/>
    <x v="2"/>
    <n v="0"/>
    <x v="2"/>
    <n v="0"/>
    <n v="0"/>
    <n v="0"/>
  </r>
  <r>
    <s v="S925-YEL-NEC-CHA-001-028-500"/>
    <m/>
    <x v="1"/>
    <m/>
    <x v="428"/>
    <n v="7.0499999999999993E-2"/>
    <s v=""/>
    <s v=""/>
    <x v="1"/>
    <s v=" 7113.19.10.00"/>
    <s v=" 7113.19.00"/>
    <s v="7113.19.29.00"/>
    <s v=" "/>
    <n v="8.0025880710357392E-2"/>
    <n v="9.6643787449467625E-2"/>
    <n v="0.1237096035502024"/>
    <n v="0.12662547596810114"/>
    <x v="2"/>
    <x v="16"/>
    <x v="2"/>
    <n v="0"/>
    <x v="2"/>
    <n v="0"/>
    <n v="0"/>
    <n v="0"/>
  </r>
  <r>
    <s v="S925-YEL-NEC-CHA-024-055-410"/>
    <m/>
    <x v="1"/>
    <m/>
    <x v="428"/>
    <n v="7.0499999999999993E-2"/>
    <s v=""/>
    <s v=""/>
    <x v="1"/>
    <s v=" 7113.19.10.00"/>
    <s v=" 7113.19.00"/>
    <s v="7113.19.29.00"/>
    <s v=" "/>
    <n v="8.0025880710357392E-2"/>
    <n v="9.6643787449467625E-2"/>
    <n v="0.1237096035502024"/>
    <n v="0.12662547596810114"/>
    <x v="2"/>
    <x v="16"/>
    <x v="2"/>
    <n v="0"/>
    <x v="2"/>
    <n v="0"/>
    <n v="0"/>
    <n v="0"/>
  </r>
  <r>
    <s v="S925-YEL-NEC-CHA-024-055-450"/>
    <m/>
    <x v="1"/>
    <m/>
    <x v="428"/>
    <n v="7.0499999999999993E-2"/>
    <s v=""/>
    <s v=""/>
    <x v="1"/>
    <s v=" 7113.19.10.00"/>
    <s v=" 7113.19.00"/>
    <s v="7113.19.29.00"/>
    <s v=" "/>
    <n v="8.0025880710357392E-2"/>
    <n v="9.6643787449467625E-2"/>
    <n v="0.1237096035502024"/>
    <n v="0.12662547596810114"/>
    <x v="2"/>
    <x v="16"/>
    <x v="2"/>
    <n v="0"/>
    <x v="2"/>
    <n v="0"/>
    <n v="0"/>
    <n v="0"/>
  </r>
  <r>
    <s v="S925-YEL-NEC-CHA-024-079-410"/>
    <m/>
    <x v="1"/>
    <m/>
    <x v="428"/>
    <n v="7.0499999999999993E-2"/>
    <s v=""/>
    <s v=""/>
    <x v="1"/>
    <s v=" 7113.19.10.00"/>
    <s v=" 7113.19.00"/>
    <s v="7113.19.29.00"/>
    <s v=" "/>
    <n v="8.0025880710357392E-2"/>
    <n v="9.6643787449467625E-2"/>
    <n v="0.1237096035502024"/>
    <n v="0.12662547596810114"/>
    <x v="2"/>
    <x v="16"/>
    <x v="2"/>
    <n v="0"/>
    <x v="2"/>
    <n v="0"/>
    <n v="0"/>
    <n v="0"/>
  </r>
  <r>
    <s v="S925-YEL-NEC-CHA-024-079-450"/>
    <m/>
    <x v="1"/>
    <m/>
    <x v="428"/>
    <n v="7.0499999999999993E-2"/>
    <s v=""/>
    <s v=""/>
    <x v="1"/>
    <s v=" 7113.19.10.00"/>
    <s v=" 7113.19.00"/>
    <s v="7113.19.29.00"/>
    <s v=" "/>
    <n v="8.0025880710357392E-2"/>
    <n v="9.6643787449467625E-2"/>
    <n v="0.1237096035502024"/>
    <n v="0.12662547596810114"/>
    <x v="2"/>
    <x v="16"/>
    <x v="2"/>
    <n v="0"/>
    <x v="2"/>
    <n v="0"/>
    <n v="0"/>
    <n v="0"/>
  </r>
  <r>
    <s v="S925-YEL-NEC-CHA-024-079-500"/>
    <m/>
    <x v="1"/>
    <m/>
    <x v="428"/>
    <n v="7.0499999999999993E-2"/>
    <s v=""/>
    <s v=""/>
    <x v="1"/>
    <s v=" 7113.19.10.00"/>
    <s v=" 7113.19.00"/>
    <s v="7113.19.29.00"/>
    <s v=" "/>
    <n v="8.0025880710357392E-2"/>
    <n v="9.6643787449467625E-2"/>
    <n v="0.1237096035502024"/>
    <n v="0.12662547596810114"/>
    <x v="2"/>
    <x v="16"/>
    <x v="2"/>
    <n v="0"/>
    <x v="2"/>
    <n v="0"/>
    <n v="0"/>
    <n v="0"/>
  </r>
  <r>
    <s v="S925-WHI-NEC-CHA-027-028-410"/>
    <m/>
    <x v="1"/>
    <m/>
    <x v="428"/>
    <n v="7.0499999999999993E-2"/>
    <s v=""/>
    <s v=""/>
    <x v="1"/>
    <s v=" 7113.19.10.00"/>
    <s v=" 7113.19.00"/>
    <s v="7113.19.29.00"/>
    <s v=" "/>
    <n v="8.0025880710357392E-2"/>
    <n v="9.6643787449467625E-2"/>
    <n v="0.1237096035502024"/>
    <n v="0.12662547596810114"/>
    <x v="2"/>
    <x v="16"/>
    <x v="2"/>
    <n v="0"/>
    <x v="2"/>
    <n v="0"/>
    <n v="0"/>
    <n v="0"/>
  </r>
  <r>
    <s v="S925-WHI-NEC-CHA-027-028-450"/>
    <m/>
    <x v="1"/>
    <m/>
    <x v="428"/>
    <n v="7.0499999999999993E-2"/>
    <s v=""/>
    <s v=""/>
    <x v="1"/>
    <s v=" 7113.19.10.00"/>
    <s v=" 7113.19.00"/>
    <s v="7113.19.29.00"/>
    <s v=" "/>
    <n v="8.0025880710357392E-2"/>
    <n v="9.6643787449467625E-2"/>
    <n v="0.1237096035502024"/>
    <n v="0.12662547596810114"/>
    <x v="2"/>
    <x v="16"/>
    <x v="2"/>
    <n v="0"/>
    <x v="2"/>
    <n v="0"/>
    <n v="0"/>
    <n v="0"/>
  </r>
  <r>
    <s v="S925-WHI-NEC-CHA-027-028-500"/>
    <m/>
    <x v="1"/>
    <m/>
    <x v="428"/>
    <n v="7.0499999999999993E-2"/>
    <s v=""/>
    <s v=""/>
    <x v="1"/>
    <s v=" 7113.19.10.00"/>
    <s v=" 7113.19.00"/>
    <s v="7113.19.29.00"/>
    <s v=" "/>
    <n v="8.0025880710357392E-2"/>
    <n v="9.6643787449467625E-2"/>
    <n v="0.1237096035502024"/>
    <n v="0.12662547596810114"/>
    <x v="2"/>
    <x v="16"/>
    <x v="2"/>
    <n v="0"/>
    <x v="2"/>
    <n v="0"/>
    <n v="0"/>
    <n v="0"/>
  </r>
  <r>
    <s v="S925-WHI-NEC-CHA-027-055-410"/>
    <m/>
    <x v="1"/>
    <m/>
    <x v="428"/>
    <n v="7.0499999999999993E-2"/>
    <s v=""/>
    <s v=""/>
    <x v="1"/>
    <s v=" 7113.19.10.00"/>
    <s v=" 7113.19.00"/>
    <s v="7113.19.29.00"/>
    <s v=" "/>
    <n v="8.0025880710357392E-2"/>
    <n v="9.6643787449467625E-2"/>
    <n v="0.1237096035502024"/>
    <n v="0.12662547596810114"/>
    <x v="2"/>
    <x v="16"/>
    <x v="2"/>
    <n v="0"/>
    <x v="2"/>
    <n v="0"/>
    <n v="0"/>
    <n v="0"/>
  </r>
  <r>
    <s v="S925-WHI-NEC-CHA-027-055-450"/>
    <m/>
    <x v="1"/>
    <m/>
    <x v="428"/>
    <n v="7.0499999999999993E-2"/>
    <s v=""/>
    <s v=""/>
    <x v="1"/>
    <s v=" 7113.19.10.00"/>
    <s v=" 7113.19.00"/>
    <s v="7113.19.29.00"/>
    <s v=" "/>
    <n v="8.0025880710357392E-2"/>
    <n v="9.6643787449467625E-2"/>
    <n v="0.1237096035502024"/>
    <n v="0.12662547596810114"/>
    <x v="2"/>
    <x v="16"/>
    <x v="2"/>
    <n v="0"/>
    <x v="2"/>
    <n v="0"/>
    <n v="0"/>
    <n v="0"/>
  </r>
  <r>
    <s v="S925-WHI-NEC-CHA-027-055-500"/>
    <m/>
    <x v="1"/>
    <m/>
    <x v="428"/>
    <n v="7.0499999999999993E-2"/>
    <s v=""/>
    <s v=""/>
    <x v="1"/>
    <s v=" 7113.19.10.00"/>
    <s v=" 7113.19.00"/>
    <s v="7113.19.29.00"/>
    <s v=" "/>
    <n v="8.0025880710357392E-2"/>
    <n v="9.6643787449467625E-2"/>
    <n v="0.1237096035502024"/>
    <n v="0.12662547596810114"/>
    <x v="2"/>
    <x v="16"/>
    <x v="2"/>
    <n v="0"/>
    <x v="2"/>
    <n v="0"/>
    <n v="0"/>
    <n v="0"/>
  </r>
  <r>
    <s v="S925-WHI-NEC-CHA-027-079-410"/>
    <m/>
    <x v="1"/>
    <m/>
    <x v="428"/>
    <n v="7.0499999999999993E-2"/>
    <s v=""/>
    <s v=""/>
    <x v="1"/>
    <s v=" 7113.19.10.00"/>
    <s v=" 7113.19.00"/>
    <s v="7113.19.29.00"/>
    <s v=" "/>
    <n v="8.0025880710357392E-2"/>
    <n v="9.6643787449467625E-2"/>
    <n v="0.1237096035502024"/>
    <n v="0.12662547596810114"/>
    <x v="2"/>
    <x v="16"/>
    <x v="2"/>
    <n v="0"/>
    <x v="2"/>
    <n v="0"/>
    <n v="0"/>
    <n v="0"/>
  </r>
  <r>
    <s v="S925-WHI-NEC-CHA-027-079-450"/>
    <m/>
    <x v="1"/>
    <m/>
    <x v="428"/>
    <n v="7.0499999999999993E-2"/>
    <s v=""/>
    <s v=""/>
    <x v="1"/>
    <s v=" 7113.19.10.00"/>
    <s v=" 7113.19.00"/>
    <s v="7113.19.29.00"/>
    <s v=" "/>
    <n v="8.0025880710357392E-2"/>
    <n v="9.6643787449467625E-2"/>
    <n v="0.1237096035502024"/>
    <n v="0.12662547596810114"/>
    <x v="2"/>
    <x v="16"/>
    <x v="2"/>
    <n v="0"/>
    <x v="2"/>
    <n v="0"/>
    <n v="0"/>
    <n v="0"/>
  </r>
  <r>
    <s v="S925-WHI-NEC-CHA-027-079-500"/>
    <m/>
    <x v="1"/>
    <m/>
    <x v="428"/>
    <n v="7.0499999999999993E-2"/>
    <s v=""/>
    <s v=""/>
    <x v="1"/>
    <s v=" 7113.19.10.00"/>
    <s v=" 7113.19.00"/>
    <s v="7113.19.29.00"/>
    <s v=" "/>
    <n v="8.0025880710357392E-2"/>
    <n v="9.6643787449467625E-2"/>
    <n v="0.1237096035502024"/>
    <n v="0.12662547596810114"/>
    <x v="2"/>
    <x v="16"/>
    <x v="2"/>
    <n v="0"/>
    <x v="2"/>
    <n v="0"/>
    <n v="0"/>
    <n v="0"/>
  </r>
  <r>
    <s v="S925-YEL-NEC-CHA-027-028-410"/>
    <m/>
    <x v="1"/>
    <m/>
    <x v="428"/>
    <n v="7.0499999999999993E-2"/>
    <s v=""/>
    <s v=""/>
    <x v="1"/>
    <s v=" 7113.19.10.00"/>
    <s v=" 7113.19.00"/>
    <s v="7113.19.29.00"/>
    <s v=" "/>
    <n v="8.0025880710357392E-2"/>
    <n v="9.6643787449467625E-2"/>
    <n v="0.1237096035502024"/>
    <n v="0.12662547596810114"/>
    <x v="2"/>
    <x v="16"/>
    <x v="2"/>
    <n v="0"/>
    <x v="2"/>
    <n v="0"/>
    <n v="0"/>
    <n v="0"/>
  </r>
  <r>
    <s v="S925-YEL-NEC-CHA-027-028-450"/>
    <m/>
    <x v="1"/>
    <m/>
    <x v="428"/>
    <n v="7.0499999999999993E-2"/>
    <s v=""/>
    <s v=""/>
    <x v="1"/>
    <s v=" 7113.19.10.00"/>
    <s v=" 7113.19.00"/>
    <s v="7113.19.29.00"/>
    <s v=" "/>
    <n v="8.0025880710357392E-2"/>
    <n v="9.6643787449467625E-2"/>
    <n v="0.1237096035502024"/>
    <n v="0.12662547596810114"/>
    <x v="2"/>
    <x v="16"/>
    <x v="2"/>
    <n v="0"/>
    <x v="2"/>
    <n v="0"/>
    <n v="0"/>
    <n v="0"/>
  </r>
  <r>
    <s v="S925-YEL-NEC-CHA-027-028-500"/>
    <m/>
    <x v="1"/>
    <m/>
    <x v="428"/>
    <n v="7.0499999999999993E-2"/>
    <s v=""/>
    <s v=""/>
    <x v="1"/>
    <s v=" 7113.19.10.00"/>
    <s v=" 7113.19.00"/>
    <s v="7113.19.29.00"/>
    <s v=" "/>
    <n v="8.0025880710357392E-2"/>
    <n v="9.6643787449467625E-2"/>
    <n v="0.1237096035502024"/>
    <n v="0.12662547596810114"/>
    <x v="2"/>
    <x v="16"/>
    <x v="2"/>
    <n v="0"/>
    <x v="2"/>
    <n v="0"/>
    <n v="0"/>
    <n v="0"/>
  </r>
  <r>
    <s v="S925-YEL-NEC-CHA-027-055-410"/>
    <m/>
    <x v="1"/>
    <m/>
    <x v="428"/>
    <n v="7.0499999999999993E-2"/>
    <s v=""/>
    <s v=""/>
    <x v="1"/>
    <s v=" 7113.19.10.00"/>
    <s v=" 7113.19.00"/>
    <s v="7113.19.29.00"/>
    <s v=" "/>
    <n v="8.0025880710357392E-2"/>
    <n v="9.6643787449467625E-2"/>
    <n v="0.1237096035502024"/>
    <n v="0.12662547596810114"/>
    <x v="2"/>
    <x v="16"/>
    <x v="2"/>
    <n v="0"/>
    <x v="2"/>
    <n v="0"/>
    <n v="0"/>
    <n v="0"/>
  </r>
  <r>
    <s v="S925-YEL-NEC-CHA-027-055-450"/>
    <m/>
    <x v="1"/>
    <m/>
    <x v="428"/>
    <n v="7.0499999999999993E-2"/>
    <s v=""/>
    <s v=""/>
    <x v="1"/>
    <s v=" 7113.19.10.00"/>
    <s v=" 7113.19.00"/>
    <s v="7113.19.29.00"/>
    <s v=" "/>
    <n v="8.0025880710357392E-2"/>
    <n v="9.6643787449467625E-2"/>
    <n v="0.1237096035502024"/>
    <n v="0.12662547596810114"/>
    <x v="2"/>
    <x v="16"/>
    <x v="2"/>
    <n v="0"/>
    <x v="2"/>
    <n v="0"/>
    <n v="0"/>
    <n v="0"/>
  </r>
  <r>
    <s v="S925-YEL-NEC-CHA-027-055-500"/>
    <m/>
    <x v="1"/>
    <m/>
    <x v="428"/>
    <n v="7.0499999999999993E-2"/>
    <s v=""/>
    <s v=""/>
    <x v="1"/>
    <s v=" 7113.19.10.00"/>
    <s v=" 7113.19.00"/>
    <s v="7113.19.29.00"/>
    <s v=" "/>
    <n v="8.0025880710357392E-2"/>
    <n v="9.6643787449467625E-2"/>
    <n v="0.1237096035502024"/>
    <n v="0.12662547596810114"/>
    <x v="2"/>
    <x v="16"/>
    <x v="2"/>
    <n v="0"/>
    <x v="2"/>
    <n v="0"/>
    <n v="0"/>
    <n v="0"/>
  </r>
  <r>
    <s v="S925-YEL-NEC-CHA-027-079-410"/>
    <m/>
    <x v="1"/>
    <m/>
    <x v="428"/>
    <n v="7.0499999999999993E-2"/>
    <s v=""/>
    <s v=""/>
    <x v="1"/>
    <s v=" 7113.19.10.00"/>
    <s v=" 7113.19.00"/>
    <s v="7113.19.29.00"/>
    <s v=" "/>
    <n v="8.0025880710357392E-2"/>
    <n v="9.6643787449467625E-2"/>
    <n v="0.1237096035502024"/>
    <n v="0.12662547596810114"/>
    <x v="2"/>
    <x v="16"/>
    <x v="2"/>
    <n v="0"/>
    <x v="2"/>
    <n v="0"/>
    <n v="0"/>
    <n v="0"/>
  </r>
  <r>
    <s v="S925-YEL-NEC-CHA-027-079-450"/>
    <m/>
    <x v="1"/>
    <m/>
    <x v="428"/>
    <n v="7.0499999999999993E-2"/>
    <s v=""/>
    <s v=""/>
    <x v="1"/>
    <s v=" 7113.19.10.00"/>
    <s v=" 7113.19.00"/>
    <s v="7113.19.29.00"/>
    <s v=" "/>
    <n v="8.0025880710357392E-2"/>
    <n v="9.6643787449467625E-2"/>
    <n v="0.1237096035502024"/>
    <n v="0.12662547596810114"/>
    <x v="2"/>
    <x v="16"/>
    <x v="2"/>
    <n v="0"/>
    <x v="2"/>
    <n v="0"/>
    <n v="0"/>
    <n v="0"/>
  </r>
  <r>
    <s v="S925-YEL-NEC-CHA-027-079-500"/>
    <m/>
    <x v="1"/>
    <m/>
    <x v="428"/>
    <n v="7.0499999999999993E-2"/>
    <s v=""/>
    <s v=""/>
    <x v="1"/>
    <s v=" 7113.19.10.00"/>
    <s v=" 7113.19.00"/>
    <s v="7113.19.29.00"/>
    <s v=" "/>
    <n v="8.0025880710357392E-2"/>
    <n v="9.6643787449467625E-2"/>
    <n v="0.1237096035502024"/>
    <n v="0.12662547596810114"/>
    <x v="2"/>
    <x v="16"/>
    <x v="2"/>
    <n v="0"/>
    <x v="2"/>
    <n v="0"/>
    <n v="0"/>
    <n v="0"/>
  </r>
  <r>
    <s v="S925-WHI-BRA-CHA-045-084-205"/>
    <m/>
    <x v="1"/>
    <m/>
    <x v="428"/>
    <n v="7.0499999999999993E-2"/>
    <s v=""/>
    <s v=""/>
    <x v="1"/>
    <s v=" 7113.19.10.00"/>
    <s v=" 7113.19.00"/>
    <s v="7113.19.29.00"/>
    <s v=" "/>
    <n v="8.0025880710357392E-2"/>
    <n v="9.6643787449467625E-2"/>
    <n v="0.1237096035502024"/>
    <n v="0.12662547596810114"/>
    <x v="2"/>
    <x v="16"/>
    <x v="2"/>
    <n v="0"/>
    <x v="2"/>
    <n v="0"/>
    <n v="0"/>
    <n v="0"/>
  </r>
  <r>
    <s v="S925-YEL-BRA-CHA-045-084-205"/>
    <m/>
    <x v="1"/>
    <m/>
    <x v="428"/>
    <n v="7.0499999999999993E-2"/>
    <s v=""/>
    <s v=""/>
    <x v="1"/>
    <s v=" 7113.19.10.00"/>
    <s v=" 7113.19.00"/>
    <s v="7113.19.29.00"/>
    <s v=" "/>
    <n v="8.0025880710357392E-2"/>
    <n v="9.6643787449467625E-2"/>
    <n v="0.1237096035502024"/>
    <n v="0.12662547596810114"/>
    <x v="2"/>
    <x v="16"/>
    <x v="2"/>
    <n v="0"/>
    <x v="2"/>
    <n v="0"/>
    <n v="0"/>
    <n v="0"/>
  </r>
  <r>
    <s v="S925-WHI-NEC-CHA-028-030-410"/>
    <m/>
    <x v="1"/>
    <m/>
    <x v="428"/>
    <n v="7.0499999999999993E-2"/>
    <s v=""/>
    <s v=""/>
    <x v="1"/>
    <s v=" 7113.19.10.00"/>
    <s v=" 7113.19.00"/>
    <s v="7113.19.29.00"/>
    <s v=" "/>
    <n v="8.0025880710357392E-2"/>
    <n v="9.6643787449467625E-2"/>
    <n v="0.1237096035502024"/>
    <n v="0.12662547596810114"/>
    <x v="2"/>
    <x v="16"/>
    <x v="2"/>
    <n v="0"/>
    <x v="2"/>
    <n v="0"/>
    <n v="0"/>
    <n v="0"/>
  </r>
  <r>
    <s v="S925-WHI-NEC-CHA-028-030-450"/>
    <m/>
    <x v="1"/>
    <m/>
    <x v="428"/>
    <n v="7.0499999999999993E-2"/>
    <s v=""/>
    <s v=""/>
    <x v="1"/>
    <s v=" 7113.19.10.00"/>
    <s v=" 7113.19.00"/>
    <s v="7113.19.29.00"/>
    <s v=" "/>
    <n v="8.0025880710357392E-2"/>
    <n v="9.6643787449467625E-2"/>
    <n v="0.1237096035502024"/>
    <n v="0.12662547596810114"/>
    <x v="2"/>
    <x v="16"/>
    <x v="2"/>
    <n v="0"/>
    <x v="2"/>
    <n v="0"/>
    <n v="0"/>
    <n v="0"/>
  </r>
  <r>
    <s v="S925-WHI-NEC-CHA-028-030-500"/>
    <m/>
    <x v="1"/>
    <m/>
    <x v="428"/>
    <n v="7.0499999999999993E-2"/>
    <s v=""/>
    <s v=""/>
    <x v="1"/>
    <s v=" 7113.19.10.00"/>
    <s v=" 7113.19.00"/>
    <s v="7113.19.29.00"/>
    <s v=" "/>
    <n v="8.0025880710357392E-2"/>
    <n v="9.6643787449467625E-2"/>
    <n v="0.1237096035502024"/>
    <n v="0.12662547596810114"/>
    <x v="2"/>
    <x v="16"/>
    <x v="2"/>
    <n v="0"/>
    <x v="2"/>
    <n v="0"/>
    <n v="0"/>
    <n v="0"/>
  </r>
  <r>
    <s v="S925-WHI-NEC-CHA-028-045-410"/>
    <m/>
    <x v="1"/>
    <m/>
    <x v="428"/>
    <n v="7.0499999999999993E-2"/>
    <s v=""/>
    <s v=""/>
    <x v="1"/>
    <s v=" 7113.19.10.00"/>
    <s v=" 7113.19.00"/>
    <s v="7113.19.29.00"/>
    <s v=" "/>
    <n v="8.0025880710357392E-2"/>
    <n v="9.6643787449467625E-2"/>
    <n v="0.1237096035502024"/>
    <n v="0.12662547596810114"/>
    <x v="2"/>
    <x v="16"/>
    <x v="2"/>
    <n v="0"/>
    <x v="2"/>
    <n v="0"/>
    <n v="0"/>
    <n v="0"/>
  </r>
  <r>
    <s v="S925-WHI-NEC-CHA-028-045-450"/>
    <m/>
    <x v="1"/>
    <m/>
    <x v="428"/>
    <n v="7.0499999999999993E-2"/>
    <s v=""/>
    <s v=""/>
    <x v="1"/>
    <s v=" 7113.19.10.00"/>
    <s v=" 7113.19.00"/>
    <s v="7113.19.29.00"/>
    <s v=" "/>
    <n v="8.0025880710357392E-2"/>
    <n v="9.6643787449467625E-2"/>
    <n v="0.1237096035502024"/>
    <n v="0.12662547596810114"/>
    <x v="2"/>
    <x v="16"/>
    <x v="2"/>
    <n v="0"/>
    <x v="2"/>
    <n v="0"/>
    <n v="0"/>
    <n v="0"/>
  </r>
  <r>
    <s v="S925-WHI-NEC-CHA-028-045-500"/>
    <m/>
    <x v="1"/>
    <m/>
    <x v="428"/>
    <n v="7.0499999999999993E-2"/>
    <s v=""/>
    <s v=""/>
    <x v="1"/>
    <s v=" 7113.19.10.00"/>
    <s v=" 7113.19.00"/>
    <s v="7113.19.29.00"/>
    <s v=" "/>
    <n v="8.0025880710357392E-2"/>
    <n v="9.6643787449467625E-2"/>
    <n v="0.1237096035502024"/>
    <n v="0.12662547596810114"/>
    <x v="2"/>
    <x v="16"/>
    <x v="2"/>
    <n v="0"/>
    <x v="2"/>
    <n v="0"/>
    <n v="0"/>
    <n v="0"/>
  </r>
  <r>
    <s v="S925-YEL-NEC-CHA-028-030-410"/>
    <m/>
    <x v="1"/>
    <m/>
    <x v="428"/>
    <n v="7.0499999999999993E-2"/>
    <s v=""/>
    <s v=""/>
    <x v="1"/>
    <s v=" 7113.19.10.00"/>
    <s v=" 7113.19.00"/>
    <s v="7113.19.29.00"/>
    <s v=" "/>
    <n v="8.0025880710357392E-2"/>
    <n v="9.6643787449467625E-2"/>
    <n v="0.1237096035502024"/>
    <n v="0.12662547596810114"/>
    <x v="2"/>
    <x v="16"/>
    <x v="2"/>
    <n v="0"/>
    <x v="2"/>
    <n v="0"/>
    <n v="0"/>
    <n v="0"/>
  </r>
  <r>
    <s v="S925-YEL-NEC-CHA-028-030-450"/>
    <m/>
    <x v="1"/>
    <m/>
    <x v="428"/>
    <n v="7.0499999999999993E-2"/>
    <s v=""/>
    <s v=""/>
    <x v="1"/>
    <s v=" 7113.19.10.00"/>
    <s v=" 7113.19.00"/>
    <s v="7113.19.29.00"/>
    <s v=" "/>
    <n v="8.0025880710357392E-2"/>
    <n v="9.6643787449467625E-2"/>
    <n v="0.1237096035502024"/>
    <n v="0.12662547596810114"/>
    <x v="2"/>
    <x v="16"/>
    <x v="2"/>
    <n v="0"/>
    <x v="2"/>
    <n v="0"/>
    <n v="0"/>
    <n v="0"/>
  </r>
  <r>
    <s v="S925-YEL-NEC-CHA-028-030-500"/>
    <m/>
    <x v="1"/>
    <m/>
    <x v="428"/>
    <n v="7.0499999999999993E-2"/>
    <s v=""/>
    <s v=""/>
    <x v="1"/>
    <s v=" 7113.19.10.00"/>
    <s v=" 7113.19.00"/>
    <s v="7113.19.29.00"/>
    <s v=" "/>
    <n v="8.0025880710357392E-2"/>
    <n v="9.6643787449467625E-2"/>
    <n v="0.1237096035502024"/>
    <n v="0.12662547596810114"/>
    <x v="2"/>
    <x v="16"/>
    <x v="2"/>
    <n v="0"/>
    <x v="2"/>
    <n v="0"/>
    <n v="0"/>
    <n v="0"/>
  </r>
  <r>
    <s v="S925-YEL-NEC-CHA-028-045-410"/>
    <m/>
    <x v="1"/>
    <m/>
    <x v="428"/>
    <n v="7.0499999999999993E-2"/>
    <s v=""/>
    <s v=""/>
    <x v="1"/>
    <s v=" 7113.19.10.00"/>
    <s v=" 7113.19.00"/>
    <s v="7113.19.29.00"/>
    <s v=" "/>
    <n v="8.0025880710357392E-2"/>
    <n v="9.6643787449467625E-2"/>
    <n v="0.1237096035502024"/>
    <n v="0.12662547596810114"/>
    <x v="2"/>
    <x v="16"/>
    <x v="2"/>
    <n v="0"/>
    <x v="2"/>
    <n v="0"/>
    <n v="0"/>
    <n v="0"/>
  </r>
  <r>
    <s v="S925-YEL-NEC-CHA-028-045-450"/>
    <m/>
    <x v="1"/>
    <m/>
    <x v="428"/>
    <n v="7.0499999999999993E-2"/>
    <s v=""/>
    <s v=""/>
    <x v="1"/>
    <s v=" 7113.19.10.00"/>
    <s v=" 7113.19.00"/>
    <s v="7113.19.29.00"/>
    <s v=" "/>
    <n v="8.0025880710357392E-2"/>
    <n v="9.6643787449467625E-2"/>
    <n v="0.1237096035502024"/>
    <n v="0.12662547596810114"/>
    <x v="2"/>
    <x v="16"/>
    <x v="2"/>
    <n v="0"/>
    <x v="2"/>
    <n v="0"/>
    <n v="0"/>
    <n v="0"/>
  </r>
  <r>
    <s v="S925-YEL-NEC-CHA-028-045-500"/>
    <m/>
    <x v="1"/>
    <m/>
    <x v="428"/>
    <n v="7.0499999999999993E-2"/>
    <s v=""/>
    <s v=""/>
    <x v="1"/>
    <s v=" 7113.19.10.00"/>
    <s v=" 7113.19.00"/>
    <s v="7113.19.29.00"/>
    <s v=" "/>
    <n v="8.0025880710357392E-2"/>
    <n v="9.6643787449467625E-2"/>
    <n v="0.1237096035502024"/>
    <n v="0.12662547596810114"/>
    <x v="2"/>
    <x v="16"/>
    <x v="2"/>
    <n v="0"/>
    <x v="2"/>
    <n v="0"/>
    <n v="0"/>
    <n v="0"/>
  </r>
  <r>
    <s v="S925-WHI-NEC-CHA-029-030-400"/>
    <m/>
    <x v="1"/>
    <m/>
    <x v="428"/>
    <n v="7.0499999999999993E-2"/>
    <s v=""/>
    <s v=""/>
    <x v="1"/>
    <s v=" 7113.19.10.00"/>
    <s v=" 7113.19.00"/>
    <s v="7113.19.29.00"/>
    <s v=" "/>
    <n v="8.0025880710357392E-2"/>
    <n v="9.6643787449467625E-2"/>
    <n v="0.1237096035502024"/>
    <n v="0.12662547596810114"/>
    <x v="2"/>
    <x v="16"/>
    <x v="2"/>
    <n v="0"/>
    <x v="2"/>
    <n v="0"/>
    <n v="0"/>
    <n v="0"/>
  </r>
  <r>
    <s v="S925-WHI-NEC-CHA-029-030-450"/>
    <m/>
    <x v="1"/>
    <m/>
    <x v="428"/>
    <n v="7.0499999999999993E-2"/>
    <s v=""/>
    <s v=""/>
    <x v="1"/>
    <s v=" 7113.19.10.00"/>
    <s v=" 7113.19.00"/>
    <s v="7113.19.29.00"/>
    <s v=" "/>
    <n v="8.0025880710357392E-2"/>
    <n v="9.6643787449467625E-2"/>
    <n v="0.1237096035502024"/>
    <n v="0.12662547596810114"/>
    <x v="2"/>
    <x v="16"/>
    <x v="2"/>
    <n v="0"/>
    <x v="2"/>
    <n v="0"/>
    <n v="0"/>
    <n v="0"/>
  </r>
  <r>
    <s v="S925-WHI-NEC-CHA-029-030-600"/>
    <m/>
    <x v="1"/>
    <m/>
    <x v="428"/>
    <n v="7.0499999999999993E-2"/>
    <s v=""/>
    <s v=""/>
    <x v="1"/>
    <s v=" 7113.19.10.00"/>
    <s v=" 7113.19.00"/>
    <s v="7113.19.29.00"/>
    <s v=" "/>
    <n v="8.0025880710357392E-2"/>
    <n v="9.6643787449467625E-2"/>
    <n v="0.1237096035502024"/>
    <n v="0.12662547596810114"/>
    <x v="2"/>
    <x v="16"/>
    <x v="2"/>
    <n v="0"/>
    <x v="2"/>
    <n v="0"/>
    <n v="0"/>
    <n v="0"/>
  </r>
  <r>
    <s v="S925-WHI-NEC-CHA-029-036-400"/>
    <m/>
    <x v="1"/>
    <m/>
    <x v="428"/>
    <n v="7.0499999999999993E-2"/>
    <s v=""/>
    <s v=""/>
    <x v="1"/>
    <s v=" 7113.19.10.00"/>
    <s v=" 7113.19.00"/>
    <s v="7113.19.29.00"/>
    <s v=" "/>
    <n v="8.0025880710357392E-2"/>
    <n v="9.6643787449467625E-2"/>
    <n v="0.1237096035502024"/>
    <n v="0.12662547596810114"/>
    <x v="2"/>
    <x v="16"/>
    <x v="2"/>
    <n v="0"/>
    <x v="2"/>
    <n v="0"/>
    <n v="0"/>
    <n v="0"/>
  </r>
  <r>
    <s v="S925-WHI-NEC-CHA-029-036-450"/>
    <m/>
    <x v="1"/>
    <m/>
    <x v="428"/>
    <n v="7.0499999999999993E-2"/>
    <s v=""/>
    <s v=""/>
    <x v="1"/>
    <s v=" 7113.19.10.00"/>
    <s v=" 7113.19.00"/>
    <s v="7113.19.29.00"/>
    <s v=" "/>
    <n v="8.0025880710357392E-2"/>
    <n v="9.6643787449467625E-2"/>
    <n v="0.1237096035502024"/>
    <n v="0.12662547596810114"/>
    <x v="2"/>
    <x v="16"/>
    <x v="2"/>
    <n v="0"/>
    <x v="2"/>
    <n v="0"/>
    <n v="0"/>
    <n v="0"/>
  </r>
  <r>
    <s v="S925-WHI-NEC-CHA-029-036-600"/>
    <m/>
    <x v="1"/>
    <m/>
    <x v="428"/>
    <n v="7.0499999999999993E-2"/>
    <s v=""/>
    <s v=""/>
    <x v="1"/>
    <s v=" 7113.19.10.00"/>
    <s v=" 7113.19.00"/>
    <s v="7113.19.29.00"/>
    <s v=" "/>
    <n v="8.0025880710357392E-2"/>
    <n v="9.6643787449467625E-2"/>
    <n v="0.1237096035502024"/>
    <n v="0.12662547596810114"/>
    <x v="2"/>
    <x v="16"/>
    <x v="2"/>
    <n v="0"/>
    <x v="2"/>
    <n v="0"/>
    <n v="0"/>
    <n v="0"/>
  </r>
  <r>
    <s v="S925-WHI-NEC-CHA-029-044-400"/>
    <m/>
    <x v="1"/>
    <m/>
    <x v="428"/>
    <n v="7.0499999999999993E-2"/>
    <s v=""/>
    <s v=""/>
    <x v="1"/>
    <s v=" 7113.19.10.00"/>
    <s v=" 7113.19.00"/>
    <s v="7113.19.29.00"/>
    <s v=" "/>
    <n v="8.0025880710357392E-2"/>
    <n v="9.6643787449467625E-2"/>
    <n v="0.1237096035502024"/>
    <n v="0.12662547596810114"/>
    <x v="2"/>
    <x v="16"/>
    <x v="2"/>
    <n v="0"/>
    <x v="2"/>
    <n v="0"/>
    <n v="0"/>
    <n v="0"/>
  </r>
  <r>
    <s v="S925-WHI-NEC-CHA-029-044-450"/>
    <m/>
    <x v="1"/>
    <m/>
    <x v="428"/>
    <n v="7.0499999999999993E-2"/>
    <s v=""/>
    <s v=""/>
    <x v="1"/>
    <s v=" 7113.19.10.00"/>
    <s v=" 7113.19.00"/>
    <s v="7113.19.29.00"/>
    <s v=" "/>
    <n v="8.0025880710357392E-2"/>
    <n v="9.6643787449467625E-2"/>
    <n v="0.1237096035502024"/>
    <n v="0.12662547596810114"/>
    <x v="2"/>
    <x v="16"/>
    <x v="2"/>
    <n v="0"/>
    <x v="2"/>
    <n v="0"/>
    <n v="0"/>
    <n v="0"/>
  </r>
  <r>
    <s v="S925-WHI-NEC-CHA-029-044-600"/>
    <m/>
    <x v="1"/>
    <m/>
    <x v="428"/>
    <n v="7.0499999999999993E-2"/>
    <s v=""/>
    <s v=""/>
    <x v="1"/>
    <s v=" 7113.19.10.00"/>
    <s v=" 7113.19.00"/>
    <s v="7113.19.29.00"/>
    <s v=" "/>
    <n v="8.0025880710357392E-2"/>
    <n v="9.6643787449467625E-2"/>
    <n v="0.1237096035502024"/>
    <n v="0.12662547596810114"/>
    <x v="2"/>
    <x v="16"/>
    <x v="2"/>
    <n v="0"/>
    <x v="2"/>
    <n v="0"/>
    <n v="0"/>
    <n v="0"/>
  </r>
  <r>
    <s v="S925-YEL-NEC-CHA-029-030-400"/>
    <m/>
    <x v="1"/>
    <m/>
    <x v="428"/>
    <n v="7.0499999999999993E-2"/>
    <s v=""/>
    <s v=""/>
    <x v="1"/>
    <s v=" 7113.19.10.00"/>
    <s v=" 7113.19.00"/>
    <s v="7113.19.29.00"/>
    <s v=" "/>
    <n v="8.0025880710357392E-2"/>
    <n v="9.6643787449467625E-2"/>
    <n v="0.1237096035502024"/>
    <n v="0.12662547596810114"/>
    <x v="2"/>
    <x v="16"/>
    <x v="2"/>
    <n v="0"/>
    <x v="2"/>
    <n v="0"/>
    <n v="0"/>
    <n v="0"/>
  </r>
  <r>
    <s v="S925-YEL-NEC-CHA-029-030-450"/>
    <m/>
    <x v="1"/>
    <m/>
    <x v="428"/>
    <n v="7.0499999999999993E-2"/>
    <s v=""/>
    <s v=""/>
    <x v="1"/>
    <s v=" 7113.19.10.00"/>
    <s v=" 7113.19.00"/>
    <s v="7113.19.29.00"/>
    <s v=" "/>
    <n v="8.0025880710357392E-2"/>
    <n v="9.6643787449467625E-2"/>
    <n v="0.1237096035502024"/>
    <n v="0.12662547596810114"/>
    <x v="2"/>
    <x v="16"/>
    <x v="2"/>
    <n v="0"/>
    <x v="2"/>
    <n v="0"/>
    <n v="0"/>
    <n v="0"/>
  </r>
  <r>
    <s v="S925-YEL-NEC-CHA-029-030-600"/>
    <m/>
    <x v="1"/>
    <m/>
    <x v="428"/>
    <n v="7.0499999999999993E-2"/>
    <s v=""/>
    <s v=""/>
    <x v="1"/>
    <s v=" 7113.19.10.00"/>
    <s v=" 7113.19.00"/>
    <s v="7113.19.29.00"/>
    <s v=" "/>
    <n v="8.0025880710357392E-2"/>
    <n v="9.6643787449467625E-2"/>
    <n v="0.1237096035502024"/>
    <n v="0.12662547596810114"/>
    <x v="2"/>
    <x v="16"/>
    <x v="2"/>
    <n v="0"/>
    <x v="2"/>
    <n v="0"/>
    <n v="0"/>
    <n v="0"/>
  </r>
  <r>
    <s v="S925-YEL-NEC-CHA-029-036-400"/>
    <m/>
    <x v="1"/>
    <m/>
    <x v="428"/>
    <n v="7.0499999999999993E-2"/>
    <s v=""/>
    <s v=""/>
    <x v="1"/>
    <s v=" 7113.19.10.00"/>
    <s v=" 7113.19.00"/>
    <s v="7113.19.29.00"/>
    <s v=" "/>
    <n v="8.0025880710357392E-2"/>
    <n v="9.6643787449467625E-2"/>
    <n v="0.1237096035502024"/>
    <n v="0.12662547596810114"/>
    <x v="2"/>
    <x v="16"/>
    <x v="2"/>
    <n v="0"/>
    <x v="2"/>
    <n v="0"/>
    <n v="0"/>
    <n v="0"/>
  </r>
  <r>
    <s v="S925-YEL-NEC-CHA-029-036-450"/>
    <m/>
    <x v="1"/>
    <m/>
    <x v="428"/>
    <n v="7.0499999999999993E-2"/>
    <s v=""/>
    <s v=""/>
    <x v="1"/>
    <s v=" 7113.19.10.00"/>
    <s v=" 7113.19.00"/>
    <s v="7113.19.29.00"/>
    <s v=" "/>
    <n v="8.0025880710357392E-2"/>
    <n v="9.6643787449467625E-2"/>
    <n v="0.1237096035502024"/>
    <n v="0.12662547596810114"/>
    <x v="2"/>
    <x v="16"/>
    <x v="2"/>
    <n v="0"/>
    <x v="2"/>
    <n v="0"/>
    <n v="0"/>
    <n v="0"/>
  </r>
  <r>
    <s v="S925-YEL-NEC-CHA-029-036-600"/>
    <m/>
    <x v="1"/>
    <m/>
    <x v="428"/>
    <n v="7.0499999999999993E-2"/>
    <s v=""/>
    <s v=""/>
    <x v="1"/>
    <s v=" 7113.19.10.00"/>
    <s v=" 7113.19.00"/>
    <s v="7113.19.29.00"/>
    <s v=" "/>
    <n v="8.0025880710357392E-2"/>
    <n v="9.6643787449467625E-2"/>
    <n v="0.1237096035502024"/>
    <n v="0.12662547596810114"/>
    <x v="2"/>
    <x v="16"/>
    <x v="2"/>
    <n v="0"/>
    <x v="2"/>
    <n v="0"/>
    <n v="0"/>
    <n v="0"/>
  </r>
  <r>
    <s v="S925-YEL-NEC-CHA-029-044-400"/>
    <m/>
    <x v="1"/>
    <m/>
    <x v="428"/>
    <n v="7.0499999999999993E-2"/>
    <s v=""/>
    <s v=""/>
    <x v="1"/>
    <s v=" 7113.19.10.00"/>
    <s v=" 7113.19.00"/>
    <s v="7113.19.29.00"/>
    <s v=" "/>
    <n v="8.0025880710357392E-2"/>
    <n v="9.6643787449467625E-2"/>
    <n v="0.1237096035502024"/>
    <n v="0.12662547596810114"/>
    <x v="2"/>
    <x v="16"/>
    <x v="2"/>
    <n v="0"/>
    <x v="2"/>
    <n v="0"/>
    <n v="0"/>
    <n v="0"/>
  </r>
  <r>
    <s v="S925-YEL-NEC-CHA-029-044-450"/>
    <m/>
    <x v="1"/>
    <m/>
    <x v="428"/>
    <n v="7.0499999999999993E-2"/>
    <s v=""/>
    <s v=""/>
    <x v="1"/>
    <s v=" 7113.19.10.00"/>
    <s v=" 7113.19.00"/>
    <s v="7113.19.29.00"/>
    <s v=" "/>
    <n v="8.0025880710357392E-2"/>
    <n v="9.6643787449467625E-2"/>
    <n v="0.1237096035502024"/>
    <n v="0.12662547596810114"/>
    <x v="2"/>
    <x v="16"/>
    <x v="2"/>
    <n v="0"/>
    <x v="2"/>
    <n v="0"/>
    <n v="0"/>
    <n v="0"/>
  </r>
  <r>
    <s v="S925-YEL-NEC-CHA-029-044-600"/>
    <m/>
    <x v="1"/>
    <m/>
    <x v="428"/>
    <n v="7.0499999999999993E-2"/>
    <s v=""/>
    <s v=""/>
    <x v="1"/>
    <s v=" 7113.19.10.00"/>
    <s v=" 7113.19.00"/>
    <s v="7113.19.29.00"/>
    <s v=" "/>
    <n v="8.0025880710357392E-2"/>
    <n v="9.6643787449467625E-2"/>
    <n v="0.1237096035502024"/>
    <n v="0.12662547596810114"/>
    <x v="2"/>
    <x v="16"/>
    <x v="2"/>
    <n v="0"/>
    <x v="2"/>
    <n v="0"/>
    <n v="0"/>
    <n v="0"/>
  </r>
  <r>
    <s v="G9K-YEL-RIN-WED-001-025-I"/>
    <m/>
    <x v="1"/>
    <m/>
    <x v="428"/>
    <n v="7.0499999999999993E-2"/>
    <s v=""/>
    <s v=""/>
    <x v="1"/>
    <s v=" 7113.19.10.00"/>
    <s v=" 7113.19.00"/>
    <s v="7113.19.29.00"/>
    <s v=" "/>
    <n v="8.0025880710357392E-2"/>
    <n v="9.6643787449467625E-2"/>
    <n v="0.1237096035502024"/>
    <n v="0.12662547596810114"/>
    <x v="2"/>
    <x v="16"/>
    <x v="2"/>
    <n v="0"/>
    <x v="2"/>
    <n v="0"/>
    <n v="0"/>
    <n v="0"/>
  </r>
  <r>
    <s v="G9K-YEL-RIN-WED-001-025-J"/>
    <m/>
    <x v="1"/>
    <m/>
    <x v="428"/>
    <n v="7.0499999999999993E-2"/>
    <s v=""/>
    <s v=""/>
    <x v="1"/>
    <s v=" 7113.19.10.00"/>
    <s v=" 7113.19.00"/>
    <s v="7113.19.29.00"/>
    <s v=" "/>
    <n v="8.0025880710357392E-2"/>
    <n v="9.6643787449467625E-2"/>
    <n v="0.1237096035502024"/>
    <n v="0.12662547596810114"/>
    <x v="2"/>
    <x v="16"/>
    <x v="2"/>
    <n v="0"/>
    <x v="2"/>
    <n v="0"/>
    <n v="0"/>
    <n v="0"/>
  </r>
  <r>
    <s v="G9K-YEL-RIN-WED-001-025-K"/>
    <m/>
    <x v="1"/>
    <m/>
    <x v="428"/>
    <n v="7.0499999999999993E-2"/>
    <s v=""/>
    <s v=""/>
    <x v="1"/>
    <s v=" 7113.19.10.00"/>
    <s v=" 7113.19.00"/>
    <s v="7113.19.29.00"/>
    <s v=" "/>
    <n v="8.0025880710357392E-2"/>
    <n v="9.6643787449467625E-2"/>
    <n v="0.1237096035502024"/>
    <n v="0.12662547596810114"/>
    <x v="2"/>
    <x v="16"/>
    <x v="2"/>
    <n v="0"/>
    <x v="2"/>
    <n v="0"/>
    <n v="0"/>
    <n v="0"/>
  </r>
  <r>
    <s v="G9K-YEL-RIN-WED-001-025-L"/>
    <m/>
    <x v="1"/>
    <m/>
    <x v="428"/>
    <n v="7.0499999999999993E-2"/>
    <s v=""/>
    <s v=""/>
    <x v="1"/>
    <s v=" 7113.19.10.00"/>
    <s v=" 7113.19.00"/>
    <s v="7113.19.29.00"/>
    <s v=" "/>
    <n v="8.0025880710357392E-2"/>
    <n v="9.6643787449467625E-2"/>
    <n v="0.1237096035502024"/>
    <n v="0.12662547596810114"/>
    <x v="2"/>
    <x v="16"/>
    <x v="2"/>
    <n v="0"/>
    <x v="2"/>
    <n v="0"/>
    <n v="0"/>
    <n v="0"/>
  </r>
  <r>
    <s v="G9K-YEL-RIN-WED-001-025-M"/>
    <m/>
    <x v="1"/>
    <m/>
    <x v="428"/>
    <n v="7.0499999999999993E-2"/>
    <s v=""/>
    <s v=""/>
    <x v="1"/>
    <s v=" 7113.19.10.00"/>
    <s v=" 7113.19.00"/>
    <s v="7113.19.29.00"/>
    <s v=" "/>
    <n v="8.0025880710357392E-2"/>
    <n v="9.6643787449467625E-2"/>
    <n v="0.1237096035502024"/>
    <n v="0.12662547596810114"/>
    <x v="2"/>
    <x v="16"/>
    <x v="2"/>
    <n v="0"/>
    <x v="2"/>
    <n v="0"/>
    <n v="0"/>
    <n v="0"/>
  </r>
  <r>
    <s v="G9K-YEL-RIN-WED-001-025-N"/>
    <m/>
    <x v="1"/>
    <m/>
    <x v="428"/>
    <n v="7.0499999999999993E-2"/>
    <s v=""/>
    <s v=""/>
    <x v="1"/>
    <s v=" 7113.19.10.00"/>
    <s v=" 7113.19.00"/>
    <s v="7113.19.29.00"/>
    <s v=" "/>
    <n v="8.0025880710357392E-2"/>
    <n v="9.6643787449467625E-2"/>
    <n v="0.1237096035502024"/>
    <n v="0.12662547596810114"/>
    <x v="2"/>
    <x v="16"/>
    <x v="2"/>
    <n v="0"/>
    <x v="2"/>
    <n v="0"/>
    <n v="0"/>
    <n v="0"/>
  </r>
  <r>
    <s v="G9K-YEL-RIN-WED-001-025-O"/>
    <m/>
    <x v="1"/>
    <m/>
    <x v="428"/>
    <n v="7.0499999999999993E-2"/>
    <s v=""/>
    <s v=""/>
    <x v="1"/>
    <s v=" 7113.19.10.00"/>
    <s v=" 7113.19.00"/>
    <s v="7113.19.29.00"/>
    <s v=" "/>
    <n v="8.0025880710357392E-2"/>
    <n v="9.6643787449467625E-2"/>
    <n v="0.1237096035502024"/>
    <n v="0.12662547596810114"/>
    <x v="2"/>
    <x v="16"/>
    <x v="2"/>
    <n v="0"/>
    <x v="2"/>
    <n v="0"/>
    <n v="0"/>
    <n v="0"/>
  </r>
  <r>
    <s v="G9K-YEL-RIN-WED-001-025-P"/>
    <m/>
    <x v="1"/>
    <m/>
    <x v="428"/>
    <n v="7.0499999999999993E-2"/>
    <s v=""/>
    <s v=""/>
    <x v="1"/>
    <s v=" 7113.19.10.00"/>
    <s v=" 7113.19.00"/>
    <s v="7113.19.29.00"/>
    <s v=" "/>
    <n v="8.0025880710357392E-2"/>
    <n v="9.6643787449467625E-2"/>
    <n v="0.1237096035502024"/>
    <n v="0.12662547596810114"/>
    <x v="2"/>
    <x v="16"/>
    <x v="2"/>
    <n v="0"/>
    <x v="2"/>
    <n v="0"/>
    <n v="0"/>
    <n v="0"/>
  </r>
  <r>
    <s v="G9K-YEL-RIN-WED-001-025-Q"/>
    <m/>
    <x v="1"/>
    <m/>
    <x v="428"/>
    <n v="7.0499999999999993E-2"/>
    <s v=""/>
    <s v=""/>
    <x v="1"/>
    <s v=" 7113.19.10.00"/>
    <s v=" 7113.19.00"/>
    <s v="7113.19.29.00"/>
    <s v=" "/>
    <n v="8.0025880710357392E-2"/>
    <n v="9.6643787449467625E-2"/>
    <n v="0.1237096035502024"/>
    <n v="0.12662547596810114"/>
    <x v="2"/>
    <x v="16"/>
    <x v="2"/>
    <n v="0"/>
    <x v="2"/>
    <n v="0"/>
    <n v="0"/>
    <n v="0"/>
  </r>
  <r>
    <s v="G9K-YEL-RIN-WED-001-025-R"/>
    <m/>
    <x v="1"/>
    <m/>
    <x v="428"/>
    <n v="7.0499999999999993E-2"/>
    <s v=""/>
    <s v=""/>
    <x v="1"/>
    <s v=" 7113.19.10.00"/>
    <s v=" 7113.19.00"/>
    <s v="7113.19.29.00"/>
    <s v=" "/>
    <n v="8.0025880710357392E-2"/>
    <n v="9.6643787449467625E-2"/>
    <n v="0.1237096035502024"/>
    <n v="0.12662547596810114"/>
    <x v="2"/>
    <x v="16"/>
    <x v="2"/>
    <n v="0"/>
    <x v="2"/>
    <n v="0"/>
    <n v="0"/>
    <n v="0"/>
  </r>
  <r>
    <s v="G9K-YEL-RIN-WED-001-025-S"/>
    <m/>
    <x v="1"/>
    <m/>
    <x v="428"/>
    <n v="7.0499999999999993E-2"/>
    <s v=""/>
    <s v=""/>
    <x v="1"/>
    <s v=" 7113.19.10.00"/>
    <s v=" 7113.19.00"/>
    <s v="7113.19.29.00"/>
    <s v=" "/>
    <n v="8.0025880710357392E-2"/>
    <n v="9.6643787449467625E-2"/>
    <n v="0.1237096035502024"/>
    <n v="0.12662547596810114"/>
    <x v="2"/>
    <x v="16"/>
    <x v="2"/>
    <n v="0"/>
    <x v="2"/>
    <n v="0"/>
    <n v="0"/>
    <n v="0"/>
  </r>
  <r>
    <s v="G9K-YEL-RIN-WED-001-025-T"/>
    <m/>
    <x v="1"/>
    <m/>
    <x v="428"/>
    <n v="7.0499999999999993E-2"/>
    <s v=""/>
    <s v=""/>
    <x v="1"/>
    <s v=" 7113.19.10.00"/>
    <s v=" 7113.19.00"/>
    <s v="7113.19.29.00"/>
    <s v=" "/>
    <n v="8.0025880710357392E-2"/>
    <n v="9.6643787449467625E-2"/>
    <n v="0.1237096035502024"/>
    <n v="0.12662547596810114"/>
    <x v="2"/>
    <x v="16"/>
    <x v="2"/>
    <n v="0"/>
    <x v="2"/>
    <n v="0"/>
    <n v="0"/>
    <n v="0"/>
  </r>
  <r>
    <s v="G9K-YEL-RIN-WED-001-025-U"/>
    <m/>
    <x v="1"/>
    <m/>
    <x v="428"/>
    <n v="7.0499999999999993E-2"/>
    <s v=""/>
    <s v=""/>
    <x v="1"/>
    <s v=" 7113.19.10.00"/>
    <s v=" 7113.19.00"/>
    <s v="7113.19.29.00"/>
    <s v=" "/>
    <n v="8.0025880710357392E-2"/>
    <n v="9.6643787449467625E-2"/>
    <n v="0.1237096035502024"/>
    <n v="0.12662547596810114"/>
    <x v="2"/>
    <x v="16"/>
    <x v="2"/>
    <n v="0"/>
    <x v="2"/>
    <n v="0"/>
    <n v="0"/>
    <n v="0"/>
  </r>
  <r>
    <s v="G9K-YEL-RIN-WED-001-025-V"/>
    <m/>
    <x v="1"/>
    <m/>
    <x v="428"/>
    <n v="7.0499999999999993E-2"/>
    <s v=""/>
    <s v=""/>
    <x v="1"/>
    <s v=" 7113.19.10.00"/>
    <s v=" 7113.19.00"/>
    <s v="7113.19.29.00"/>
    <s v=" "/>
    <n v="8.0025880710357392E-2"/>
    <n v="9.6643787449467625E-2"/>
    <n v="0.1237096035502024"/>
    <n v="0.12662547596810114"/>
    <x v="2"/>
    <x v="16"/>
    <x v="2"/>
    <n v="0"/>
    <x v="2"/>
    <n v="0"/>
    <n v="0"/>
    <n v="0"/>
  </r>
  <r>
    <s v="G9K-YEL-RIN-WED-001-025-W"/>
    <m/>
    <x v="1"/>
    <m/>
    <x v="428"/>
    <n v="7.0499999999999993E-2"/>
    <s v=""/>
    <s v=""/>
    <x v="1"/>
    <s v=" 7113.19.10.00"/>
    <s v=" 7113.19.00"/>
    <s v="7113.19.29.00"/>
    <s v=" "/>
    <n v="8.0025880710357392E-2"/>
    <n v="9.6643787449467625E-2"/>
    <n v="0.1237096035502024"/>
    <n v="0.12662547596810114"/>
    <x v="2"/>
    <x v="16"/>
    <x v="2"/>
    <n v="0"/>
    <x v="2"/>
    <n v="0"/>
    <n v="0"/>
    <n v="0"/>
  </r>
  <r>
    <s v="G9K-YEL-RIN-WED-001-025-X"/>
    <m/>
    <x v="1"/>
    <m/>
    <x v="428"/>
    <n v="7.0499999999999993E-2"/>
    <s v=""/>
    <s v=""/>
    <x v="1"/>
    <s v=" 7113.19.10.00"/>
    <s v=" 7113.19.00"/>
    <s v="7113.19.29.00"/>
    <s v=" "/>
    <n v="8.0025880710357392E-2"/>
    <n v="9.6643787449467625E-2"/>
    <n v="0.1237096035502024"/>
    <n v="0.12662547596810114"/>
    <x v="2"/>
    <x v="16"/>
    <x v="2"/>
    <n v="0"/>
    <x v="2"/>
    <n v="0"/>
    <n v="0"/>
    <n v="0"/>
  </r>
  <r>
    <s v="G9K-YEL-RIN-WED-001-025-Y"/>
    <m/>
    <x v="1"/>
    <m/>
    <x v="428"/>
    <n v="7.0499999999999993E-2"/>
    <s v=""/>
    <s v=""/>
    <x v="1"/>
    <s v=" 7113.19.10.00"/>
    <s v=" 7113.19.00"/>
    <s v="7113.19.29.00"/>
    <s v=" "/>
    <n v="8.0025880710357392E-2"/>
    <n v="9.6643787449467625E-2"/>
    <n v="0.1237096035502024"/>
    <n v="0.12662547596810114"/>
    <x v="2"/>
    <x v="16"/>
    <x v="2"/>
    <n v="0"/>
    <x v="2"/>
    <n v="0"/>
    <n v="0"/>
    <n v="0"/>
  </r>
  <r>
    <s v="G9K-YEL-RIN-WED-001-025-Z"/>
    <m/>
    <x v="1"/>
    <m/>
    <x v="428"/>
    <n v="7.0499999999999993E-2"/>
    <s v=""/>
    <s v=""/>
    <x v="1"/>
    <s v=" 7113.19.10.00"/>
    <s v=" 7113.19.00"/>
    <s v="7113.19.29.00"/>
    <s v=" "/>
    <n v="8.0025880710357392E-2"/>
    <n v="9.6643787449467625E-2"/>
    <n v="0.1237096035502024"/>
    <n v="0.12662547596810114"/>
    <x v="2"/>
    <x v="16"/>
    <x v="2"/>
    <n v="0"/>
    <x v="2"/>
    <n v="0"/>
    <n v="0"/>
    <n v="0"/>
  </r>
  <r>
    <s v="G9K-YEL-RIN-WED-001-035-I"/>
    <m/>
    <x v="1"/>
    <m/>
    <x v="428"/>
    <n v="7.0499999999999993E-2"/>
    <s v=""/>
    <s v=""/>
    <x v="1"/>
    <s v=" 7113.19.10.00"/>
    <s v=" 7113.19.00"/>
    <s v="7113.19.29.00"/>
    <s v=" "/>
    <n v="8.0025880710357392E-2"/>
    <n v="9.6643787449467625E-2"/>
    <n v="0.1237096035502024"/>
    <n v="0.12662547596810114"/>
    <x v="2"/>
    <x v="16"/>
    <x v="2"/>
    <n v="0"/>
    <x v="2"/>
    <n v="0"/>
    <n v="0"/>
    <n v="0"/>
  </r>
  <r>
    <s v="G9K-YEL-RIN-WED-001-035-J"/>
    <m/>
    <x v="1"/>
    <m/>
    <x v="428"/>
    <n v="7.0499999999999993E-2"/>
    <s v=""/>
    <s v=""/>
    <x v="1"/>
    <s v=" 7113.19.10.00"/>
    <s v=" 7113.19.00"/>
    <s v="7113.19.29.00"/>
    <s v=" "/>
    <n v="8.0025880710357392E-2"/>
    <n v="9.6643787449467625E-2"/>
    <n v="0.1237096035502024"/>
    <n v="0.12662547596810114"/>
    <x v="2"/>
    <x v="16"/>
    <x v="2"/>
    <n v="0"/>
    <x v="2"/>
    <n v="0"/>
    <n v="0"/>
    <n v="0"/>
  </r>
  <r>
    <s v="G9K-YEL-RIN-WED-001-035-K"/>
    <m/>
    <x v="1"/>
    <m/>
    <x v="428"/>
    <n v="7.0499999999999993E-2"/>
    <s v=""/>
    <s v=""/>
    <x v="1"/>
    <s v=" 7113.19.10.00"/>
    <s v=" 7113.19.00"/>
    <s v="7113.19.29.00"/>
    <s v=" "/>
    <n v="8.0025880710357392E-2"/>
    <n v="9.6643787449467625E-2"/>
    <n v="0.1237096035502024"/>
    <n v="0.12662547596810114"/>
    <x v="2"/>
    <x v="16"/>
    <x v="2"/>
    <n v="0"/>
    <x v="2"/>
    <n v="0"/>
    <n v="0"/>
    <n v="0"/>
  </r>
  <r>
    <s v="G9K-YEL-RIN-WED-001-035-L"/>
    <m/>
    <x v="1"/>
    <m/>
    <x v="428"/>
    <n v="7.0499999999999993E-2"/>
    <s v=""/>
    <s v=""/>
    <x v="1"/>
    <s v=" 7113.19.10.00"/>
    <s v=" 7113.19.00"/>
    <s v="7113.19.29.00"/>
    <s v=" "/>
    <n v="8.0025880710357392E-2"/>
    <n v="9.6643787449467625E-2"/>
    <n v="0.1237096035502024"/>
    <n v="0.12662547596810114"/>
    <x v="2"/>
    <x v="16"/>
    <x v="2"/>
    <n v="0"/>
    <x v="2"/>
    <n v="0"/>
    <n v="0"/>
    <n v="0"/>
  </r>
  <r>
    <s v="G9K-YEL-RIN-WED-001-035-M"/>
    <m/>
    <x v="1"/>
    <m/>
    <x v="428"/>
    <n v="7.0499999999999993E-2"/>
    <s v=""/>
    <s v=""/>
    <x v="1"/>
    <s v=" 7113.19.10.00"/>
    <s v=" 7113.19.00"/>
    <s v="7113.19.29.00"/>
    <s v=" "/>
    <n v="8.0025880710357392E-2"/>
    <n v="9.6643787449467625E-2"/>
    <n v="0.1237096035502024"/>
    <n v="0.12662547596810114"/>
    <x v="2"/>
    <x v="16"/>
    <x v="2"/>
    <n v="0"/>
    <x v="2"/>
    <n v="0"/>
    <n v="0"/>
    <n v="0"/>
  </r>
  <r>
    <s v="G9K-YEL-RIN-WED-001-035-N"/>
    <m/>
    <x v="1"/>
    <m/>
    <x v="428"/>
    <n v="7.0499999999999993E-2"/>
    <s v=""/>
    <s v=""/>
    <x v="1"/>
    <s v=" 7113.19.10.00"/>
    <s v=" 7113.19.00"/>
    <s v="7113.19.29.00"/>
    <s v=" "/>
    <n v="8.0025880710357392E-2"/>
    <n v="9.6643787449467625E-2"/>
    <n v="0.1237096035502024"/>
    <n v="0.12662547596810114"/>
    <x v="2"/>
    <x v="16"/>
    <x v="2"/>
    <n v="0"/>
    <x v="2"/>
    <n v="0"/>
    <n v="0"/>
    <n v="0"/>
  </r>
  <r>
    <s v="G9K-YEL-RIN-WED-001-035-O"/>
    <m/>
    <x v="1"/>
    <m/>
    <x v="428"/>
    <n v="7.0499999999999993E-2"/>
    <s v=""/>
    <s v=""/>
    <x v="1"/>
    <s v=" 7113.19.10.00"/>
    <s v=" 7113.19.00"/>
    <s v="7113.19.29.00"/>
    <s v=" "/>
    <n v="8.0025880710357392E-2"/>
    <n v="9.6643787449467625E-2"/>
    <n v="0.1237096035502024"/>
    <n v="0.12662547596810114"/>
    <x v="2"/>
    <x v="16"/>
    <x v="2"/>
    <n v="0"/>
    <x v="2"/>
    <n v="0"/>
    <n v="0"/>
    <n v="0"/>
  </r>
  <r>
    <s v="G9K-YEL-RIN-WED-001-035-P"/>
    <m/>
    <x v="1"/>
    <m/>
    <x v="428"/>
    <n v="7.0499999999999993E-2"/>
    <s v=""/>
    <s v=""/>
    <x v="1"/>
    <s v=" 7113.19.10.00"/>
    <s v=" 7113.19.00"/>
    <s v="7113.19.29.00"/>
    <s v=" "/>
    <n v="8.0025880710357392E-2"/>
    <n v="9.6643787449467625E-2"/>
    <n v="0.1237096035502024"/>
    <n v="0.12662547596810114"/>
    <x v="2"/>
    <x v="16"/>
    <x v="2"/>
    <n v="0"/>
    <x v="2"/>
    <n v="0"/>
    <n v="0"/>
    <n v="0"/>
  </r>
  <r>
    <s v="G9K-YEL-RIN-WED-001-035-Q"/>
    <m/>
    <x v="1"/>
    <m/>
    <x v="428"/>
    <n v="7.0499999999999993E-2"/>
    <s v=""/>
    <s v=""/>
    <x v="1"/>
    <s v=" 7113.19.10.00"/>
    <s v=" 7113.19.00"/>
    <s v="7113.19.29.00"/>
    <s v=" "/>
    <n v="8.0025880710357392E-2"/>
    <n v="9.6643787449467625E-2"/>
    <n v="0.1237096035502024"/>
    <n v="0.12662547596810114"/>
    <x v="2"/>
    <x v="16"/>
    <x v="2"/>
    <n v="0"/>
    <x v="2"/>
    <n v="0"/>
    <n v="0"/>
    <n v="0"/>
  </r>
  <r>
    <s v="G9K-YEL-RIN-WED-001-035-R"/>
    <m/>
    <x v="1"/>
    <m/>
    <x v="428"/>
    <n v="7.0499999999999993E-2"/>
    <s v=""/>
    <s v=""/>
    <x v="1"/>
    <s v=" 7113.19.10.00"/>
    <s v=" 7113.19.00"/>
    <s v="7113.19.29.00"/>
    <s v=" "/>
    <n v="8.0025880710357392E-2"/>
    <n v="9.6643787449467625E-2"/>
    <n v="0.1237096035502024"/>
    <n v="0.12662547596810114"/>
    <x v="2"/>
    <x v="16"/>
    <x v="2"/>
    <n v="0"/>
    <x v="2"/>
    <n v="0"/>
    <n v="0"/>
    <n v="0"/>
  </r>
  <r>
    <s v="G9K-YEL-RIN-WED-001-035-S"/>
    <m/>
    <x v="1"/>
    <m/>
    <x v="428"/>
    <n v="7.0499999999999993E-2"/>
    <s v=""/>
    <s v=""/>
    <x v="1"/>
    <s v=" 7113.19.10.00"/>
    <s v=" 7113.19.00"/>
    <s v="7113.19.29.00"/>
    <s v=" "/>
    <n v="8.0025880710357392E-2"/>
    <n v="9.6643787449467625E-2"/>
    <n v="0.1237096035502024"/>
    <n v="0.12662547596810114"/>
    <x v="2"/>
    <x v="16"/>
    <x v="2"/>
    <n v="0"/>
    <x v="2"/>
    <n v="0"/>
    <n v="0"/>
    <n v="0"/>
  </r>
  <r>
    <s v="G9K-YEL-RIN-WED-001-035-T"/>
    <m/>
    <x v="1"/>
    <m/>
    <x v="428"/>
    <n v="7.0499999999999993E-2"/>
    <s v=""/>
    <s v=""/>
    <x v="1"/>
    <s v=" 7113.19.10.00"/>
    <s v=" 7113.19.00"/>
    <s v="7113.19.29.00"/>
    <s v=" "/>
    <n v="8.0025880710357392E-2"/>
    <n v="9.6643787449467625E-2"/>
    <n v="0.1237096035502024"/>
    <n v="0.12662547596810114"/>
    <x v="2"/>
    <x v="16"/>
    <x v="2"/>
    <n v="0"/>
    <x v="2"/>
    <n v="0"/>
    <n v="0"/>
    <n v="0"/>
  </r>
  <r>
    <s v="G9K-YEL-RIN-WED-001-035-U"/>
    <m/>
    <x v="1"/>
    <m/>
    <x v="428"/>
    <n v="7.0499999999999993E-2"/>
    <s v=""/>
    <s v=""/>
    <x v="1"/>
    <s v=" 7113.19.10.00"/>
    <s v=" 7113.19.00"/>
    <s v="7113.19.29.00"/>
    <s v=" "/>
    <n v="8.0025880710357392E-2"/>
    <n v="9.6643787449467625E-2"/>
    <n v="0.1237096035502024"/>
    <n v="0.12662547596810114"/>
    <x v="2"/>
    <x v="16"/>
    <x v="2"/>
    <n v="0"/>
    <x v="2"/>
    <n v="0"/>
    <n v="0"/>
    <n v="0"/>
  </r>
  <r>
    <s v="G9K-YEL-RIN-WED-001-035-V"/>
    <m/>
    <x v="1"/>
    <m/>
    <x v="428"/>
    <n v="7.0499999999999993E-2"/>
    <s v=""/>
    <s v=""/>
    <x v="1"/>
    <s v=" 7113.19.10.00"/>
    <s v=" 7113.19.00"/>
    <s v="7113.19.29.00"/>
    <s v=" "/>
    <n v="8.0025880710357392E-2"/>
    <n v="9.6643787449467625E-2"/>
    <n v="0.1237096035502024"/>
    <n v="0.12662547596810114"/>
    <x v="2"/>
    <x v="16"/>
    <x v="2"/>
    <n v="0"/>
    <x v="2"/>
    <n v="0"/>
    <n v="0"/>
    <n v="0"/>
  </r>
  <r>
    <s v="G9K-YEL-RIN-WED-001-035-W"/>
    <m/>
    <x v="1"/>
    <m/>
    <x v="428"/>
    <n v="7.0499999999999993E-2"/>
    <s v=""/>
    <s v=""/>
    <x v="1"/>
    <s v=" 7113.19.10.00"/>
    <s v=" 7113.19.00"/>
    <s v="7113.19.29.00"/>
    <s v=" "/>
    <n v="8.0025880710357392E-2"/>
    <n v="9.6643787449467625E-2"/>
    <n v="0.1237096035502024"/>
    <n v="0.12662547596810114"/>
    <x v="2"/>
    <x v="16"/>
    <x v="2"/>
    <n v="0"/>
    <x v="2"/>
    <n v="0"/>
    <n v="0"/>
    <n v="0"/>
  </r>
  <r>
    <s v="G9K-YEL-RIN-WED-001-035-X"/>
    <m/>
    <x v="1"/>
    <m/>
    <x v="428"/>
    <n v="7.0499999999999993E-2"/>
    <s v=""/>
    <s v=""/>
    <x v="1"/>
    <s v=" 7113.19.10.00"/>
    <s v=" 7113.19.00"/>
    <s v="7113.19.29.00"/>
    <s v=" "/>
    <n v="8.0025880710357392E-2"/>
    <n v="9.6643787449467625E-2"/>
    <n v="0.1237096035502024"/>
    <n v="0.12662547596810114"/>
    <x v="2"/>
    <x v="16"/>
    <x v="2"/>
    <n v="0"/>
    <x v="2"/>
    <n v="0"/>
    <n v="0"/>
    <n v="0"/>
  </r>
  <r>
    <s v="G9K-YEL-RIN-WED-001-035-Y"/>
    <m/>
    <x v="1"/>
    <m/>
    <x v="428"/>
    <n v="7.0499999999999993E-2"/>
    <s v=""/>
    <s v=""/>
    <x v="1"/>
    <s v=" 7113.19.10.00"/>
    <s v=" 7113.19.00"/>
    <s v="7113.19.29.00"/>
    <s v=" "/>
    <n v="8.0025880710357392E-2"/>
    <n v="9.6643787449467625E-2"/>
    <n v="0.1237096035502024"/>
    <n v="0.12662547596810114"/>
    <x v="2"/>
    <x v="16"/>
    <x v="2"/>
    <n v="0"/>
    <x v="2"/>
    <n v="0"/>
    <n v="0"/>
    <n v="0"/>
  </r>
  <r>
    <s v="G9K-YEL-RIN-WED-001-035-Z"/>
    <m/>
    <x v="1"/>
    <m/>
    <x v="428"/>
    <n v="7.0499999999999993E-2"/>
    <s v=""/>
    <s v=""/>
    <x v="1"/>
    <s v=" 7113.19.10.00"/>
    <s v=" 7113.19.00"/>
    <s v="7113.19.29.00"/>
    <s v=" "/>
    <n v="8.0025880710357392E-2"/>
    <n v="9.6643787449467625E-2"/>
    <n v="0.1237096035502024"/>
    <n v="0.12662547596810114"/>
    <x v="2"/>
    <x v="16"/>
    <x v="2"/>
    <n v="0"/>
    <x v="2"/>
    <n v="0"/>
    <n v="0"/>
    <n v="0"/>
  </r>
  <r>
    <s v="G9K-YEL-RIN-WED-001-040-I"/>
    <m/>
    <x v="1"/>
    <m/>
    <x v="428"/>
    <n v="7.0499999999999993E-2"/>
    <s v=""/>
    <s v=""/>
    <x v="1"/>
    <s v=" 7113.19.10.00"/>
    <s v=" 7113.19.00"/>
    <s v="7113.19.29.00"/>
    <s v=" "/>
    <n v="8.0025880710357392E-2"/>
    <n v="9.6643787449467625E-2"/>
    <n v="0.1237096035502024"/>
    <n v="0.12662547596810114"/>
    <x v="2"/>
    <x v="16"/>
    <x v="2"/>
    <n v="0"/>
    <x v="2"/>
    <n v="0"/>
    <n v="0"/>
    <n v="0"/>
  </r>
  <r>
    <s v="G9K-YEL-RIN-WED-001-040-J"/>
    <m/>
    <x v="1"/>
    <m/>
    <x v="428"/>
    <n v="7.0499999999999993E-2"/>
    <s v=""/>
    <s v=""/>
    <x v="1"/>
    <s v=" 7113.19.10.00"/>
    <s v=" 7113.19.00"/>
    <s v="7113.19.29.00"/>
    <s v=" "/>
    <n v="8.0025880710357392E-2"/>
    <n v="9.6643787449467625E-2"/>
    <n v="0.1237096035502024"/>
    <n v="0.12662547596810114"/>
    <x v="2"/>
    <x v="16"/>
    <x v="2"/>
    <n v="0"/>
    <x v="2"/>
    <n v="0"/>
    <n v="0"/>
    <n v="0"/>
  </r>
  <r>
    <s v="G9K-YEL-RIN-WED-001-040-K"/>
    <m/>
    <x v="1"/>
    <m/>
    <x v="428"/>
    <n v="7.0499999999999993E-2"/>
    <s v=""/>
    <s v=""/>
    <x v="1"/>
    <s v=" 7113.19.10.00"/>
    <s v=" 7113.19.00"/>
    <s v="7113.19.29.00"/>
    <s v=" "/>
    <n v="8.0025880710357392E-2"/>
    <n v="9.6643787449467625E-2"/>
    <n v="0.1237096035502024"/>
    <n v="0.12662547596810114"/>
    <x v="2"/>
    <x v="16"/>
    <x v="2"/>
    <n v="0"/>
    <x v="2"/>
    <n v="0"/>
    <n v="0"/>
    <n v="0"/>
  </r>
  <r>
    <s v="G9K-YEL-RIN-WED-001-040-L"/>
    <m/>
    <x v="1"/>
    <m/>
    <x v="428"/>
    <n v="7.0499999999999993E-2"/>
    <s v=""/>
    <s v=""/>
    <x v="1"/>
    <s v=" 7113.19.10.00"/>
    <s v=" 7113.19.00"/>
    <s v="7113.19.29.00"/>
    <s v=" "/>
    <n v="8.0025880710357392E-2"/>
    <n v="9.6643787449467625E-2"/>
    <n v="0.1237096035502024"/>
    <n v="0.12662547596810114"/>
    <x v="2"/>
    <x v="16"/>
    <x v="2"/>
    <n v="0"/>
    <x v="2"/>
    <n v="0"/>
    <n v="0"/>
    <n v="0"/>
  </r>
  <r>
    <s v="G9K-YEL-RIN-WED-001-040-M"/>
    <m/>
    <x v="1"/>
    <m/>
    <x v="428"/>
    <n v="7.0499999999999993E-2"/>
    <s v=""/>
    <s v=""/>
    <x v="1"/>
    <s v=" 7113.19.10.00"/>
    <s v=" 7113.19.00"/>
    <s v="7113.19.29.00"/>
    <s v=" "/>
    <n v="8.0025880710357392E-2"/>
    <n v="9.6643787449467625E-2"/>
    <n v="0.1237096035502024"/>
    <n v="0.12662547596810114"/>
    <x v="2"/>
    <x v="16"/>
    <x v="2"/>
    <n v="0"/>
    <x v="2"/>
    <n v="0"/>
    <n v="0"/>
    <n v="0"/>
  </r>
  <r>
    <s v="G9K-YEL-RIN-WED-001-040-N"/>
    <m/>
    <x v="1"/>
    <m/>
    <x v="428"/>
    <n v="7.0499999999999993E-2"/>
    <s v=""/>
    <s v=""/>
    <x v="1"/>
    <s v=" 7113.19.10.00"/>
    <s v=" 7113.19.00"/>
    <s v="7113.19.29.00"/>
    <s v=" "/>
    <n v="8.0025880710357392E-2"/>
    <n v="9.6643787449467625E-2"/>
    <n v="0.1237096035502024"/>
    <n v="0.12662547596810114"/>
    <x v="2"/>
    <x v="16"/>
    <x v="2"/>
    <n v="0"/>
    <x v="2"/>
    <n v="0"/>
    <n v="0"/>
    <n v="0"/>
  </r>
  <r>
    <s v="G9K-YEL-RIN-WED-001-040-O"/>
    <m/>
    <x v="1"/>
    <m/>
    <x v="428"/>
    <n v="7.0499999999999993E-2"/>
    <s v=""/>
    <s v=""/>
    <x v="1"/>
    <s v=" 7113.19.10.00"/>
    <s v=" 7113.19.00"/>
    <s v="7113.19.29.00"/>
    <s v=" "/>
    <n v="8.0025880710357392E-2"/>
    <n v="9.6643787449467625E-2"/>
    <n v="0.1237096035502024"/>
    <n v="0.12662547596810114"/>
    <x v="2"/>
    <x v="16"/>
    <x v="2"/>
    <n v="0"/>
    <x v="2"/>
    <n v="0"/>
    <n v="0"/>
    <n v="0"/>
  </r>
  <r>
    <s v="G9K-YEL-RIN-WED-001-040-P"/>
    <m/>
    <x v="1"/>
    <m/>
    <x v="428"/>
    <n v="7.0499999999999993E-2"/>
    <s v=""/>
    <s v=""/>
    <x v="1"/>
    <s v=" 7113.19.10.00"/>
    <s v=" 7113.19.00"/>
    <s v="7113.19.29.00"/>
    <s v=" "/>
    <n v="8.0025880710357392E-2"/>
    <n v="9.6643787449467625E-2"/>
    <n v="0.1237096035502024"/>
    <n v="0.12662547596810114"/>
    <x v="2"/>
    <x v="16"/>
    <x v="2"/>
    <n v="0"/>
    <x v="2"/>
    <n v="0"/>
    <n v="0"/>
    <n v="0"/>
  </r>
  <r>
    <s v="G9K-YEL-RIN-WED-001-040-Q"/>
    <m/>
    <x v="1"/>
    <m/>
    <x v="428"/>
    <n v="7.0499999999999993E-2"/>
    <s v=""/>
    <s v=""/>
    <x v="1"/>
    <s v=" 7113.19.10.00"/>
    <s v=" 7113.19.00"/>
    <s v="7113.19.29.00"/>
    <s v=" "/>
    <n v="8.0025880710357392E-2"/>
    <n v="9.6643787449467625E-2"/>
    <n v="0.1237096035502024"/>
    <n v="0.12662547596810114"/>
    <x v="2"/>
    <x v="16"/>
    <x v="2"/>
    <n v="0"/>
    <x v="2"/>
    <n v="0"/>
    <n v="0"/>
    <n v="0"/>
  </r>
  <r>
    <s v="G9K-YEL-RIN-WED-001-040-R"/>
    <m/>
    <x v="1"/>
    <m/>
    <x v="428"/>
    <n v="7.0499999999999993E-2"/>
    <s v=""/>
    <s v=""/>
    <x v="1"/>
    <s v=" 7113.19.10.00"/>
    <s v=" 7113.19.00"/>
    <s v="7113.19.29.00"/>
    <s v=" "/>
    <n v="8.0025880710357392E-2"/>
    <n v="9.6643787449467625E-2"/>
    <n v="0.1237096035502024"/>
    <n v="0.12662547596810114"/>
    <x v="2"/>
    <x v="16"/>
    <x v="2"/>
    <n v="0"/>
    <x v="2"/>
    <n v="0"/>
    <n v="0"/>
    <n v="0"/>
  </r>
  <r>
    <s v="G9K-YEL-RIN-WED-001-040-S"/>
    <m/>
    <x v="1"/>
    <m/>
    <x v="428"/>
    <n v="7.0499999999999993E-2"/>
    <s v=""/>
    <s v=""/>
    <x v="1"/>
    <s v=" 7113.19.10.00"/>
    <s v=" 7113.19.00"/>
    <s v="7113.19.29.00"/>
    <s v=" "/>
    <n v="8.0025880710357392E-2"/>
    <n v="9.6643787449467625E-2"/>
    <n v="0.1237096035502024"/>
    <n v="0.12662547596810114"/>
    <x v="2"/>
    <x v="16"/>
    <x v="2"/>
    <n v="0"/>
    <x v="2"/>
    <n v="0"/>
    <n v="0"/>
    <n v="0"/>
  </r>
  <r>
    <s v="G9K-YEL-RIN-WED-001-040-T"/>
    <m/>
    <x v="1"/>
    <m/>
    <x v="428"/>
    <n v="7.0499999999999993E-2"/>
    <s v=""/>
    <s v=""/>
    <x v="1"/>
    <s v=" 7113.19.10.00"/>
    <s v=" 7113.19.00"/>
    <s v="7113.19.29.00"/>
    <s v=" "/>
    <n v="8.0025880710357392E-2"/>
    <n v="9.6643787449467625E-2"/>
    <n v="0.1237096035502024"/>
    <n v="0.12662547596810114"/>
    <x v="2"/>
    <x v="16"/>
    <x v="2"/>
    <n v="0"/>
    <x v="2"/>
    <n v="0"/>
    <n v="0"/>
    <n v="0"/>
  </r>
  <r>
    <s v="G9K-YEL-RIN-WED-001-040-U"/>
    <m/>
    <x v="1"/>
    <m/>
    <x v="428"/>
    <n v="7.0499999999999993E-2"/>
    <s v=""/>
    <s v=""/>
    <x v="1"/>
    <s v=" 7113.19.10.00"/>
    <s v=" 7113.19.00"/>
    <s v="7113.19.29.00"/>
    <s v=" "/>
    <n v="8.0025880710357392E-2"/>
    <n v="9.6643787449467625E-2"/>
    <n v="0.1237096035502024"/>
    <n v="0.12662547596810114"/>
    <x v="2"/>
    <x v="16"/>
    <x v="2"/>
    <n v="0"/>
    <x v="2"/>
    <n v="0"/>
    <n v="0"/>
    <n v="0"/>
  </r>
  <r>
    <s v="G9K-YEL-RIN-WED-001-040-V"/>
    <m/>
    <x v="1"/>
    <m/>
    <x v="428"/>
    <n v="7.0499999999999993E-2"/>
    <s v=""/>
    <s v=""/>
    <x v="1"/>
    <s v=" 7113.19.10.00"/>
    <s v=" 7113.19.00"/>
    <s v="7113.19.29.00"/>
    <s v=" "/>
    <n v="8.0025880710357392E-2"/>
    <n v="9.6643787449467625E-2"/>
    <n v="0.1237096035502024"/>
    <n v="0.12662547596810114"/>
    <x v="2"/>
    <x v="16"/>
    <x v="2"/>
    <n v="0"/>
    <x v="2"/>
    <n v="0"/>
    <n v="0"/>
    <n v="0"/>
  </r>
  <r>
    <s v="G9K-YEL-RIN-WED-001-040-W"/>
    <m/>
    <x v="1"/>
    <m/>
    <x v="428"/>
    <n v="7.0499999999999993E-2"/>
    <s v=""/>
    <s v=""/>
    <x v="1"/>
    <s v=" 7113.19.10.00"/>
    <s v=" 7113.19.00"/>
    <s v="7113.19.29.00"/>
    <s v=" "/>
    <n v="8.0025880710357392E-2"/>
    <n v="9.6643787449467625E-2"/>
    <n v="0.1237096035502024"/>
    <n v="0.12662547596810114"/>
    <x v="2"/>
    <x v="16"/>
    <x v="2"/>
    <n v="0"/>
    <x v="2"/>
    <n v="0"/>
    <n v="0"/>
    <n v="0"/>
  </r>
  <r>
    <s v="G9K-YEL-RIN-WED-001-040-X"/>
    <m/>
    <x v="1"/>
    <m/>
    <x v="428"/>
    <n v="7.0499999999999993E-2"/>
    <s v=""/>
    <s v=""/>
    <x v="1"/>
    <s v=" 7113.19.10.00"/>
    <s v=" 7113.19.00"/>
    <s v="7113.19.29.00"/>
    <s v=" "/>
    <n v="8.0025880710357392E-2"/>
    <n v="9.6643787449467625E-2"/>
    <n v="0.1237096035502024"/>
    <n v="0.12662547596810114"/>
    <x v="2"/>
    <x v="16"/>
    <x v="2"/>
    <n v="0"/>
    <x v="2"/>
    <n v="0"/>
    <n v="0"/>
    <n v="0"/>
  </r>
  <r>
    <s v="G9K-YEL-RIN-WED-001-040-Y"/>
    <m/>
    <x v="1"/>
    <m/>
    <x v="428"/>
    <n v="7.0499999999999993E-2"/>
    <s v=""/>
    <s v=""/>
    <x v="1"/>
    <s v=" 7113.19.10.00"/>
    <s v=" 7113.19.00"/>
    <s v="7113.19.29.00"/>
    <s v=" "/>
    <n v="8.0025880710357392E-2"/>
    <n v="9.6643787449467625E-2"/>
    <n v="0.1237096035502024"/>
    <n v="0.12662547596810114"/>
    <x v="2"/>
    <x v="16"/>
    <x v="2"/>
    <n v="0"/>
    <x v="2"/>
    <n v="0"/>
    <n v="0"/>
    <n v="0"/>
  </r>
  <r>
    <s v="G9K-YEL-RIN-WED-001-040-Z"/>
    <m/>
    <x v="1"/>
    <m/>
    <x v="428"/>
    <n v="7.0499999999999993E-2"/>
    <s v=""/>
    <s v=""/>
    <x v="1"/>
    <s v=" 7113.19.10.00"/>
    <s v=" 7113.19.00"/>
    <s v="7113.19.29.00"/>
    <s v=" "/>
    <n v="8.0025880710357392E-2"/>
    <n v="9.6643787449467625E-2"/>
    <n v="0.1237096035502024"/>
    <n v="0.12662547596810114"/>
    <x v="2"/>
    <x v="16"/>
    <x v="2"/>
    <n v="0"/>
    <x v="2"/>
    <n v="0"/>
    <n v="0"/>
    <n v="0"/>
  </r>
  <r>
    <s v="S925-WHI-BRA-CHA-046-200"/>
    <m/>
    <x v="1"/>
    <s v="Silver bracelet with Mountain Circle charm and CZ circle 18+2cm"/>
    <x v="428"/>
    <n v="7.0499999999999993E-2"/>
    <s v=""/>
    <s v=""/>
    <x v="1"/>
    <s v=" 7113.19.10.00"/>
    <s v=" 7113.19.00"/>
    <s v="7113.19.29.00"/>
    <s v=" Silver bracelet with Mountain Circle charm and CZ circle 18+2cm"/>
    <n v="8.0025880710357392E-2"/>
    <n v="9.6643787449467625E-2"/>
    <n v="0.1237096035502024"/>
    <n v="0.12662547596810114"/>
    <x v="2"/>
    <x v="16"/>
    <x v="2"/>
    <n v="0"/>
    <x v="2"/>
    <n v="0"/>
    <n v="0"/>
    <n v="0"/>
  </r>
  <r>
    <s v="S925-WHI-BRA-CHA-047-200"/>
    <m/>
    <x v="1"/>
    <s v="Silver bracelet with Trees Circle charm and CZ circle 18+2cm"/>
    <x v="428"/>
    <n v="7.0499999999999993E-2"/>
    <s v=""/>
    <s v=""/>
    <x v="1"/>
    <s v=" 7113.19.10.00"/>
    <s v=" 7113.19.00"/>
    <s v="7113.19.29.00"/>
    <s v=" Silver bracelet with Trees Circle charm and CZ circle 18+2cm"/>
    <n v="8.0025880710357392E-2"/>
    <n v="9.6643787449467625E-2"/>
    <n v="0.1237096035502024"/>
    <n v="0.12662547596810114"/>
    <x v="2"/>
    <x v="16"/>
    <x v="2"/>
    <n v="0"/>
    <x v="2"/>
    <n v="0"/>
    <n v="0"/>
    <n v="0"/>
  </r>
  <r>
    <s v="S925-WHI-BRA-CHA-048-200"/>
    <m/>
    <x v="1"/>
    <s v="Silver bracelet with Wave Circle charm and CZ circle 18+2cm"/>
    <x v="428"/>
    <n v="7.0499999999999993E-2"/>
    <s v=""/>
    <s v=""/>
    <x v="1"/>
    <s v=" 7113.19.10.00"/>
    <s v=" 7113.19.00"/>
    <s v="7113.19.29.00"/>
    <s v=" Silver bracelet with Wave Circle charm and CZ circle 18+2cm"/>
    <n v="8.0025880710357392E-2"/>
    <n v="9.6643787449467625E-2"/>
    <n v="0.1237096035502024"/>
    <n v="0.12662547596810114"/>
    <x v="2"/>
    <x v="16"/>
    <x v="2"/>
    <n v="0"/>
    <x v="2"/>
    <n v="0"/>
    <n v="0"/>
    <n v="0"/>
  </r>
  <r>
    <s v="S925-WHI-BRA-CHA-049-200"/>
    <m/>
    <x v="1"/>
    <s v="Silver bracelet with World map Circle charm and CZ circle 18+2cm"/>
    <x v="428"/>
    <n v="7.0499999999999993E-2"/>
    <s v=""/>
    <s v=""/>
    <x v="1"/>
    <s v=" 7113.19.10.00"/>
    <s v=" 7113.19.00"/>
    <s v="7113.19.29.00"/>
    <s v=" Silver bracelet with World map Circle charm and CZ circle 18+2cm"/>
    <n v="8.0025880710357392E-2"/>
    <n v="9.6643787449467625E-2"/>
    <n v="0.1237096035502024"/>
    <n v="0.12662547596810114"/>
    <x v="2"/>
    <x v="16"/>
    <x v="2"/>
    <n v="0"/>
    <x v="2"/>
    <n v="0"/>
    <n v="0"/>
    <n v="0"/>
  </r>
  <r>
    <s v="S925-WHI-NEC-PEN-009"/>
    <m/>
    <x v="1"/>
    <s v="Silver choker with cross charms"/>
    <x v="428"/>
    <n v="7.0499999999999993E-2"/>
    <s v=""/>
    <s v=""/>
    <x v="1"/>
    <s v=" 7113.19.10.00"/>
    <s v=" 7113.19.00"/>
    <s v="7113.19.29.00"/>
    <s v=" Silver choker with cross charms"/>
    <n v="8.0025880710357392E-2"/>
    <n v="9.6643787449467625E-2"/>
    <n v="0.1237096035502024"/>
    <n v="0.12662547596810114"/>
    <x v="2"/>
    <x v="16"/>
    <x v="2"/>
    <n v="0"/>
    <x v="2"/>
    <n v="0"/>
    <n v="0"/>
    <n v="0"/>
  </r>
  <r>
    <s v="S925-YEL-NEC-PEN-009"/>
    <m/>
    <x v="1"/>
    <s v="Gold plated choker with cross charms"/>
    <x v="428"/>
    <n v="7.0499999999999993E-2"/>
    <s v=""/>
    <s v=""/>
    <x v="1"/>
    <s v=" 7113.19.10.00"/>
    <s v=" 7113.19.00"/>
    <s v="7113.19.29.00"/>
    <s v=" Gold plated choker with cross charms"/>
    <n v="8.0025880710357392E-2"/>
    <n v="9.6643787449467625E-2"/>
    <n v="0.1237096035502024"/>
    <n v="0.12662547596810114"/>
    <x v="2"/>
    <x v="16"/>
    <x v="2"/>
    <n v="0"/>
    <x v="2"/>
    <n v="0"/>
    <n v="0"/>
    <n v="0"/>
  </r>
  <r>
    <s v="S925-WHI-BRA-CHA-050-200"/>
    <m/>
    <x v="1"/>
    <s v="Silver bracelet with cross charms 18+2cm"/>
    <x v="428"/>
    <n v="7.0499999999999993E-2"/>
    <s v=""/>
    <s v=""/>
    <x v="1"/>
    <s v=" 7113.19.10.00"/>
    <s v=" 7113.19.00"/>
    <s v="7113.19.29.00"/>
    <s v=" Silver bracelet with cross charms 18+2cm"/>
    <n v="8.0025880710357392E-2"/>
    <n v="9.6643787449467625E-2"/>
    <n v="0.1237096035502024"/>
    <n v="0.12662547596810114"/>
    <x v="2"/>
    <x v="16"/>
    <x v="2"/>
    <n v="0"/>
    <x v="2"/>
    <n v="0"/>
    <n v="0"/>
    <n v="0"/>
  </r>
  <r>
    <s v="S925-YEL-BRA-CHA-050-200"/>
    <m/>
    <x v="1"/>
    <s v="Gold plated bracelet with cross charms 18+2cm"/>
    <x v="428"/>
    <n v="7.0499999999999993E-2"/>
    <s v=""/>
    <s v=""/>
    <x v="1"/>
    <s v=" 7113.19.10.00"/>
    <s v=" 7113.19.00"/>
    <s v="7113.19.29.00"/>
    <s v=" Gold plated bracelet with cross charms 18+2cm"/>
    <n v="8.0025880710357392E-2"/>
    <n v="9.6643787449467625E-2"/>
    <n v="0.1237096035502024"/>
    <n v="0.12662547596810114"/>
    <x v="2"/>
    <x v="16"/>
    <x v="2"/>
    <n v="0"/>
    <x v="2"/>
    <n v="0"/>
    <n v="0"/>
    <n v="0"/>
  </r>
  <r>
    <s v="S925-WHI-NEC-PEN-010"/>
    <m/>
    <x v="1"/>
    <s v="Silver pendant neclace with heart CZ solitaire"/>
    <x v="428"/>
    <n v="7.0499999999999993E-2"/>
    <s v=""/>
    <s v=""/>
    <x v="1"/>
    <s v=" 7113.19.10.00"/>
    <s v=" 7113.19.00"/>
    <s v="7113.19.29.00"/>
    <s v=" Silver pendant neclace with heart CZ solitaire"/>
    <n v="8.0025880710357392E-2"/>
    <n v="9.6643787449467625E-2"/>
    <n v="0.1237096035502024"/>
    <n v="0.12662547596810114"/>
    <x v="2"/>
    <x v="16"/>
    <x v="2"/>
    <n v="0"/>
    <x v="2"/>
    <n v="0"/>
    <n v="0"/>
    <n v="0"/>
  </r>
  <r>
    <s v="S925-WHI-NEC-PEN-011"/>
    <m/>
    <x v="1"/>
    <s v="Silver pendant neclace with star CZ solitaire"/>
    <x v="428"/>
    <n v="7.0499999999999993E-2"/>
    <s v=""/>
    <s v=""/>
    <x v="1"/>
    <s v=" 7113.19.10.00"/>
    <s v=" 7113.19.00"/>
    <s v="7113.19.29.00"/>
    <s v=" Silver pendant neclace with star CZ solitaire"/>
    <n v="8.0025880710357392E-2"/>
    <n v="9.6643787449467625E-2"/>
    <n v="0.1237096035502024"/>
    <n v="0.12662547596810114"/>
    <x v="2"/>
    <x v="16"/>
    <x v="2"/>
    <n v="0"/>
    <x v="2"/>
    <n v="0"/>
    <n v="0"/>
    <n v="0"/>
  </r>
  <r>
    <s v="S925-YEL-NEC-PEN-012"/>
    <m/>
    <x v="1"/>
    <s v="Gold plated pendant neclace with circle CZ solitaire"/>
    <x v="428"/>
    <n v="7.0499999999999993E-2"/>
    <s v=""/>
    <s v=""/>
    <x v="1"/>
    <s v=" 7113.19.10.00"/>
    <s v=" 7113.19.00"/>
    <s v="7113.19.29.00"/>
    <s v=" Gold plated pendant neclace with circle CZ solitaire"/>
    <n v="8.0025880710357392E-2"/>
    <n v="9.6643787449467625E-2"/>
    <n v="0.1237096035502024"/>
    <n v="0.12662547596810114"/>
    <x v="2"/>
    <x v="16"/>
    <x v="2"/>
    <n v="0"/>
    <x v="2"/>
    <n v="0"/>
    <n v="0"/>
    <n v="0"/>
  </r>
  <r>
    <s v="S925-WHI-BRA-CHA-051-200"/>
    <m/>
    <x v="1"/>
    <s v="Silver bracelet with heart CZ solitaire 18+2cm"/>
    <x v="428"/>
    <n v="7.0499999999999993E-2"/>
    <s v=""/>
    <s v=""/>
    <x v="1"/>
    <s v=" 7113.19.10.00"/>
    <s v=" 7113.19.00"/>
    <s v="7113.19.29.00"/>
    <s v=" Silver bracelet with heart CZ solitaire 18+2cm"/>
    <n v="8.0025880710357392E-2"/>
    <n v="9.6643787449467625E-2"/>
    <n v="0.1237096035502024"/>
    <n v="0.12662547596810114"/>
    <x v="2"/>
    <x v="16"/>
    <x v="2"/>
    <n v="0"/>
    <x v="2"/>
    <n v="0"/>
    <n v="0"/>
    <n v="0"/>
  </r>
  <r>
    <s v="S925-WHI-BRA-CHA-052-200"/>
    <m/>
    <x v="1"/>
    <s v="Silver bracelet with star CZ solitaire 18+2cm"/>
    <x v="428"/>
    <n v="7.0499999999999993E-2"/>
    <s v=""/>
    <s v=""/>
    <x v="1"/>
    <s v=" 7113.19.10.00"/>
    <s v=" 7113.19.00"/>
    <s v="7113.19.29.00"/>
    <s v=" Silver bracelet with star CZ solitaire 18+2cm"/>
    <n v="8.0025880710357392E-2"/>
    <n v="9.6643787449467625E-2"/>
    <n v="0.1237096035502024"/>
    <n v="0.12662547596810114"/>
    <x v="2"/>
    <x v="16"/>
    <x v="2"/>
    <n v="0"/>
    <x v="2"/>
    <n v="0"/>
    <n v="0"/>
    <n v="0"/>
  </r>
  <r>
    <s v="S925-YEL-BRA-CHA-053-200"/>
    <m/>
    <x v="1"/>
    <s v="Gold plated bracelet with circle CZ solitaire 18+2cm"/>
    <x v="428"/>
    <n v="7.0499999999999993E-2"/>
    <s v=""/>
    <s v=""/>
    <x v="1"/>
    <s v=" 7113.19.10.00"/>
    <s v=" 7113.19.00"/>
    <s v="7113.19.29.00"/>
    <s v=" Gold plated bracelet with circle CZ solitaire 18+2cm"/>
    <n v="8.0025880710357392E-2"/>
    <n v="9.6643787449467625E-2"/>
    <n v="0.1237096035502024"/>
    <n v="0.12662547596810114"/>
    <x v="2"/>
    <x v="16"/>
    <x v="2"/>
    <n v="0"/>
    <x v="2"/>
    <n v="0"/>
    <n v="0"/>
    <n v="0"/>
  </r>
  <r>
    <s v="S925-WHI-NEC-PEN-013"/>
    <m/>
    <x v="1"/>
    <s v="Silver necklace with flat freshwater pearl pendant"/>
    <x v="428"/>
    <n v="7.0499999999999993E-2"/>
    <s v=""/>
    <s v=""/>
    <x v="1"/>
    <s v=" 7113.19.10.00"/>
    <s v=" 7113.19.00"/>
    <s v="7113.19.29.00"/>
    <s v=" Silver necklace with flat freshwater pearl pendant"/>
    <n v="8.0025880710357392E-2"/>
    <n v="9.6643787449467625E-2"/>
    <n v="0.1237096035502024"/>
    <n v="0.12662547596810114"/>
    <x v="2"/>
    <x v="16"/>
    <x v="2"/>
    <n v="0"/>
    <x v="2"/>
    <n v="0"/>
    <n v="0"/>
    <n v="0"/>
  </r>
  <r>
    <s v="S925-WHI-NEC-PEN-014"/>
    <m/>
    <x v="1"/>
    <s v="Silver necklace with spheric freshwater pearl pendant"/>
    <x v="428"/>
    <n v="7.0499999999999993E-2"/>
    <s v=""/>
    <s v=""/>
    <x v="1"/>
    <s v=" 7113.19.10.00"/>
    <s v=" 7113.19.00"/>
    <s v="7113.19.29.00"/>
    <s v=" Silver necklace with spheric freshwater pearl pendant"/>
    <n v="8.0025880710357392E-2"/>
    <n v="9.6643787449467625E-2"/>
    <n v="0.1237096035502024"/>
    <n v="0.12662547596810114"/>
    <x v="2"/>
    <x v="16"/>
    <x v="2"/>
    <n v="0"/>
    <x v="2"/>
    <n v="0"/>
    <n v="0"/>
    <n v="0"/>
  </r>
  <r>
    <s v="S925-WHI-EAR-STUD-045"/>
    <m/>
    <x v="1"/>
    <s v="Silver stud earrings - Star shape filled with CZ"/>
    <x v="428"/>
    <n v="7.0499999999999993E-2"/>
    <s v=""/>
    <s v=""/>
    <x v="1"/>
    <s v=" 7113.19.10.00"/>
    <s v=" 7113.19.00"/>
    <s v="7113.19.29.00"/>
    <s v=" Silver stud earrings - Star shape filled with CZ"/>
    <n v="8.0025880710357392E-2"/>
    <n v="9.6643787449467625E-2"/>
    <n v="0.1237096035502024"/>
    <n v="0.12662547596810114"/>
    <x v="2"/>
    <x v="16"/>
    <x v="2"/>
    <n v="0"/>
    <x v="2"/>
    <n v="0"/>
    <n v="0"/>
    <n v="0"/>
  </r>
  <r>
    <s v="S925-WHI-EAR-STUD-046"/>
    <m/>
    <x v="1"/>
    <s v="Silver stud earrings - Moon shape filled with CZ"/>
    <x v="428"/>
    <n v="7.0499999999999993E-2"/>
    <s v=""/>
    <s v=""/>
    <x v="1"/>
    <s v=" 7113.19.10.00"/>
    <s v=" 7113.19.00"/>
    <s v="7113.19.29.00"/>
    <s v=" Silver stud earrings - Moon shape filled with CZ"/>
    <n v="8.0025880710357392E-2"/>
    <n v="9.6643787449467625E-2"/>
    <n v="0.1237096035502024"/>
    <n v="0.12662547596810114"/>
    <x v="2"/>
    <x v="16"/>
    <x v="2"/>
    <n v="0"/>
    <x v="2"/>
    <n v="0"/>
    <n v="0"/>
    <n v="0"/>
  </r>
  <r>
    <s v="S925-WHI-EAR-STUD-045"/>
    <m/>
    <x v="1"/>
    <s v="Gold plated stud earrings - Star shape filled with CZ"/>
    <x v="428"/>
    <n v="7.0499999999999993E-2"/>
    <s v=""/>
    <s v=""/>
    <x v="1"/>
    <s v=" 7113.19.10.00"/>
    <s v=" 7113.19.00"/>
    <s v="7113.19.29.00"/>
    <s v=" Gold plated stud earrings - Star shape filled with CZ"/>
    <n v="8.0025880710357392E-2"/>
    <n v="9.6643787449467625E-2"/>
    <n v="0.1237096035502024"/>
    <n v="0.12662547596810114"/>
    <x v="2"/>
    <x v="16"/>
    <x v="2"/>
    <n v="0"/>
    <x v="2"/>
    <n v="0"/>
    <n v="0"/>
    <n v="0"/>
  </r>
  <r>
    <s v="S925-WHI-EAR-STUD-046"/>
    <m/>
    <x v="1"/>
    <s v="Gold plated stud earrings - Moon shape filled with CZ"/>
    <x v="428"/>
    <n v="7.0499999999999993E-2"/>
    <s v=""/>
    <s v=""/>
    <x v="1"/>
    <s v=" 7113.19.10.00"/>
    <s v=" 7113.19.00"/>
    <s v="7113.19.29.00"/>
    <s v=" Gold plated stud earrings - Moon shape filled with CZ"/>
    <n v="8.0025880710357392E-2"/>
    <n v="9.6643787449467625E-2"/>
    <n v="0.1237096035502024"/>
    <n v="0.12662547596810114"/>
    <x v="2"/>
    <x v="16"/>
    <x v="2"/>
    <n v="0"/>
    <x v="2"/>
    <n v="0"/>
    <n v="0"/>
    <n v="0"/>
  </r>
  <r>
    <s v="S925-WHI-BRA-CHA-054-200"/>
    <m/>
    <x v="1"/>
    <s v="Silver bracelet with CZ North star  small star and moon charms 17+3cm"/>
    <x v="428"/>
    <n v="7.0499999999999993E-2"/>
    <s v=""/>
    <s v=""/>
    <x v="1"/>
    <s v=" 7113.19.10.00"/>
    <s v=" 7113.19.00"/>
    <s v="7113.19.29.00"/>
    <s v=" Silver bracelet with CZ North star  small star and moon charms 17+3cm"/>
    <n v="8.0025880710357392E-2"/>
    <n v="9.6643787449467625E-2"/>
    <n v="0.1237096035502024"/>
    <n v="0.12662547596810114"/>
    <x v="2"/>
    <x v="16"/>
    <x v="2"/>
    <n v="0"/>
    <x v="2"/>
    <n v="0"/>
    <n v="0"/>
    <n v="0"/>
  </r>
  <r>
    <s v="S925-WHI-BRA-CHA-055-200"/>
    <m/>
    <x v="1"/>
    <s v="Silver bracelet with star shape in line charms17+3cm"/>
    <x v="428"/>
    <n v="7.0499999999999993E-2"/>
    <s v=""/>
    <s v=""/>
    <x v="1"/>
    <s v=" 7113.19.10.00"/>
    <s v=" 7113.19.00"/>
    <s v="7113.19.29.00"/>
    <s v=" Silver bracelet with star shape in line charms17+3cm"/>
    <n v="8.0025880710357392E-2"/>
    <n v="9.6643787449467625E-2"/>
    <n v="0.1237096035502024"/>
    <n v="0.12662547596810114"/>
    <x v="2"/>
    <x v="16"/>
    <x v="2"/>
    <n v="0"/>
    <x v="2"/>
    <n v="0"/>
    <n v="0"/>
    <n v="0"/>
  </r>
  <r>
    <s v="S925-WHI-BRA-CHA-056-200"/>
    <m/>
    <x v="1"/>
    <s v="Silver bracelet with moon shape in line charms 17+3cm"/>
    <x v="428"/>
    <n v="7.0499999999999993E-2"/>
    <s v=""/>
    <s v=""/>
    <x v="1"/>
    <s v=" 7113.19.10.00"/>
    <s v=" 7113.19.00"/>
    <s v="7113.19.29.00"/>
    <s v=" Silver bracelet with moon shape in line charms 17+3cm"/>
    <n v="8.0025880710357392E-2"/>
    <n v="9.6643787449467625E-2"/>
    <n v="0.1237096035502024"/>
    <n v="0.12662547596810114"/>
    <x v="2"/>
    <x v="16"/>
    <x v="2"/>
    <n v="0"/>
    <x v="2"/>
    <n v="0"/>
    <n v="0"/>
    <n v="0"/>
  </r>
  <r>
    <s v="S925-YEL-BRA-CHA-054-200"/>
    <m/>
    <x v="1"/>
    <s v="Gold plated bracelet with CZ North star  small star and moon charms 17+3cm"/>
    <x v="428"/>
    <n v="7.0499999999999993E-2"/>
    <s v=""/>
    <s v=""/>
    <x v="1"/>
    <s v=" 7113.19.10.00"/>
    <s v=" 7113.19.00"/>
    <s v="7113.19.29.00"/>
    <s v=" Gold plated bracelet with CZ North star  small star and moon charms 17+3cm"/>
    <n v="8.0025880710357392E-2"/>
    <n v="9.6643787449467625E-2"/>
    <n v="0.1237096035502024"/>
    <n v="0.12662547596810114"/>
    <x v="2"/>
    <x v="16"/>
    <x v="2"/>
    <n v="0"/>
    <x v="2"/>
    <n v="0"/>
    <n v="0"/>
    <n v="0"/>
  </r>
  <r>
    <s v="S925-YEL-BRA-CHA-055-200"/>
    <m/>
    <x v="1"/>
    <s v="Gold plated bracelet with star shape in line charm 17+3cm"/>
    <x v="428"/>
    <n v="7.0499999999999993E-2"/>
    <s v=""/>
    <s v=""/>
    <x v="1"/>
    <s v=" 7113.19.10.00"/>
    <s v=" 7113.19.00"/>
    <s v="7113.19.29.00"/>
    <s v=" Gold plated bracelet with star shape in line charm 17+3cm"/>
    <n v="8.0025880710357392E-2"/>
    <n v="9.6643787449467625E-2"/>
    <n v="0.1237096035502024"/>
    <n v="0.12662547596810114"/>
    <x v="2"/>
    <x v="16"/>
    <x v="2"/>
    <n v="0"/>
    <x v="2"/>
    <n v="0"/>
    <n v="0"/>
    <n v="0"/>
  </r>
  <r>
    <s v="S925-YEL-BRA-CHA-056-200"/>
    <m/>
    <x v="1"/>
    <s v="Gold plated bracelet with moon shape in line charm 17+3cm"/>
    <x v="428"/>
    <n v="7.0499999999999993E-2"/>
    <s v=""/>
    <s v=""/>
    <x v="1"/>
    <s v=" 7113.19.10.00"/>
    <s v=" 7113.19.00"/>
    <s v="7113.19.29.00"/>
    <s v=" Gold plated bracelet with moon shape in line charm 17+3cm"/>
    <n v="8.0025880710357392E-2"/>
    <n v="9.6643787449467625E-2"/>
    <n v="0.1237096035502024"/>
    <n v="0.12662547596810114"/>
    <x v="2"/>
    <x v="16"/>
    <x v="2"/>
    <n v="0"/>
    <x v="2"/>
    <n v="0"/>
    <n v="0"/>
    <n v="0"/>
  </r>
  <r>
    <s v="S925-WHI-NEC-PEN-015"/>
    <m/>
    <x v="1"/>
    <s v="Silver choker with star silhouette charm 36+5cm"/>
    <x v="428"/>
    <n v="7.0499999999999993E-2"/>
    <s v="925 Silver"/>
    <s v=""/>
    <x v="0"/>
    <s v="7113.11.10.00"/>
    <s v="7113.11.00"/>
    <s v="7113.11.10.00"/>
    <s v=" Silver choker with star silhouette charm 36+5cm"/>
    <n v="8.0025880710357392E-2"/>
    <n v="9.6643787449467625E-2"/>
    <n v="0.1237096035502024"/>
    <n v="0.12662547596810114"/>
    <x v="2"/>
    <x v="13"/>
    <x v="2"/>
    <n v="0"/>
    <x v="2"/>
    <n v="0"/>
    <n v="0"/>
    <n v="0"/>
  </r>
  <r>
    <s v="S925-WHI-NEC-PEN-016"/>
    <m/>
    <x v="1"/>
    <s v="Silver choker with moon silhouette charm 36+5cm"/>
    <x v="428"/>
    <n v="7.0499999999999993E-2"/>
    <s v="925 Silver"/>
    <s v=""/>
    <x v="0"/>
    <s v="7113.11.10.00"/>
    <s v="7113.11.00"/>
    <s v="7113.11.10.00"/>
    <s v=" Silver choker with moon silhouette charm 36+5cm"/>
    <n v="8.0025880710357392E-2"/>
    <n v="9.6643787449467625E-2"/>
    <n v="0.1237096035502024"/>
    <n v="0.12662547596810114"/>
    <x v="2"/>
    <x v="13"/>
    <x v="2"/>
    <n v="0"/>
    <x v="2"/>
    <n v="0"/>
    <n v="0"/>
    <n v="0"/>
  </r>
  <r>
    <s v="S925-WHI-NEC-PEN-017"/>
    <m/>
    <x v="1"/>
    <s v="Silver choker with CZ star and small star charm 36+5cm"/>
    <x v="428"/>
    <n v="7.0499999999999993E-2"/>
    <s v="925 Silver"/>
    <s v=""/>
    <x v="0"/>
    <s v="7113.11.10.00"/>
    <s v="7113.11.00"/>
    <s v="7113.11.10.00"/>
    <s v=" Silver choker with CZ star and small star charm 36+5cm"/>
    <n v="8.0025880710357392E-2"/>
    <n v="9.6643787449467625E-2"/>
    <n v="0.1237096035502024"/>
    <n v="0.12662547596810114"/>
    <x v="2"/>
    <x v="13"/>
    <x v="2"/>
    <n v="0"/>
    <x v="2"/>
    <n v="0"/>
    <n v="0"/>
    <n v="0"/>
  </r>
  <r>
    <s v="S925-WHI-NEC-PEN-018"/>
    <m/>
    <x v="1"/>
    <s v="Silver choker with star and moon charms 36+5cm"/>
    <x v="428"/>
    <n v="7.0499999999999993E-2"/>
    <s v="925 Silver"/>
    <s v=""/>
    <x v="0"/>
    <s v="7113.11.10.00"/>
    <s v="7113.11.00"/>
    <s v="7113.11.10.00"/>
    <s v=" Silver choker with star and moon charms 36+5cm"/>
    <n v="8.0025880710357392E-2"/>
    <n v="9.6643787449467625E-2"/>
    <n v="0.1237096035502024"/>
    <n v="0.12662547596810114"/>
    <x v="2"/>
    <x v="13"/>
    <x v="2"/>
    <n v="0"/>
    <x v="2"/>
    <n v="0"/>
    <n v="0"/>
    <n v="0"/>
  </r>
  <r>
    <s v="S925-YEL-NEC-PEN-015"/>
    <m/>
    <x v="1"/>
    <s v="Gold plated choker with star silhouette charm 36+5cm"/>
    <x v="428"/>
    <n v="7.0499999999999993E-2"/>
    <s v="925 Silver"/>
    <s v=""/>
    <x v="0"/>
    <s v="7113.11.10.00"/>
    <s v="7113.11.00"/>
    <s v="7113.11.10.00"/>
    <s v=" Gold plated choker with star silhouette charm 36+5cm"/>
    <n v="8.0025880710357392E-2"/>
    <n v="9.6643787449467625E-2"/>
    <n v="0.1237096035502024"/>
    <n v="0.12662547596810114"/>
    <x v="2"/>
    <x v="13"/>
    <x v="2"/>
    <n v="0"/>
    <x v="2"/>
    <n v="0"/>
    <n v="0"/>
    <n v="0"/>
  </r>
  <r>
    <s v="S925-YEL-NEC-PEN-016"/>
    <m/>
    <x v="1"/>
    <s v="Gold plated choker with moon silhouette charm 36+5cm"/>
    <x v="428"/>
    <n v="7.0499999999999993E-2"/>
    <s v="925 Silver"/>
    <s v=""/>
    <x v="0"/>
    <s v="7113.11.10.00"/>
    <s v="7113.11.00"/>
    <s v="7113.11.10.00"/>
    <s v=" Gold plated choker with moon silhouette charm 36+5cm"/>
    <n v="8.0025880710357392E-2"/>
    <n v="9.6643787449467625E-2"/>
    <n v="0.1237096035502024"/>
    <n v="0.12662547596810114"/>
    <x v="2"/>
    <x v="13"/>
    <x v="2"/>
    <n v="0"/>
    <x v="2"/>
    <n v="0"/>
    <n v="0"/>
    <n v="0"/>
  </r>
  <r>
    <s v="S925-YEL-NEC-PEN-017"/>
    <m/>
    <x v="1"/>
    <s v="Gold plated choker with CZ star and small star charm 36+5cm"/>
    <x v="428"/>
    <n v="7.0499999999999993E-2"/>
    <s v="925 Silver"/>
    <s v=""/>
    <x v="0"/>
    <s v="7113.11.10.00"/>
    <s v="7113.11.00"/>
    <s v="7113.11.10.00"/>
    <s v=" Gold plated choker with CZ star and small star charm 36+5cm"/>
    <n v="8.0025880710357392E-2"/>
    <n v="9.6643787449467625E-2"/>
    <n v="0.1237096035502024"/>
    <n v="0.12662547596810114"/>
    <x v="2"/>
    <x v="13"/>
    <x v="2"/>
    <n v="0"/>
    <x v="2"/>
    <n v="0"/>
    <n v="0"/>
    <n v="0"/>
  </r>
  <r>
    <s v="S925-YEL-NEC-PEN-018"/>
    <m/>
    <x v="1"/>
    <s v="Gold plated choker with star and moon charms 36+5cm"/>
    <x v="428"/>
    <n v="7.0499999999999993E-2"/>
    <s v="925 Silver"/>
    <s v=""/>
    <x v="0"/>
    <s v="7113.11.10.00"/>
    <s v="7113.11.00"/>
    <s v="7113.11.10.00"/>
    <s v=" Gold plated choker with star and moon charms 36+5cm"/>
    <n v="8.0025880710357392E-2"/>
    <n v="9.6643787449467625E-2"/>
    <n v="0.1237096035502024"/>
    <n v="0.12662547596810114"/>
    <x v="2"/>
    <x v="13"/>
    <x v="2"/>
    <n v="0"/>
    <x v="2"/>
    <n v="0"/>
    <n v="0"/>
    <n v="0"/>
  </r>
  <r>
    <s v="G9K-YEL-BRA-CHA-005-190"/>
    <s v="B09KXY5RJQ"/>
    <x v="1"/>
    <s v="Oval Link Chain Bracelet - Width 4.4 mm - Length 19 cm"/>
    <x v="464"/>
    <n v="30.163399999999999"/>
    <s v="9K Gold"/>
    <s v="Bracelet"/>
    <x v="1"/>
    <s v=" 7113.19.10.00"/>
    <s v=" 7113.19.00"/>
    <s v="7113.19.10.00"/>
    <s v="B09KXY5RJQ Oval Link Chain Bracelet - Width 4.4 mm - Length 19 cm"/>
    <n v="34.239044683954525"/>
    <n v="41.349010189408112"/>
    <n v="52.929110010300356"/>
    <n v="54.17666499030102"/>
    <x v="2"/>
    <x v="12"/>
    <x v="2"/>
    <n v="0"/>
    <x v="2"/>
    <n v="0"/>
    <n v="0"/>
    <n v="0"/>
  </r>
  <r>
    <s v="G9K-YEL-BRA-CHA-006-190"/>
    <s v="B09KY12Y4F"/>
    <x v="1"/>
    <s v="Round Link Chain Bracelet - Width 5.0 mm - Length 19 cm"/>
    <x v="331"/>
    <n v="27.050599999999999"/>
    <s v="9K Gold"/>
    <s v="Bracelet"/>
    <x v="1"/>
    <s v=" 7113.19.10.00"/>
    <s v=" 7113.19.00"/>
    <s v="7113.19.10.00"/>
    <s v="B09KY12Y4F Round Link Chain Bracelet - Width 5.0 mm - Length 19 cm"/>
    <n v="30.705646648845299"/>
    <n v="37.081878535894596"/>
    <n v="47.466936195675252"/>
    <n v="48.585746102449882"/>
    <x v="14"/>
    <x v="12"/>
    <x v="190"/>
    <n v="54.101199999999999"/>
    <x v="195"/>
    <n v="74.163757071789192"/>
    <n v="94.933872391350505"/>
    <n v="97.171492204899764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45CB2D8-53DA-4BF1-B4E4-BAB4B671FA4D}" name="PivotTotInv" cacheId="754" applyNumberFormats="0" applyBorderFormats="0" applyFontFormats="0" applyPatternFormats="0" applyAlignmentFormats="0" applyWidthHeightFormats="1" dataCaption="Values" updatedVersion="7" minRefreshableVersion="3" useAutoFormatting="1" rowGrandTotals="0" colGrandTotals="0" itemPrintTitles="1" createdVersion="7" indent="0" compact="0" compactData="0" multipleFieldFilters="0" rowHeaderCaption="DETALED GOODS DESCRIPTION">
  <location ref="A3:J22" firstHeaderRow="0" firstDataRow="1" firstDataCol="3" rowPageCount="1" colPageCount="1"/>
  <pivotFields count="25">
    <pivotField compact="0" outline="0" showAll="0" sortType="ascending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">
        <item x="3"/>
        <item x="1"/>
        <item x="0"/>
        <item x="4"/>
        <item x="2"/>
        <item m="1"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items count="507">
        <item x="428"/>
        <item x="307"/>
        <item x="305"/>
        <item x="181"/>
        <item x="392"/>
        <item x="303"/>
        <item x="481"/>
        <item x="306"/>
        <item x="130"/>
        <item x="308"/>
        <item x="304"/>
        <item x="429"/>
        <item x="502"/>
        <item x="501"/>
        <item x="499"/>
        <item x="319"/>
        <item x="489"/>
        <item x="432"/>
        <item x="26"/>
        <item x="492"/>
        <item x="490"/>
        <item x="495"/>
        <item x="240"/>
        <item x="117"/>
        <item x="409"/>
        <item x="498"/>
        <item x="493"/>
        <item x="496"/>
        <item x="314"/>
        <item x="491"/>
        <item x="503"/>
        <item x="370"/>
        <item x="79"/>
        <item x="480"/>
        <item x="494"/>
        <item x="289"/>
        <item x="497"/>
        <item x="476"/>
        <item x="436"/>
        <item x="446"/>
        <item x="447"/>
        <item x="488"/>
        <item x="320"/>
        <item x="234"/>
        <item x="420"/>
        <item x="450"/>
        <item x="283"/>
        <item x="418"/>
        <item x="248"/>
        <item x="93"/>
        <item x="475"/>
        <item x="237"/>
        <item x="280"/>
        <item x="312"/>
        <item x="422"/>
        <item x="371"/>
        <item x="255"/>
        <item x="76"/>
        <item x="430"/>
        <item x="284"/>
        <item x="71"/>
        <item x="331"/>
        <item x="108"/>
        <item x="1"/>
        <item x="451"/>
        <item x="279"/>
        <item x="343"/>
        <item x="109"/>
        <item x="278"/>
        <item x="110"/>
        <item x="415"/>
        <item x="464"/>
        <item x="290"/>
        <item x="334"/>
        <item x="282"/>
        <item x="10"/>
        <item x="42"/>
        <item x="247"/>
        <item x="469"/>
        <item x="205"/>
        <item x="155"/>
        <item x="209"/>
        <item x="156"/>
        <item x="44"/>
        <item x="206"/>
        <item x="324"/>
        <item x="43"/>
        <item x="183"/>
        <item x="197"/>
        <item x="500"/>
        <item x="332"/>
        <item x="210"/>
        <item x="356"/>
        <item x="358"/>
        <item x="184"/>
        <item x="14"/>
        <item x="0"/>
        <item x="448"/>
        <item x="157"/>
        <item x="9"/>
        <item x="207"/>
        <item x="315"/>
        <item x="211"/>
        <item x="333"/>
        <item x="410"/>
        <item x="472"/>
        <item x="200"/>
        <item x="182"/>
        <item x="416"/>
        <item x="131"/>
        <item x="431"/>
        <item x="4"/>
        <item x="201"/>
        <item x="15"/>
        <item x="477"/>
        <item x="235"/>
        <item x="236"/>
        <item x="13"/>
        <item x="91"/>
        <item x="397"/>
        <item x="444"/>
        <item x="37"/>
        <item x="134"/>
        <item x="159"/>
        <item x="254"/>
        <item x="114"/>
        <item x="291"/>
        <item x="11"/>
        <item x="146"/>
        <item x="478"/>
        <item x="421"/>
        <item x="112"/>
        <item x="69"/>
        <item x="12"/>
        <item x="38"/>
        <item x="402"/>
        <item x="160"/>
        <item x="20"/>
        <item x="479"/>
        <item x="433"/>
        <item x="185"/>
        <item x="3"/>
        <item x="16"/>
        <item x="424"/>
        <item x="50"/>
        <item x="203"/>
        <item x="174"/>
        <item x="166"/>
        <item x="354"/>
        <item x="73"/>
        <item x="8"/>
        <item x="148"/>
        <item x="250"/>
        <item x="441"/>
        <item x="407"/>
        <item x="403"/>
        <item x="51"/>
        <item x="175"/>
        <item x="121"/>
        <item x="349"/>
        <item x="67"/>
        <item x="404"/>
        <item x="169"/>
        <item x="27"/>
        <item x="83"/>
        <item x="151"/>
        <item x="2"/>
        <item x="262"/>
        <item x="176"/>
        <item x="52"/>
        <item x="411"/>
        <item x="346"/>
        <item x="62"/>
        <item x="179"/>
        <item x="347"/>
        <item x="195"/>
        <item x="330"/>
        <item x="115"/>
        <item x="198"/>
        <item x="412"/>
        <item x="318"/>
        <item x="64"/>
        <item x="348"/>
        <item x="423"/>
        <item x="449"/>
        <item x="384"/>
        <item x="208"/>
        <item x="104"/>
        <item x="249"/>
        <item x="171"/>
        <item x="143"/>
        <item x="257"/>
        <item x="199"/>
        <item x="355"/>
        <item x="58"/>
        <item x="101"/>
        <item x="21"/>
        <item x="32"/>
        <item x="213"/>
        <item x="158"/>
        <item x="344"/>
        <item x="65"/>
        <item x="81"/>
        <item x="116"/>
        <item x="17"/>
        <item x="202"/>
        <item x="33"/>
        <item x="313"/>
        <item x="22"/>
        <item x="340"/>
        <item x="144"/>
        <item x="102"/>
        <item x="135"/>
        <item x="259"/>
        <item x="28"/>
        <item x="63"/>
        <item x="471"/>
        <item x="147"/>
        <item x="454"/>
        <item x="153"/>
        <item x="413"/>
        <item x="172"/>
        <item x="434"/>
        <item x="399"/>
        <item x="141"/>
        <item x="470"/>
        <item x="45"/>
        <item x="189"/>
        <item x="53"/>
        <item x="405"/>
        <item x="252"/>
        <item x="75"/>
        <item x="341"/>
        <item x="246"/>
        <item x="88"/>
        <item x="227"/>
        <item x="427"/>
        <item x="265"/>
        <item x="39"/>
        <item x="72"/>
        <item x="133"/>
        <item x="191"/>
        <item x="353"/>
        <item x="180"/>
        <item x="360"/>
        <item x="87"/>
        <item x="95"/>
        <item x="204"/>
        <item x="414"/>
        <item x="36"/>
        <item x="264"/>
        <item x="287"/>
        <item x="57"/>
        <item x="127"/>
        <item x="125"/>
        <item x="23"/>
        <item x="167"/>
        <item x="152"/>
        <item x="459"/>
        <item x="80"/>
        <item x="270"/>
        <item x="316"/>
        <item x="364"/>
        <item x="352"/>
        <item x="168"/>
        <item x="219"/>
        <item x="253"/>
        <item x="18"/>
        <item x="426"/>
        <item x="325"/>
        <item x="359"/>
        <item x="351"/>
        <item x="401"/>
        <item x="145"/>
        <item x="241"/>
        <item x="323"/>
        <item x="376"/>
        <item x="126"/>
        <item x="261"/>
        <item x="345"/>
        <item x="136"/>
        <item x="474"/>
        <item x="46"/>
        <item x="212"/>
        <item x="292"/>
        <item x="194"/>
        <item x="120"/>
        <item x="482"/>
        <item x="59"/>
        <item x="263"/>
        <item x="66"/>
        <item x="483"/>
        <item x="408"/>
        <item x="215"/>
        <item x="484"/>
        <item x="266"/>
        <item x="485"/>
        <item x="398"/>
        <item x="84"/>
        <item x="140"/>
        <item x="86"/>
        <item x="256"/>
        <item x="438"/>
        <item x="49"/>
        <item x="457"/>
        <item x="326"/>
        <item x="486"/>
        <item x="268"/>
        <item x="297"/>
        <item x="105"/>
        <item x="487"/>
        <item x="47"/>
        <item x="276"/>
        <item x="100"/>
        <item x="437"/>
        <item x="187"/>
        <item x="139"/>
        <item x="329"/>
        <item x="382"/>
        <item x="96"/>
        <item x="400"/>
        <item x="40"/>
        <item x="89"/>
        <item x="111"/>
        <item x="357"/>
        <item x="161"/>
        <item x="74"/>
        <item x="363"/>
        <item x="193"/>
        <item x="443"/>
        <item x="35"/>
        <item x="29"/>
        <item x="367"/>
        <item x="335"/>
        <item x="124"/>
        <item x="231"/>
        <item x="177"/>
        <item x="48"/>
        <item x="281"/>
        <item x="106"/>
        <item x="381"/>
        <item x="54"/>
        <item x="425"/>
        <item x="406"/>
        <item x="242"/>
        <item x="260"/>
        <item x="419"/>
        <item x="258"/>
        <item x="60"/>
        <item x="92"/>
        <item x="162"/>
        <item x="30"/>
        <item x="19"/>
        <item x="103"/>
        <item x="150"/>
        <item x="196"/>
        <item x="462"/>
        <item x="216"/>
        <item x="372"/>
        <item x="373"/>
        <item x="170"/>
        <item x="55"/>
        <item x="218"/>
        <item x="186"/>
        <item x="374"/>
        <item x="97"/>
        <item x="123"/>
        <item x="442"/>
        <item x="224"/>
        <item x="5"/>
        <item x="82"/>
        <item x="34"/>
        <item x="221"/>
        <item x="122"/>
        <item x="435"/>
        <item x="273"/>
        <item x="188"/>
        <item x="113"/>
        <item x="293"/>
        <item x="31"/>
        <item x="163"/>
        <item x="137"/>
        <item x="244"/>
        <item x="300"/>
        <item x="98"/>
        <item x="178"/>
        <item x="277"/>
        <item x="225"/>
        <item x="56"/>
        <item x="217"/>
        <item x="288"/>
        <item x="6"/>
        <item x="321"/>
        <item x="214"/>
        <item x="77"/>
        <item x="294"/>
        <item x="192"/>
        <item x="222"/>
        <item x="61"/>
        <item x="173"/>
        <item x="41"/>
        <item x="439"/>
        <item x="385"/>
        <item x="301"/>
        <item x="85"/>
        <item x="368"/>
        <item x="226"/>
        <item x="378"/>
        <item x="369"/>
        <item x="504"/>
        <item x="164"/>
        <item x="322"/>
        <item x="295"/>
        <item x="362"/>
        <item x="317"/>
        <item x="445"/>
        <item x="336"/>
        <item x="361"/>
        <item x="388"/>
        <item x="271"/>
        <item x="251"/>
        <item x="243"/>
        <item x="223"/>
        <item x="70"/>
        <item x="380"/>
        <item x="90"/>
        <item x="337"/>
        <item x="350"/>
        <item x="233"/>
        <item x="142"/>
        <item x="383"/>
        <item x="440"/>
        <item x="339"/>
        <item x="78"/>
        <item x="99"/>
        <item x="7"/>
        <item x="379"/>
        <item x="138"/>
        <item x="128"/>
        <item x="465"/>
        <item x="387"/>
        <item x="68"/>
        <item x="389"/>
        <item x="107"/>
        <item x="338"/>
        <item x="245"/>
        <item x="466"/>
        <item x="238"/>
        <item x="165"/>
        <item x="377"/>
        <item x="365"/>
        <item x="463"/>
        <item x="342"/>
        <item x="24"/>
        <item x="452"/>
        <item x="25"/>
        <item x="453"/>
        <item x="310"/>
        <item x="230"/>
        <item x="229"/>
        <item x="232"/>
        <item x="285"/>
        <item x="458"/>
        <item x="190"/>
        <item x="132"/>
        <item x="118"/>
        <item x="473"/>
        <item x="239"/>
        <item x="119"/>
        <item x="467"/>
        <item x="391"/>
        <item x="154"/>
        <item x="455"/>
        <item x="220"/>
        <item x="375"/>
        <item x="286"/>
        <item x="129"/>
        <item x="311"/>
        <item x="94"/>
        <item x="309"/>
        <item x="327"/>
        <item x="302"/>
        <item x="386"/>
        <item x="468"/>
        <item x="228"/>
        <item x="366"/>
        <item x="298"/>
        <item x="390"/>
        <item x="328"/>
        <item x="460"/>
        <item x="296"/>
        <item x="461"/>
        <item x="299"/>
        <item x="149"/>
        <item x="417"/>
        <item x="456"/>
        <item x="267"/>
        <item x="269"/>
        <item x="272"/>
        <item x="274"/>
        <item x="275"/>
        <item x="393"/>
        <item x="394"/>
        <item x="395"/>
        <item x="396"/>
        <item m="1" x="505"/>
        <item m="1" x="50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2">
        <item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2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2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2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name="Tot" axis="axisPage" dataField="1" compact="0" outline="0" multipleItemSelectionAllowed="1" showAll="0" includeNewItemsInFilter="1" defaultSubtotal="0">
      <items count="32">
        <item h="1" x="2"/>
        <item x="14"/>
        <item m="1" x="29"/>
        <item x="9"/>
        <item x="0"/>
        <item x="5"/>
        <item x="7"/>
        <item x="6"/>
        <item x="8"/>
        <item x="10"/>
        <item m="1" x="19"/>
        <item x="13"/>
        <item m="1" x="16"/>
        <item m="1" x="15"/>
        <item x="1"/>
        <item x="3"/>
        <item m="1" x="18"/>
        <item m="1" x="17"/>
        <item m="1" x="21"/>
        <item m="1" x="25"/>
        <item m="1" x="30"/>
        <item m="1" x="26"/>
        <item m="1" x="24"/>
        <item x="12"/>
        <item m="1" x="22"/>
        <item m="1" x="23"/>
        <item m="1" x="31"/>
        <item m="1" x="27"/>
        <item m="1" x="20"/>
        <item x="4"/>
        <item m="1" x="28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DETAILED DESCRIPTION OF GOODS" axis="axisRow" compact="0" outline="0" showAll="0" defaultSubtotal="0">
      <items count="94">
        <item x="16"/>
        <item m="1" x="70"/>
        <item m="1" x="32"/>
        <item m="1" x="45"/>
        <item m="1" x="56"/>
        <item m="1" x="69"/>
        <item m="1" x="81"/>
        <item m="1" x="21"/>
        <item m="1" x="88"/>
        <item m="1" x="27"/>
        <item m="1" x="29"/>
        <item m="1" x="78"/>
        <item m="1" x="46"/>
        <item m="1" x="38"/>
        <item m="1" x="39"/>
        <item m="1" x="31"/>
        <item m="1" x="26"/>
        <item m="1" x="18"/>
        <item m="1" x="87"/>
        <item m="1" x="33"/>
        <item m="1" x="54"/>
        <item m="1" x="41"/>
        <item m="1" x="86"/>
        <item m="1" x="79"/>
        <item m="1" x="23"/>
        <item m="1" x="30"/>
        <item m="1" x="74"/>
        <item m="1" x="64"/>
        <item m="1" x="51"/>
        <item m="1" x="61"/>
        <item m="1" x="48"/>
        <item m="1" x="53"/>
        <item m="1" x="42"/>
        <item m="1" x="77"/>
        <item m="1" x="50"/>
        <item m="1" x="25"/>
        <item m="1" x="43"/>
        <item m="1" x="58"/>
        <item m="1" x="73"/>
        <item m="1" x="93"/>
        <item m="1" x="47"/>
        <item m="1" x="63"/>
        <item m="1" x="35"/>
        <item m="1" x="19"/>
        <item m="1" x="83"/>
        <item m="1" x="65"/>
        <item m="1" x="44"/>
        <item m="1" x="60"/>
        <item m="1" x="57"/>
        <item m="1" x="90"/>
        <item m="1" x="49"/>
        <item m="1" x="68"/>
        <item m="1" x="24"/>
        <item m="1" x="34"/>
        <item m="1" x="22"/>
        <item m="1" x="36"/>
        <item m="1" x="28"/>
        <item m="1" x="17"/>
        <item m="1" x="80"/>
        <item m="1" x="40"/>
        <item m="1" x="20"/>
        <item m="1" x="84"/>
        <item m="1" x="92"/>
        <item m="1" x="59"/>
        <item m="1" x="72"/>
        <item m="1" x="85"/>
        <item m="1" x="91"/>
        <item m="1" x="76"/>
        <item m="1" x="82"/>
        <item m="1" x="66"/>
        <item m="1" x="52"/>
        <item x="13"/>
        <item x="2"/>
        <item m="1" x="37"/>
        <item x="3"/>
        <item x="0"/>
        <item m="1" x="55"/>
        <item x="1"/>
        <item x="6"/>
        <item x="5"/>
        <item m="1" x="62"/>
        <item x="4"/>
        <item x="9"/>
        <item x="8"/>
        <item x="11"/>
        <item x="14"/>
        <item x="12"/>
        <item x="10"/>
        <item x="7"/>
        <item x="15"/>
        <item m="1" x="67"/>
        <item m="1" x="71"/>
        <item m="1" x="75"/>
        <item m="1" x="89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items count="1070">
        <item x="2"/>
        <item m="1" x="226"/>
        <item m="1" x="956"/>
        <item m="1" x="374"/>
        <item m="1" x="356"/>
        <item m="1" x="505"/>
        <item m="1" x="761"/>
        <item m="1" x="624"/>
        <item m="1" x="831"/>
        <item m="1" x="1046"/>
        <item m="1" x="259"/>
        <item m="1" x="443"/>
        <item m="1" x="625"/>
        <item m="1" x="794"/>
        <item m="1" x="788"/>
        <item m="1" x="329"/>
        <item m="1" x="860"/>
        <item m="1" x="627"/>
        <item m="1" x="531"/>
        <item m="1" x="681"/>
        <item m="1" x="327"/>
        <item m="1" x="838"/>
        <item m="1" x="192"/>
        <item m="1" x="343"/>
        <item m="1" x="584"/>
        <item m="1" x="760"/>
        <item m="1" x="276"/>
        <item m="1" x="576"/>
        <item m="1" x="729"/>
        <item m="1" x="826"/>
        <item m="1" x="990"/>
        <item m="1" x="262"/>
        <item m="1" x="240"/>
        <item m="1" x="366"/>
        <item m="1" x="292"/>
        <item m="1" x="390"/>
        <item m="1" x="878"/>
        <item m="1" x="488"/>
        <item m="1" x="802"/>
        <item m="1" x="972"/>
        <item m="1" x="815"/>
        <item m="1" x="914"/>
        <item m="1" x="1018"/>
        <item m="1" x="613"/>
        <item m="1" x="402"/>
        <item m="1" x="648"/>
        <item m="1" x="716"/>
        <item m="1" x="263"/>
        <item m="1" x="896"/>
        <item m="1" x="233"/>
        <item m="1" x="414"/>
        <item m="1" x="537"/>
        <item m="1" x="633"/>
        <item m="1" x="720"/>
        <item m="1" x="915"/>
        <item m="1" x="561"/>
        <item m="1" x="820"/>
        <item m="1" x="446"/>
        <item m="1" x="827"/>
        <item m="1" x="1044"/>
        <item m="1" x="995"/>
        <item m="1" x="970"/>
        <item m="1" x="687"/>
        <item m="1" x="1041"/>
        <item m="1" x="527"/>
        <item m="1" x="450"/>
        <item m="1" x="333"/>
        <item m="1" x="779"/>
        <item m="1" x="407"/>
        <item m="1" x="1001"/>
        <item m="1" x="430"/>
        <item m="1" x="283"/>
        <item m="1" x="901"/>
        <item m="1" x="840"/>
        <item m="1" x="739"/>
        <item m="1" x="308"/>
        <item m="1" x="468"/>
        <item m="1" x="753"/>
        <item m="1" x="948"/>
        <item m="1" x="312"/>
        <item m="1" x="528"/>
        <item m="1" x="599"/>
        <item m="1" x="953"/>
        <item m="1" x="399"/>
        <item m="1" x="300"/>
        <item m="1" x="288"/>
        <item m="1" x="368"/>
        <item m="1" x="274"/>
        <item m="1" x="781"/>
        <item m="1" x="217"/>
        <item m="1" x="960"/>
        <item m="1" x="408"/>
        <item m="1" x="309"/>
        <item m="1" x="449"/>
        <item m="1" x="856"/>
        <item m="1" x="881"/>
        <item m="1" x="777"/>
        <item m="1" x="835"/>
        <item m="1" x="255"/>
        <item m="1" x="984"/>
        <item m="1" x="289"/>
        <item m="1" x="825"/>
        <item m="1" x="639"/>
        <item m="1" x="448"/>
        <item m="1" x="495"/>
        <item m="1" x="224"/>
        <item m="1" x="519"/>
        <item m="1" x="833"/>
        <item m="1" x="1024"/>
        <item m="1" x="486"/>
        <item m="1" x="851"/>
        <item m="1" x="395"/>
        <item m="1" x="792"/>
        <item m="1" x="829"/>
        <item m="1" x="937"/>
        <item m="1" x="322"/>
        <item m="1" x="216"/>
        <item m="1" x="632"/>
        <item m="1" x="419"/>
        <item m="1" x="763"/>
        <item m="1" x="694"/>
        <item m="1" x="195"/>
        <item m="1" x="549"/>
        <item m="1" x="513"/>
        <item m="1" x="436"/>
        <item m="1" x="800"/>
        <item m="1" x="973"/>
        <item m="1" x="645"/>
        <item m="1" x="582"/>
        <item m="1" x="197"/>
        <item m="1" x="252"/>
        <item m="1" x="428"/>
        <item m="1" x="264"/>
        <item m="1" x="573"/>
        <item m="1" x="750"/>
        <item m="1" x="413"/>
        <item m="1" x="928"/>
        <item m="1" x="397"/>
        <item m="1" x="473"/>
        <item m="1" x="722"/>
        <item m="1" x="854"/>
        <item m="1" x="998"/>
        <item m="1" x="560"/>
        <item m="1" x="427"/>
        <item m="1" x="611"/>
        <item m="1" x="776"/>
        <item m="1" x="601"/>
        <item m="1" x="934"/>
        <item m="1" x="305"/>
        <item m="1" x="643"/>
        <item m="1" x="987"/>
        <item m="1" x="325"/>
        <item m="1" x="298"/>
        <item m="1" x="349"/>
        <item m="1" x="377"/>
        <item m="1" x="229"/>
        <item m="1" x="902"/>
        <item m="1" x="579"/>
        <item m="1" x="980"/>
        <item m="1" x="484"/>
        <item m="1" x="961"/>
        <item m="1" x="275"/>
        <item m="1" x="1035"/>
        <item m="1" x="198"/>
        <item x="188"/>
        <item m="1" x="227"/>
        <item m="1" x="755"/>
        <item m="1" x="248"/>
        <item m="1" x="250"/>
        <item m="1" x="396"/>
        <item m="1" x="378"/>
        <item m="1" x="684"/>
        <item m="1" x="1039"/>
        <item m="1" x="379"/>
        <item m="1" x="328"/>
        <item m="1" x="713"/>
        <item m="1" x="260"/>
        <item m="1" x="874"/>
        <item x="116"/>
        <item m="1" x="600"/>
        <item m="1" x="930"/>
        <item m="1" x="880"/>
        <item m="1" x="631"/>
        <item x="29"/>
        <item x="51"/>
        <item x="97"/>
        <item m="1" x="268"/>
        <item x="39"/>
        <item m="1" x="541"/>
        <item m="1" x="243"/>
        <item m="1" x="209"/>
        <item m="1" x="355"/>
        <item x="114"/>
        <item m="1" x="850"/>
        <item m="1" x="797"/>
        <item m="1" x="358"/>
        <item m="1" x="848"/>
        <item m="1" x="804"/>
        <item m="1" x="375"/>
        <item m="1" x="964"/>
        <item x="123"/>
        <item m="1" x="608"/>
        <item m="1" x="697"/>
        <item m="1" x="714"/>
        <item m="1" x="700"/>
        <item m="1" x="277"/>
        <item m="1" x="864"/>
        <item m="1" x="606"/>
        <item m="1" x="440"/>
        <item x="132"/>
        <item m="1" x="655"/>
        <item m="1" x="552"/>
        <item x="57"/>
        <item x="163"/>
        <item m="1" x="900"/>
        <item m="1" x="529"/>
        <item x="136"/>
        <item x="67"/>
        <item m="1" x="1008"/>
        <item m="1" x="985"/>
        <item x="172"/>
        <item x="68"/>
        <item x="183"/>
        <item m="1" x="346"/>
        <item x="159"/>
        <item x="166"/>
        <item x="144"/>
        <item x="83"/>
        <item m="1" x="1010"/>
        <item x="167"/>
        <item x="0"/>
        <item m="1" x="818"/>
        <item x="173"/>
        <item m="1" x="828"/>
        <item x="184"/>
        <item m="1" x="587"/>
        <item m="1" x="1051"/>
        <item m="1" x="845"/>
        <item x="87"/>
        <item m="1" x="503"/>
        <item m="1" x="620"/>
        <item x="106"/>
        <item x="147"/>
        <item x="187"/>
        <item x="180"/>
        <item x="181"/>
        <item x="140"/>
        <item m="1" x="271"/>
        <item m="1" x="897"/>
        <item m="1" x="866"/>
        <item m="1" x="389"/>
        <item m="1" x="836"/>
        <item m="1" x="999"/>
        <item m="1" x="558"/>
        <item m="1" x="731"/>
        <item m="1" x="946"/>
        <item m="1" x="989"/>
        <item m="1" x="962"/>
        <item m="1" x="191"/>
        <item m="1" x="323"/>
        <item m="1" x="306"/>
        <item m="1" x="1032"/>
        <item m="1" x="466"/>
        <item m="1" x="805"/>
        <item m="1" x="557"/>
        <item m="1" x="796"/>
        <item m="1" x="472"/>
        <item x="37"/>
        <item x="154"/>
        <item m="1" x="352"/>
        <item x="41"/>
        <item m="1" x="369"/>
        <item m="1" x="664"/>
        <item m="1" x="418"/>
        <item x="80"/>
        <item m="1" x="869"/>
        <item m="1" x="367"/>
        <item m="1" x="863"/>
        <item m="1" x="386"/>
        <item m="1" x="927"/>
        <item m="1" x="307"/>
        <item m="1" x="530"/>
        <item m="1" x="462"/>
        <item m="1" x="803"/>
        <item m="1" x="424"/>
        <item m="1" x="559"/>
        <item x="148"/>
        <item m="1" x="994"/>
        <item m="1" x="749"/>
        <item m="1" x="1064"/>
        <item m="1" x="1059"/>
        <item m="1" x="319"/>
        <item m="1" x="392"/>
        <item m="1" x="383"/>
        <item m="1" x="895"/>
        <item m="1" x="310"/>
        <item m="1" x="704"/>
        <item m="1" x="621"/>
        <item m="1" x="459"/>
        <item m="1" x="656"/>
        <item m="1" x="996"/>
        <item m="1" x="1048"/>
        <item m="1" x="542"/>
        <item m="1" x="351"/>
        <item m="1" x="975"/>
        <item m="1" x="894"/>
        <item m="1" x="251"/>
        <item m="1" x="502"/>
        <item m="1" x="1020"/>
        <item m="1" x="891"/>
        <item m="1" x="393"/>
        <item m="1" x="904"/>
        <item m="1" x="232"/>
        <item m="1" x="514"/>
        <item m="1" x="992"/>
        <item m="1" x="887"/>
        <item m="1" x="571"/>
        <item m="1" x="742"/>
        <item m="1" x="770"/>
        <item m="1" x="405"/>
        <item m="1" x="667"/>
        <item m="1" x="877"/>
        <item m="1" x="230"/>
        <item m="1" x="376"/>
        <item x="70"/>
        <item m="1" x="403"/>
        <item m="1" x="241"/>
        <item m="1" x="1004"/>
        <item m="1" x="1014"/>
        <item x="15"/>
        <item m="1" x="680"/>
        <item m="1" x="208"/>
        <item m="1" x="336"/>
        <item m="1" x="977"/>
        <item m="1" x="862"/>
        <item m="1" x="566"/>
        <item m="1" x="703"/>
        <item m="1" x="406"/>
        <item m="1" x="416"/>
        <item m="1" x="476"/>
        <item m="1" x="807"/>
        <item m="1" x="353"/>
        <item m="1" x="665"/>
        <item m="1" x="532"/>
        <item m="1" x="497"/>
        <item m="1" x="787"/>
        <item m="1" x="668"/>
        <item m="1" x="1056"/>
        <item m="1" x="417"/>
        <item m="1" x="817"/>
        <item m="1" x="899"/>
        <item x="38"/>
        <item x="27"/>
        <item m="1" x="950"/>
        <item x="189"/>
        <item m="1" x="222"/>
        <item x="32"/>
        <item m="1" x="939"/>
        <item m="1" x="719"/>
        <item m="1" x="841"/>
        <item m="1" x="969"/>
        <item m="1" x="225"/>
        <item m="1" x="976"/>
        <item m="1" x="675"/>
        <item m="1" x="974"/>
        <item m="1" x="798"/>
        <item m="1" x="465"/>
        <item m="1" x="335"/>
        <item m="1" x="339"/>
        <item m="1" x="646"/>
        <item m="1" x="1040"/>
        <item m="1" x="683"/>
        <item m="1" x="765"/>
        <item m="1" x="562"/>
        <item m="1" x="273"/>
        <item m="1" x="688"/>
        <item m="1" x="823"/>
        <item m="1" x="766"/>
        <item m="1" x="1012"/>
        <item m="1" x="359"/>
        <item x="20"/>
        <item m="1" x="759"/>
        <item x="164"/>
        <item m="1" x="593"/>
        <item m="1" x="701"/>
        <item m="1" x="282"/>
        <item m="1" x="1057"/>
        <item m="1" x="772"/>
        <item m="1" x="458"/>
        <item m="1" x="543"/>
        <item m="1" x="285"/>
        <item m="1" x="213"/>
        <item m="1" x="533"/>
        <item m="1" x="615"/>
        <item m="1" x="409"/>
        <item m="1" x="768"/>
        <item m="1" x="991"/>
        <item m="1" x="253"/>
        <item x="6"/>
        <item x="3"/>
        <item x="8"/>
        <item m="1" x="318"/>
        <item m="1" x="830"/>
        <item m="1" x="1055"/>
        <item m="1" x="1005"/>
        <item m="1" x="489"/>
        <item m="1" x="296"/>
        <item m="1" x="398"/>
        <item m="1" x="338"/>
        <item m="1" x="647"/>
        <item m="1" x="471"/>
        <item m="1" x="609"/>
        <item m="1" x="883"/>
        <item m="1" x="649"/>
        <item m="1" x="314"/>
        <item m="1" x="638"/>
        <item m="1" x="784"/>
        <item m="1" x="602"/>
        <item m="1" x="577"/>
        <item x="52"/>
        <item m="1" x="364"/>
        <item m="1" x="550"/>
        <item m="1" x="219"/>
        <item m="1" x="868"/>
        <item m="1" x="1013"/>
        <item m="1" x="311"/>
        <item m="1" x="954"/>
        <item m="1" x="371"/>
        <item m="1" x="662"/>
        <item m="1" x="698"/>
        <item m="1" x="622"/>
        <item m="1" x="929"/>
        <item x="102"/>
        <item m="1" x="806"/>
        <item m="1" x="586"/>
        <item x="107"/>
        <item m="1" x="564"/>
        <item m="1" x="809"/>
        <item x="127"/>
        <item m="1" x="280"/>
        <item m="1" x="623"/>
        <item m="1" x="302"/>
        <item m="1" x="244"/>
        <item m="1" x="257"/>
        <item x="109"/>
        <item m="1" x="919"/>
        <item x="174"/>
        <item m="1" x="202"/>
        <item x="104"/>
        <item m="1" x="432"/>
        <item m="1" x="1027"/>
        <item m="1" x="1037"/>
        <item x="85"/>
        <item m="1" x="507"/>
        <item m="1" x="334"/>
        <item x="146"/>
        <item m="1" x="548"/>
        <item m="1" x="727"/>
        <item m="1" x="726"/>
        <item m="1" x="246"/>
        <item m="1" x="773"/>
        <item m="1" x="654"/>
        <item m="1" x="401"/>
        <item m="1" x="272"/>
        <item m="1" x="644"/>
        <item m="1" x="256"/>
        <item m="1" x="955"/>
        <item m="1" x="885"/>
        <item m="1" x="1065"/>
        <item m="1" x="261"/>
        <item m="1" x="567"/>
        <item m="1" x="810"/>
        <item x="119"/>
        <item m="1" x="467"/>
        <item m="1" x="783"/>
        <item m="1" x="387"/>
        <item x="161"/>
        <item x="94"/>
        <item m="1" x="554"/>
        <item m="1" x="636"/>
        <item m="1" x="682"/>
        <item m="1" x="572"/>
        <item m="1" x="936"/>
        <item m="1" x="872"/>
        <item x="35"/>
        <item x="48"/>
        <item m="1" x="795"/>
        <item m="1" x="281"/>
        <item m="1" x="588"/>
        <item m="1" x="626"/>
        <item x="21"/>
        <item m="1" x="933"/>
        <item m="1" x="326"/>
        <item m="1" x="373"/>
        <item m="1" x="738"/>
        <item m="1" x="200"/>
        <item m="1" x="524"/>
        <item m="1" x="789"/>
        <item m="1" x="510"/>
        <item m="1" x="695"/>
        <item m="1" x="699"/>
        <item m="1" x="903"/>
        <item m="1" x="947"/>
        <item m="1" x="265"/>
        <item m="1" x="875"/>
        <item m="1" x="905"/>
        <item m="1" x="442"/>
        <item x="11"/>
        <item m="1" x="231"/>
        <item x="137"/>
        <item m="1" x="718"/>
        <item x="92"/>
        <item m="1" x="741"/>
        <item m="1" x="284"/>
        <item m="1" x="744"/>
        <item m="1" x="782"/>
        <item m="1" x="945"/>
        <item m="1" x="884"/>
        <item m="1" x="509"/>
        <item m="1" x="855"/>
        <item m="1" x="676"/>
        <item m="1" x="596"/>
        <item m="1" x="540"/>
        <item m="1" x="520"/>
        <item x="145"/>
        <item m="1" x="1063"/>
        <item m="1" x="1017"/>
        <item m="1" x="965"/>
        <item m="1" x="431"/>
        <item m="1" x="917"/>
        <item m="1" x="1030"/>
        <item m="1" x="546"/>
        <item m="1" x="400"/>
        <item m="1" x="1067"/>
        <item m="1" x="752"/>
        <item m="1" x="438"/>
        <item m="1" x="616"/>
        <item m="1" x="223"/>
        <item x="26"/>
        <item m="1" x="628"/>
        <item m="1" x="522"/>
        <item m="1" x="641"/>
        <item m="1" x="344"/>
        <item x="58"/>
        <item m="1" x="843"/>
        <item m="1" x="337"/>
        <item m="1" x="1043"/>
        <item x="112"/>
        <item m="1" x="474"/>
        <item m="1" x="384"/>
        <item m="1" x="589"/>
        <item m="1" x="331"/>
        <item m="1" x="388"/>
        <item m="1" x="966"/>
        <item m="1" x="534"/>
        <item m="1" x="297"/>
        <item m="1" x="669"/>
        <item m="1" x="293"/>
        <item m="1" x="712"/>
        <item m="1" x="1066"/>
        <item m="1" x="959"/>
        <item m="1" x="1016"/>
        <item x="46"/>
        <item m="1" x="957"/>
        <item m="1" x="932"/>
        <item m="1" x="916"/>
        <item m="1" x="747"/>
        <item x="28"/>
        <item m="1" x="754"/>
        <item m="1" x="478"/>
        <item m="1" x="888"/>
        <item m="1" x="511"/>
        <item m="1" x="592"/>
        <item m="1" x="967"/>
        <item x="69"/>
        <item m="1" x="501"/>
        <item m="1" x="982"/>
        <item m="1" x="958"/>
        <item m="1" x="659"/>
        <item m="1" x="266"/>
        <item m="1" x="710"/>
        <item x="18"/>
        <item m="1" x="693"/>
        <item x="122"/>
        <item m="1" x="1068"/>
        <item m="1" x="1022"/>
        <item m="1" x="523"/>
        <item m="1" x="340"/>
        <item m="1" x="706"/>
        <item x="5"/>
        <item x="101"/>
        <item m="1" x="824"/>
        <item m="1" x="1058"/>
        <item m="1" x="941"/>
        <item m="1" x="451"/>
        <item m="1" x="666"/>
        <item m="1" x="725"/>
        <item m="1" x="391"/>
        <item x="156"/>
        <item m="1" x="793"/>
        <item m="1" x="971"/>
        <item m="1" x="734"/>
        <item m="1" x="679"/>
        <item m="1" x="203"/>
        <item m="1" x="748"/>
        <item m="1" x="1026"/>
        <item m="1" x="429"/>
        <item m="1" x="870"/>
        <item m="1" x="603"/>
        <item x="81"/>
        <item m="1" x="724"/>
        <item m="1" x="1009"/>
        <item m="1" x="460"/>
        <item m="1" x="908"/>
        <item m="1" x="258"/>
        <item m="1" x="997"/>
        <item m="1" x="1042"/>
        <item m="1" x="635"/>
        <item x="165"/>
        <item x="179"/>
        <item m="1" x="846"/>
        <item m="1" x="538"/>
        <item m="1" x="610"/>
        <item m="1" x="320"/>
        <item m="1" x="360"/>
        <item m="1" x="717"/>
        <item x="177"/>
        <item m="1" x="751"/>
        <item m="1" x="506"/>
        <item m="1" x="758"/>
        <item m="1" x="882"/>
        <item m="1" x="671"/>
        <item m="1" x="287"/>
        <item x="142"/>
        <item m="1" x="199"/>
        <item m="1" x="194"/>
        <item m="1" x="672"/>
        <item m="1" x="594"/>
        <item m="1" x="365"/>
        <item m="1" x="921"/>
        <item m="1" x="1060"/>
        <item m="1" x="556"/>
        <item m="1" x="332"/>
        <item m="1" x="764"/>
        <item m="1" x="923"/>
        <item x="59"/>
        <item m="1" x="381"/>
        <item m="1" x="721"/>
        <item m="1" x="504"/>
        <item m="1" x="394"/>
        <item m="1" x="1019"/>
        <item m="1" x="1000"/>
        <item m="1" x="865"/>
        <item m="1" x="1047"/>
        <item m="1" x="922"/>
        <item m="1" x="604"/>
        <item m="1" x="515"/>
        <item m="1" x="370"/>
        <item x="155"/>
        <item m="1" x="1045"/>
        <item m="1" x="711"/>
        <item m="1" x="918"/>
        <item m="1" x="1061"/>
        <item m="1" x="324"/>
        <item m="1" x="732"/>
        <item m="1" x="196"/>
        <item m="1" x="574"/>
        <item m="1" x="652"/>
        <item m="1" x="981"/>
        <item m="1" x="892"/>
        <item m="1" x="585"/>
        <item m="1" x="570"/>
        <item m="1" x="517"/>
        <item m="1" x="979"/>
        <item m="1" x="696"/>
        <item m="1" x="730"/>
        <item m="1" x="911"/>
        <item m="1" x="544"/>
        <item m="1" x="692"/>
        <item x="9"/>
        <item x="56"/>
        <item x="168"/>
        <item m="1" x="494"/>
        <item m="1" x="661"/>
        <item m="1" x="330"/>
        <item x="90"/>
        <item m="1" x="943"/>
        <item m="1" x="1052"/>
        <item m="1" x="1031"/>
        <item m="1" x="940"/>
        <item m="1" x="988"/>
        <item m="1" x="605"/>
        <item m="1" x="844"/>
        <item m="1" x="801"/>
        <item m="1" x="790"/>
        <item m="1" x="447"/>
        <item m="1" x="924"/>
        <item m="1" x="270"/>
        <item m="1" x="426"/>
        <item m="1" x="518"/>
        <item m="1" x="1003"/>
        <item m="1" x="873"/>
        <item x="130"/>
        <item x="139"/>
        <item x="60"/>
        <item m="1" x="913"/>
        <item m="1" x="568"/>
        <item m="1" x="555"/>
        <item m="1" x="205"/>
        <item m="1" x="521"/>
        <item x="149"/>
        <item m="1" x="889"/>
        <item m="1" x="673"/>
        <item m="1" x="452"/>
        <item m="1" x="491"/>
        <item m="1" x="708"/>
        <item m="1" x="674"/>
        <item m="1" x="595"/>
        <item m="1" x="463"/>
        <item m="1" x="736"/>
        <item m="1" x="786"/>
        <item m="1" x="454"/>
        <item m="1" x="963"/>
        <item m="1" x="771"/>
        <item m="1" x="1050"/>
        <item m="1" x="499"/>
        <item m="1" x="247"/>
        <item m="1" x="1036"/>
        <item m="1" x="207"/>
        <item m="1" x="1069"/>
        <item m="1" x="949"/>
        <item m="1" x="444"/>
        <item m="1" x="481"/>
        <item m="1" x="952"/>
        <item m="1" x="723"/>
        <item m="1" x="898"/>
        <item m="1" x="361"/>
        <item m="1" x="539"/>
        <item m="1" x="218"/>
        <item m="1" x="316"/>
        <item m="1" x="876"/>
        <item m="1" x="906"/>
        <item m="1" x="578"/>
        <item m="1" x="385"/>
        <item m="1" x="907"/>
        <item m="1" x="214"/>
        <item m="1" x="382"/>
        <item m="1" x="756"/>
        <item m="1" x="663"/>
        <item m="1" x="482"/>
        <item m="1" x="612"/>
        <item m="1" x="348"/>
        <item m="1" x="455"/>
        <item m="1" x="993"/>
        <item m="1" x="808"/>
        <item m="1" x="1054"/>
        <item m="1" x="469"/>
        <item m="1" x="598"/>
        <item m="1" x="485"/>
        <item m="1" x="951"/>
        <item m="1" x="690"/>
        <item m="1" x="702"/>
        <item m="1" x="535"/>
        <item m="1" x="464"/>
        <item m="1" x="942"/>
        <item m="1" x="1023"/>
        <item m="1" x="345"/>
        <item m="1" x="234"/>
        <item m="1" x="475"/>
        <item m="1" x="536"/>
        <item m="1" x="363"/>
        <item m="1" x="445"/>
        <item x="175"/>
        <item m="1" x="254"/>
        <item m="1" x="910"/>
        <item m="1" x="439"/>
        <item m="1" x="689"/>
        <item m="1" x="581"/>
        <item m="1" x="245"/>
        <item x="169"/>
        <item m="1" x="630"/>
        <item m="1" x="221"/>
        <item m="1" x="457"/>
        <item m="1" x="686"/>
        <item m="1" x="317"/>
        <item m="1" x="925"/>
        <item m="1" x="986"/>
        <item m="1" x="526"/>
        <item m="1" x="886"/>
        <item m="1" x="607"/>
        <item m="1" x="490"/>
        <item m="1" x="944"/>
        <item m="1" x="743"/>
        <item m="1" x="715"/>
        <item m="1" x="799"/>
        <item m="1" x="500"/>
        <item m="1" x="1015"/>
        <item m="1" x="492"/>
        <item m="1" x="498"/>
        <item m="1" x="926"/>
        <item m="1" x="858"/>
        <item x="72"/>
        <item m="1" x="321"/>
        <item m="1" x="728"/>
        <item m="1" x="545"/>
        <item m="1" x="487"/>
        <item m="1" x="404"/>
        <item m="1" x="909"/>
        <item m="1" x="1028"/>
        <item m="1" x="249"/>
        <item m="1" x="670"/>
        <item m="1" x="1021"/>
        <item m="1" x="435"/>
        <item x="45"/>
        <item m="1" x="239"/>
        <item x="150"/>
        <item m="1" x="357"/>
        <item m="1" x="301"/>
        <item x="152"/>
        <item m="1" x="814"/>
        <item x="113"/>
        <item m="1" x="1053"/>
        <item x="153"/>
        <item m="1" x="480"/>
        <item m="1" x="294"/>
        <item m="1" x="678"/>
        <item m="1" x="968"/>
        <item m="1" x="235"/>
        <item m="1" x="303"/>
        <item m="1" x="834"/>
        <item m="1" x="709"/>
        <item m="1" x="569"/>
        <item m="1" x="580"/>
        <item m="1" x="575"/>
        <item m="1" x="496"/>
        <item m="1" x="380"/>
        <item m="1" x="893"/>
        <item m="1" x="691"/>
        <item m="1" x="479"/>
        <item m="1" x="342"/>
        <item m="1" x="236"/>
        <item m="1" x="410"/>
        <item m="1" x="525"/>
        <item m="1" x="813"/>
        <item m="1" x="422"/>
        <item m="1" x="778"/>
        <item m="1" x="1002"/>
        <item m="1" x="978"/>
        <item m="1" x="597"/>
        <item m="1" x="583"/>
        <item m="1" x="769"/>
        <item m="1" x="767"/>
        <item m="1" x="215"/>
        <item m="1" x="745"/>
        <item m="1" x="286"/>
        <item m="1" x="437"/>
        <item m="1" x="657"/>
        <item m="1" x="931"/>
        <item m="1" x="842"/>
        <item m="1" x="291"/>
        <item m="1" x="210"/>
        <item m="1" x="434"/>
        <item m="1" x="634"/>
        <item m="1" x="642"/>
        <item x="158"/>
        <item m="1" x="983"/>
        <item m="1" x="938"/>
        <item m="1" x="879"/>
        <item m="1" x="637"/>
        <item x="120"/>
        <item m="1" x="658"/>
        <item m="1" x="847"/>
        <item x="160"/>
        <item m="1" x="651"/>
        <item m="1" x="421"/>
        <item m="1" x="204"/>
        <item m="1" x="220"/>
        <item m="1" x="861"/>
        <item m="1" x="315"/>
        <item m="1" x="493"/>
        <item m="1" x="461"/>
        <item m="1" x="278"/>
        <item m="1" x="206"/>
        <item m="1" x="839"/>
        <item m="1" x="1033"/>
        <item m="1" x="735"/>
        <item m="1" x="705"/>
        <item m="1" x="685"/>
        <item m="1" x="1034"/>
        <item m="1" x="553"/>
        <item m="1" x="299"/>
        <item m="1" x="516"/>
        <item m="1" x="1049"/>
        <item m="1" x="313"/>
        <item m="1" x="565"/>
        <item x="99"/>
        <item m="1" x="871"/>
        <item m="1" x="780"/>
        <item m="1" x="290"/>
        <item m="1" x="279"/>
        <item m="1" x="677"/>
        <item m="1" x="733"/>
        <item m="1" x="920"/>
        <item m="1" x="821"/>
        <item m="1" x="857"/>
        <item m="1" x="456"/>
        <item m="1" x="415"/>
        <item m="1" x="653"/>
        <item m="1" x="372"/>
        <item m="1" x="228"/>
        <item m="1" x="832"/>
        <item m="1" x="859"/>
        <item m="1" x="629"/>
        <item x="125"/>
        <item x="40"/>
        <item m="1" x="341"/>
        <item m="1" x="1025"/>
        <item x="186"/>
        <item m="1" x="822"/>
        <item m="1" x="304"/>
        <item x="176"/>
        <item m="1" x="737"/>
        <item m="1" x="269"/>
        <item m="1" x="563"/>
        <item m="1" x="590"/>
        <item m="1" x="912"/>
        <item x="178"/>
        <item m="1" x="425"/>
        <item x="185"/>
        <item m="1" x="412"/>
        <item m="1" x="619"/>
        <item m="1" x="1011"/>
        <item m="1" x="746"/>
        <item m="1" x="837"/>
        <item m="1" x="785"/>
        <item m="1" x="551"/>
        <item x="95"/>
        <item m="1" x="849"/>
        <item m="1" x="433"/>
        <item m="1" x="775"/>
        <item m="1" x="816"/>
        <item m="1" x="774"/>
        <item m="1" x="211"/>
        <item x="170"/>
        <item m="1" x="453"/>
        <item x="138"/>
        <item m="1" x="935"/>
        <item m="1" x="762"/>
        <item m="1" x="811"/>
        <item m="1" x="508"/>
        <item m="1" x="1038"/>
        <item m="1" x="512"/>
        <item m="1" x="420"/>
        <item m="1" x="819"/>
        <item x="135"/>
        <item m="1" x="812"/>
        <item m="1" x="740"/>
        <item m="1" x="295"/>
        <item m="1" x="1007"/>
        <item m="1" x="441"/>
        <item m="1" x="212"/>
        <item m="1" x="477"/>
        <item m="1" x="757"/>
        <item m="1" x="238"/>
        <item m="1" x="852"/>
        <item m="1" x="617"/>
        <item m="1" x="890"/>
        <item m="1" x="591"/>
        <item x="22"/>
        <item m="1" x="347"/>
        <item m="1" x="791"/>
        <item m="1" x="853"/>
        <item m="1" x="242"/>
        <item x="43"/>
        <item m="1" x="547"/>
        <item m="1" x="640"/>
        <item m="1" x="193"/>
        <item m="1" x="618"/>
        <item x="53"/>
        <item m="1" x="237"/>
        <item x="64"/>
        <item x="66"/>
        <item m="1" x="354"/>
        <item m="1" x="660"/>
        <item m="1" x="1029"/>
        <item m="1" x="1062"/>
        <item m="1" x="1006"/>
        <item m="1" x="650"/>
        <item m="1" x="483"/>
        <item m="1" x="201"/>
        <item m="1" x="267"/>
        <item m="1" x="707"/>
        <item m="1" x="867"/>
        <item x="121"/>
        <item m="1" x="470"/>
        <item m="1" x="614"/>
        <item m="1" x="423"/>
        <item m="1" x="411"/>
        <item m="1" x="350"/>
        <item x="111"/>
        <item m="1" x="362"/>
        <item x="190"/>
        <item x="1"/>
        <item x="4"/>
        <item x="7"/>
        <item x="10"/>
        <item x="12"/>
        <item x="13"/>
        <item x="14"/>
        <item x="16"/>
        <item x="17"/>
        <item x="19"/>
        <item x="23"/>
        <item x="24"/>
        <item x="25"/>
        <item x="30"/>
        <item x="31"/>
        <item x="33"/>
        <item x="34"/>
        <item x="36"/>
        <item x="42"/>
        <item x="44"/>
        <item x="47"/>
        <item x="49"/>
        <item x="50"/>
        <item x="54"/>
        <item x="55"/>
        <item x="61"/>
        <item x="62"/>
        <item x="63"/>
        <item x="65"/>
        <item x="71"/>
        <item x="73"/>
        <item x="74"/>
        <item x="75"/>
        <item x="76"/>
        <item x="77"/>
        <item x="78"/>
        <item x="79"/>
        <item x="82"/>
        <item x="84"/>
        <item x="86"/>
        <item x="88"/>
        <item x="89"/>
        <item x="91"/>
        <item x="93"/>
        <item x="96"/>
        <item x="98"/>
        <item x="100"/>
        <item x="103"/>
        <item x="105"/>
        <item x="108"/>
        <item x="110"/>
        <item x="115"/>
        <item x="117"/>
        <item x="118"/>
        <item x="124"/>
        <item x="126"/>
        <item x="128"/>
        <item x="129"/>
        <item x="131"/>
        <item x="133"/>
        <item x="134"/>
        <item x="141"/>
        <item x="143"/>
        <item x="151"/>
        <item x="157"/>
        <item x="162"/>
        <item x="171"/>
        <item x="18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items count="1052">
        <item x="2"/>
        <item m="1" x="546"/>
        <item m="1" x="859"/>
        <item m="1" x="963"/>
        <item m="1" x="1007"/>
        <item m="1" x="208"/>
        <item m="1" x="651"/>
        <item m="1" x="414"/>
        <item m="1" x="538"/>
        <item m="1" x="838"/>
        <item m="1" x="643"/>
        <item m="1" x="1000"/>
        <item m="1" x="580"/>
        <item m="1" x="395"/>
        <item m="1" x="947"/>
        <item x="15"/>
        <item m="1" x="730"/>
        <item m="1" x="248"/>
        <item m="1" x="577"/>
        <item x="109"/>
        <item m="1" x="885"/>
        <item m="1" x="290"/>
        <item m="1" x="653"/>
        <item m="1" x="603"/>
        <item x="64"/>
        <item m="1" x="292"/>
        <item m="1" x="992"/>
        <item m="1" x="525"/>
        <item m="1" x="804"/>
        <item m="1" x="927"/>
        <item m="1" x="814"/>
        <item x="102"/>
        <item m="1" x="436"/>
        <item m="1" x="475"/>
        <item m="1" x="648"/>
        <item m="1" x="561"/>
        <item m="1" x="210"/>
        <item m="1" x="221"/>
        <item m="1" x="203"/>
        <item m="1" x="558"/>
        <item m="1" x="367"/>
        <item m="1" x="821"/>
        <item m="1" x="450"/>
        <item m="1" x="1042"/>
        <item m="1" x="853"/>
        <item m="1" x="356"/>
        <item m="1" x="332"/>
        <item m="1" x="714"/>
        <item x="70"/>
        <item x="77"/>
        <item m="1" x="271"/>
        <item m="1" x="806"/>
        <item x="21"/>
        <item m="1" x="246"/>
        <item m="1" x="862"/>
        <item m="1" x="339"/>
        <item m="1" x="925"/>
        <item x="103"/>
        <item m="1" x="1051"/>
        <item m="1" x="1036"/>
        <item m="1" x="677"/>
        <item m="1" x="370"/>
        <item m="1" x="805"/>
        <item m="1" x="667"/>
        <item m="1" x="315"/>
        <item m="1" x="346"/>
        <item m="1" x="1013"/>
        <item m="1" x="744"/>
        <item m="1" x="205"/>
        <item m="1" x="652"/>
        <item m="1" x="872"/>
        <item m="1" x="902"/>
        <item m="1" x="409"/>
        <item m="1" x="539"/>
        <item m="1" x="847"/>
        <item m="1" x="497"/>
        <item m="1" x="405"/>
        <item m="1" x="330"/>
        <item m="1" x="545"/>
        <item m="1" x="683"/>
        <item m="1" x="659"/>
        <item m="1" x="501"/>
        <item m="1" x="351"/>
        <item m="1" x="635"/>
        <item x="43"/>
        <item m="1" x="695"/>
        <item m="1" x="812"/>
        <item m="1" x="970"/>
        <item m="1" x="657"/>
        <item m="1" x="298"/>
        <item m="1" x="242"/>
        <item m="1" x="879"/>
        <item m="1" x="719"/>
        <item m="1" x="576"/>
        <item m="1" x="400"/>
        <item m="1" x="982"/>
        <item x="119"/>
        <item m="1" x="953"/>
        <item m="1" x="567"/>
        <item m="1" x="509"/>
        <item m="1" x="713"/>
        <item x="29"/>
        <item x="51"/>
        <item x="99"/>
        <item m="1" x="596"/>
        <item m="1" x="911"/>
        <item m="1" x="309"/>
        <item m="1" x="451"/>
        <item m="1" x="375"/>
        <item m="1" x="959"/>
        <item m="1" x="848"/>
        <item m="1" x="850"/>
        <item x="126"/>
        <item m="1" x="223"/>
        <item m="1" x="213"/>
        <item m="1" x="985"/>
        <item m="1" x="874"/>
        <item m="1" x="402"/>
        <item m="1" x="786"/>
        <item m="1" x="415"/>
        <item m="1" x="211"/>
        <item x="135"/>
        <item m="1" x="259"/>
        <item m="1" x="421"/>
        <item m="1" x="1014"/>
        <item m="1" x="704"/>
        <item m="1" x="674"/>
        <item m="1" x="494"/>
        <item x="139"/>
        <item x="174"/>
        <item m="1" x="793"/>
        <item m="1" x="417"/>
        <item x="175"/>
        <item x="68"/>
        <item x="147"/>
        <item x="83"/>
        <item x="171"/>
        <item m="1" x="1040"/>
        <item m="1" x="255"/>
        <item m="1" x="799"/>
        <item x="176"/>
        <item x="177"/>
        <item m="1" x="861"/>
        <item x="191"/>
        <item m="1" x="510"/>
        <item m="1" x="543"/>
        <item m="1" x="263"/>
        <item x="87"/>
        <item m="1" x="951"/>
        <item m="1" x="595"/>
        <item x="108"/>
        <item x="150"/>
        <item x="193"/>
        <item x="187"/>
        <item x="188"/>
        <item m="1" x="318"/>
        <item m="1" x="737"/>
        <item m="1" x="575"/>
        <item m="1" x="602"/>
        <item m="1" x="735"/>
        <item x="107"/>
        <item x="148"/>
        <item x="184"/>
        <item m="1" x="410"/>
        <item m="1" x="747"/>
        <item m="1" x="222"/>
        <item m="1" x="444"/>
        <item m="1" x="254"/>
        <item m="1" x="530"/>
        <item m="1" x="665"/>
        <item m="1" x="787"/>
        <item m="1" x="343"/>
        <item m="1" x="753"/>
        <item m="1" x="623"/>
        <item m="1" x="739"/>
        <item m="1" x="798"/>
        <item m="1" x="515"/>
        <item m="1" x="810"/>
        <item x="37"/>
        <item x="157"/>
        <item m="1" x="604"/>
        <item x="41"/>
        <item m="1" x="566"/>
        <item m="1" x="607"/>
        <item m="1" x="638"/>
        <item m="1" x="863"/>
        <item m="1" x="684"/>
        <item m="1" x="344"/>
        <item m="1" x="228"/>
        <item m="1" x="588"/>
        <item m="1" x="666"/>
        <item m="1" x="839"/>
        <item m="1" x="486"/>
        <item m="1" x="662"/>
        <item m="1" x="215"/>
        <item m="1" x="641"/>
        <item m="1" x="293"/>
        <item m="1" x="347"/>
        <item m="1" x="765"/>
        <item m="1" x="455"/>
        <item m="1" x="355"/>
        <item m="1" x="725"/>
        <item m="1" x="389"/>
        <item m="1" x="1035"/>
        <item m="1" x="845"/>
        <item m="1" x="781"/>
        <item m="1" x="708"/>
        <item m="1" x="540"/>
        <item m="1" x="366"/>
        <item m="1" x="897"/>
        <item m="1" x="401"/>
        <item m="1" x="910"/>
        <item m="1" x="835"/>
        <item m="1" x="882"/>
        <item m="1" x="416"/>
        <item m="1" x="856"/>
        <item m="1" x="865"/>
        <item m="1" x="795"/>
        <item m="1" x="895"/>
        <item m="1" x="994"/>
        <item m="1" x="372"/>
        <item m="1" x="320"/>
        <item m="1" x="905"/>
        <item m="1" x="1019"/>
        <item m="1" x="995"/>
        <item m="1" x="243"/>
        <item m="1" x="461"/>
        <item m="1" x="207"/>
        <item m="1" x="457"/>
        <item m="1" x="736"/>
        <item m="1" x="932"/>
        <item m="1" x="756"/>
        <item m="1" x="852"/>
        <item m="1" x="913"/>
        <item m="1" x="782"/>
        <item m="1" x="841"/>
        <item m="1" x="892"/>
        <item m="1" x="317"/>
        <item m="1" x="593"/>
        <item m="1" x="779"/>
        <item m="1" x="449"/>
        <item m="1" x="611"/>
        <item m="1" x="748"/>
        <item m="1" x="499"/>
        <item m="1" x="996"/>
        <item m="1" x="406"/>
        <item m="1" x="817"/>
        <item m="1" x="1009"/>
        <item m="1" x="286"/>
        <item m="1" x="1032"/>
        <item m="1" x="968"/>
        <item m="1" x="834"/>
        <item m="1" x="1026"/>
        <item m="1" x="646"/>
        <item m="1" x="469"/>
        <item m="1" x="517"/>
        <item m="1" x="236"/>
        <item x="38"/>
        <item m="1" x="251"/>
        <item m="1" x="634"/>
        <item m="1" x="220"/>
        <item m="1" x="991"/>
        <item x="32"/>
        <item m="1" x="270"/>
        <item m="1" x="808"/>
        <item m="1" x="690"/>
        <item m="1" x="722"/>
        <item m="1" x="828"/>
        <item m="1" x="800"/>
        <item m="1" x="912"/>
        <item m="1" x="907"/>
        <item m="1" x="687"/>
        <item m="1" x="276"/>
        <item m="1" x="1017"/>
        <item m="1" x="313"/>
        <item m="1" x="873"/>
        <item m="1" x="941"/>
        <item m="1" x="993"/>
        <item m="1" x="740"/>
        <item m="1" x="616"/>
        <item m="1" x="831"/>
        <item m="1" x="433"/>
        <item m="1" x="368"/>
        <item m="1" x="886"/>
        <item m="1" x="323"/>
        <item m="1" x="624"/>
        <item x="20"/>
        <item m="1" x="404"/>
        <item m="1" x="394"/>
        <item m="1" x="694"/>
        <item m="1" x="349"/>
        <item m="1" x="428"/>
        <item m="1" x="750"/>
        <item m="1" x="258"/>
        <item m="1" x="590"/>
        <item m="1" x="692"/>
        <item m="1" x="362"/>
        <item m="1" x="384"/>
        <item m="1" x="295"/>
        <item m="1" x="780"/>
        <item m="1" x="555"/>
        <item m="1" x="647"/>
        <item m="1" x="1001"/>
        <item m="1" x="397"/>
        <item m="1" x="198"/>
        <item m="1" x="660"/>
        <item x="6"/>
        <item x="3"/>
        <item x="8"/>
        <item m="1" x="265"/>
        <item m="1" x="1005"/>
        <item m="1" x="301"/>
        <item m="1" x="1049"/>
        <item m="1" x="698"/>
        <item m="1" x="759"/>
        <item m="1" x="399"/>
        <item m="1" x="581"/>
        <item m="1" x="572"/>
        <item m="1" x="197"/>
        <item m="1" x="253"/>
        <item m="1" x="788"/>
        <item m="1" x="836"/>
        <item m="1" x="940"/>
        <item m="1" x="1041"/>
        <item m="1" x="930"/>
        <item m="1" x="656"/>
        <item m="1" x="518"/>
        <item x="52"/>
        <item m="1" x="755"/>
        <item m="1" x="1045"/>
        <item m="1" x="720"/>
        <item m="1" x="776"/>
        <item m="1" x="1029"/>
        <item m="1" x="244"/>
        <item m="1" x="709"/>
        <item m="1" x="299"/>
        <item m="1" x="432"/>
        <item x="104"/>
        <item m="1" x="973"/>
        <item m="1" x="972"/>
        <item x="167"/>
        <item x="169"/>
        <item m="1" x="303"/>
        <item m="1" x="630"/>
        <item x="130"/>
        <item m="1" x="482"/>
        <item m="1" x="209"/>
        <item m="1" x="983"/>
        <item m="1" x="612"/>
        <item m="1" x="474"/>
        <item m="1" x="884"/>
        <item m="1" x="391"/>
        <item m="1" x="679"/>
        <item m="1" x="689"/>
        <item m="1" x="775"/>
        <item m="1" x="408"/>
        <item m="1" x="552"/>
        <item x="85"/>
        <item m="1" x="958"/>
        <item m="1" x="365"/>
        <item m="1" x="802"/>
        <item x="111"/>
        <item m="1" x="500"/>
        <item m="1" x="986"/>
        <item m="1" x="854"/>
        <item m="1" x="675"/>
        <item m="1" x="978"/>
        <item m="1" x="746"/>
        <item m="1" x="936"/>
        <item m="1" x="311"/>
        <item m="1" x="784"/>
        <item x="163"/>
        <item x="96"/>
        <item m="1" x="529"/>
        <item m="1" x="680"/>
        <item m="1" x="924"/>
        <item m="1" x="393"/>
        <item m="1" x="514"/>
        <item x="35"/>
        <item x="48"/>
        <item m="1" x="411"/>
        <item m="1" x="676"/>
        <item m="1" x="933"/>
        <item m="1" x="797"/>
        <item m="1" x="640"/>
        <item m="1" x="571"/>
        <item m="1" x="556"/>
        <item m="1" x="969"/>
        <item m="1" x="716"/>
        <item m="1" x="481"/>
        <item m="1" x="877"/>
        <item m="1" x="569"/>
        <item m="1" x="443"/>
        <item m="1" x="984"/>
        <item m="1" x="419"/>
        <item m="1" x="830"/>
        <item m="1" x="614"/>
        <item m="1" x="928"/>
        <item m="1" x="1022"/>
        <item m="1" x="918"/>
        <item m="1" x="1034"/>
        <item m="1" x="1043"/>
        <item m="1" x="439"/>
        <item m="1" x="1011"/>
        <item m="1" x="688"/>
        <item m="1" x="316"/>
        <item x="11"/>
        <item m="1" x="427"/>
        <item m="1" x="282"/>
        <item m="1" x="1024"/>
        <item m="1" x="868"/>
        <item m="1" x="382"/>
        <item m="1" x="592"/>
        <item m="1" x="477"/>
        <item m="1" x="260"/>
        <item m="1" x="447"/>
        <item m="1" x="829"/>
        <item m="1" x="238"/>
        <item m="1" x="622"/>
        <item m="1" x="846"/>
        <item m="1" x="693"/>
        <item m="1" x="562"/>
        <item m="1" x="548"/>
        <item m="1" x="376"/>
        <item m="1" x="914"/>
        <item m="1" x="312"/>
        <item m="1" x="329"/>
        <item m="1" x="790"/>
        <item m="1" x="273"/>
        <item m="1" x="521"/>
        <item m="1" x="621"/>
        <item m="1" x="950"/>
        <item m="1" x="723"/>
        <item m="1" x="549"/>
        <item m="1" x="585"/>
        <item m="1" x="425"/>
        <item m="1" x="767"/>
        <item m="1" x="277"/>
        <item m="1" x="998"/>
        <item m="1" x="363"/>
        <item m="1" x="374"/>
        <item m="1" x="774"/>
        <item m="1" x="785"/>
        <item m="1" x="359"/>
        <item m="1" x="453"/>
        <item m="1" x="463"/>
        <item m="1" x="957"/>
        <item x="115"/>
        <item m="1" x="909"/>
        <item m="1" x="441"/>
        <item m="1" x="454"/>
        <item m="1" x="855"/>
        <item m="1" x="550"/>
        <item m="1" x="341"/>
        <item m="1" x="869"/>
        <item m="1" x="503"/>
        <item m="1" x="987"/>
        <item m="1" x="706"/>
        <item m="1" x="682"/>
        <item m="1" x="1006"/>
        <item m="1" x="922"/>
        <item m="1" x="600"/>
        <item x="46"/>
        <item m="1" x="437"/>
        <item m="1" x="1048"/>
        <item m="1" x="579"/>
        <item x="28"/>
        <item m="1" x="490"/>
        <item m="1" x="931"/>
        <item m="1" x="887"/>
        <item m="1" x="763"/>
        <item m="1" x="618"/>
        <item m="1" x="462"/>
        <item x="69"/>
        <item m="1" x="505"/>
        <item m="1" x="990"/>
        <item m="1" x="582"/>
        <item m="1" x="247"/>
        <item m="1" x="718"/>
        <item m="1" x="745"/>
        <item m="1" x="204"/>
        <item x="18"/>
        <item m="1" x="296"/>
        <item x="125"/>
        <item m="1" x="240"/>
        <item m="1" x="608"/>
        <item m="1" x="544"/>
        <item m="1" x="489"/>
        <item m="1" x="915"/>
        <item x="5"/>
        <item m="1" x="762"/>
        <item m="1" x="237"/>
        <item m="1" x="547"/>
        <item m="1" x="326"/>
        <item m="1" x="226"/>
        <item m="1" x="870"/>
        <item m="1" x="261"/>
        <item m="1" x="1015"/>
        <item m="1" x="570"/>
        <item m="1" x="949"/>
        <item m="1" x="560"/>
        <item m="1" x="807"/>
        <item m="1" x="239"/>
        <item m="1" x="979"/>
        <item m="1" x="361"/>
        <item m="1" x="825"/>
        <item m="1" x="904"/>
        <item m="1" x="664"/>
        <item m="1" x="325"/>
        <item m="1" x="908"/>
        <item m="1" x="823"/>
        <item m="1" x="523"/>
        <item m="1" x="881"/>
        <item x="81"/>
        <item m="1" x="392"/>
        <item m="1" x="678"/>
        <item x="179"/>
        <item m="1" x="813"/>
        <item m="1" x="789"/>
        <item x="82"/>
        <item m="1" x="752"/>
        <item m="1" x="252"/>
        <item m="1" x="712"/>
        <item m="1" x="769"/>
        <item m="1" x="832"/>
        <item x="186"/>
        <item m="1" x="637"/>
        <item m="1" x="946"/>
        <item m="1" x="945"/>
        <item m="1" x="626"/>
        <item m="1" x="820"/>
        <item m="1" x="288"/>
        <item m="1" x="670"/>
        <item x="183"/>
        <item m="1" x="956"/>
        <item m="1" x="218"/>
        <item m="1" x="601"/>
        <item m="1" x="336"/>
        <item m="1" x="304"/>
        <item m="1" x="976"/>
        <item m="1" x="287"/>
        <item m="1" x="229"/>
        <item m="1" x="658"/>
        <item m="1" x="894"/>
        <item m="1" x="446"/>
        <item m="1" x="738"/>
        <item m="1" x="815"/>
        <item m="1" x="487"/>
        <item m="1" x="272"/>
        <item x="0"/>
        <item x="58"/>
        <item x="59"/>
        <item m="1" x="783"/>
        <item m="1" x="685"/>
        <item m="1" x="916"/>
        <item m="1" x="554"/>
        <item m="1" x="507"/>
        <item m="1" x="977"/>
        <item m="1" x="342"/>
        <item m="1" x="435"/>
        <item m="1" x="777"/>
        <item m="1" x="741"/>
        <item m="1" x="403"/>
        <item m="1" x="1023"/>
        <item m="1" x="513"/>
        <item x="158"/>
        <item m="1" x="672"/>
        <item m="1" x="520"/>
        <item m="1" x="943"/>
        <item m="1" x="837"/>
        <item m="1" x="267"/>
        <item m="1" x="702"/>
        <item m="1" x="999"/>
        <item m="1" x="605"/>
        <item m="1" x="1025"/>
        <item m="1" x="584"/>
        <item m="1" x="691"/>
        <item m="1" x="1030"/>
        <item m="1" x="483"/>
        <item m="1" x="322"/>
        <item m="1" x="644"/>
        <item m="1" x="686"/>
        <item m="1" x="942"/>
        <item m="1" x="703"/>
        <item m="1" x="275"/>
        <item m="1" x="631"/>
        <item m="1" x="319"/>
        <item m="1" x="512"/>
        <item x="56"/>
        <item m="1" x="321"/>
        <item m="1" x="310"/>
        <item m="1" x="563"/>
        <item m="1" x="219"/>
        <item m="1" x="308"/>
        <item m="1" x="900"/>
        <item m="1" x="764"/>
        <item m="1" x="466"/>
        <item m="1" x="610"/>
        <item x="194"/>
        <item x="113"/>
        <item m="1" x="291"/>
        <item m="1" x="898"/>
        <item m="1" x="511"/>
        <item m="1" x="971"/>
        <item m="1" x="471"/>
        <item m="1" x="980"/>
        <item m="1" x="669"/>
        <item m="1" x="424"/>
        <item m="1" x="1046"/>
        <item m="1" x="929"/>
        <item m="1" x="373"/>
        <item x="92"/>
        <item m="1" x="398"/>
        <item m="1" x="751"/>
        <item m="1" x="844"/>
        <item m="1" x="715"/>
        <item m="1" x="587"/>
        <item m="1" x="264"/>
        <item m="1" x="591"/>
        <item x="60"/>
        <item m="1" x="583"/>
        <item m="1" x="794"/>
        <item m="1" x="533"/>
        <item m="1" x="757"/>
        <item m="1" x="1027"/>
        <item x="152"/>
        <item m="1" x="202"/>
        <item m="1" x="818"/>
        <item m="1" x="438"/>
        <item m="1" x="766"/>
        <item m="1" x="491"/>
        <item m="1" x="1047"/>
        <item m="1" x="378"/>
        <item m="1" x="413"/>
        <item m="1" x="778"/>
        <item m="1" x="843"/>
        <item m="1" x="440"/>
        <item m="1" x="249"/>
        <item m="1" x="948"/>
        <item m="1" x="386"/>
        <item m="1" x="224"/>
        <item m="1" x="496"/>
        <item m="1" x="269"/>
        <item m="1" x="650"/>
        <item m="1" x="235"/>
        <item m="1" x="857"/>
        <item m="1" x="364"/>
        <item m="1" x="268"/>
        <item m="1" x="502"/>
        <item m="1" x="568"/>
        <item m="1" x="1016"/>
        <item m="1" x="387"/>
        <item m="1" x="768"/>
        <item m="1" x="516"/>
        <item m="1" x="939"/>
        <item m="1" x="697"/>
        <item m="1" x="816"/>
        <item m="1" x="266"/>
        <item m="1" x="348"/>
        <item m="1" x="573"/>
        <item m="1" x="1039"/>
        <item m="1" x="527"/>
        <item m="1" x="385"/>
        <item m="1" x="350"/>
        <item m="1" x="434"/>
        <item m="1" x="297"/>
        <item m="1" x="306"/>
        <item m="1" x="504"/>
        <item m="1" x="625"/>
        <item m="1" x="700"/>
        <item m="1" x="728"/>
        <item m="1" x="468"/>
        <item m="1" x="465"/>
        <item m="1" x="1020"/>
        <item m="1" x="551"/>
        <item m="1" x="1002"/>
        <item m="1" x="773"/>
        <item m="1" x="966"/>
        <item m="1" x="334"/>
        <item m="1" x="749"/>
        <item m="1" x="420"/>
        <item m="1" x="952"/>
        <item m="1" x="1033"/>
        <item m="1" x="1004"/>
        <item m="1" x="492"/>
        <item m="1" x="955"/>
        <item m="1" x="663"/>
        <item m="1" x="827"/>
        <item m="1" x="772"/>
        <item m="1" x="508"/>
        <item m="1" x="305"/>
        <item m="1" x="758"/>
        <item m="1" x="860"/>
        <item m="1" x="578"/>
        <item m="1" x="606"/>
        <item m="1" x="619"/>
        <item m="1" x="227"/>
        <item x="133"/>
        <item m="1" x="733"/>
        <item m="1" x="734"/>
        <item m="1" x="878"/>
        <item m="1" x="997"/>
        <item m="1" x="307"/>
        <item m="1" x="628"/>
        <item m="1" x="1018"/>
        <item m="1" x="655"/>
        <item m="1" x="1021"/>
        <item m="1" x="470"/>
        <item m="1" x="565"/>
        <item x="57"/>
        <item m="1" x="360"/>
        <item m="1" x="285"/>
        <item m="1" x="480"/>
        <item m="1" x="506"/>
        <item m="1" x="1044"/>
        <item m="1" x="327"/>
        <item x="88"/>
        <item m="1" x="721"/>
        <item m="1" x="954"/>
        <item m="1" x="701"/>
        <item m="1" x="206"/>
        <item m="1" x="761"/>
        <item m="1" x="888"/>
        <item m="1" x="230"/>
        <item m="1" x="233"/>
        <item m="1" x="791"/>
        <item m="1" x="284"/>
        <item m="1" x="598"/>
        <item m="1" x="283"/>
        <item m="1" x="989"/>
        <item m="1" x="917"/>
        <item m="1" x="495"/>
        <item m="1" x="967"/>
        <item m="1" x="937"/>
        <item m="1" x="354"/>
        <item m="1" x="274"/>
        <item m="1" x="891"/>
        <item m="1" x="711"/>
        <item m="1" x="278"/>
        <item m="1" x="383"/>
        <item x="153"/>
        <item m="1" x="896"/>
        <item m="1" x="1008"/>
        <item m="1" x="476"/>
        <item m="1" x="553"/>
        <item m="1" x="732"/>
        <item x="155"/>
        <item m="1" x="727"/>
        <item x="116"/>
        <item m="1" x="1012"/>
        <item x="156"/>
        <item x="117"/>
        <item m="1" x="333"/>
        <item m="1" x="423"/>
        <item m="1" x="636"/>
        <item m="1" x="617"/>
        <item m="1" x="314"/>
        <item m="1" x="396"/>
        <item m="1" x="964"/>
        <item m="1" x="819"/>
        <item m="1" x="731"/>
        <item m="1" x="430"/>
        <item m="1" x="534"/>
        <item m="1" x="824"/>
        <item m="1" x="452"/>
        <item m="1" x="379"/>
        <item m="1" x="328"/>
        <item m="1" x="921"/>
        <item m="1" x="1031"/>
        <item m="1" x="809"/>
        <item m="1" x="901"/>
        <item m="1" x="960"/>
        <item m="1" x="245"/>
        <item m="1" x="418"/>
        <item m="1" x="876"/>
        <item m="1" x="541"/>
        <item x="159"/>
        <item m="1" x="472"/>
        <item m="1" x="302"/>
        <item m="1" x="234"/>
        <item m="1" x="1037"/>
        <item m="1" x="864"/>
        <item m="1" x="743"/>
        <item m="1" x="493"/>
        <item m="1" x="826"/>
        <item m="1" x="1050"/>
        <item m="1" x="1010"/>
        <item m="1" x="498"/>
        <item m="1" x="696"/>
        <item m="1" x="981"/>
        <item m="1" x="770"/>
        <item m="1" x="524"/>
        <item m="1" x="535"/>
        <item m="1" x="858"/>
        <item x="161"/>
        <item m="1" x="531"/>
        <item m="1" x="300"/>
        <item m="1" x="369"/>
        <item m="1" x="833"/>
        <item x="122"/>
        <item m="1" x="615"/>
        <item x="123"/>
        <item m="1" x="528"/>
        <item m="1" x="445"/>
        <item x="162"/>
        <item m="1" x="639"/>
        <item m="1" x="232"/>
        <item m="1" x="642"/>
        <item m="1" x="661"/>
        <item m="1" x="426"/>
        <item m="1" x="212"/>
        <item m="1" x="214"/>
        <item m="1" x="699"/>
        <item m="1" x="485"/>
        <item m="1" x="803"/>
        <item m="1" x="536"/>
        <item m="1" x="353"/>
        <item m="1" x="1028"/>
        <item m="1" x="920"/>
        <item m="1" x="633"/>
        <item m="1" x="726"/>
        <item m="1" x="975"/>
        <item m="1" x="380"/>
        <item m="1" x="851"/>
        <item m="1" x="724"/>
        <item m="1" x="526"/>
        <item m="1" x="771"/>
        <item m="1" x="280"/>
        <item m="1" x="478"/>
        <item m="1" x="1038"/>
        <item m="1" x="707"/>
        <item m="1" x="225"/>
        <item m="1" x="324"/>
        <item m="1" x="645"/>
        <item m="1" x="717"/>
        <item m="1" x="923"/>
        <item m="1" x="620"/>
        <item m="1" x="257"/>
        <item m="1" x="906"/>
        <item m="1" x="842"/>
        <item m="1" x="889"/>
        <item m="1" x="926"/>
        <item m="1" x="632"/>
        <item m="1" x="792"/>
        <item m="1" x="962"/>
        <item m="1" x="673"/>
        <item m="1" x="216"/>
        <item m="1" x="340"/>
        <item m="1" x="649"/>
        <item m="1" x="559"/>
        <item m="1" x="944"/>
        <item m="1" x="796"/>
        <item m="1" x="710"/>
        <item m="1" x="459"/>
        <item m="1" x="442"/>
        <item x="168"/>
        <item m="1" x="871"/>
        <item m="1" x="279"/>
        <item m="1" x="281"/>
        <item m="1" x="345"/>
        <item x="180"/>
        <item m="1" x="412"/>
        <item x="181"/>
        <item m="1" x="893"/>
        <item m="1" x="668"/>
        <item x="190"/>
        <item m="1" x="407"/>
        <item m="1" x="754"/>
        <item x="182"/>
        <item m="1" x="422"/>
        <item m="1" x="760"/>
        <item m="1" x="890"/>
        <item m="1" x="256"/>
        <item m="1" x="479"/>
        <item m="1" x="464"/>
        <item x="185"/>
        <item m="1" x="840"/>
        <item x="192"/>
        <item m="1" x="613"/>
        <item m="1" x="599"/>
        <item x="149"/>
        <item m="1" x="196"/>
        <item m="1" x="681"/>
        <item m="1" x="899"/>
        <item m="1" x="609"/>
        <item m="1" x="935"/>
        <item m="1" x="1003"/>
        <item m="1" x="875"/>
        <item m="1" x="335"/>
        <item m="1" x="484"/>
        <item m="1" x="390"/>
        <item m="1" x="473"/>
        <item m="1" x="199"/>
        <item m="1" x="557"/>
        <item m="1" x="388"/>
        <item m="1" x="537"/>
        <item m="1" x="866"/>
        <item x="173"/>
        <item m="1" x="988"/>
        <item x="141"/>
        <item m="1" x="289"/>
        <item m="1" x="801"/>
        <item x="142"/>
        <item m="1" x="488"/>
        <item m="1" x="200"/>
        <item m="1" x="431"/>
        <item m="1" x="629"/>
        <item m="1" x="519"/>
        <item m="1" x="458"/>
        <item m="1" x="456"/>
        <item m="1" x="654"/>
        <item m="1" x="974"/>
        <item m="1" x="883"/>
        <item m="1" x="522"/>
        <item m="1" x="586"/>
        <item m="1" x="467"/>
        <item m="1" x="542"/>
        <item m="1" x="460"/>
        <item m="1" x="903"/>
        <item m="1" x="250"/>
        <item m="1" x="705"/>
        <item m="1" x="597"/>
        <item m="1" x="262"/>
        <item m="1" x="294"/>
        <item m="1" x="429"/>
        <item m="1" x="381"/>
        <item x="166"/>
        <item m="1" x="965"/>
        <item x="22"/>
        <item m="1" x="532"/>
        <item m="1" x="742"/>
        <item m="1" x="934"/>
        <item x="39"/>
        <item m="1" x="448"/>
        <item m="1" x="867"/>
        <item m="1" x="377"/>
        <item m="1" x="729"/>
        <item m="1" x="594"/>
        <item x="53"/>
        <item m="1" x="201"/>
        <item m="1" x="627"/>
        <item x="66"/>
        <item x="67"/>
        <item m="1" x="938"/>
        <item m="1" x="671"/>
        <item m="1" x="811"/>
        <item m="1" x="241"/>
        <item m="1" x="371"/>
        <item m="1" x="564"/>
        <item m="1" x="217"/>
        <item m="1" x="574"/>
        <item m="1" x="961"/>
        <item m="1" x="849"/>
        <item m="1" x="822"/>
        <item m="1" x="231"/>
        <item m="1" x="589"/>
        <item x="124"/>
        <item m="1" x="352"/>
        <item m="1" x="337"/>
        <item m="1" x="880"/>
        <item m="1" x="331"/>
        <item m="1" x="358"/>
        <item m="1" x="338"/>
        <item m="1" x="357"/>
        <item m="1" x="919"/>
        <item x="195"/>
        <item x="1"/>
        <item x="4"/>
        <item x="7"/>
        <item x="9"/>
        <item x="10"/>
        <item x="12"/>
        <item x="13"/>
        <item x="14"/>
        <item x="16"/>
        <item x="17"/>
        <item x="19"/>
        <item x="23"/>
        <item x="24"/>
        <item x="25"/>
        <item x="26"/>
        <item x="27"/>
        <item x="30"/>
        <item x="31"/>
        <item x="33"/>
        <item x="34"/>
        <item x="36"/>
        <item x="40"/>
        <item x="42"/>
        <item x="44"/>
        <item x="45"/>
        <item x="47"/>
        <item x="49"/>
        <item x="50"/>
        <item x="54"/>
        <item x="55"/>
        <item x="61"/>
        <item x="62"/>
        <item x="63"/>
        <item x="65"/>
        <item x="71"/>
        <item x="72"/>
        <item x="73"/>
        <item x="74"/>
        <item x="75"/>
        <item x="76"/>
        <item x="78"/>
        <item x="79"/>
        <item x="80"/>
        <item x="84"/>
        <item x="86"/>
        <item x="89"/>
        <item x="90"/>
        <item x="91"/>
        <item x="93"/>
        <item x="94"/>
        <item x="95"/>
        <item x="97"/>
        <item x="98"/>
        <item x="100"/>
        <item x="101"/>
        <item x="105"/>
        <item x="106"/>
        <item x="110"/>
        <item x="112"/>
        <item x="114"/>
        <item x="118"/>
        <item x="120"/>
        <item x="121"/>
        <item x="127"/>
        <item x="128"/>
        <item x="129"/>
        <item x="131"/>
        <item x="132"/>
        <item x="134"/>
        <item x="136"/>
        <item x="137"/>
        <item x="138"/>
        <item x="140"/>
        <item x="143"/>
        <item x="144"/>
        <item x="145"/>
        <item x="146"/>
        <item x="151"/>
        <item x="154"/>
        <item x="160"/>
        <item x="164"/>
        <item x="165"/>
        <item x="170"/>
        <item x="172"/>
        <item x="178"/>
        <item x="189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numFmtId="2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18"/>
    <field x="2"/>
    <field x="8"/>
  </rowFields>
  <rowItems count="19">
    <i>
      <x v="72"/>
      <x v="1"/>
      <x v="1"/>
    </i>
    <i r="1">
      <x v="2"/>
      <x v="1"/>
    </i>
    <i>
      <x v="74"/>
      <x v="1"/>
      <x v="1"/>
    </i>
    <i r="1">
      <x v="2"/>
      <x v="1"/>
    </i>
    <i>
      <x v="75"/>
      <x v="1"/>
      <x v="1"/>
    </i>
    <i r="1">
      <x v="2"/>
      <x v="1"/>
    </i>
    <i>
      <x v="77"/>
      <x v="1"/>
      <x v="1"/>
    </i>
    <i r="1">
      <x v="2"/>
      <x v="1"/>
    </i>
    <i r="1">
      <x v="4"/>
      <x v="1"/>
    </i>
    <i>
      <x v="78"/>
      <x v="1"/>
      <x v="1"/>
    </i>
    <i>
      <x v="81"/>
      <x v="1"/>
      <x v="1"/>
    </i>
    <i r="1">
      <x v="2"/>
      <x v="1"/>
    </i>
    <i r="1">
      <x v="4"/>
      <x v="1"/>
    </i>
    <i>
      <x v="82"/>
      <x v="2"/>
      <x v="1"/>
    </i>
    <i>
      <x v="83"/>
      <x v="4"/>
      <x v="1"/>
    </i>
    <i>
      <x v="84"/>
      <x v="4"/>
      <x v="1"/>
    </i>
    <i>
      <x v="86"/>
      <x v="1"/>
      <x/>
    </i>
    <i>
      <x v="88"/>
      <x v="1"/>
      <x/>
    </i>
    <i>
      <x v="89"/>
      <x v="1"/>
      <x/>
    </i>
  </rowItems>
  <colFields count="1">
    <field x="-2"/>
  </colFields>
  <colItems count="7">
    <i>
      <x/>
    </i>
    <i i="1">
      <x v="1"/>
    </i>
    <i i="2">
      <x v="2"/>
    </i>
    <i i="3">
      <x v="3"/>
    </i>
    <i i="4">
      <x v="4"/>
    </i>
    <i i="5">
      <x v="5"/>
    </i>
    <i i="6">
      <x v="6"/>
    </i>
  </colItems>
  <pageFields count="1">
    <pageField fld="17" hier="-1"/>
  </pageFields>
  <dataFields count="7">
    <dataField name="QUANTITY" fld="17" baseField="0" baseItem="0"/>
    <dataField name="TOT. WEIGHT" fld="19" baseField="0" baseItem="0" numFmtId="2"/>
    <dataField name="TOT. VALUE GBP" fld="20" baseField="0" baseItem="0" numFmtId="2"/>
    <dataField name="TOT. VALUE CAD" fld="23" baseField="0" baseItem="0" numFmtId="2"/>
    <dataField name="TOT. VALUE AUD" fld="24" baseField="0" baseItem="0" numFmtId="2"/>
    <dataField name="TOT. VALUE USD" fld="22" baseField="0" baseItem="0" numFmtId="2"/>
    <dataField name="TOT. VALUE EUR" fld="21" baseField="11" baseItem="1" numFmtId="2"/>
  </dataFields>
  <formats count="7">
    <format dxfId="29">
      <pivotArea field="4" type="button" dataOnly="0" labelOnly="1" outline="0"/>
    </format>
    <format dxfId="28">
      <pivotArea field="19" type="button" dataOnly="0" labelOnly="1" outline="0"/>
    </format>
    <format dxfId="27">
      <pivotArea field="21" type="button" dataOnly="0" labelOnly="1" outline="0"/>
    </format>
    <format dxfId="26">
      <pivotArea outline="0" fieldPosition="0">
        <references count="1">
          <reference field="4294967294" count="1" selected="0">
            <x v="1"/>
          </reference>
        </references>
      </pivotArea>
    </format>
    <format dxfId="25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24">
      <pivotArea outline="0" fieldPosition="0">
        <references count="1">
          <reference field="4294967294" count="5" selected="0">
            <x v="2"/>
            <x v="3"/>
            <x v="4"/>
            <x v="5"/>
            <x v="6"/>
          </reference>
        </references>
      </pivotArea>
    </format>
    <format dxfId="23">
      <pivotArea dataOnly="0" labelOnly="1" outline="0" fieldPosition="0">
        <references count="1">
          <reference field="4294967294" count="5">
            <x v="2"/>
            <x v="3"/>
            <x v="4"/>
            <x v="5"/>
            <x v="6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87BFAEA0-E6B3-498D-8F0F-229BC1DF9932}" autoFormatId="16" applyNumberFormats="0" applyBorderFormats="0" applyFontFormats="0" applyPatternFormats="0" applyAlignmentFormats="0" applyWidthHeightFormats="0">
  <queryTableRefresh nextId="20">
    <queryTableFields count="10">
      <queryTableField id="1" name="PRODUCT SKU" tableColumnId="1"/>
      <queryTableField id="2" name="QUANTITY" tableColumnId="2"/>
      <queryTableField id="12" name="COO" tableColumnId="12"/>
      <queryTableField id="13" name="Metal" tableColumnId="13"/>
      <queryTableField id="14" name="EU HS Code" tableColumnId="14"/>
      <queryTableField id="15" name="CA HS Code" tableColumnId="15"/>
      <queryTableField id="16" name="AU HS Code" tableColumnId="16"/>
      <queryTableField id="17" name="US HS CODE" tableColumnId="17"/>
      <queryTableField id="18" name="GOODS DESCRIPTION" tableColumnId="18"/>
      <queryTableField id="19" name="TOTAL WEIGHT" tableColumnId="19"/>
    </queryTableFields>
  </queryTableRefresh>
</queryTable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5CA5C473-45A8-4AE3-9BC6-47B12C86BF9F}" name="US" displayName="US" ref="D2:E3" totalsRowShown="0" dataDxfId="56">
  <tableColumns count="2">
    <tableColumn id="1" xr3:uid="{D9866773-23C7-4FD2-8194-C4AED63D825E}" name="FULFILLMENT" dataDxfId="55"/>
    <tableColumn id="2" xr3:uid="{C8DF4BF4-B5ED-4A38-8E53-C0E9DB4F8DF6}" name="ADDRESS" dataDxfId="54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4514389B-53FA-4B37-BEA1-628BC5D62112}" name="CA" displayName="CA" ref="G2:H8" totalsRowShown="0" dataDxfId="53">
  <tableColumns count="2">
    <tableColumn id="1" xr3:uid="{AE696D22-FE40-4ABA-9C0F-0A4B9671FA89}" name="FULFILLMENT" dataDxfId="52"/>
    <tableColumn id="2" xr3:uid="{FF629AEA-FFAD-44FF-A239-63BD9C3FF7D9}" name="ADDRESS" dataDxfId="51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3E967DCA-D893-4DCD-B080-9D57FAB464C8}" name="countryList" displayName="countryList" ref="A1:A8" totalsRowShown="0">
  <autoFilter ref="A1:A8" xr:uid="{0681200F-DA2A-42E0-B416-619CD59347D4}"/>
  <tableColumns count="1">
    <tableColumn id="1" xr3:uid="{6C15A20B-AEBB-436B-854B-5C6582641929}" name="country"/>
  </tableColumns>
  <tableStyleInfo name="TableStyleLight2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41C59708-B019-4604-B6C9-EDE1FDC6F0B4}" name="AU" displayName="AU" ref="J2:K6" totalsRowShown="0">
  <tableColumns count="2">
    <tableColumn id="1" xr3:uid="{340ACA34-F942-42BB-8C0D-9D16326BA966}" name="FULFILLMENT"/>
    <tableColumn id="2" xr3:uid="{B3572BE0-2335-45C2-9E06-B41FA53B995A}" name="ADDRESS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C706F6F-8C3E-4152-AA3D-EFDAAB918121}" name="FR" displayName="FR" ref="M2:N3" totalsRowShown="0">
  <tableColumns count="2">
    <tableColumn id="1" xr3:uid="{92FD28D0-0B3C-4497-9AC4-5F02841BCA29}" name="FULFILLMENT" dataDxfId="50"/>
    <tableColumn id="2" xr3:uid="{6840598E-0027-427A-97EF-A0E68D32DC98}" name="ADDRESS" dataDxfId="49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314B2B6-12A8-4B86-8CFA-A6B20E9C9D27}" name="dateShip" displayName="dateShip" ref="G30:G31" totalsRowShown="0" dataDxfId="48">
  <tableColumns count="1">
    <tableColumn id="1" xr3:uid="{5142ADC7-9B4F-47ED-AAB7-D164A63A10F6}" name="DATE" dataDxfId="47"/>
  </tableColumns>
  <tableStyleInfo name="TableStyleMedium3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C756651-E5D1-48ED-ABFA-A4FF4CA53A47}" name="fbaRef" displayName="fbaRef" ref="G27:G28" totalsRowShown="0" dataDxfId="46">
  <tableColumns count="1">
    <tableColumn id="1" xr3:uid="{FC100ECE-CE39-4BEC-8EF6-E5ED412BB5C3}" name="FBA ID" dataDxfId="45"/>
  </tableColumns>
  <tableStyleInfo name="TableStyleMedium6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D0A97AC-D106-44DA-A457-74921ACF3F1F}" name="Table3" displayName="Table3" ref="G24:G25" totalsRowShown="0" dataDxfId="44">
  <tableColumns count="1">
    <tableColumn id="1" xr3:uid="{1385B28F-72E8-4332-ADB9-C9195263659B}" name="Shipment ID" dataDxfId="43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F17E3E4-2C1C-44EE-A9D0-4730B9C7C9CA}" name="skuQuantity" displayName="skuQuantity" ref="A1:B1048576" totalsRowShown="0">
  <autoFilter ref="A1:B1048576" xr:uid="{EF17E3E4-2C1C-44EE-A9D0-4730B9C7C9CA}"/>
  <tableColumns count="2">
    <tableColumn id="1" xr3:uid="{483A7394-28E9-4C9C-9E3C-D9AF9FA7B7AE}" name="PRODUCT SKU"/>
    <tableColumn id="2" xr3:uid="{3B9853A0-6BF2-451C-8B51-E56AE77869D1}" name="QUANTITY"/>
  </tableColumns>
  <tableStyleInfo name="TableStyleLight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6E578D32-3778-48C8-805F-4407EB003139}" name="wayBillNo" displayName="wayBillNo" ref="G33:G34" totalsRowShown="0" dataDxfId="42">
  <tableColumns count="1">
    <tableColumn id="1" xr3:uid="{77A9EAB0-F17A-4B87-AE8B-1F9879CE6163}" name="WAYBILL NUMBER (WHEN AVAIL)" dataDxfId="41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F5B3BBB0-7A2A-43FB-BE40-502ABFE04852}" name="boxesNumber" displayName="boxesNumber" ref="G36:G37" totalsRowShown="0" headerRowDxfId="40" dataDxfId="39" headerRowCellStyle="Normal 2">
  <tableColumns count="1">
    <tableColumn id="1" xr3:uid="{00C4D31C-0D5A-4263-B0DC-B4AFABD3461D}" name="Number of Boxes" dataDxfId="38"/>
  </tableColumns>
  <tableStyleInfo name="TableStyleLight8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7B1E2AAB-C28F-4756-9F5B-EADAABACEA2D}" name="Merge1" displayName="Merge1" ref="A1:J205" tableType="queryTable" totalsRowShown="0">
  <autoFilter ref="A1:J205" xr:uid="{7B1E2AAB-C28F-4756-9F5B-EADAABACEA2D}"/>
  <tableColumns count="10">
    <tableColumn id="1" xr3:uid="{920BACD7-7408-447F-A93F-7E65A09A302D}" uniqueName="1" name="PRODUCT SKU" queryTableFieldId="1" dataDxfId="37"/>
    <tableColumn id="2" xr3:uid="{4B75B094-8307-4F3E-B6E9-6371F6355E17}" uniqueName="2" name="QUANTITY" queryTableFieldId="2"/>
    <tableColumn id="12" xr3:uid="{5D41F672-1C88-4EAD-BFF8-95831365F96D}" uniqueName="12" name="COO" queryTableFieldId="12" dataDxfId="36"/>
    <tableColumn id="13" xr3:uid="{F72EBFCE-BC4C-46DD-B1E1-1C7255288C89}" uniqueName="13" name="Metal" queryTableFieldId="13" dataDxfId="35"/>
    <tableColumn id="14" xr3:uid="{CFF49DE2-93D2-4F3C-B22F-E94DD7CD62BF}" uniqueName="14" name="EU HS Code" queryTableFieldId="14" dataDxfId="34"/>
    <tableColumn id="15" xr3:uid="{7092B235-C6DD-45CC-A0AA-16AE6D98520B}" uniqueName="15" name="CA HS Code" queryTableFieldId="15" dataDxfId="33"/>
    <tableColumn id="16" xr3:uid="{1E9CB8CC-CFB0-4911-8844-6BDFE137FA23}" uniqueName="16" name="AU HS Code" queryTableFieldId="16" dataDxfId="32"/>
    <tableColumn id="17" xr3:uid="{472CED77-3CDD-4E6B-A3A1-96FD55A40971}" uniqueName="17" name="US HS CODE" queryTableFieldId="17" dataDxfId="31"/>
    <tableColumn id="18" xr3:uid="{3847A134-939A-4D8A-9CE1-2A430FB7415F}" uniqueName="18" name="GOODS DESCRIPTION" queryTableFieldId="18" dataDxfId="30"/>
    <tableColumn id="19" xr3:uid="{66DDF9C7-6BEC-4E2A-813E-B13B07F7324E}" uniqueName="19" name="TOTAL WEIGHT" queryTableFieldId="19"/>
  </tableColumns>
  <tableStyleInfo name="Table Style 1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7CD1D7C-8245-4350-99E1-52E5491477EB}" name="quantInv" displayName="quantInv" ref="A1:Y1276" totalsRowShown="0" headerRowDxfId="21" headerRowBorderDxfId="20">
  <tableColumns count="25">
    <tableColumn id="1" xr3:uid="{E63DE670-D645-453A-BF49-818F90127EB7}" name="Assigned Item SKU"/>
    <tableColumn id="2" xr3:uid="{C8ADDD93-63BD-4AD0-B929-A55FF199669C}" name="ASIN"/>
    <tableColumn id="3" xr3:uid="{065DA9FD-2FCA-4B42-82CD-C0717F247B89}" name="COO"/>
    <tableColumn id="4" xr3:uid="{EFBB2298-F219-474E-A305-DD1ABC276A36}" name="Short Description"/>
    <tableColumn id="5" xr3:uid="{951BE052-0AF6-41A1-93F8-3E1C82D7D1F5}" name="WEIGHT"/>
    <tableColumn id="7" xr3:uid="{B652D852-5DC1-4314-B080-BBD3487F3D99}" name="UNIT_x000a_VALUE" dataDxfId="19"/>
    <tableColumn id="27" xr3:uid="{A6334822-4665-4C80-ABE6-3754AC0C7537}" name="Metal" dataDxfId="18"/>
    <tableColumn id="26" xr3:uid="{BF22E437-9259-4C82-8C34-E4154F296ABE}" name="Item Type" dataDxfId="17"/>
    <tableColumn id="16" xr3:uid="{33C3183B-0926-495F-BD2C-D1225D73486B}" name="EU HS Code" dataDxfId="16">
      <calculatedColumnFormula>IF(quantInv[[#This Row],[Metal]] = "925 Silver",  "7113.11.00"," 7113.19.00")</calculatedColumnFormula>
    </tableColumn>
    <tableColumn id="23" xr3:uid="{0EF9F6A4-1953-489E-A28B-F9E41937EC81}" name="CA HS Code" dataDxfId="15">
      <calculatedColumnFormula>IF(quantInv[[#This Row],[Metal]] = "925 Silver", "7113.11.10.00"," 7113.19.10.00")</calculatedColumnFormula>
    </tableColumn>
    <tableColumn id="24" xr3:uid="{B5BB25C8-F6D4-42D7-87B1-6C6B21B3BDA1}" name="AU HS Code" dataDxfId="14">
      <calculatedColumnFormula>IF(quantInv[[#This Row],[Metal]] = "925 Silver",  "7113.11.00"," 7113.19.00")</calculatedColumnFormula>
    </tableColumn>
    <tableColumn id="25" xr3:uid="{E73F6AEF-F1F4-4B4F-A540-99D9B3D58B50}" name="US HS CODE" dataDxfId="13">
      <calculatedColumnFormula>IFERROR(VLOOKUP(quantInv[[#This Row],[Description for New Invoice]],Map!$G$12:$H$32,2,FALSE), IF(quantInv[[#This Row],[Metal]] = "925 Silver", "7113.11.10.00", "7113.19.29.00"))</calculatedColumnFormula>
    </tableColumn>
    <tableColumn id="22" xr3:uid="{4C09067F-3E4B-4EA4-A4E7-9515E26A55AD}" name="GOODS DESCRIPTION" dataDxfId="12">
      <calculatedColumnFormula>quantInv[[#This Row],[ASIN]] &amp; " " &amp; quantInv[[#This Row],[Short Description]]</calculatedColumnFormula>
    </tableColumn>
    <tableColumn id="8" xr3:uid="{EAA31E20-DDEA-45FD-A2A2-B1343A59C6C8}" name="UNIT_x000a_VALUE EUR" dataDxfId="11">
      <calculatedColumnFormula>quantInv[[#This Row],[UNIT
VALUE]] / EURtoGBP</calculatedColumnFormula>
    </tableColumn>
    <tableColumn id="17" xr3:uid="{FB0943C3-F640-4D8A-9EAA-35B669AA5130}" name="UNIT_x000a_VALUE USD" dataDxfId="10">
      <calculatedColumnFormula>quantInv[[#This Row],[UNIT
VALUE]]/USDtoGBP</calculatedColumnFormula>
    </tableColumn>
    <tableColumn id="6" xr3:uid="{0B6329BE-B64E-406C-AF3D-62F967431028}" name="UNIT_x000a_VALUE CAD" dataDxfId="9">
      <calculatedColumnFormula>quantInv[[#This Row],[UNIT
VALUE]] / CADtoGBP</calculatedColumnFormula>
    </tableColumn>
    <tableColumn id="15" xr3:uid="{8370A041-7843-4D87-8195-E9AFF2E1B11D}" name="UNIT_x000a_VALUE AUD" dataDxfId="8">
      <calculatedColumnFormula>quantInv[[#This Row],[UNIT
VALUE]]/AUDtoGBP</calculatedColumnFormula>
    </tableColumn>
    <tableColumn id="13" xr3:uid="{84F03E68-E5DE-41ED-B4BE-ACBA0D02C4DB}" name="Quantity" dataDxfId="7">
      <calculatedColumnFormula>IFERROR(VLOOKUP(quantInv[[#This Row],[Assigned Item SKU]],skuQuantity[#All],2,FALSE),0)</calculatedColumnFormula>
    </tableColumn>
    <tableColumn id="10" xr3:uid="{8CF4DA55-F618-4B95-AB29-773575E94DE9}" name="Description for New Invoice" dataDxfId="6">
      <calculatedColumnFormula>PROPER(quantInv[[#This Row],[Metal]] &amp; " " &amp; quantInv[[#This Row],[Item Type]])</calculatedColumnFormula>
    </tableColumn>
    <tableColumn id="11" xr3:uid="{FE077586-E758-43D8-8AF1-954088A79F15}" name="TOTAL WEIGHT" dataDxfId="5">
      <calculatedColumnFormula>quantInv[[#This Row],[Quantity]]*quantInv[[#This Row],[WEIGHT]]</calculatedColumnFormula>
    </tableColumn>
    <tableColumn id="12" xr3:uid="{F7F5DAA5-19E2-4C80-BAE7-BCD37933B0DD}" name="Total Cost GBP" dataDxfId="4">
      <calculatedColumnFormula>quantInv[[#This Row],[UNIT
VALUE]]*quantInv[[#This Row],[Quantity]]</calculatedColumnFormula>
    </tableColumn>
    <tableColumn id="14" xr3:uid="{6CA901A2-2882-4491-BD50-656B440BA35F}" name="Total Cost EUR" dataDxfId="3">
      <calculatedColumnFormula>quantInv[[#This Row],[Total Cost GBP]]/EURtoGBP</calculatedColumnFormula>
    </tableColumn>
    <tableColumn id="18" xr3:uid="{D428EC14-DC0F-40E4-9E54-481B42B5BD76}" name="TOTAL VALUE USD" dataDxfId="2">
      <calculatedColumnFormula>quantInv[[#This Row],[Total Cost GBP]]/USDtoGBP</calculatedColumnFormula>
    </tableColumn>
    <tableColumn id="19" xr3:uid="{5733EC78-6DD9-4DE7-B565-2E2F2CEE4599}" name="Total Cost CAD" dataDxfId="1">
      <calculatedColumnFormula>quantInv[[#This Row],[Total Cost GBP]]/CADtoGBP</calculatedColumnFormula>
    </tableColumn>
    <tableColumn id="20" xr3:uid="{9024C228-3347-4ABB-8639-91E031FFE636}" name="Total Cost AUD" dataDxfId="0">
      <calculatedColumnFormula>quantInv[[#This Row],[Quantity]]*quantInv[[#This Row],[UNIT
VALUE AUD]]</calculatedColumnFormula>
    </tableColumn>
  </tableColumns>
  <tableStyleInfo name="Table Style 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Relationship Id="rId5" Type="http://schemas.openxmlformats.org/officeDocument/2006/relationships/drawing" Target="../drawings/drawing1.xml"/><Relationship Id="rId4" Type="http://schemas.openxmlformats.org/officeDocument/2006/relationships/printerSettings" Target="../printerSettings/printerSettings4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table" Target="../tables/table7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table" Target="../tables/table6.xml"/><Relationship Id="rId17" Type="http://schemas.openxmlformats.org/officeDocument/2006/relationships/table" Target="../tables/table11.xml"/><Relationship Id="rId2" Type="http://schemas.openxmlformats.org/officeDocument/2006/relationships/drawing" Target="../drawings/drawing2.xml"/><Relationship Id="rId16" Type="http://schemas.openxmlformats.org/officeDocument/2006/relationships/table" Target="../tables/table10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table" Target="../tables/table9.xml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table" Target="../tables/table8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printerSettings" Target="../printerSettings/printerSettings7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8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9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0.bin"/><Relationship Id="rId4" Type="http://schemas.openxmlformats.org/officeDocument/2006/relationships/comments" Target="../comments1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1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2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3.bin"/><Relationship Id="rId4" Type="http://schemas.openxmlformats.org/officeDocument/2006/relationships/comments" Target="../comments2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4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5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6.bin"/><Relationship Id="rId4" Type="http://schemas.openxmlformats.org/officeDocument/2006/relationships/comments" Target="../comments3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7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8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9.bin"/><Relationship Id="rId4" Type="http://schemas.openxmlformats.org/officeDocument/2006/relationships/comments" Target="../comments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Values"/>
  <dimension ref="A1:AW47"/>
  <sheetViews>
    <sheetView zoomScaleNormal="100" workbookViewId="0">
      <selection activeCell="B3" sqref="B3"/>
    </sheetView>
  </sheetViews>
  <sheetFormatPr defaultColWidth="9.140625" defaultRowHeight="15" x14ac:dyDescent="0.25"/>
  <cols>
    <col min="1" max="1" width="7.5703125" customWidth="1"/>
    <col min="2" max="3" width="4.42578125" customWidth="1"/>
    <col min="4" max="4" width="7.5703125" customWidth="1"/>
    <col min="5" max="5" width="7.7109375" customWidth="1"/>
    <col min="6" max="6" width="16.42578125" style="1" customWidth="1"/>
    <col min="9" max="9" width="10.7109375" customWidth="1"/>
    <col min="15" max="15" width="19.28515625" customWidth="1"/>
    <col min="16" max="16" width="10.42578125" customWidth="1"/>
    <col min="17" max="17" width="18.7109375" customWidth="1"/>
    <col min="18" max="18" width="10.5703125" customWidth="1"/>
    <col min="19" max="19" width="26.140625" customWidth="1"/>
    <col min="20" max="20" width="10.5703125" customWidth="1"/>
    <col min="21" max="23" width="10.5703125" style="3" customWidth="1"/>
    <col min="24" max="24" width="11.7109375" style="3" customWidth="1"/>
    <col min="25" max="25" width="21.42578125" style="3" customWidth="1"/>
    <col min="26" max="26" width="30" customWidth="1"/>
    <col min="27" max="27" width="31.85546875" customWidth="1"/>
    <col min="28" max="28" width="10.42578125" customWidth="1"/>
    <col min="29" max="29" width="10.5703125" customWidth="1"/>
    <col min="39" max="39" width="32.42578125" customWidth="1"/>
    <col min="40" max="40" width="10.42578125" customWidth="1"/>
    <col min="45" max="45" width="26.140625" customWidth="1"/>
    <col min="47" max="47" width="10.28515625" customWidth="1"/>
    <col min="48" max="48" width="10" customWidth="1"/>
  </cols>
  <sheetData>
    <row r="1" spans="1:49" s="6" customFormat="1" ht="63" customHeight="1" thickBot="1" x14ac:dyDescent="0.3">
      <c r="A1" s="223" t="s">
        <v>109</v>
      </c>
      <c r="B1" s="223"/>
      <c r="C1" s="7"/>
      <c r="D1" s="223" t="s">
        <v>111</v>
      </c>
      <c r="E1" s="223" t="s">
        <v>110</v>
      </c>
      <c r="F1" s="23"/>
      <c r="G1" s="7"/>
      <c r="H1"/>
      <c r="I1"/>
      <c r="J1"/>
      <c r="K1"/>
      <c r="L1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 s="7"/>
      <c r="AE1" s="7"/>
      <c r="AF1" s="7"/>
      <c r="AG1" s="7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</row>
    <row r="2" spans="1:49" ht="14.45" customHeight="1" x14ac:dyDescent="0.25">
      <c r="A2" s="226" t="s">
        <v>66</v>
      </c>
      <c r="B2" s="227"/>
      <c r="C2" s="16"/>
      <c r="D2" s="224" t="s">
        <v>66</v>
      </c>
      <c r="E2" s="225"/>
      <c r="F2" s="24" t="s">
        <v>112</v>
      </c>
      <c r="G2" s="7"/>
      <c r="U2"/>
      <c r="V2"/>
      <c r="W2"/>
      <c r="X2"/>
      <c r="Y2"/>
    </row>
    <row r="3" spans="1:49" x14ac:dyDescent="0.25">
      <c r="A3" s="8">
        <v>1</v>
      </c>
      <c r="B3" s="9" t="s">
        <v>69</v>
      </c>
      <c r="C3" s="17"/>
      <c r="D3" s="18">
        <v>1</v>
      </c>
      <c r="E3" s="19" t="s">
        <v>69</v>
      </c>
      <c r="U3"/>
      <c r="V3"/>
      <c r="W3"/>
      <c r="X3"/>
      <c r="Y3"/>
    </row>
    <row r="4" spans="1:49" x14ac:dyDescent="0.25">
      <c r="A4" s="13">
        <v>0.880965</v>
      </c>
      <c r="B4" s="9" t="s">
        <v>64</v>
      </c>
      <c r="C4" s="17"/>
      <c r="D4" s="13">
        <v>0.90231300000000003</v>
      </c>
      <c r="E4" s="19" t="s">
        <v>64</v>
      </c>
      <c r="F4" s="1">
        <v>2.4232517750421453E-2</v>
      </c>
      <c r="U4"/>
      <c r="V4"/>
      <c r="W4"/>
      <c r="X4"/>
      <c r="Y4"/>
    </row>
    <row r="5" spans="1:49" x14ac:dyDescent="0.25">
      <c r="A5" s="10"/>
      <c r="B5" s="11"/>
      <c r="D5" s="20"/>
      <c r="E5" s="21"/>
      <c r="U5"/>
      <c r="V5"/>
      <c r="W5"/>
      <c r="X5"/>
      <c r="Y5"/>
    </row>
    <row r="6" spans="1:49" x14ac:dyDescent="0.25">
      <c r="A6" s="221" t="s">
        <v>66</v>
      </c>
      <c r="B6" s="222"/>
      <c r="C6" s="16"/>
      <c r="D6" s="219" t="s">
        <v>66</v>
      </c>
      <c r="E6" s="220"/>
      <c r="U6"/>
      <c r="V6"/>
      <c r="W6"/>
      <c r="X6"/>
      <c r="Y6"/>
    </row>
    <row r="7" spans="1:49" x14ac:dyDescent="0.25">
      <c r="A7" s="8">
        <v>1</v>
      </c>
      <c r="B7" s="9" t="s">
        <v>68</v>
      </c>
      <c r="C7" s="17"/>
      <c r="D7" s="18">
        <v>1</v>
      </c>
      <c r="E7" s="19" t="s">
        <v>68</v>
      </c>
      <c r="U7"/>
      <c r="V7"/>
      <c r="W7"/>
      <c r="X7"/>
      <c r="Y7"/>
    </row>
    <row r="8" spans="1:49" x14ac:dyDescent="0.25">
      <c r="A8" s="13">
        <v>0.72948299999999999</v>
      </c>
      <c r="B8" s="9" t="s">
        <v>64</v>
      </c>
      <c r="C8" s="17"/>
      <c r="D8" s="13">
        <v>0.74666900000000003</v>
      </c>
      <c r="E8" s="19" t="s">
        <v>64</v>
      </c>
      <c r="F8" s="1">
        <v>2.3559150795837647E-2</v>
      </c>
      <c r="U8"/>
      <c r="V8"/>
      <c r="W8"/>
      <c r="X8"/>
      <c r="Y8"/>
    </row>
    <row r="9" spans="1:49" x14ac:dyDescent="0.25">
      <c r="A9" s="10"/>
      <c r="B9" s="11"/>
      <c r="D9" s="20"/>
      <c r="E9" s="21"/>
      <c r="U9"/>
      <c r="V9"/>
      <c r="W9"/>
      <c r="X9"/>
      <c r="Y9"/>
    </row>
    <row r="10" spans="1:49" x14ac:dyDescent="0.25">
      <c r="A10" s="221" t="s">
        <v>66</v>
      </c>
      <c r="B10" s="222"/>
      <c r="C10" s="16"/>
      <c r="D10" s="219" t="s">
        <v>66</v>
      </c>
      <c r="E10" s="220"/>
      <c r="U10"/>
      <c r="V10"/>
      <c r="W10"/>
      <c r="X10"/>
      <c r="Y10"/>
    </row>
    <row r="11" spans="1:49" x14ac:dyDescent="0.25">
      <c r="A11" s="8">
        <v>1</v>
      </c>
      <c r="B11" s="9" t="s">
        <v>67</v>
      </c>
      <c r="C11" s="17"/>
      <c r="D11" s="18">
        <v>1</v>
      </c>
      <c r="E11" s="19" t="s">
        <v>67</v>
      </c>
      <c r="U11"/>
      <c r="V11"/>
      <c r="W11"/>
      <c r="X11"/>
      <c r="Y11"/>
    </row>
    <row r="12" spans="1:49" x14ac:dyDescent="0.25">
      <c r="A12" s="13">
        <v>0.56988300000000003</v>
      </c>
      <c r="B12" s="9" t="s">
        <v>64</v>
      </c>
      <c r="C12" s="17"/>
      <c r="D12" s="13">
        <v>0.58362800000000004</v>
      </c>
      <c r="E12" s="19" t="s">
        <v>64</v>
      </c>
      <c r="F12" s="1">
        <v>2.4118985826915362E-2</v>
      </c>
      <c r="U12"/>
      <c r="V12"/>
      <c r="W12"/>
      <c r="X12"/>
      <c r="Y12"/>
      <c r="AD12" s="2"/>
      <c r="AE12" s="2"/>
      <c r="AF12" s="2"/>
    </row>
    <row r="13" spans="1:49" x14ac:dyDescent="0.25">
      <c r="A13" s="10"/>
      <c r="B13" s="11"/>
      <c r="D13" s="20"/>
      <c r="E13" s="21"/>
      <c r="U13"/>
      <c r="V13"/>
      <c r="W13"/>
      <c r="X13"/>
      <c r="Y13"/>
    </row>
    <row r="14" spans="1:49" ht="14.45" customHeight="1" x14ac:dyDescent="0.25">
      <c r="A14" s="221" t="s">
        <v>66</v>
      </c>
      <c r="B14" s="222"/>
      <c r="C14" s="16"/>
      <c r="D14" s="219" t="s">
        <v>66</v>
      </c>
      <c r="E14" s="220"/>
      <c r="U14"/>
      <c r="V14"/>
      <c r="W14"/>
      <c r="X14"/>
      <c r="Y14"/>
    </row>
    <row r="15" spans="1:49" x14ac:dyDescent="0.25">
      <c r="A15" s="8">
        <v>1</v>
      </c>
      <c r="B15" s="9" t="s">
        <v>65</v>
      </c>
      <c r="C15" s="17"/>
      <c r="D15" s="18">
        <v>1</v>
      </c>
      <c r="E15" s="19" t="s">
        <v>65</v>
      </c>
      <c r="U15"/>
      <c r="V15"/>
      <c r="W15"/>
      <c r="X15"/>
      <c r="Y15"/>
    </row>
    <row r="16" spans="1:49" x14ac:dyDescent="0.25">
      <c r="A16" s="14">
        <v>6.9534799999999997E-3</v>
      </c>
      <c r="B16" s="9" t="s">
        <v>64</v>
      </c>
      <c r="C16" s="17"/>
      <c r="D16" s="14">
        <v>7.1601E-3</v>
      </c>
      <c r="E16" s="19" t="s">
        <v>64</v>
      </c>
      <c r="F16" s="1">
        <v>2.9714617716596618E-2</v>
      </c>
      <c r="U16"/>
      <c r="V16"/>
      <c r="W16"/>
      <c r="X16"/>
      <c r="Y16"/>
    </row>
    <row r="17" spans="1:25" x14ac:dyDescent="0.25">
      <c r="A17" s="25"/>
      <c r="B17" s="26"/>
      <c r="C17" s="27"/>
      <c r="D17" s="28"/>
      <c r="E17" s="29"/>
      <c r="U17"/>
      <c r="V17"/>
      <c r="W17"/>
      <c r="X17"/>
      <c r="Y17"/>
    </row>
    <row r="18" spans="1:25" x14ac:dyDescent="0.25">
      <c r="A18" s="25"/>
      <c r="B18" s="26"/>
      <c r="C18" s="27"/>
      <c r="D18" s="28"/>
      <c r="E18" s="29"/>
      <c r="U18"/>
      <c r="V18"/>
      <c r="W18"/>
      <c r="X18"/>
      <c r="Y18"/>
    </row>
    <row r="19" spans="1:25" x14ac:dyDescent="0.25">
      <c r="A19" s="10"/>
      <c r="B19" s="11"/>
      <c r="D19" s="20"/>
      <c r="E19" s="21"/>
      <c r="U19"/>
      <c r="V19"/>
      <c r="W19"/>
      <c r="X19"/>
      <c r="Y19"/>
    </row>
    <row r="20" spans="1:25" x14ac:dyDescent="0.25">
      <c r="A20" s="221" t="s">
        <v>66</v>
      </c>
      <c r="B20" s="222"/>
      <c r="C20" s="16"/>
      <c r="D20" s="219" t="s">
        <v>66</v>
      </c>
      <c r="E20" s="220"/>
      <c r="U20"/>
      <c r="V20"/>
      <c r="W20"/>
      <c r="X20"/>
      <c r="Y20"/>
    </row>
    <row r="21" spans="1:25" x14ac:dyDescent="0.25">
      <c r="A21" s="8">
        <v>1</v>
      </c>
      <c r="B21" s="9" t="s">
        <v>101</v>
      </c>
      <c r="C21" s="17"/>
      <c r="D21" s="18">
        <v>1</v>
      </c>
      <c r="E21" s="19" t="s">
        <v>101</v>
      </c>
      <c r="U21"/>
      <c r="V21"/>
      <c r="W21"/>
      <c r="X21"/>
      <c r="Y21"/>
    </row>
    <row r="22" spans="1:25" x14ac:dyDescent="0.25">
      <c r="A22" s="14">
        <v>3.5879399999999999E-2</v>
      </c>
      <c r="B22" s="9" t="s">
        <v>64</v>
      </c>
      <c r="C22" s="17"/>
      <c r="D22" s="14">
        <v>3.7594299999999997E-2</v>
      </c>
      <c r="E22" s="19" t="s">
        <v>64</v>
      </c>
      <c r="F22" s="1">
        <v>4.7796228476507364E-2</v>
      </c>
      <c r="U22"/>
      <c r="V22"/>
      <c r="W22"/>
      <c r="X22"/>
      <c r="Y22"/>
    </row>
    <row r="23" spans="1:25" x14ac:dyDescent="0.25">
      <c r="A23" s="10"/>
      <c r="B23" s="11"/>
      <c r="D23" s="20"/>
      <c r="E23" s="21"/>
      <c r="U23"/>
      <c r="V23"/>
      <c r="W23"/>
      <c r="X23"/>
      <c r="Y23"/>
    </row>
    <row r="24" spans="1:25" x14ac:dyDescent="0.25">
      <c r="A24" s="221" t="s">
        <v>66</v>
      </c>
      <c r="B24" s="222"/>
      <c r="C24" s="16"/>
      <c r="D24" s="219" t="s">
        <v>66</v>
      </c>
      <c r="E24" s="220"/>
      <c r="U24"/>
      <c r="V24"/>
      <c r="W24"/>
      <c r="X24"/>
      <c r="Y24"/>
    </row>
    <row r="25" spans="1:25" x14ac:dyDescent="0.25">
      <c r="A25" s="8">
        <v>1</v>
      </c>
      <c r="B25" s="9" t="s">
        <v>102</v>
      </c>
      <c r="C25" s="17"/>
      <c r="D25" s="18">
        <v>1</v>
      </c>
      <c r="E25" s="19" t="s">
        <v>102</v>
      </c>
      <c r="U25"/>
      <c r="V25"/>
      <c r="W25"/>
      <c r="X25"/>
      <c r="Y25"/>
    </row>
    <row r="26" spans="1:25" x14ac:dyDescent="0.25">
      <c r="A26" s="14">
        <v>0.55676000000000003</v>
      </c>
      <c r="B26" s="9" t="s">
        <v>64</v>
      </c>
      <c r="C26" s="17"/>
      <c r="D26" s="14">
        <v>0.55637300000000001</v>
      </c>
      <c r="E26" s="19" t="s">
        <v>64</v>
      </c>
      <c r="F26" s="1">
        <v>6.9509303829302785E-4</v>
      </c>
      <c r="U26"/>
      <c r="V26"/>
      <c r="W26"/>
      <c r="X26"/>
      <c r="Y26"/>
    </row>
    <row r="27" spans="1:25" x14ac:dyDescent="0.25">
      <c r="A27" s="10"/>
      <c r="B27" s="11"/>
      <c r="D27" s="20"/>
      <c r="E27" s="21"/>
      <c r="U27"/>
      <c r="V27"/>
      <c r="W27"/>
      <c r="X27"/>
      <c r="Y27"/>
    </row>
    <row r="28" spans="1:25" x14ac:dyDescent="0.25">
      <c r="A28" s="221" t="s">
        <v>66</v>
      </c>
      <c r="B28" s="222"/>
      <c r="C28" s="16"/>
      <c r="D28" s="219" t="s">
        <v>66</v>
      </c>
      <c r="E28" s="220"/>
      <c r="U28"/>
      <c r="V28"/>
      <c r="W28"/>
      <c r="X28"/>
      <c r="Y28"/>
    </row>
    <row r="29" spans="1:25" x14ac:dyDescent="0.25">
      <c r="A29" s="8">
        <v>1</v>
      </c>
      <c r="B29" s="9" t="s">
        <v>105</v>
      </c>
      <c r="C29" s="17"/>
      <c r="D29" s="18">
        <v>1</v>
      </c>
      <c r="E29" s="19" t="s">
        <v>105</v>
      </c>
      <c r="U29"/>
    </row>
    <row r="30" spans="1:25" x14ac:dyDescent="0.25">
      <c r="A30" s="14">
        <v>9.9832900000000006E-3</v>
      </c>
      <c r="B30" s="9" t="s">
        <v>64</v>
      </c>
      <c r="C30" s="17"/>
      <c r="D30" s="14">
        <v>1.01201E-2</v>
      </c>
      <c r="E30" s="19" t="s">
        <v>64</v>
      </c>
      <c r="F30" s="1">
        <v>1.3703899215589186E-2</v>
      </c>
      <c r="U30"/>
    </row>
    <row r="31" spans="1:25" x14ac:dyDescent="0.25">
      <c r="A31" s="10"/>
      <c r="B31" s="11"/>
      <c r="D31" s="20"/>
      <c r="E31" s="21"/>
      <c r="U31"/>
    </row>
    <row r="32" spans="1:25" x14ac:dyDescent="0.25">
      <c r="A32" s="221" t="s">
        <v>66</v>
      </c>
      <c r="B32" s="222"/>
      <c r="C32" s="16"/>
      <c r="D32" s="219" t="s">
        <v>66</v>
      </c>
      <c r="E32" s="220"/>
      <c r="U32"/>
    </row>
    <row r="33" spans="1:21" x14ac:dyDescent="0.25">
      <c r="A33" s="8">
        <v>1</v>
      </c>
      <c r="B33" s="9" t="s">
        <v>107</v>
      </c>
      <c r="C33" s="17"/>
      <c r="D33" s="18">
        <v>1</v>
      </c>
      <c r="E33" s="19" t="s">
        <v>107</v>
      </c>
      <c r="U33"/>
    </row>
    <row r="34" spans="1:21" x14ac:dyDescent="0.25">
      <c r="A34" s="14">
        <v>0.52334400000000003</v>
      </c>
      <c r="B34" s="9" t="s">
        <v>64</v>
      </c>
      <c r="C34" s="17"/>
      <c r="D34" s="14">
        <v>0.52589399999999997</v>
      </c>
      <c r="E34" s="19" t="s">
        <v>64</v>
      </c>
      <c r="F34" s="1">
        <v>4.8725121526184325E-3</v>
      </c>
      <c r="U34"/>
    </row>
    <row r="35" spans="1:21" x14ac:dyDescent="0.25">
      <c r="A35" s="10"/>
      <c r="B35" s="11"/>
      <c r="D35" s="20"/>
      <c r="E35" s="21"/>
      <c r="U35"/>
    </row>
    <row r="36" spans="1:21" x14ac:dyDescent="0.25">
      <c r="A36" s="221" t="s">
        <v>66</v>
      </c>
      <c r="B36" s="222"/>
      <c r="C36" s="16"/>
      <c r="D36" s="219" t="s">
        <v>66</v>
      </c>
      <c r="E36" s="220"/>
      <c r="U36"/>
    </row>
    <row r="37" spans="1:21" x14ac:dyDescent="0.25">
      <c r="A37" s="8">
        <v>1</v>
      </c>
      <c r="B37" s="9" t="s">
        <v>108</v>
      </c>
      <c r="C37" s="17"/>
      <c r="D37" s="18">
        <v>1</v>
      </c>
      <c r="E37" s="19" t="s">
        <v>108</v>
      </c>
      <c r="U37"/>
    </row>
    <row r="38" spans="1:21" ht="15.75" thickBot="1" x14ac:dyDescent="0.3">
      <c r="A38" s="15">
        <v>0.198687</v>
      </c>
      <c r="B38" s="12" t="s">
        <v>64</v>
      </c>
      <c r="C38" s="17"/>
      <c r="D38" s="15">
        <v>0.20338100000000001</v>
      </c>
      <c r="E38" s="22" t="s">
        <v>64</v>
      </c>
      <c r="F38" s="1">
        <v>2.3625098773447702E-2</v>
      </c>
      <c r="U38"/>
    </row>
    <row r="39" spans="1:21" x14ac:dyDescent="0.25">
      <c r="U39"/>
    </row>
    <row r="40" spans="1:21" x14ac:dyDescent="0.25">
      <c r="A40" s="221" t="s">
        <v>137</v>
      </c>
      <c r="B40" s="222"/>
      <c r="D40" s="221" t="s">
        <v>137</v>
      </c>
      <c r="E40" s="222"/>
      <c r="U40"/>
    </row>
    <row r="41" spans="1:21" x14ac:dyDescent="0.25">
      <c r="A41" s="8">
        <v>1</v>
      </c>
      <c r="B41" s="9" t="s">
        <v>69</v>
      </c>
      <c r="D41" s="8">
        <v>1</v>
      </c>
      <c r="E41" s="9" t="s">
        <v>69</v>
      </c>
      <c r="U41"/>
    </row>
    <row r="42" spans="1:21" x14ac:dyDescent="0.25">
      <c r="A42" s="13">
        <v>1.1571499999999999</v>
      </c>
      <c r="B42" s="9" t="s">
        <v>68</v>
      </c>
      <c r="D42" s="13">
        <v>1.1571499999999999</v>
      </c>
      <c r="E42" s="9" t="s">
        <v>68</v>
      </c>
      <c r="U42"/>
    </row>
    <row r="43" spans="1:21" x14ac:dyDescent="0.25">
      <c r="U43"/>
    </row>
    <row r="44" spans="1:21" x14ac:dyDescent="0.25">
      <c r="U44"/>
    </row>
    <row r="45" spans="1:21" x14ac:dyDescent="0.25">
      <c r="U45"/>
    </row>
    <row r="46" spans="1:21" x14ac:dyDescent="0.25">
      <c r="U46"/>
    </row>
    <row r="47" spans="1:21" x14ac:dyDescent="0.25">
      <c r="U47"/>
    </row>
  </sheetData>
  <customSheetViews>
    <customSheetView guid="{58A22DCA-CC1F-4C9B-81E5-89EAAD6D6911}" topLeftCell="A43">
      <selection activeCell="AM34" sqref="AM34"/>
      <pageMargins left="0.7" right="0.7" top="0.75" bottom="0.75" header="0.3" footer="0.3"/>
      <pageSetup paperSize="9" orientation="portrait" verticalDpi="0" r:id="rId1"/>
    </customSheetView>
    <customSheetView guid="{B17143F1-4237-4489-B6F8-44004DDB5192}" topLeftCell="A13">
      <selection activeCell="AM34" sqref="AM34"/>
      <pageMargins left="0.7" right="0.7" top="0.75" bottom="0.75" header="0.3" footer="0.3"/>
      <pageSetup paperSize="9" orientation="portrait" verticalDpi="0" r:id="rId2"/>
    </customSheetView>
    <customSheetView guid="{8D4492CF-EA6F-4FA0-8CD3-ABDE8D40077D}" topLeftCell="A13">
      <selection activeCell="AM34" sqref="AM34"/>
      <pageMargins left="0.7" right="0.7" top="0.75" bottom="0.75" header="0.3" footer="0.3"/>
      <pageSetup paperSize="9" orientation="portrait" verticalDpi="0" r:id="rId3"/>
    </customSheetView>
  </customSheetViews>
  <mergeCells count="22">
    <mergeCell ref="A2:B2"/>
    <mergeCell ref="A6:B6"/>
    <mergeCell ref="A36:B36"/>
    <mergeCell ref="A32:B32"/>
    <mergeCell ref="A28:B28"/>
    <mergeCell ref="A24:B24"/>
    <mergeCell ref="D32:E32"/>
    <mergeCell ref="D36:E36"/>
    <mergeCell ref="A40:B40"/>
    <mergeCell ref="D40:E40"/>
    <mergeCell ref="A1:B1"/>
    <mergeCell ref="D2:E2"/>
    <mergeCell ref="D1:E1"/>
    <mergeCell ref="D6:E6"/>
    <mergeCell ref="A20:B20"/>
    <mergeCell ref="D10:E10"/>
    <mergeCell ref="D14:E14"/>
    <mergeCell ref="D20:E20"/>
    <mergeCell ref="D24:E24"/>
    <mergeCell ref="D28:E28"/>
    <mergeCell ref="A14:B14"/>
    <mergeCell ref="A10:B10"/>
  </mergeCells>
  <pageMargins left="0.7" right="0.7" top="0.75" bottom="0.75" header="0.3" footer="0.3"/>
  <pageSetup paperSize="9" orientation="portrait" r:id="rId4"/>
  <drawing r:id="rId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525E1B-7E04-4898-A0F7-2CCDCF290B2D}">
  <sheetPr codeName="Map"/>
  <dimension ref="A1:N32"/>
  <sheetViews>
    <sheetView workbookViewId="0">
      <selection activeCell="S12" sqref="S12"/>
    </sheetView>
  </sheetViews>
  <sheetFormatPr defaultRowHeight="15" x14ac:dyDescent="0.25"/>
  <cols>
    <col min="1" max="1" width="33.42578125" customWidth="1"/>
    <col min="2" max="2" width="8.7109375" customWidth="1"/>
    <col min="3" max="3" width="7.28515625" customWidth="1"/>
    <col min="4" max="4" width="21.7109375" customWidth="1"/>
    <col min="5" max="6" width="15.28515625" customWidth="1"/>
    <col min="7" max="7" width="26.28515625" customWidth="1"/>
    <col min="8" max="8" width="20.5703125" customWidth="1"/>
    <col min="10" max="10" width="16.7109375" customWidth="1"/>
    <col min="11" max="11" width="11.140625" customWidth="1"/>
    <col min="13" max="13" width="17.7109375" customWidth="1"/>
    <col min="14" max="14" width="11.140625" customWidth="1"/>
    <col min="17" max="17" width="9.140625" customWidth="1"/>
    <col min="18" max="18" width="20.7109375" customWidth="1"/>
  </cols>
  <sheetData>
    <row r="1" spans="1:14" x14ac:dyDescent="0.25">
      <c r="A1" t="s">
        <v>2865</v>
      </c>
      <c r="D1" s="228" t="s">
        <v>2866</v>
      </c>
      <c r="E1" s="228"/>
      <c r="G1" s="228" t="s">
        <v>2867</v>
      </c>
      <c r="H1" s="228"/>
      <c r="J1" s="228" t="s">
        <v>2868</v>
      </c>
      <c r="K1" s="228"/>
      <c r="M1" s="228" t="s">
        <v>2869</v>
      </c>
      <c r="N1" s="228"/>
    </row>
    <row r="2" spans="1:14" x14ac:dyDescent="0.25">
      <c r="A2" t="s">
        <v>2866</v>
      </c>
      <c r="D2" t="s">
        <v>3149</v>
      </c>
      <c r="E2" t="s">
        <v>3021</v>
      </c>
      <c r="G2" t="s">
        <v>3149</v>
      </c>
      <c r="H2" t="s">
        <v>3021</v>
      </c>
      <c r="J2" t="s">
        <v>3149</v>
      </c>
      <c r="K2" t="s">
        <v>3021</v>
      </c>
      <c r="M2" t="s">
        <v>3149</v>
      </c>
      <c r="N2" t="s">
        <v>3021</v>
      </c>
    </row>
    <row r="3" spans="1:14" x14ac:dyDescent="0.25">
      <c r="A3" t="s">
        <v>2867</v>
      </c>
      <c r="D3" s="54" t="s">
        <v>2870</v>
      </c>
      <c r="E3" s="57" t="s">
        <v>2989</v>
      </c>
      <c r="G3" t="s">
        <v>2871</v>
      </c>
      <c r="H3" s="57" t="s">
        <v>3140</v>
      </c>
      <c r="J3" t="s">
        <v>3022</v>
      </c>
      <c r="K3" s="57" t="s">
        <v>3023</v>
      </c>
      <c r="M3" t="s">
        <v>3029</v>
      </c>
      <c r="N3" s="57" t="s">
        <v>3222</v>
      </c>
    </row>
    <row r="4" spans="1:14" x14ac:dyDescent="0.25">
      <c r="A4" t="s">
        <v>2868</v>
      </c>
      <c r="D4" s="54"/>
      <c r="E4" s="56"/>
      <c r="G4" t="s">
        <v>2873</v>
      </c>
      <c r="H4" s="57" t="s">
        <v>3141</v>
      </c>
      <c r="J4" t="s">
        <v>3025</v>
      </c>
      <c r="K4" s="57" t="s">
        <v>3027</v>
      </c>
    </row>
    <row r="5" spans="1:14" x14ac:dyDescent="0.25">
      <c r="A5" t="s">
        <v>2869</v>
      </c>
      <c r="D5" s="54"/>
      <c r="E5" s="55"/>
      <c r="G5" t="s">
        <v>2872</v>
      </c>
      <c r="H5" s="57" t="s">
        <v>3142</v>
      </c>
      <c r="J5" t="s">
        <v>3026</v>
      </c>
      <c r="K5" s="57" t="s">
        <v>3028</v>
      </c>
    </row>
    <row r="6" spans="1:14" x14ac:dyDescent="0.25">
      <c r="G6" s="58" t="s">
        <v>2874</v>
      </c>
      <c r="H6" s="57" t="s">
        <v>3143</v>
      </c>
      <c r="J6" t="s">
        <v>3367</v>
      </c>
      <c r="K6" s="57" t="s">
        <v>3368</v>
      </c>
    </row>
    <row r="7" spans="1:14" x14ac:dyDescent="0.25">
      <c r="G7" s="58" t="s">
        <v>3223</v>
      </c>
      <c r="H7" s="57" t="s">
        <v>3224</v>
      </c>
    </row>
    <row r="8" spans="1:14" x14ac:dyDescent="0.25">
      <c r="G8" s="58" t="s">
        <v>3369</v>
      </c>
      <c r="H8" s="57" t="s">
        <v>3370</v>
      </c>
    </row>
    <row r="11" spans="1:14" x14ac:dyDescent="0.25">
      <c r="A11" s="154" t="s">
        <v>3030</v>
      </c>
    </row>
    <row r="12" spans="1:14" x14ac:dyDescent="0.25">
      <c r="A12" t="str" cm="1">
        <f t="array" ref="A12:A15">SUBSTITUTE(_xlfn.UNIQUE(TotInvPivot!B4:B27),0,"")</f>
        <v>Italy</v>
      </c>
      <c r="G12" s="121" t="s">
        <v>2997</v>
      </c>
      <c r="H12" s="121" t="s">
        <v>2991</v>
      </c>
    </row>
    <row r="13" spans="1:14" ht="16.5" x14ac:dyDescent="0.3">
      <c r="A13" t="str">
        <v>Poland</v>
      </c>
      <c r="G13" t="s">
        <v>3352</v>
      </c>
      <c r="H13" s="120" t="s">
        <v>138</v>
      </c>
    </row>
    <row r="14" spans="1:14" ht="16.5" x14ac:dyDescent="0.3">
      <c r="A14" t="str">
        <v>Thailand</v>
      </c>
      <c r="G14" t="s">
        <v>3353</v>
      </c>
      <c r="H14" s="119" t="s">
        <v>138</v>
      </c>
    </row>
    <row r="15" spans="1:14" ht="16.5" x14ac:dyDescent="0.3">
      <c r="A15" t="str">
        <v/>
      </c>
      <c r="G15" t="s">
        <v>3354</v>
      </c>
      <c r="H15" s="120" t="s">
        <v>138</v>
      </c>
    </row>
    <row r="16" spans="1:14" ht="16.5" x14ac:dyDescent="0.3">
      <c r="G16" t="s">
        <v>3355</v>
      </c>
      <c r="H16" s="119" t="s">
        <v>138</v>
      </c>
    </row>
    <row r="17" spans="7:8" ht="16.5" x14ac:dyDescent="0.3">
      <c r="G17" t="s">
        <v>3356</v>
      </c>
      <c r="H17" s="119" t="s">
        <v>138</v>
      </c>
    </row>
    <row r="18" spans="7:8" ht="16.5" x14ac:dyDescent="0.3">
      <c r="G18" t="s">
        <v>2995</v>
      </c>
      <c r="H18" s="120" t="s">
        <v>145</v>
      </c>
    </row>
    <row r="19" spans="7:8" ht="16.5" x14ac:dyDescent="0.3">
      <c r="G19" t="s">
        <v>3357</v>
      </c>
      <c r="H19" s="119" t="s">
        <v>145</v>
      </c>
    </row>
    <row r="20" spans="7:8" ht="16.5" x14ac:dyDescent="0.3">
      <c r="G20" t="s">
        <v>2996</v>
      </c>
      <c r="H20" s="120" t="s">
        <v>145</v>
      </c>
    </row>
    <row r="21" spans="7:8" ht="16.5" x14ac:dyDescent="0.3">
      <c r="G21" t="s">
        <v>3359</v>
      </c>
      <c r="H21" s="119" t="s">
        <v>145</v>
      </c>
    </row>
    <row r="22" spans="7:8" ht="16.5" x14ac:dyDescent="0.3">
      <c r="G22" t="s">
        <v>3358</v>
      </c>
      <c r="H22" s="120" t="s">
        <v>145</v>
      </c>
    </row>
    <row r="23" spans="7:8" ht="16.5" x14ac:dyDescent="0.3">
      <c r="G23" t="s">
        <v>3371</v>
      </c>
      <c r="H23" s="119" t="s">
        <v>145</v>
      </c>
    </row>
    <row r="24" spans="7:8" ht="16.5" x14ac:dyDescent="0.3">
      <c r="G24" t="s">
        <v>3360</v>
      </c>
      <c r="H24" s="120" t="s">
        <v>145</v>
      </c>
    </row>
    <row r="25" spans="7:8" ht="16.5" x14ac:dyDescent="0.3">
      <c r="G25" t="s">
        <v>3361</v>
      </c>
      <c r="H25" s="120" t="s">
        <v>145</v>
      </c>
    </row>
    <row r="26" spans="7:8" ht="16.5" x14ac:dyDescent="0.3">
      <c r="G26" t="s">
        <v>3362</v>
      </c>
      <c r="H26" s="119" t="s">
        <v>145</v>
      </c>
    </row>
    <row r="27" spans="7:8" ht="16.5" x14ac:dyDescent="0.3">
      <c r="G27" t="s">
        <v>2998</v>
      </c>
      <c r="H27" s="120" t="s">
        <v>147</v>
      </c>
    </row>
    <row r="28" spans="7:8" ht="16.5" x14ac:dyDescent="0.3">
      <c r="G28" t="s">
        <v>2999</v>
      </c>
      <c r="H28" s="119" t="s">
        <v>2992</v>
      </c>
    </row>
    <row r="29" spans="7:8" ht="16.5" x14ac:dyDescent="0.3">
      <c r="G29" t="s">
        <v>3000</v>
      </c>
      <c r="H29" s="120" t="s">
        <v>2992</v>
      </c>
    </row>
    <row r="30" spans="7:8" ht="16.5" x14ac:dyDescent="0.3">
      <c r="G30" t="s">
        <v>3363</v>
      </c>
      <c r="H30" s="119" t="s">
        <v>146</v>
      </c>
    </row>
    <row r="31" spans="7:8" ht="16.5" x14ac:dyDescent="0.3">
      <c r="G31" t="s">
        <v>3364</v>
      </c>
      <c r="H31" s="120" t="s">
        <v>146</v>
      </c>
    </row>
    <row r="32" spans="7:8" ht="16.5" x14ac:dyDescent="0.3">
      <c r="G32" t="s">
        <v>3365</v>
      </c>
      <c r="H32" s="118" t="s">
        <v>146</v>
      </c>
    </row>
  </sheetData>
  <mergeCells count="4">
    <mergeCell ref="G1:H1"/>
    <mergeCell ref="D1:E1"/>
    <mergeCell ref="J1:K1"/>
    <mergeCell ref="M1:N1"/>
  </mergeCells>
  <phoneticPr fontId="19" type="noConversion"/>
  <pageMargins left="0.7" right="0.7" top="0.75" bottom="0.75" header="0.3" footer="0.3"/>
  <pageSetup paperSize="9" orientation="portrait" verticalDpi="0" r:id="rId1"/>
  <tableParts count="5">
    <tablePart r:id="rId2"/>
    <tablePart r:id="rId3"/>
    <tablePart r:id="rId4"/>
    <tablePart r:id="rId5"/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16E3C8-2A80-4175-AF0D-7129A1C2D662}">
  <sheetPr codeName="skuList"/>
  <dimension ref="A1:U205"/>
  <sheetViews>
    <sheetView showGridLines="0" topLeftCell="A7" workbookViewId="0">
      <selection activeCell="J26" sqref="J26"/>
    </sheetView>
  </sheetViews>
  <sheetFormatPr defaultRowHeight="15" x14ac:dyDescent="0.25"/>
  <cols>
    <col min="1" max="1" width="57.7109375" customWidth="1"/>
    <col min="2" max="2" width="12.42578125" customWidth="1"/>
    <col min="4" max="4" width="21.5703125" customWidth="1"/>
    <col min="7" max="7" width="32.7109375" customWidth="1"/>
    <col min="8" max="8" width="13.28515625" customWidth="1"/>
    <col min="10" max="10" width="13.140625" customWidth="1"/>
    <col min="13" max="13" width="15.5703125" customWidth="1"/>
  </cols>
  <sheetData>
    <row r="1" spans="1:17" x14ac:dyDescent="0.25">
      <c r="A1" t="s">
        <v>136</v>
      </c>
      <c r="B1" t="s">
        <v>130</v>
      </c>
      <c r="L1" s="139"/>
      <c r="M1" s="140"/>
      <c r="N1" s="140"/>
      <c r="O1" s="140"/>
      <c r="P1" s="140"/>
      <c r="Q1" s="141"/>
    </row>
    <row r="2" spans="1:17" ht="15.75" x14ac:dyDescent="0.25">
      <c r="A2" t="s">
        <v>1357</v>
      </c>
      <c r="B2">
        <v>5</v>
      </c>
      <c r="H2" s="122" t="s">
        <v>2988</v>
      </c>
      <c r="L2" s="142"/>
      <c r="M2" s="4"/>
      <c r="N2" s="4"/>
      <c r="O2" s="4"/>
      <c r="P2" s="4"/>
      <c r="Q2" s="143"/>
    </row>
    <row r="3" spans="1:17" ht="23.25" x14ac:dyDescent="0.35">
      <c r="A3" t="s">
        <v>158</v>
      </c>
      <c r="B3">
        <v>10</v>
      </c>
      <c r="H3" s="136">
        <f>COUNTIF(skuQuantity[PRODUCT SKU], "&lt;&gt;" &amp; "")</f>
        <v>204</v>
      </c>
      <c r="L3" s="142"/>
      <c r="M3" s="229" t="s">
        <v>3002</v>
      </c>
      <c r="N3" s="229"/>
      <c r="O3" s="229"/>
      <c r="P3" s="229"/>
      <c r="Q3" s="143"/>
    </row>
    <row r="4" spans="1:17" ht="15.75" x14ac:dyDescent="0.25">
      <c r="A4" t="s">
        <v>55</v>
      </c>
      <c r="B4">
        <v>10</v>
      </c>
      <c r="H4" s="137"/>
      <c r="L4" s="142"/>
      <c r="M4" s="4"/>
      <c r="N4" s="4"/>
      <c r="O4" s="4"/>
      <c r="P4" s="4"/>
      <c r="Q4" s="143"/>
    </row>
    <row r="5" spans="1:17" ht="15.75" x14ac:dyDescent="0.25">
      <c r="A5" t="s">
        <v>174</v>
      </c>
      <c r="B5">
        <v>5</v>
      </c>
      <c r="H5" s="122" t="s">
        <v>3001</v>
      </c>
      <c r="L5" s="142"/>
      <c r="M5" s="4"/>
      <c r="N5" s="4"/>
      <c r="O5" s="4"/>
      <c r="P5" s="4"/>
      <c r="Q5" s="143"/>
    </row>
    <row r="6" spans="1:17" ht="15.75" x14ac:dyDescent="0.25">
      <c r="A6" t="s">
        <v>181</v>
      </c>
      <c r="B6">
        <v>30</v>
      </c>
      <c r="H6" s="136">
        <f>SUM(skuQuantity[QUANTITY])</f>
        <v>3957</v>
      </c>
      <c r="L6" s="142"/>
      <c r="M6" s="4"/>
      <c r="N6" s="4"/>
      <c r="O6" s="4"/>
      <c r="P6" s="4"/>
      <c r="Q6" s="143"/>
    </row>
    <row r="7" spans="1:17" x14ac:dyDescent="0.25">
      <c r="A7" t="s">
        <v>183</v>
      </c>
      <c r="B7">
        <v>5</v>
      </c>
      <c r="L7" s="142"/>
      <c r="M7" s="4"/>
      <c r="N7" s="4"/>
      <c r="O7" s="4"/>
      <c r="P7" s="4"/>
      <c r="Q7" s="143"/>
    </row>
    <row r="8" spans="1:17" x14ac:dyDescent="0.25">
      <c r="A8" t="s">
        <v>185</v>
      </c>
      <c r="B8">
        <v>10</v>
      </c>
      <c r="L8" s="142"/>
      <c r="M8" s="4"/>
      <c r="N8" s="4"/>
      <c r="O8" s="4"/>
      <c r="P8" s="4"/>
      <c r="Q8" s="143"/>
    </row>
    <row r="9" spans="1:17" x14ac:dyDescent="0.25">
      <c r="A9" t="s">
        <v>192</v>
      </c>
      <c r="B9">
        <v>15</v>
      </c>
      <c r="L9" s="142"/>
      <c r="M9" s="4"/>
      <c r="N9" s="4"/>
      <c r="O9" s="4"/>
      <c r="P9" s="4"/>
      <c r="Q9" s="143"/>
    </row>
    <row r="10" spans="1:17" x14ac:dyDescent="0.25">
      <c r="A10" t="s">
        <v>198</v>
      </c>
      <c r="B10">
        <v>15</v>
      </c>
      <c r="L10" s="142"/>
      <c r="M10" s="4"/>
      <c r="N10" s="4"/>
      <c r="O10" s="4"/>
      <c r="P10" s="4"/>
      <c r="Q10" s="143"/>
    </row>
    <row r="11" spans="1:17" x14ac:dyDescent="0.25">
      <c r="A11" t="s">
        <v>203</v>
      </c>
      <c r="B11">
        <v>10</v>
      </c>
      <c r="L11" s="142"/>
      <c r="M11" s="4"/>
      <c r="N11" s="4"/>
      <c r="O11" s="4"/>
      <c r="P11" s="4"/>
      <c r="Q11" s="143"/>
    </row>
    <row r="12" spans="1:17" ht="15" customHeight="1" x14ac:dyDescent="0.25">
      <c r="A12" t="s">
        <v>72</v>
      </c>
      <c r="B12">
        <v>20</v>
      </c>
      <c r="L12" s="142"/>
      <c r="M12" s="4"/>
      <c r="N12" s="4"/>
      <c r="O12" s="4"/>
      <c r="P12" s="4"/>
      <c r="Q12" s="143"/>
    </row>
    <row r="13" spans="1:17" x14ac:dyDescent="0.25">
      <c r="A13" t="s">
        <v>74</v>
      </c>
      <c r="B13">
        <v>10</v>
      </c>
      <c r="L13" s="142"/>
      <c r="M13" s="4"/>
      <c r="N13" s="4"/>
      <c r="O13" s="4"/>
      <c r="P13" s="4"/>
      <c r="Q13" s="143"/>
    </row>
    <row r="14" spans="1:17" x14ac:dyDescent="0.25">
      <c r="A14" t="s">
        <v>75</v>
      </c>
      <c r="B14">
        <v>20</v>
      </c>
      <c r="L14" s="142"/>
      <c r="M14" s="4"/>
      <c r="N14" s="4"/>
      <c r="O14" s="4"/>
      <c r="P14" s="4"/>
      <c r="Q14" s="143"/>
    </row>
    <row r="15" spans="1:17" x14ac:dyDescent="0.25">
      <c r="A15" t="s">
        <v>76</v>
      </c>
      <c r="B15">
        <v>5</v>
      </c>
      <c r="L15" s="142"/>
      <c r="M15" s="4"/>
      <c r="N15" s="4"/>
      <c r="O15" s="4"/>
      <c r="P15" s="4"/>
      <c r="Q15" s="143"/>
    </row>
    <row r="16" spans="1:17" ht="16.5" customHeight="1" x14ac:dyDescent="0.25">
      <c r="A16" t="s">
        <v>233</v>
      </c>
      <c r="B16">
        <v>5</v>
      </c>
      <c r="H16" s="230" t="str">
        <f ca="1">IFERROR(VLOOKUP(G22,INDIRECT(G18),2,FALSE), "Address not found")</f>
        <v>TRANSATLANTIC STERLING LIMITED
c/o FBA
Amazon Fulfillment Center (BWU2), 
13 Emporium Avenue 2178 
Kemps Creek, NSW  
Australia</v>
      </c>
      <c r="I16" s="230"/>
      <c r="J16" s="230"/>
      <c r="L16" s="142"/>
      <c r="M16" s="4"/>
      <c r="N16" s="4"/>
      <c r="O16" s="4"/>
      <c r="P16" s="4"/>
      <c r="Q16" s="143"/>
    </row>
    <row r="17" spans="1:21" x14ac:dyDescent="0.25">
      <c r="A17" t="s">
        <v>238</v>
      </c>
      <c r="B17">
        <v>10</v>
      </c>
      <c r="H17" s="230"/>
      <c r="I17" s="230"/>
      <c r="J17" s="230"/>
      <c r="L17" s="142"/>
      <c r="M17" s="4"/>
      <c r="N17" s="4"/>
      <c r="O17" s="4"/>
      <c r="P17" s="4"/>
      <c r="Q17" s="143"/>
    </row>
    <row r="18" spans="1:21" x14ac:dyDescent="0.25">
      <c r="A18" t="s">
        <v>1311</v>
      </c>
      <c r="B18">
        <v>5</v>
      </c>
      <c r="G18" t="s">
        <v>2868</v>
      </c>
      <c r="H18" s="230"/>
      <c r="I18" s="230"/>
      <c r="J18" s="230"/>
      <c r="L18" s="142"/>
      <c r="M18" s="4"/>
      <c r="N18" s="4"/>
      <c r="O18" s="4"/>
      <c r="P18" s="4"/>
      <c r="Q18" s="143"/>
    </row>
    <row r="19" spans="1:21" x14ac:dyDescent="0.25">
      <c r="A19" t="s">
        <v>91</v>
      </c>
      <c r="B19">
        <v>20</v>
      </c>
      <c r="H19" s="230"/>
      <c r="I19" s="230"/>
      <c r="J19" s="230"/>
      <c r="L19" s="142"/>
      <c r="M19" s="4"/>
      <c r="N19" s="4"/>
      <c r="O19" s="4"/>
      <c r="P19" s="4"/>
      <c r="Q19" s="143"/>
    </row>
    <row r="20" spans="1:21" x14ac:dyDescent="0.25">
      <c r="A20" t="s">
        <v>80</v>
      </c>
      <c r="B20">
        <v>15</v>
      </c>
      <c r="H20" s="230"/>
      <c r="I20" s="230"/>
      <c r="J20" s="230"/>
      <c r="L20" s="142"/>
      <c r="M20" s="4"/>
      <c r="N20" s="4"/>
      <c r="O20" s="4"/>
      <c r="P20" s="4"/>
      <c r="Q20" s="143"/>
    </row>
    <row r="21" spans="1:21" x14ac:dyDescent="0.25">
      <c r="A21" t="s">
        <v>81</v>
      </c>
      <c r="B21">
        <v>10</v>
      </c>
      <c r="G21" t="s">
        <v>2875</v>
      </c>
      <c r="H21" s="230"/>
      <c r="I21" s="230"/>
      <c r="J21" s="230"/>
      <c r="L21" s="142"/>
      <c r="M21" s="4"/>
      <c r="N21" s="4"/>
      <c r="O21" s="4"/>
      <c r="P21" s="4"/>
      <c r="Q21" s="143"/>
    </row>
    <row r="22" spans="1:21" x14ac:dyDescent="0.25">
      <c r="A22" t="s">
        <v>306</v>
      </c>
      <c r="B22">
        <v>10</v>
      </c>
      <c r="G22" t="s">
        <v>3367</v>
      </c>
      <c r="H22" s="230"/>
      <c r="I22" s="230"/>
      <c r="J22" s="230"/>
      <c r="L22" s="142"/>
      <c r="M22" s="4"/>
      <c r="N22" s="4"/>
      <c r="O22" s="4"/>
      <c r="P22" s="4"/>
      <c r="Q22" s="143"/>
    </row>
    <row r="23" spans="1:21" x14ac:dyDescent="0.25">
      <c r="A23" t="s">
        <v>319</v>
      </c>
      <c r="B23">
        <v>5</v>
      </c>
      <c r="L23" s="142"/>
      <c r="M23" s="4"/>
      <c r="N23" s="4"/>
      <c r="O23" s="4"/>
      <c r="P23" s="4"/>
      <c r="Q23" s="143"/>
    </row>
    <row r="24" spans="1:21" x14ac:dyDescent="0.25">
      <c r="A24" s="209" t="s">
        <v>342</v>
      </c>
      <c r="B24">
        <v>10</v>
      </c>
      <c r="G24" t="s">
        <v>3148</v>
      </c>
      <c r="L24" s="142"/>
      <c r="M24" s="4"/>
      <c r="N24" s="4"/>
      <c r="O24" s="4"/>
      <c r="P24" s="4"/>
      <c r="Q24" s="143"/>
    </row>
    <row r="25" spans="1:21" x14ac:dyDescent="0.25">
      <c r="A25" t="s">
        <v>344</v>
      </c>
      <c r="B25">
        <v>5</v>
      </c>
      <c r="G25" s="210" t="s">
        <v>3314</v>
      </c>
      <c r="L25" s="142"/>
      <c r="M25" s="4"/>
      <c r="N25" s="4"/>
      <c r="O25" s="4"/>
      <c r="P25" s="4"/>
      <c r="Q25" s="143"/>
    </row>
    <row r="26" spans="1:21" x14ac:dyDescent="0.25">
      <c r="A26" t="s">
        <v>348</v>
      </c>
      <c r="B26">
        <v>10</v>
      </c>
      <c r="L26" s="142"/>
      <c r="M26" s="4"/>
      <c r="N26" s="4"/>
      <c r="O26" s="4"/>
      <c r="P26" s="4"/>
      <c r="Q26" s="143"/>
      <c r="U26" s="138"/>
    </row>
    <row r="27" spans="1:21" x14ac:dyDescent="0.25">
      <c r="A27" t="s">
        <v>352</v>
      </c>
      <c r="B27">
        <v>5</v>
      </c>
      <c r="G27" t="s">
        <v>2861</v>
      </c>
      <c r="L27" s="142"/>
      <c r="M27" s="4"/>
      <c r="N27" s="4"/>
      <c r="O27" s="4"/>
      <c r="P27" s="4"/>
      <c r="Q27" s="143"/>
    </row>
    <row r="28" spans="1:21" x14ac:dyDescent="0.25">
      <c r="A28" t="s">
        <v>354</v>
      </c>
      <c r="B28">
        <v>5</v>
      </c>
      <c r="G28" s="211" t="s">
        <v>3349</v>
      </c>
      <c r="L28" s="142"/>
      <c r="M28" s="4"/>
      <c r="N28" s="4"/>
      <c r="O28" s="4"/>
      <c r="P28" s="4"/>
      <c r="Q28" s="143"/>
    </row>
    <row r="29" spans="1:21" x14ac:dyDescent="0.25">
      <c r="A29" t="s">
        <v>366</v>
      </c>
      <c r="B29">
        <v>10</v>
      </c>
      <c r="L29" s="142"/>
      <c r="M29" s="4"/>
      <c r="N29" s="4"/>
      <c r="O29" s="4"/>
      <c r="P29" s="4"/>
      <c r="Q29" s="143"/>
    </row>
    <row r="30" spans="1:21" x14ac:dyDescent="0.25">
      <c r="A30" t="s">
        <v>368</v>
      </c>
      <c r="B30">
        <v>20</v>
      </c>
      <c r="G30" t="s">
        <v>2862</v>
      </c>
      <c r="L30" s="170" t="b">
        <v>0</v>
      </c>
      <c r="M30" s="4"/>
      <c r="N30" s="4"/>
      <c r="O30" s="4"/>
      <c r="P30" s="4"/>
      <c r="Q30" s="143"/>
    </row>
    <row r="31" spans="1:21" x14ac:dyDescent="0.25">
      <c r="A31" t="s">
        <v>370</v>
      </c>
      <c r="B31">
        <v>5</v>
      </c>
      <c r="G31" s="199">
        <v>44538</v>
      </c>
      <c r="L31" s="142"/>
      <c r="M31" s="4"/>
      <c r="N31" s="4"/>
      <c r="O31" s="4"/>
      <c r="P31" s="4"/>
      <c r="Q31" s="143"/>
    </row>
    <row r="32" spans="1:21" x14ac:dyDescent="0.25">
      <c r="A32" t="s">
        <v>98</v>
      </c>
      <c r="B32">
        <v>10</v>
      </c>
      <c r="L32" s="142"/>
      <c r="M32" s="4"/>
      <c r="N32" s="4"/>
      <c r="O32" s="4"/>
      <c r="P32" s="4"/>
      <c r="Q32" s="143"/>
    </row>
    <row r="33" spans="1:17" x14ac:dyDescent="0.25">
      <c r="A33" t="s">
        <v>1362</v>
      </c>
      <c r="B33">
        <v>5</v>
      </c>
      <c r="G33" t="s">
        <v>2863</v>
      </c>
      <c r="L33" s="142"/>
      <c r="M33" s="4"/>
      <c r="N33" s="4"/>
      <c r="O33" s="4"/>
      <c r="P33" s="4"/>
      <c r="Q33" s="143"/>
    </row>
    <row r="34" spans="1:17" x14ac:dyDescent="0.25">
      <c r="A34" t="s">
        <v>54</v>
      </c>
      <c r="B34">
        <v>100</v>
      </c>
      <c r="G34" s="68"/>
      <c r="L34" s="142"/>
      <c r="M34" s="4"/>
      <c r="N34" s="4"/>
      <c r="O34" s="4"/>
      <c r="P34" s="4"/>
      <c r="Q34" s="143"/>
    </row>
    <row r="35" spans="1:17" x14ac:dyDescent="0.25">
      <c r="A35" t="s">
        <v>53</v>
      </c>
      <c r="B35">
        <v>100</v>
      </c>
      <c r="L35" s="142"/>
      <c r="M35" s="174" t="s">
        <v>3168</v>
      </c>
      <c r="N35" s="175">
        <v>12</v>
      </c>
      <c r="O35" s="4"/>
      <c r="P35" s="4"/>
      <c r="Q35" s="143"/>
    </row>
    <row r="36" spans="1:17" x14ac:dyDescent="0.25">
      <c r="A36" t="s">
        <v>52</v>
      </c>
      <c r="B36">
        <v>100</v>
      </c>
      <c r="G36" s="59" t="s">
        <v>2864</v>
      </c>
      <c r="L36" s="142"/>
      <c r="M36" s="174" t="s">
        <v>3167</v>
      </c>
      <c r="N36" s="184" t="s">
        <v>3211</v>
      </c>
      <c r="O36" s="4"/>
      <c r="P36" s="4"/>
      <c r="Q36" s="143"/>
    </row>
    <row r="37" spans="1:17" ht="15.75" thickBot="1" x14ac:dyDescent="0.3">
      <c r="A37" t="s">
        <v>391</v>
      </c>
      <c r="B37">
        <v>60</v>
      </c>
      <c r="G37" s="67">
        <v>3</v>
      </c>
      <c r="L37" s="144"/>
      <c r="M37" s="145"/>
      <c r="N37" s="145"/>
      <c r="O37" s="145"/>
      <c r="P37" s="145"/>
      <c r="Q37" s="146"/>
    </row>
    <row r="38" spans="1:17" x14ac:dyDescent="0.25">
      <c r="A38" t="s">
        <v>393</v>
      </c>
      <c r="B38">
        <v>100</v>
      </c>
    </row>
    <row r="39" spans="1:17" x14ac:dyDescent="0.25">
      <c r="A39" t="s">
        <v>51</v>
      </c>
      <c r="B39">
        <v>30</v>
      </c>
    </row>
    <row r="40" spans="1:17" x14ac:dyDescent="0.25">
      <c r="A40" t="s">
        <v>396</v>
      </c>
      <c r="B40">
        <v>20</v>
      </c>
      <c r="G40" s="5" t="s">
        <v>3169</v>
      </c>
      <c r="H40" s="5"/>
    </row>
    <row r="41" spans="1:17" x14ac:dyDescent="0.25">
      <c r="A41" t="s">
        <v>84</v>
      </c>
      <c r="B41">
        <v>20</v>
      </c>
    </row>
    <row r="42" spans="1:17" ht="33" customHeight="1" x14ac:dyDescent="0.25">
      <c r="A42" t="s">
        <v>49</v>
      </c>
      <c r="B42">
        <v>20</v>
      </c>
      <c r="G42" s="231" t="s">
        <v>3170</v>
      </c>
      <c r="H42" s="231"/>
    </row>
    <row r="43" spans="1:17" x14ac:dyDescent="0.25">
      <c r="A43" t="s">
        <v>48</v>
      </c>
      <c r="B43">
        <v>15</v>
      </c>
    </row>
    <row r="44" spans="1:17" x14ac:dyDescent="0.25">
      <c r="A44" t="s">
        <v>433</v>
      </c>
      <c r="B44">
        <v>10</v>
      </c>
      <c r="G44" s="5" t="s">
        <v>2876</v>
      </c>
      <c r="H44" s="5"/>
      <c r="I44" s="5"/>
      <c r="J44" s="5"/>
    </row>
    <row r="45" spans="1:17" x14ac:dyDescent="0.25">
      <c r="A45" t="s">
        <v>435</v>
      </c>
      <c r="B45">
        <v>50</v>
      </c>
    </row>
    <row r="46" spans="1:17" x14ac:dyDescent="0.25">
      <c r="A46" t="s">
        <v>443</v>
      </c>
      <c r="B46">
        <v>5</v>
      </c>
    </row>
    <row r="47" spans="1:17" x14ac:dyDescent="0.25">
      <c r="A47" t="s">
        <v>447</v>
      </c>
      <c r="B47">
        <v>10</v>
      </c>
    </row>
    <row r="48" spans="1:17" x14ac:dyDescent="0.25">
      <c r="A48" t="s">
        <v>453</v>
      </c>
      <c r="B48">
        <v>5</v>
      </c>
    </row>
    <row r="49" spans="1:2" x14ac:dyDescent="0.25">
      <c r="A49" t="s">
        <v>455</v>
      </c>
      <c r="B49">
        <v>15</v>
      </c>
    </row>
    <row r="50" spans="1:2" x14ac:dyDescent="0.25">
      <c r="A50" t="s">
        <v>457</v>
      </c>
      <c r="B50">
        <v>25</v>
      </c>
    </row>
    <row r="51" spans="1:2" x14ac:dyDescent="0.25">
      <c r="A51" t="s">
        <v>459</v>
      </c>
      <c r="B51">
        <v>10</v>
      </c>
    </row>
    <row r="52" spans="1:2" x14ac:dyDescent="0.25">
      <c r="A52" t="s">
        <v>47</v>
      </c>
      <c r="B52">
        <v>10</v>
      </c>
    </row>
    <row r="53" spans="1:2" x14ac:dyDescent="0.25">
      <c r="A53" t="s">
        <v>471</v>
      </c>
      <c r="B53">
        <v>20</v>
      </c>
    </row>
    <row r="54" spans="1:2" x14ac:dyDescent="0.25">
      <c r="A54" t="s">
        <v>473</v>
      </c>
      <c r="B54">
        <v>25</v>
      </c>
    </row>
    <row r="55" spans="1:2" x14ac:dyDescent="0.25">
      <c r="A55" t="s">
        <v>46</v>
      </c>
      <c r="B55">
        <v>80</v>
      </c>
    </row>
    <row r="56" spans="1:2" x14ac:dyDescent="0.25">
      <c r="A56" t="s">
        <v>477</v>
      </c>
      <c r="B56">
        <v>5</v>
      </c>
    </row>
    <row r="57" spans="1:2" x14ac:dyDescent="0.25">
      <c r="A57" t="s">
        <v>43</v>
      </c>
      <c r="B57">
        <v>30</v>
      </c>
    </row>
    <row r="58" spans="1:2" x14ac:dyDescent="0.25">
      <c r="A58" t="s">
        <v>484</v>
      </c>
      <c r="B58">
        <v>5</v>
      </c>
    </row>
    <row r="59" spans="1:2" x14ac:dyDescent="0.25">
      <c r="A59" t="s">
        <v>42</v>
      </c>
      <c r="B59">
        <v>50</v>
      </c>
    </row>
    <row r="60" spans="1:2" x14ac:dyDescent="0.25">
      <c r="A60" t="s">
        <v>40</v>
      </c>
      <c r="B60">
        <v>5</v>
      </c>
    </row>
    <row r="61" spans="1:2" x14ac:dyDescent="0.25">
      <c r="A61" t="s">
        <v>492</v>
      </c>
      <c r="B61">
        <v>15</v>
      </c>
    </row>
    <row r="62" spans="1:2" x14ac:dyDescent="0.25">
      <c r="A62" t="s">
        <v>495</v>
      </c>
      <c r="B62">
        <v>5</v>
      </c>
    </row>
    <row r="63" spans="1:2" x14ac:dyDescent="0.25">
      <c r="A63" t="s">
        <v>497</v>
      </c>
      <c r="B63">
        <v>25</v>
      </c>
    </row>
    <row r="64" spans="1:2" x14ac:dyDescent="0.25">
      <c r="A64" t="s">
        <v>37</v>
      </c>
      <c r="B64">
        <v>15</v>
      </c>
    </row>
    <row r="65" spans="1:2" x14ac:dyDescent="0.25">
      <c r="A65" t="s">
        <v>36</v>
      </c>
      <c r="B65">
        <v>30</v>
      </c>
    </row>
    <row r="66" spans="1:2" x14ac:dyDescent="0.25">
      <c r="A66" t="s">
        <v>512</v>
      </c>
      <c r="B66">
        <v>20</v>
      </c>
    </row>
    <row r="67" spans="1:2" x14ac:dyDescent="0.25">
      <c r="A67" t="s">
        <v>514</v>
      </c>
      <c r="B67">
        <v>10</v>
      </c>
    </row>
    <row r="68" spans="1:2" x14ac:dyDescent="0.25">
      <c r="A68" t="s">
        <v>516</v>
      </c>
      <c r="B68">
        <v>5</v>
      </c>
    </row>
    <row r="69" spans="1:2" x14ac:dyDescent="0.25">
      <c r="A69" t="s">
        <v>34</v>
      </c>
      <c r="B69">
        <v>100</v>
      </c>
    </row>
    <row r="70" spans="1:2" x14ac:dyDescent="0.25">
      <c r="A70" t="s">
        <v>33</v>
      </c>
      <c r="B70">
        <v>15</v>
      </c>
    </row>
    <row r="71" spans="1:2" x14ac:dyDescent="0.25">
      <c r="A71" s="208" t="s">
        <v>32</v>
      </c>
      <c r="B71">
        <v>20</v>
      </c>
    </row>
    <row r="72" spans="1:2" x14ac:dyDescent="0.25">
      <c r="A72" t="s">
        <v>31</v>
      </c>
      <c r="B72">
        <v>10</v>
      </c>
    </row>
    <row r="73" spans="1:2" x14ac:dyDescent="0.25">
      <c r="A73" t="s">
        <v>83</v>
      </c>
      <c r="B73">
        <v>30</v>
      </c>
    </row>
    <row r="74" spans="1:2" x14ac:dyDescent="0.25">
      <c r="A74" t="s">
        <v>532</v>
      </c>
      <c r="B74">
        <v>50</v>
      </c>
    </row>
    <row r="75" spans="1:2" x14ac:dyDescent="0.25">
      <c r="A75" t="s">
        <v>535</v>
      </c>
      <c r="B75">
        <v>10</v>
      </c>
    </row>
    <row r="76" spans="1:2" x14ac:dyDescent="0.25">
      <c r="A76" t="s">
        <v>29</v>
      </c>
      <c r="B76">
        <v>5</v>
      </c>
    </row>
    <row r="77" spans="1:2" x14ac:dyDescent="0.25">
      <c r="A77" t="s">
        <v>546</v>
      </c>
      <c r="B77">
        <v>25</v>
      </c>
    </row>
    <row r="78" spans="1:2" x14ac:dyDescent="0.25">
      <c r="A78" t="s">
        <v>556</v>
      </c>
      <c r="B78">
        <v>5</v>
      </c>
    </row>
    <row r="79" spans="1:2" x14ac:dyDescent="0.25">
      <c r="A79" t="s">
        <v>558</v>
      </c>
      <c r="B79">
        <v>5</v>
      </c>
    </row>
    <row r="80" spans="1:2" x14ac:dyDescent="0.25">
      <c r="A80" t="s">
        <v>562</v>
      </c>
      <c r="B80">
        <v>5</v>
      </c>
    </row>
    <row r="81" spans="1:2" x14ac:dyDescent="0.25">
      <c r="A81" t="s">
        <v>564</v>
      </c>
      <c r="B81">
        <v>5</v>
      </c>
    </row>
    <row r="82" spans="1:2" x14ac:dyDescent="0.25">
      <c r="A82" t="s">
        <v>28</v>
      </c>
      <c r="B82">
        <v>5</v>
      </c>
    </row>
    <row r="83" spans="1:2" x14ac:dyDescent="0.25">
      <c r="A83" t="s">
        <v>27</v>
      </c>
      <c r="B83">
        <v>10</v>
      </c>
    </row>
    <row r="84" spans="1:2" x14ac:dyDescent="0.25">
      <c r="A84" t="s">
        <v>585</v>
      </c>
      <c r="B84">
        <v>10</v>
      </c>
    </row>
    <row r="85" spans="1:2" x14ac:dyDescent="0.25">
      <c r="A85" t="s">
        <v>589</v>
      </c>
      <c r="B85">
        <v>20</v>
      </c>
    </row>
    <row r="86" spans="1:2" x14ac:dyDescent="0.25">
      <c r="A86" t="s">
        <v>591</v>
      </c>
      <c r="B86">
        <v>5</v>
      </c>
    </row>
    <row r="87" spans="1:2" x14ac:dyDescent="0.25">
      <c r="A87" t="s">
        <v>25</v>
      </c>
      <c r="B87">
        <v>100</v>
      </c>
    </row>
    <row r="88" spans="1:2" x14ac:dyDescent="0.25">
      <c r="A88" t="s">
        <v>22</v>
      </c>
      <c r="B88">
        <v>25</v>
      </c>
    </row>
    <row r="89" spans="1:2" x14ac:dyDescent="0.25">
      <c r="A89" t="s">
        <v>21</v>
      </c>
      <c r="B89">
        <v>25</v>
      </c>
    </row>
    <row r="90" spans="1:2" x14ac:dyDescent="0.25">
      <c r="A90" t="s">
        <v>20</v>
      </c>
      <c r="B90">
        <v>60</v>
      </c>
    </row>
    <row r="91" spans="1:2" x14ac:dyDescent="0.25">
      <c r="A91" t="s">
        <v>614</v>
      </c>
      <c r="B91">
        <v>30</v>
      </c>
    </row>
    <row r="92" spans="1:2" x14ac:dyDescent="0.25">
      <c r="A92" t="s">
        <v>616</v>
      </c>
      <c r="B92">
        <v>5</v>
      </c>
    </row>
    <row r="93" spans="1:2" x14ac:dyDescent="0.25">
      <c r="A93" t="s">
        <v>618</v>
      </c>
      <c r="B93">
        <v>15</v>
      </c>
    </row>
    <row r="94" spans="1:2" x14ac:dyDescent="0.25">
      <c r="A94" t="s">
        <v>620</v>
      </c>
      <c r="B94">
        <v>5</v>
      </c>
    </row>
    <row r="95" spans="1:2" x14ac:dyDescent="0.25">
      <c r="A95" t="s">
        <v>17</v>
      </c>
      <c r="B95">
        <v>20</v>
      </c>
    </row>
    <row r="96" spans="1:2" x14ac:dyDescent="0.25">
      <c r="A96" t="s">
        <v>16</v>
      </c>
      <c r="B96">
        <v>15</v>
      </c>
    </row>
    <row r="97" spans="1:2" x14ac:dyDescent="0.25">
      <c r="A97" t="s">
        <v>14</v>
      </c>
      <c r="B97">
        <v>20</v>
      </c>
    </row>
    <row r="98" spans="1:2" x14ac:dyDescent="0.25">
      <c r="A98" t="s">
        <v>86</v>
      </c>
      <c r="B98">
        <v>5</v>
      </c>
    </row>
    <row r="99" spans="1:2" x14ac:dyDescent="0.25">
      <c r="A99" t="s">
        <v>647</v>
      </c>
      <c r="B99">
        <v>5</v>
      </c>
    </row>
    <row r="100" spans="1:2" x14ac:dyDescent="0.25">
      <c r="A100" t="s">
        <v>656</v>
      </c>
      <c r="B100">
        <v>15</v>
      </c>
    </row>
    <row r="101" spans="1:2" x14ac:dyDescent="0.25">
      <c r="A101" t="s">
        <v>659</v>
      </c>
      <c r="B101">
        <v>10</v>
      </c>
    </row>
    <row r="102" spans="1:2" x14ac:dyDescent="0.25">
      <c r="A102" t="s">
        <v>661</v>
      </c>
      <c r="B102">
        <v>10</v>
      </c>
    </row>
    <row r="103" spans="1:2" x14ac:dyDescent="0.25">
      <c r="A103" t="s">
        <v>13</v>
      </c>
      <c r="B103">
        <v>25</v>
      </c>
    </row>
    <row r="104" spans="1:2" x14ac:dyDescent="0.25">
      <c r="A104" t="s">
        <v>12</v>
      </c>
      <c r="B104">
        <v>5</v>
      </c>
    </row>
    <row r="105" spans="1:2" x14ac:dyDescent="0.25">
      <c r="A105" t="s">
        <v>10</v>
      </c>
      <c r="B105">
        <v>100</v>
      </c>
    </row>
    <row r="106" spans="1:2" x14ac:dyDescent="0.25">
      <c r="A106" t="s">
        <v>671</v>
      </c>
      <c r="B106">
        <v>10</v>
      </c>
    </row>
    <row r="107" spans="1:2" x14ac:dyDescent="0.25">
      <c r="A107" t="s">
        <v>9</v>
      </c>
      <c r="B107">
        <v>5</v>
      </c>
    </row>
    <row r="108" spans="1:2" x14ac:dyDescent="0.25">
      <c r="A108" t="s">
        <v>690</v>
      </c>
      <c r="B108">
        <v>20</v>
      </c>
    </row>
    <row r="109" spans="1:2" x14ac:dyDescent="0.25">
      <c r="A109" t="s">
        <v>7</v>
      </c>
      <c r="B109">
        <v>20</v>
      </c>
    </row>
    <row r="110" spans="1:2" x14ac:dyDescent="0.25">
      <c r="A110" t="s">
        <v>6</v>
      </c>
      <c r="B110">
        <v>20</v>
      </c>
    </row>
    <row r="111" spans="1:2" x14ac:dyDescent="0.25">
      <c r="A111" t="s">
        <v>5</v>
      </c>
      <c r="B111">
        <v>10</v>
      </c>
    </row>
    <row r="112" spans="1:2" x14ac:dyDescent="0.25">
      <c r="A112" t="s">
        <v>4</v>
      </c>
      <c r="B112">
        <v>20</v>
      </c>
    </row>
    <row r="113" spans="1:2" x14ac:dyDescent="0.25">
      <c r="A113" t="s">
        <v>88</v>
      </c>
      <c r="B113">
        <v>200</v>
      </c>
    </row>
    <row r="114" spans="1:2" x14ac:dyDescent="0.25">
      <c r="A114" t="s">
        <v>1237</v>
      </c>
      <c r="B114">
        <v>15</v>
      </c>
    </row>
    <row r="115" spans="1:2" x14ac:dyDescent="0.25">
      <c r="A115" t="s">
        <v>1242</v>
      </c>
      <c r="B115">
        <v>5</v>
      </c>
    </row>
    <row r="116" spans="1:2" x14ac:dyDescent="0.25">
      <c r="A116" t="s">
        <v>2858</v>
      </c>
      <c r="B116">
        <v>2</v>
      </c>
    </row>
    <row r="117" spans="1:2" x14ac:dyDescent="0.25">
      <c r="A117" t="s">
        <v>2024</v>
      </c>
      <c r="B117">
        <v>5</v>
      </c>
    </row>
    <row r="118" spans="1:2" x14ac:dyDescent="0.25">
      <c r="A118" t="s">
        <v>2027</v>
      </c>
      <c r="B118">
        <v>5</v>
      </c>
    </row>
    <row r="119" spans="1:2" x14ac:dyDescent="0.25">
      <c r="A119" t="s">
        <v>2033</v>
      </c>
      <c r="B119">
        <v>5</v>
      </c>
    </row>
    <row r="120" spans="1:2" x14ac:dyDescent="0.25">
      <c r="A120" t="s">
        <v>1442</v>
      </c>
      <c r="B120">
        <v>50</v>
      </c>
    </row>
    <row r="121" spans="1:2" x14ac:dyDescent="0.25">
      <c r="A121" t="s">
        <v>1445</v>
      </c>
      <c r="B121">
        <v>40</v>
      </c>
    </row>
    <row r="122" spans="1:2" x14ac:dyDescent="0.25">
      <c r="A122" s="208" t="s">
        <v>1433</v>
      </c>
      <c r="B122">
        <v>5</v>
      </c>
    </row>
    <row r="123" spans="1:2" x14ac:dyDescent="0.25">
      <c r="A123" t="s">
        <v>1436</v>
      </c>
      <c r="B123">
        <v>500</v>
      </c>
    </row>
    <row r="124" spans="1:2" x14ac:dyDescent="0.25">
      <c r="A124" t="s">
        <v>1307</v>
      </c>
      <c r="B124">
        <v>25</v>
      </c>
    </row>
    <row r="125" spans="1:2" x14ac:dyDescent="0.25">
      <c r="A125" t="s">
        <v>752</v>
      </c>
      <c r="B125">
        <v>80</v>
      </c>
    </row>
    <row r="126" spans="1:2" x14ac:dyDescent="0.25">
      <c r="A126" t="s">
        <v>1</v>
      </c>
      <c r="B126">
        <v>5</v>
      </c>
    </row>
    <row r="127" spans="1:2" x14ac:dyDescent="0.25">
      <c r="A127" t="s">
        <v>0</v>
      </c>
      <c r="B127">
        <v>20</v>
      </c>
    </row>
    <row r="128" spans="1:2" x14ac:dyDescent="0.25">
      <c r="A128" t="s">
        <v>758</v>
      </c>
      <c r="B128">
        <v>10</v>
      </c>
    </row>
    <row r="129" spans="1:2" x14ac:dyDescent="0.25">
      <c r="A129" t="s">
        <v>1448</v>
      </c>
      <c r="B129">
        <v>15</v>
      </c>
    </row>
    <row r="130" spans="1:2" x14ac:dyDescent="0.25">
      <c r="A130" t="s">
        <v>1283</v>
      </c>
      <c r="B130">
        <v>5</v>
      </c>
    </row>
    <row r="131" spans="1:2" x14ac:dyDescent="0.25">
      <c r="A131" t="s">
        <v>1291</v>
      </c>
      <c r="B131">
        <v>10</v>
      </c>
    </row>
    <row r="132" spans="1:2" x14ac:dyDescent="0.25">
      <c r="A132" t="s">
        <v>1384</v>
      </c>
      <c r="B132">
        <v>20</v>
      </c>
    </row>
    <row r="133" spans="1:2" x14ac:dyDescent="0.25">
      <c r="A133" t="s">
        <v>1461</v>
      </c>
      <c r="B133">
        <v>10</v>
      </c>
    </row>
    <row r="134" spans="1:2" x14ac:dyDescent="0.25">
      <c r="A134" t="s">
        <v>1466</v>
      </c>
      <c r="B134">
        <v>15</v>
      </c>
    </row>
    <row r="135" spans="1:2" x14ac:dyDescent="0.25">
      <c r="A135" t="s">
        <v>1472</v>
      </c>
      <c r="B135">
        <v>5</v>
      </c>
    </row>
    <row r="136" spans="1:2" x14ac:dyDescent="0.25">
      <c r="A136" t="s">
        <v>1367</v>
      </c>
      <c r="B136">
        <v>15</v>
      </c>
    </row>
    <row r="137" spans="1:2" x14ac:dyDescent="0.25">
      <c r="A137" t="s">
        <v>1370</v>
      </c>
      <c r="B137">
        <v>25</v>
      </c>
    </row>
    <row r="138" spans="1:2" x14ac:dyDescent="0.25">
      <c r="A138" t="s">
        <v>1373</v>
      </c>
      <c r="B138">
        <v>40</v>
      </c>
    </row>
    <row r="139" spans="1:2" x14ac:dyDescent="0.25">
      <c r="A139" t="s">
        <v>1375</v>
      </c>
      <c r="B139">
        <v>40</v>
      </c>
    </row>
    <row r="140" spans="1:2" x14ac:dyDescent="0.25">
      <c r="A140" t="s">
        <v>59</v>
      </c>
      <c r="B140">
        <v>25</v>
      </c>
    </row>
    <row r="141" spans="1:2" x14ac:dyDescent="0.25">
      <c r="A141" t="s">
        <v>888</v>
      </c>
      <c r="B141">
        <v>20</v>
      </c>
    </row>
    <row r="142" spans="1:2" x14ac:dyDescent="0.25">
      <c r="A142" t="s">
        <v>62</v>
      </c>
      <c r="B142">
        <v>15</v>
      </c>
    </row>
    <row r="143" spans="1:2" x14ac:dyDescent="0.25">
      <c r="A143" t="s">
        <v>930</v>
      </c>
      <c r="B143">
        <v>5</v>
      </c>
    </row>
    <row r="144" spans="1:2" x14ac:dyDescent="0.25">
      <c r="A144" t="s">
        <v>949</v>
      </c>
      <c r="B144">
        <v>5</v>
      </c>
    </row>
    <row r="145" spans="1:2" x14ac:dyDescent="0.25">
      <c r="A145" t="s">
        <v>953</v>
      </c>
      <c r="B145">
        <v>15</v>
      </c>
    </row>
    <row r="146" spans="1:2" x14ac:dyDescent="0.25">
      <c r="A146" t="s">
        <v>63</v>
      </c>
      <c r="B146">
        <v>10</v>
      </c>
    </row>
    <row r="147" spans="1:2" x14ac:dyDescent="0.25">
      <c r="A147" t="s">
        <v>1613</v>
      </c>
      <c r="B147">
        <v>5</v>
      </c>
    </row>
    <row r="148" spans="1:2" x14ac:dyDescent="0.25">
      <c r="A148" t="s">
        <v>1623</v>
      </c>
      <c r="B148">
        <v>5</v>
      </c>
    </row>
    <row r="149" spans="1:2" x14ac:dyDescent="0.25">
      <c r="A149" t="s">
        <v>1632</v>
      </c>
      <c r="B149">
        <v>5</v>
      </c>
    </row>
    <row r="150" spans="1:2" x14ac:dyDescent="0.25">
      <c r="A150" t="s">
        <v>1638</v>
      </c>
      <c r="B150">
        <v>5</v>
      </c>
    </row>
    <row r="151" spans="1:2" x14ac:dyDescent="0.25">
      <c r="A151" t="s">
        <v>1718</v>
      </c>
      <c r="B151">
        <v>5</v>
      </c>
    </row>
    <row r="152" spans="1:2" x14ac:dyDescent="0.25">
      <c r="A152" t="s">
        <v>2243</v>
      </c>
      <c r="B152">
        <v>10</v>
      </c>
    </row>
    <row r="153" spans="1:2" x14ac:dyDescent="0.25">
      <c r="A153" t="s">
        <v>1999</v>
      </c>
      <c r="B153">
        <v>5</v>
      </c>
    </row>
    <row r="154" spans="1:2" x14ac:dyDescent="0.25">
      <c r="A154" t="s">
        <v>2095</v>
      </c>
      <c r="B154">
        <v>5</v>
      </c>
    </row>
    <row r="155" spans="1:2" x14ac:dyDescent="0.25">
      <c r="A155" t="s">
        <v>1648</v>
      </c>
      <c r="B155">
        <v>5</v>
      </c>
    </row>
    <row r="156" spans="1:2" x14ac:dyDescent="0.25">
      <c r="A156" t="s">
        <v>1654</v>
      </c>
      <c r="B156">
        <v>5</v>
      </c>
    </row>
    <row r="157" spans="1:2" x14ac:dyDescent="0.25">
      <c r="A157" t="s">
        <v>1955</v>
      </c>
      <c r="B157">
        <v>5</v>
      </c>
    </row>
    <row r="158" spans="1:2" x14ac:dyDescent="0.25">
      <c r="A158" t="s">
        <v>1816</v>
      </c>
      <c r="B158">
        <v>5</v>
      </c>
    </row>
    <row r="159" spans="1:2" x14ac:dyDescent="0.25">
      <c r="A159" t="s">
        <v>1964</v>
      </c>
      <c r="B159">
        <v>5</v>
      </c>
    </row>
    <row r="160" spans="1:2" x14ac:dyDescent="0.25">
      <c r="A160" t="s">
        <v>1976</v>
      </c>
      <c r="B160">
        <v>5</v>
      </c>
    </row>
    <row r="161" spans="1:2" x14ac:dyDescent="0.25">
      <c r="A161" t="s">
        <v>1979</v>
      </c>
      <c r="B161">
        <v>5</v>
      </c>
    </row>
    <row r="162" spans="1:2" x14ac:dyDescent="0.25">
      <c r="A162" t="s">
        <v>1982</v>
      </c>
      <c r="B162">
        <v>5</v>
      </c>
    </row>
    <row r="163" spans="1:2" x14ac:dyDescent="0.25">
      <c r="A163" t="s">
        <v>2039</v>
      </c>
      <c r="B163">
        <v>5</v>
      </c>
    </row>
    <row r="164" spans="1:2" x14ac:dyDescent="0.25">
      <c r="A164" t="s">
        <v>2048</v>
      </c>
      <c r="B164">
        <v>5</v>
      </c>
    </row>
    <row r="165" spans="1:2" x14ac:dyDescent="0.25">
      <c r="A165" t="s">
        <v>2054</v>
      </c>
      <c r="B165">
        <v>5</v>
      </c>
    </row>
    <row r="166" spans="1:2" x14ac:dyDescent="0.25">
      <c r="A166" t="s">
        <v>2273</v>
      </c>
      <c r="B166">
        <v>10</v>
      </c>
    </row>
    <row r="167" spans="1:2" x14ac:dyDescent="0.25">
      <c r="A167" t="s">
        <v>1913</v>
      </c>
      <c r="B167">
        <v>5</v>
      </c>
    </row>
    <row r="168" spans="1:2" x14ac:dyDescent="0.25">
      <c r="A168" t="s">
        <v>1916</v>
      </c>
      <c r="B168">
        <v>10</v>
      </c>
    </row>
    <row r="169" spans="1:2" x14ac:dyDescent="0.25">
      <c r="A169" t="s">
        <v>1919</v>
      </c>
      <c r="B169">
        <v>5</v>
      </c>
    </row>
    <row r="170" spans="1:2" x14ac:dyDescent="0.25">
      <c r="A170" t="s">
        <v>1937</v>
      </c>
      <c r="B170">
        <v>5</v>
      </c>
    </row>
    <row r="171" spans="1:2" x14ac:dyDescent="0.25">
      <c r="A171" t="s">
        <v>2333</v>
      </c>
      <c r="B171">
        <v>5</v>
      </c>
    </row>
    <row r="172" spans="1:2" x14ac:dyDescent="0.25">
      <c r="A172" t="s">
        <v>2402</v>
      </c>
      <c r="B172">
        <v>5</v>
      </c>
    </row>
    <row r="173" spans="1:2" x14ac:dyDescent="0.25">
      <c r="A173" t="s">
        <v>2162</v>
      </c>
      <c r="B173">
        <v>5</v>
      </c>
    </row>
    <row r="174" spans="1:2" x14ac:dyDescent="0.25">
      <c r="A174" t="s">
        <v>2168</v>
      </c>
      <c r="B174">
        <v>5</v>
      </c>
    </row>
    <row r="175" spans="1:2" x14ac:dyDescent="0.25">
      <c r="A175" t="s">
        <v>2177</v>
      </c>
      <c r="B175">
        <v>5</v>
      </c>
    </row>
    <row r="176" spans="1:2" x14ac:dyDescent="0.25">
      <c r="A176" t="s">
        <v>2189</v>
      </c>
      <c r="B176">
        <v>5</v>
      </c>
    </row>
    <row r="177" spans="1:2" x14ac:dyDescent="0.25">
      <c r="A177" t="s">
        <v>2192</v>
      </c>
      <c r="B177">
        <v>5</v>
      </c>
    </row>
    <row r="178" spans="1:2" x14ac:dyDescent="0.25">
      <c r="A178" t="s">
        <v>2198</v>
      </c>
      <c r="B178">
        <v>5</v>
      </c>
    </row>
    <row r="179" spans="1:2" x14ac:dyDescent="0.25">
      <c r="A179" t="s">
        <v>2201</v>
      </c>
      <c r="B179">
        <v>5</v>
      </c>
    </row>
    <row r="180" spans="1:2" x14ac:dyDescent="0.25">
      <c r="A180" t="s">
        <v>2204</v>
      </c>
      <c r="B180">
        <v>5</v>
      </c>
    </row>
    <row r="181" spans="1:2" x14ac:dyDescent="0.25">
      <c r="A181" t="s">
        <v>1889</v>
      </c>
      <c r="B181">
        <v>5</v>
      </c>
    </row>
    <row r="182" spans="1:2" x14ac:dyDescent="0.25">
      <c r="A182" t="s">
        <v>1904</v>
      </c>
      <c r="B182">
        <v>5</v>
      </c>
    </row>
    <row r="183" spans="1:2" x14ac:dyDescent="0.25">
      <c r="A183" t="s">
        <v>1512</v>
      </c>
      <c r="B183">
        <v>10</v>
      </c>
    </row>
    <row r="184" spans="1:2" x14ac:dyDescent="0.25">
      <c r="A184" t="s">
        <v>1527</v>
      </c>
      <c r="B184">
        <v>5</v>
      </c>
    </row>
    <row r="185" spans="1:2" x14ac:dyDescent="0.25">
      <c r="A185" t="s">
        <v>1536</v>
      </c>
      <c r="B185">
        <v>5</v>
      </c>
    </row>
    <row r="186" spans="1:2" x14ac:dyDescent="0.25">
      <c r="A186" t="s">
        <v>1539</v>
      </c>
      <c r="B186">
        <v>5</v>
      </c>
    </row>
    <row r="187" spans="1:2" x14ac:dyDescent="0.25">
      <c r="A187" t="s">
        <v>1542</v>
      </c>
      <c r="B187">
        <v>5</v>
      </c>
    </row>
    <row r="188" spans="1:2" x14ac:dyDescent="0.25">
      <c r="A188" t="s">
        <v>1548</v>
      </c>
      <c r="B188">
        <v>10</v>
      </c>
    </row>
    <row r="189" spans="1:2" x14ac:dyDescent="0.25">
      <c r="A189" t="s">
        <v>1566</v>
      </c>
      <c r="B189">
        <v>5</v>
      </c>
    </row>
    <row r="190" spans="1:2" x14ac:dyDescent="0.25">
      <c r="A190" t="s">
        <v>1569</v>
      </c>
      <c r="B190">
        <v>10</v>
      </c>
    </row>
    <row r="191" spans="1:2" x14ac:dyDescent="0.25">
      <c r="A191" t="s">
        <v>2110</v>
      </c>
      <c r="B191">
        <v>15</v>
      </c>
    </row>
    <row r="192" spans="1:2" x14ac:dyDescent="0.25">
      <c r="A192" t="s">
        <v>1832</v>
      </c>
      <c r="B192">
        <v>5</v>
      </c>
    </row>
    <row r="193" spans="1:2" x14ac:dyDescent="0.25">
      <c r="A193" t="s">
        <v>2300</v>
      </c>
      <c r="B193">
        <v>5</v>
      </c>
    </row>
    <row r="194" spans="1:2" x14ac:dyDescent="0.25">
      <c r="A194" t="s">
        <v>1850</v>
      </c>
      <c r="B194">
        <v>5</v>
      </c>
    </row>
    <row r="195" spans="1:2" x14ac:dyDescent="0.25">
      <c r="A195" t="s">
        <v>2303</v>
      </c>
      <c r="B195">
        <v>5</v>
      </c>
    </row>
    <row r="196" spans="1:2" x14ac:dyDescent="0.25">
      <c r="A196" t="s">
        <v>1856</v>
      </c>
      <c r="B196">
        <v>5</v>
      </c>
    </row>
    <row r="197" spans="1:2" x14ac:dyDescent="0.25">
      <c r="A197" t="s">
        <v>2306</v>
      </c>
      <c r="B197">
        <v>5</v>
      </c>
    </row>
    <row r="198" spans="1:2" x14ac:dyDescent="0.25">
      <c r="A198" t="s">
        <v>1865</v>
      </c>
      <c r="B198">
        <v>5</v>
      </c>
    </row>
    <row r="199" spans="1:2" x14ac:dyDescent="0.25">
      <c r="A199" t="s">
        <v>1868</v>
      </c>
      <c r="B199">
        <v>5</v>
      </c>
    </row>
    <row r="200" spans="1:2" x14ac:dyDescent="0.25">
      <c r="A200" t="s">
        <v>1946</v>
      </c>
      <c r="B200">
        <v>5</v>
      </c>
    </row>
    <row r="201" spans="1:2" x14ac:dyDescent="0.25">
      <c r="A201" t="s">
        <v>2240</v>
      </c>
      <c r="B201">
        <v>40</v>
      </c>
    </row>
    <row r="202" spans="1:2" x14ac:dyDescent="0.25">
      <c r="A202" t="s">
        <v>2282</v>
      </c>
      <c r="B202">
        <v>5</v>
      </c>
    </row>
    <row r="203" spans="1:2" x14ac:dyDescent="0.25">
      <c r="A203" t="s">
        <v>2258</v>
      </c>
      <c r="B203">
        <v>5</v>
      </c>
    </row>
    <row r="204" spans="1:2" x14ac:dyDescent="0.25">
      <c r="A204" t="s">
        <v>1132</v>
      </c>
      <c r="B204">
        <v>5</v>
      </c>
    </row>
    <row r="205" spans="1:2" x14ac:dyDescent="0.25">
      <c r="A205" s="208" t="s">
        <v>1420</v>
      </c>
      <c r="B205">
        <v>5</v>
      </c>
    </row>
  </sheetData>
  <mergeCells count="3">
    <mergeCell ref="M3:P3"/>
    <mergeCell ref="H16:J22"/>
    <mergeCell ref="G42:H42"/>
  </mergeCells>
  <phoneticPr fontId="19" type="noConversion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229380" r:id="rId4" name="clear_all">
          <controlPr defaultSize="0" print="0" autoLine="0" r:id="rId5">
            <anchor moveWithCells="1">
              <from>
                <xdr:col>6</xdr:col>
                <xdr:colOff>66675</xdr:colOff>
                <xdr:row>1</xdr:row>
                <xdr:rowOff>161925</xdr:rowOff>
              </from>
              <to>
                <xdr:col>6</xdr:col>
                <xdr:colOff>1295400</xdr:colOff>
                <xdr:row>5</xdr:row>
                <xdr:rowOff>57150</xdr:rowOff>
              </to>
            </anchor>
          </controlPr>
        </control>
      </mc:Choice>
      <mc:Fallback>
        <control shapeId="229380" r:id="rId4" name="clear_all"/>
      </mc:Fallback>
    </mc:AlternateContent>
    <mc:AlternateContent xmlns:mc="http://schemas.openxmlformats.org/markup-compatibility/2006">
      <mc:Choice Requires="x14">
        <control shapeId="229379" r:id="rId6" name="address">
          <controlPr defaultSize="0" autoLine="0" linkedCell="G22" r:id="rId7">
            <anchor moveWithCells="1">
              <from>
                <xdr:col>5</xdr:col>
                <xdr:colOff>600075</xdr:colOff>
                <xdr:row>18</xdr:row>
                <xdr:rowOff>142875</xdr:rowOff>
              </from>
              <to>
                <xdr:col>6</xdr:col>
                <xdr:colOff>2133600</xdr:colOff>
                <xdr:row>20</xdr:row>
                <xdr:rowOff>9525</xdr:rowOff>
              </to>
            </anchor>
          </controlPr>
        </control>
      </mc:Choice>
      <mc:Fallback>
        <control shapeId="229379" r:id="rId6" name="address"/>
      </mc:Fallback>
    </mc:AlternateContent>
    <mc:AlternateContent xmlns:mc="http://schemas.openxmlformats.org/markup-compatibility/2006">
      <mc:Choice Requires="x14">
        <control shapeId="229378" r:id="rId8" name="country">
          <controlPr locked="0" defaultSize="0" autoLine="0" autoPict="0" linkedCell="G18" r:id="rId9">
            <anchor moveWithCells="1">
              <from>
                <xdr:col>6</xdr:col>
                <xdr:colOff>9525</xdr:colOff>
                <xdr:row>15</xdr:row>
                <xdr:rowOff>9525</xdr:rowOff>
              </from>
              <to>
                <xdr:col>6</xdr:col>
                <xdr:colOff>1409700</xdr:colOff>
                <xdr:row>16</xdr:row>
                <xdr:rowOff>47625</xdr:rowOff>
              </to>
            </anchor>
          </controlPr>
        </control>
      </mc:Choice>
      <mc:Fallback>
        <control shapeId="229378" r:id="rId8" name="country"/>
      </mc:Fallback>
    </mc:AlternateContent>
    <mc:AlternateContent xmlns:mc="http://schemas.openxmlformats.org/markup-compatibility/2006">
      <mc:Choice Requires="x14">
        <control shapeId="229377" r:id="rId10" name="cleanSku">
          <controlPr defaultSize="0" autoLine="0" r:id="rId11">
            <anchor moveWithCells="1">
              <from>
                <xdr:col>6</xdr:col>
                <xdr:colOff>85725</xdr:colOff>
                <xdr:row>8</xdr:row>
                <xdr:rowOff>95250</xdr:rowOff>
              </from>
              <to>
                <xdr:col>6</xdr:col>
                <xdr:colOff>1314450</xdr:colOff>
                <xdr:row>11</xdr:row>
                <xdr:rowOff>114300</xdr:rowOff>
              </to>
            </anchor>
          </controlPr>
        </control>
      </mc:Choice>
      <mc:Fallback>
        <control shapeId="229377" r:id="rId10" name="cleanSku"/>
      </mc:Fallback>
    </mc:AlternateContent>
  </controls>
  <tableParts count="6">
    <tablePart r:id="rId12"/>
    <tablePart r:id="rId13"/>
    <tablePart r:id="rId14"/>
    <tablePart r:id="rId15"/>
    <tablePart r:id="rId16"/>
    <tablePart r:id="rId17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193C9C-1AD5-49E1-A264-771B169292BF}">
  <sheetPr codeName="Sheet1"/>
  <dimension ref="A1:J205"/>
  <sheetViews>
    <sheetView workbookViewId="0">
      <selection activeCell="B7" sqref="B7"/>
    </sheetView>
  </sheetViews>
  <sheetFormatPr defaultRowHeight="15" x14ac:dyDescent="0.25"/>
  <cols>
    <col min="1" max="1" width="32.42578125" bestFit="1" customWidth="1"/>
    <col min="2" max="2" width="12.28515625" bestFit="1" customWidth="1"/>
    <col min="3" max="3" width="8.5703125" bestFit="1" customWidth="1"/>
    <col min="4" max="4" width="9.42578125" bestFit="1" customWidth="1"/>
    <col min="5" max="5" width="13.28515625" bestFit="1" customWidth="1"/>
    <col min="6" max="6" width="13.42578125" bestFit="1" customWidth="1"/>
    <col min="7" max="8" width="13.5703125" bestFit="1" customWidth="1"/>
    <col min="9" max="9" width="74.5703125" bestFit="1" customWidth="1"/>
    <col min="10" max="10" width="16.42578125" bestFit="1" customWidth="1"/>
    <col min="11" max="11" width="15.85546875" bestFit="1" customWidth="1"/>
    <col min="12" max="12" width="17.140625" bestFit="1" customWidth="1"/>
    <col min="13" max="14" width="22.140625" bestFit="1" customWidth="1"/>
    <col min="15" max="16" width="22.42578125" bestFit="1" customWidth="1"/>
    <col min="17" max="17" width="65.140625" bestFit="1" customWidth="1"/>
    <col min="18" max="18" width="19.7109375" bestFit="1" customWidth="1"/>
    <col min="19" max="19" width="25.42578125" bestFit="1" customWidth="1"/>
  </cols>
  <sheetData>
    <row r="1" spans="1:10" x14ac:dyDescent="0.25">
      <c r="A1" t="s">
        <v>136</v>
      </c>
      <c r="B1" t="s">
        <v>130</v>
      </c>
      <c r="C1" t="s">
        <v>129</v>
      </c>
      <c r="D1" t="s">
        <v>71</v>
      </c>
      <c r="E1" t="s">
        <v>2976</v>
      </c>
      <c r="F1" t="s">
        <v>2974</v>
      </c>
      <c r="G1" t="s">
        <v>2975</v>
      </c>
      <c r="H1" t="s">
        <v>2977</v>
      </c>
      <c r="I1" t="s">
        <v>2888</v>
      </c>
      <c r="J1" t="s">
        <v>2990</v>
      </c>
    </row>
    <row r="2" spans="1:10" x14ac:dyDescent="0.25">
      <c r="A2" s="106" t="s">
        <v>1357</v>
      </c>
      <c r="B2">
        <v>5</v>
      </c>
      <c r="C2" s="106" t="s">
        <v>114</v>
      </c>
      <c r="D2" s="106" t="s">
        <v>117</v>
      </c>
      <c r="E2" s="106" t="s">
        <v>3136</v>
      </c>
      <c r="F2" s="106" t="s">
        <v>138</v>
      </c>
      <c r="G2" s="106" t="s">
        <v>3136</v>
      </c>
      <c r="H2" s="106" t="s">
        <v>138</v>
      </c>
      <c r="I2" s="106" t="s">
        <v>3221</v>
      </c>
      <c r="J2">
        <v>60.5</v>
      </c>
    </row>
    <row r="3" spans="1:10" x14ac:dyDescent="0.25">
      <c r="A3" s="106" t="s">
        <v>158</v>
      </c>
      <c r="B3">
        <v>10</v>
      </c>
      <c r="C3" s="106" t="s">
        <v>113</v>
      </c>
      <c r="D3" s="106" t="s">
        <v>117</v>
      </c>
      <c r="E3" s="106" t="s">
        <v>3136</v>
      </c>
      <c r="F3" s="106" t="s">
        <v>138</v>
      </c>
      <c r="G3" s="106" t="s">
        <v>3136</v>
      </c>
      <c r="H3" s="106" t="s">
        <v>138</v>
      </c>
      <c r="I3" s="106" t="s">
        <v>3138</v>
      </c>
      <c r="J3">
        <v>15</v>
      </c>
    </row>
    <row r="4" spans="1:10" x14ac:dyDescent="0.25">
      <c r="A4" s="106" t="s">
        <v>55</v>
      </c>
      <c r="B4">
        <v>10</v>
      </c>
      <c r="C4" s="106" t="s">
        <v>113</v>
      </c>
      <c r="D4" s="106" t="s">
        <v>117</v>
      </c>
      <c r="E4" s="106" t="s">
        <v>3136</v>
      </c>
      <c r="F4" s="106" t="s">
        <v>138</v>
      </c>
      <c r="G4" s="106" t="s">
        <v>3136</v>
      </c>
      <c r="H4" s="106" t="s">
        <v>138</v>
      </c>
      <c r="I4" s="106" t="s">
        <v>3139</v>
      </c>
      <c r="J4">
        <v>27.2</v>
      </c>
    </row>
    <row r="5" spans="1:10" x14ac:dyDescent="0.25">
      <c r="A5" s="106" t="s">
        <v>174</v>
      </c>
      <c r="B5">
        <v>5</v>
      </c>
      <c r="C5" s="106" t="s">
        <v>113</v>
      </c>
      <c r="D5" s="106" t="s">
        <v>117</v>
      </c>
      <c r="E5" s="106" t="s">
        <v>3136</v>
      </c>
      <c r="F5" s="106" t="s">
        <v>138</v>
      </c>
      <c r="G5" s="106" t="s">
        <v>3136</v>
      </c>
      <c r="H5" s="106" t="s">
        <v>138</v>
      </c>
      <c r="I5" s="106" t="s">
        <v>3155</v>
      </c>
      <c r="J5">
        <v>10.220000000000001</v>
      </c>
    </row>
    <row r="6" spans="1:10" x14ac:dyDescent="0.25">
      <c r="A6" s="106" t="s">
        <v>181</v>
      </c>
      <c r="B6">
        <v>30</v>
      </c>
      <c r="C6" s="106" t="s">
        <v>113</v>
      </c>
      <c r="D6" s="106" t="s">
        <v>117</v>
      </c>
      <c r="E6" s="106" t="s">
        <v>3136</v>
      </c>
      <c r="F6" s="106" t="s">
        <v>138</v>
      </c>
      <c r="G6" s="106" t="s">
        <v>3136</v>
      </c>
      <c r="H6" s="106" t="s">
        <v>138</v>
      </c>
      <c r="I6" s="106" t="s">
        <v>3157</v>
      </c>
      <c r="J6">
        <v>63.18</v>
      </c>
    </row>
    <row r="7" spans="1:10" x14ac:dyDescent="0.25">
      <c r="A7" s="106" t="s">
        <v>183</v>
      </c>
      <c r="B7">
        <v>5</v>
      </c>
      <c r="C7" s="106" t="s">
        <v>113</v>
      </c>
      <c r="D7" s="106" t="s">
        <v>117</v>
      </c>
      <c r="E7" s="106" t="s">
        <v>3136</v>
      </c>
      <c r="F7" s="106" t="s">
        <v>138</v>
      </c>
      <c r="G7" s="106" t="s">
        <v>3136</v>
      </c>
      <c r="H7" s="106" t="s">
        <v>138</v>
      </c>
      <c r="I7" s="106" t="s">
        <v>3048</v>
      </c>
      <c r="J7">
        <v>11.55</v>
      </c>
    </row>
    <row r="8" spans="1:10" x14ac:dyDescent="0.25">
      <c r="A8" s="106" t="s">
        <v>185</v>
      </c>
      <c r="B8">
        <v>10</v>
      </c>
      <c r="C8" s="106" t="s">
        <v>113</v>
      </c>
      <c r="D8" s="106" t="s">
        <v>117</v>
      </c>
      <c r="E8" s="106" t="s">
        <v>3136</v>
      </c>
      <c r="F8" s="106" t="s">
        <v>138</v>
      </c>
      <c r="G8" s="106" t="s">
        <v>3136</v>
      </c>
      <c r="H8" s="106" t="s">
        <v>138</v>
      </c>
      <c r="I8" s="106" t="s">
        <v>3158</v>
      </c>
      <c r="J8">
        <v>32.799999999999997</v>
      </c>
    </row>
    <row r="9" spans="1:10" x14ac:dyDescent="0.25">
      <c r="A9" s="106" t="s">
        <v>192</v>
      </c>
      <c r="B9">
        <v>15</v>
      </c>
      <c r="C9" s="106" t="s">
        <v>113</v>
      </c>
      <c r="D9" s="106" t="s">
        <v>117</v>
      </c>
      <c r="E9" s="106" t="s">
        <v>3136</v>
      </c>
      <c r="F9" s="106" t="s">
        <v>138</v>
      </c>
      <c r="G9" s="106" t="s">
        <v>3136</v>
      </c>
      <c r="H9" s="106" t="s">
        <v>138</v>
      </c>
      <c r="I9" s="106" t="s">
        <v>3051</v>
      </c>
      <c r="J9">
        <v>32.4</v>
      </c>
    </row>
    <row r="10" spans="1:10" x14ac:dyDescent="0.25">
      <c r="A10" s="106" t="s">
        <v>198</v>
      </c>
      <c r="B10">
        <v>15</v>
      </c>
      <c r="C10" s="106" t="s">
        <v>113</v>
      </c>
      <c r="D10" s="106" t="s">
        <v>117</v>
      </c>
      <c r="E10" s="106" t="s">
        <v>3136</v>
      </c>
      <c r="F10" s="106" t="s">
        <v>138</v>
      </c>
      <c r="G10" s="106" t="s">
        <v>3136</v>
      </c>
      <c r="H10" s="106" t="s">
        <v>138</v>
      </c>
      <c r="I10" s="106" t="s">
        <v>3161</v>
      </c>
      <c r="J10">
        <v>27</v>
      </c>
    </row>
    <row r="11" spans="1:10" x14ac:dyDescent="0.25">
      <c r="A11" s="106" t="s">
        <v>203</v>
      </c>
      <c r="B11">
        <v>10</v>
      </c>
      <c r="C11" s="106" t="s">
        <v>113</v>
      </c>
      <c r="D11" s="106" t="s">
        <v>117</v>
      </c>
      <c r="E11" s="106" t="s">
        <v>3136</v>
      </c>
      <c r="F11" s="106" t="s">
        <v>138</v>
      </c>
      <c r="G11" s="106" t="s">
        <v>3136</v>
      </c>
      <c r="H11" s="106" t="s">
        <v>138</v>
      </c>
      <c r="I11" s="106" t="s">
        <v>3053</v>
      </c>
      <c r="J11">
        <v>23.94</v>
      </c>
    </row>
    <row r="12" spans="1:10" x14ac:dyDescent="0.25">
      <c r="A12" s="106" t="s">
        <v>72</v>
      </c>
      <c r="B12">
        <v>20</v>
      </c>
      <c r="C12" s="106" t="s">
        <v>114</v>
      </c>
      <c r="D12" s="106" t="s">
        <v>117</v>
      </c>
      <c r="E12" s="106" t="s">
        <v>3136</v>
      </c>
      <c r="F12" s="106" t="s">
        <v>138</v>
      </c>
      <c r="G12" s="106" t="s">
        <v>3136</v>
      </c>
      <c r="H12" s="106" t="s">
        <v>138</v>
      </c>
      <c r="I12" s="106" t="s">
        <v>2907</v>
      </c>
      <c r="J12">
        <v>39.67</v>
      </c>
    </row>
    <row r="13" spans="1:10" x14ac:dyDescent="0.25">
      <c r="A13" s="106" t="s">
        <v>74</v>
      </c>
      <c r="B13">
        <v>10</v>
      </c>
      <c r="C13" s="106" t="s">
        <v>114</v>
      </c>
      <c r="D13" s="106" t="s">
        <v>117</v>
      </c>
      <c r="E13" s="106" t="s">
        <v>3136</v>
      </c>
      <c r="F13" s="106" t="s">
        <v>138</v>
      </c>
      <c r="G13" s="106" t="s">
        <v>3136</v>
      </c>
      <c r="H13" s="106" t="s">
        <v>138</v>
      </c>
      <c r="I13" s="106" t="s">
        <v>3166</v>
      </c>
      <c r="J13">
        <v>28.73</v>
      </c>
    </row>
    <row r="14" spans="1:10" x14ac:dyDescent="0.25">
      <c r="A14" s="106" t="s">
        <v>75</v>
      </c>
      <c r="B14">
        <v>20</v>
      </c>
      <c r="C14" s="106" t="s">
        <v>114</v>
      </c>
      <c r="D14" s="106" t="s">
        <v>117</v>
      </c>
      <c r="E14" s="106" t="s">
        <v>3136</v>
      </c>
      <c r="F14" s="106" t="s">
        <v>138</v>
      </c>
      <c r="G14" s="106" t="s">
        <v>3136</v>
      </c>
      <c r="H14" s="106" t="s">
        <v>138</v>
      </c>
      <c r="I14" s="106" t="s">
        <v>3315</v>
      </c>
      <c r="J14">
        <v>45.25</v>
      </c>
    </row>
    <row r="15" spans="1:10" x14ac:dyDescent="0.25">
      <c r="A15" s="106" t="s">
        <v>76</v>
      </c>
      <c r="B15">
        <v>5</v>
      </c>
      <c r="C15" s="106" t="s">
        <v>114</v>
      </c>
      <c r="D15" s="106" t="s">
        <v>117</v>
      </c>
      <c r="E15" s="106" t="s">
        <v>3136</v>
      </c>
      <c r="F15" s="106" t="s">
        <v>138</v>
      </c>
      <c r="G15" s="106" t="s">
        <v>3136</v>
      </c>
      <c r="H15" s="106" t="s">
        <v>138</v>
      </c>
      <c r="I15" s="106" t="s">
        <v>3316</v>
      </c>
      <c r="J15">
        <v>11.74</v>
      </c>
    </row>
    <row r="16" spans="1:10" x14ac:dyDescent="0.25">
      <c r="A16" s="106" t="s">
        <v>233</v>
      </c>
      <c r="B16">
        <v>5</v>
      </c>
      <c r="C16" s="106" t="s">
        <v>114</v>
      </c>
      <c r="D16" s="106" t="s">
        <v>117</v>
      </c>
      <c r="E16" s="106" t="s">
        <v>3136</v>
      </c>
      <c r="F16" s="106" t="s">
        <v>138</v>
      </c>
      <c r="G16" s="106" t="s">
        <v>3136</v>
      </c>
      <c r="H16" s="106" t="s">
        <v>138</v>
      </c>
      <c r="I16" s="106" t="s">
        <v>3212</v>
      </c>
      <c r="J16">
        <v>17.440000000000001</v>
      </c>
    </row>
    <row r="17" spans="1:10" x14ac:dyDescent="0.25">
      <c r="A17" s="106" t="s">
        <v>238</v>
      </c>
      <c r="B17">
        <v>10</v>
      </c>
      <c r="C17" s="106" t="s">
        <v>114</v>
      </c>
      <c r="D17" s="106" t="s">
        <v>117</v>
      </c>
      <c r="E17" s="106" t="s">
        <v>3136</v>
      </c>
      <c r="F17" s="106" t="s">
        <v>138</v>
      </c>
      <c r="G17" s="106" t="s">
        <v>3136</v>
      </c>
      <c r="H17" s="106" t="s">
        <v>138</v>
      </c>
      <c r="I17" s="106" t="s">
        <v>3213</v>
      </c>
      <c r="J17">
        <v>45.99</v>
      </c>
    </row>
    <row r="18" spans="1:10" x14ac:dyDescent="0.25">
      <c r="A18" s="106" t="s">
        <v>1311</v>
      </c>
      <c r="B18">
        <v>5</v>
      </c>
      <c r="C18" s="106" t="s">
        <v>114</v>
      </c>
      <c r="D18" s="106" t="s">
        <v>117</v>
      </c>
      <c r="E18" s="106" t="s">
        <v>3136</v>
      </c>
      <c r="F18" s="106" t="s">
        <v>138</v>
      </c>
      <c r="G18" s="106" t="s">
        <v>3136</v>
      </c>
      <c r="H18" s="106" t="s">
        <v>138</v>
      </c>
      <c r="I18" s="106" t="s">
        <v>3317</v>
      </c>
      <c r="J18">
        <v>118.25</v>
      </c>
    </row>
    <row r="19" spans="1:10" x14ac:dyDescent="0.25">
      <c r="A19" s="106" t="s">
        <v>91</v>
      </c>
      <c r="B19">
        <v>20</v>
      </c>
      <c r="C19" s="106" t="s">
        <v>113</v>
      </c>
      <c r="D19" s="106" t="s">
        <v>117</v>
      </c>
      <c r="E19" s="106" t="s">
        <v>3136</v>
      </c>
      <c r="F19" s="106" t="s">
        <v>138</v>
      </c>
      <c r="G19" s="106" t="s">
        <v>3136</v>
      </c>
      <c r="H19" s="106" t="s">
        <v>145</v>
      </c>
      <c r="I19" s="106" t="s">
        <v>3101</v>
      </c>
      <c r="J19">
        <v>50</v>
      </c>
    </row>
    <row r="20" spans="1:10" x14ac:dyDescent="0.25">
      <c r="A20" s="106" t="s">
        <v>80</v>
      </c>
      <c r="B20">
        <v>15</v>
      </c>
      <c r="C20" s="106" t="s">
        <v>113</v>
      </c>
      <c r="D20" s="106" t="s">
        <v>117</v>
      </c>
      <c r="E20" s="106" t="s">
        <v>3136</v>
      </c>
      <c r="F20" s="106" t="s">
        <v>138</v>
      </c>
      <c r="G20" s="106" t="s">
        <v>3136</v>
      </c>
      <c r="H20" s="106" t="s">
        <v>138</v>
      </c>
      <c r="I20" s="106" t="s">
        <v>3057</v>
      </c>
      <c r="J20">
        <v>26.79</v>
      </c>
    </row>
    <row r="21" spans="1:10" x14ac:dyDescent="0.25">
      <c r="A21" s="106" t="s">
        <v>81</v>
      </c>
      <c r="B21">
        <v>10</v>
      </c>
      <c r="C21" s="106" t="s">
        <v>113</v>
      </c>
      <c r="D21" s="106" t="s">
        <v>117</v>
      </c>
      <c r="E21" s="106" t="s">
        <v>3136</v>
      </c>
      <c r="F21" s="106" t="s">
        <v>138</v>
      </c>
      <c r="G21" s="106" t="s">
        <v>3136</v>
      </c>
      <c r="H21" s="106" t="s">
        <v>138</v>
      </c>
      <c r="I21" s="106" t="s">
        <v>3058</v>
      </c>
      <c r="J21">
        <v>19.600000000000001</v>
      </c>
    </row>
    <row r="22" spans="1:10" x14ac:dyDescent="0.25">
      <c r="A22" s="106" t="s">
        <v>306</v>
      </c>
      <c r="B22">
        <v>10</v>
      </c>
      <c r="C22" s="106" t="s">
        <v>113</v>
      </c>
      <c r="D22" s="106" t="s">
        <v>117</v>
      </c>
      <c r="E22" s="106" t="s">
        <v>3136</v>
      </c>
      <c r="F22" s="106" t="s">
        <v>138</v>
      </c>
      <c r="G22" s="106" t="s">
        <v>3136</v>
      </c>
      <c r="H22" s="106" t="s">
        <v>138</v>
      </c>
      <c r="I22" s="106" t="s">
        <v>3059</v>
      </c>
      <c r="J22">
        <v>21.6</v>
      </c>
    </row>
    <row r="23" spans="1:10" x14ac:dyDescent="0.25">
      <c r="A23" s="106" t="s">
        <v>319</v>
      </c>
      <c r="B23">
        <v>5</v>
      </c>
      <c r="C23" s="106" t="s">
        <v>113</v>
      </c>
      <c r="D23" s="106" t="s">
        <v>117</v>
      </c>
      <c r="E23" s="106" t="s">
        <v>3136</v>
      </c>
      <c r="F23" s="106" t="s">
        <v>138</v>
      </c>
      <c r="G23" s="106" t="s">
        <v>3136</v>
      </c>
      <c r="H23" s="106" t="s">
        <v>138</v>
      </c>
      <c r="I23" s="106" t="s">
        <v>3214</v>
      </c>
      <c r="J23">
        <v>14.29</v>
      </c>
    </row>
    <row r="24" spans="1:10" x14ac:dyDescent="0.25">
      <c r="A24" s="106" t="s">
        <v>342</v>
      </c>
      <c r="B24">
        <v>10</v>
      </c>
      <c r="C24" s="106" t="s">
        <v>114</v>
      </c>
      <c r="D24" s="106" t="s">
        <v>117</v>
      </c>
      <c r="E24" s="106" t="s">
        <v>3136</v>
      </c>
      <c r="F24" s="106" t="s">
        <v>138</v>
      </c>
      <c r="G24" s="106" t="s">
        <v>3136</v>
      </c>
      <c r="H24" s="106" t="s">
        <v>138</v>
      </c>
      <c r="I24" s="106" t="s">
        <v>3318</v>
      </c>
      <c r="J24">
        <v>50.94</v>
      </c>
    </row>
    <row r="25" spans="1:10" x14ac:dyDescent="0.25">
      <c r="A25" s="106" t="s">
        <v>344</v>
      </c>
      <c r="B25">
        <v>5</v>
      </c>
      <c r="C25" s="106" t="s">
        <v>114</v>
      </c>
      <c r="D25" s="106" t="s">
        <v>117</v>
      </c>
      <c r="E25" s="106" t="s">
        <v>3136</v>
      </c>
      <c r="F25" s="106" t="s">
        <v>138</v>
      </c>
      <c r="G25" s="106" t="s">
        <v>3136</v>
      </c>
      <c r="H25" s="106" t="s">
        <v>138</v>
      </c>
      <c r="I25" s="106" t="s">
        <v>3319</v>
      </c>
      <c r="J25">
        <v>28.38</v>
      </c>
    </row>
    <row r="26" spans="1:10" x14ac:dyDescent="0.25">
      <c r="A26" s="106" t="s">
        <v>348</v>
      </c>
      <c r="B26">
        <v>10</v>
      </c>
      <c r="C26" s="106" t="s">
        <v>114</v>
      </c>
      <c r="D26" s="106" t="s">
        <v>117</v>
      </c>
      <c r="E26" s="106" t="s">
        <v>3136</v>
      </c>
      <c r="F26" s="106" t="s">
        <v>138</v>
      </c>
      <c r="G26" s="106" t="s">
        <v>3136</v>
      </c>
      <c r="H26" s="106" t="s">
        <v>138</v>
      </c>
      <c r="I26" s="106" t="s">
        <v>3215</v>
      </c>
      <c r="J26">
        <v>16.84</v>
      </c>
    </row>
    <row r="27" spans="1:10" x14ac:dyDescent="0.25">
      <c r="A27" s="106" t="s">
        <v>352</v>
      </c>
      <c r="B27">
        <v>5</v>
      </c>
      <c r="C27" s="106" t="s">
        <v>114</v>
      </c>
      <c r="D27" s="106" t="s">
        <v>117</v>
      </c>
      <c r="E27" s="106" t="s">
        <v>3136</v>
      </c>
      <c r="F27" s="106" t="s">
        <v>138</v>
      </c>
      <c r="G27" s="106" t="s">
        <v>3136</v>
      </c>
      <c r="H27" s="106" t="s">
        <v>138</v>
      </c>
      <c r="I27" s="106" t="s">
        <v>3060</v>
      </c>
      <c r="J27">
        <v>17.440000000000001</v>
      </c>
    </row>
    <row r="28" spans="1:10" x14ac:dyDescent="0.25">
      <c r="A28" s="106" t="s">
        <v>354</v>
      </c>
      <c r="B28">
        <v>5</v>
      </c>
      <c r="C28" s="106" t="s">
        <v>114</v>
      </c>
      <c r="D28" s="106" t="s">
        <v>117</v>
      </c>
      <c r="E28" s="106" t="s">
        <v>3136</v>
      </c>
      <c r="F28" s="106" t="s">
        <v>138</v>
      </c>
      <c r="G28" s="106" t="s">
        <v>3136</v>
      </c>
      <c r="H28" s="106" t="s">
        <v>138</v>
      </c>
      <c r="I28" s="106" t="s">
        <v>3216</v>
      </c>
      <c r="J28">
        <v>19</v>
      </c>
    </row>
    <row r="29" spans="1:10" x14ac:dyDescent="0.25">
      <c r="A29" s="106" t="s">
        <v>366</v>
      </c>
      <c r="B29">
        <v>10</v>
      </c>
      <c r="C29" s="106" t="s">
        <v>114</v>
      </c>
      <c r="D29" s="106" t="s">
        <v>117</v>
      </c>
      <c r="E29" s="106" t="s">
        <v>3136</v>
      </c>
      <c r="F29" s="106" t="s">
        <v>138</v>
      </c>
      <c r="G29" s="106" t="s">
        <v>3136</v>
      </c>
      <c r="H29" s="106" t="s">
        <v>138</v>
      </c>
      <c r="I29" s="106" t="s">
        <v>3217</v>
      </c>
      <c r="J29">
        <v>31.82</v>
      </c>
    </row>
    <row r="30" spans="1:10" x14ac:dyDescent="0.25">
      <c r="A30" s="106" t="s">
        <v>368</v>
      </c>
      <c r="B30">
        <v>20</v>
      </c>
      <c r="C30" s="106" t="s">
        <v>114</v>
      </c>
      <c r="D30" s="106" t="s">
        <v>117</v>
      </c>
      <c r="E30" s="106" t="s">
        <v>3136</v>
      </c>
      <c r="F30" s="106" t="s">
        <v>138</v>
      </c>
      <c r="G30" s="106" t="s">
        <v>3136</v>
      </c>
      <c r="H30" s="106" t="s">
        <v>138</v>
      </c>
      <c r="I30" s="106" t="s">
        <v>3218</v>
      </c>
      <c r="J30">
        <v>72.67</v>
      </c>
    </row>
    <row r="31" spans="1:10" x14ac:dyDescent="0.25">
      <c r="A31" s="106" t="s">
        <v>370</v>
      </c>
      <c r="B31">
        <v>5</v>
      </c>
      <c r="C31" s="106" t="s">
        <v>114</v>
      </c>
      <c r="D31" s="106" t="s">
        <v>117</v>
      </c>
      <c r="E31" s="106" t="s">
        <v>3136</v>
      </c>
      <c r="F31" s="106" t="s">
        <v>138</v>
      </c>
      <c r="G31" s="106" t="s">
        <v>3136</v>
      </c>
      <c r="H31" s="106" t="s">
        <v>138</v>
      </c>
      <c r="I31" s="106" t="s">
        <v>3219</v>
      </c>
      <c r="J31">
        <v>20.79</v>
      </c>
    </row>
    <row r="32" spans="1:10" x14ac:dyDescent="0.25">
      <c r="A32" s="106" t="s">
        <v>98</v>
      </c>
      <c r="B32">
        <v>10</v>
      </c>
      <c r="C32" s="106" t="s">
        <v>114</v>
      </c>
      <c r="D32" s="106" t="s">
        <v>117</v>
      </c>
      <c r="E32" s="106" t="s">
        <v>3136</v>
      </c>
      <c r="F32" s="106" t="s">
        <v>138</v>
      </c>
      <c r="G32" s="106" t="s">
        <v>3136</v>
      </c>
      <c r="H32" s="106" t="s">
        <v>138</v>
      </c>
      <c r="I32" s="106" t="s">
        <v>3220</v>
      </c>
      <c r="J32">
        <v>27.7</v>
      </c>
    </row>
    <row r="33" spans="1:10" x14ac:dyDescent="0.25">
      <c r="A33" s="106" t="s">
        <v>1362</v>
      </c>
      <c r="B33">
        <v>5</v>
      </c>
      <c r="C33" s="106" t="s">
        <v>114</v>
      </c>
      <c r="D33" s="106" t="s">
        <v>117</v>
      </c>
      <c r="E33" s="106" t="s">
        <v>3136</v>
      </c>
      <c r="F33" s="106" t="s">
        <v>138</v>
      </c>
      <c r="G33" s="106" t="s">
        <v>3136</v>
      </c>
      <c r="H33" s="106" t="s">
        <v>138</v>
      </c>
      <c r="I33" s="106" t="s">
        <v>2909</v>
      </c>
      <c r="J33">
        <v>63.5</v>
      </c>
    </row>
    <row r="34" spans="1:10" x14ac:dyDescent="0.25">
      <c r="A34" s="106" t="s">
        <v>54</v>
      </c>
      <c r="B34">
        <v>100</v>
      </c>
      <c r="C34" s="106" t="s">
        <v>113</v>
      </c>
      <c r="D34" s="106" t="s">
        <v>117</v>
      </c>
      <c r="E34" s="106" t="s">
        <v>3136</v>
      </c>
      <c r="F34" s="106" t="s">
        <v>138</v>
      </c>
      <c r="G34" s="106" t="s">
        <v>3136</v>
      </c>
      <c r="H34" s="106" t="s">
        <v>138</v>
      </c>
      <c r="I34" s="106" t="s">
        <v>2896</v>
      </c>
      <c r="J34">
        <v>153</v>
      </c>
    </row>
    <row r="35" spans="1:10" x14ac:dyDescent="0.25">
      <c r="A35" s="106" t="s">
        <v>53</v>
      </c>
      <c r="B35">
        <v>100</v>
      </c>
      <c r="C35" s="106" t="s">
        <v>113</v>
      </c>
      <c r="D35" s="106" t="s">
        <v>117</v>
      </c>
      <c r="E35" s="106" t="s">
        <v>3136</v>
      </c>
      <c r="F35" s="106" t="s">
        <v>138</v>
      </c>
      <c r="G35" s="106" t="s">
        <v>3136</v>
      </c>
      <c r="H35" s="106" t="s">
        <v>138</v>
      </c>
      <c r="I35" s="106" t="s">
        <v>2895</v>
      </c>
      <c r="J35">
        <v>165</v>
      </c>
    </row>
    <row r="36" spans="1:10" x14ac:dyDescent="0.25">
      <c r="A36" s="106" t="s">
        <v>52</v>
      </c>
      <c r="B36">
        <v>100</v>
      </c>
      <c r="C36" s="106" t="s">
        <v>113</v>
      </c>
      <c r="D36" s="106" t="s">
        <v>117</v>
      </c>
      <c r="E36" s="106" t="s">
        <v>3136</v>
      </c>
      <c r="F36" s="106" t="s">
        <v>138</v>
      </c>
      <c r="G36" s="106" t="s">
        <v>3136</v>
      </c>
      <c r="H36" s="106" t="s">
        <v>138</v>
      </c>
      <c r="I36" s="106" t="s">
        <v>3061</v>
      </c>
      <c r="J36">
        <v>183</v>
      </c>
    </row>
    <row r="37" spans="1:10" x14ac:dyDescent="0.25">
      <c r="A37" s="106" t="s">
        <v>391</v>
      </c>
      <c r="B37">
        <v>60</v>
      </c>
      <c r="C37" s="106" t="s">
        <v>113</v>
      </c>
      <c r="D37" s="106" t="s">
        <v>117</v>
      </c>
      <c r="E37" s="106" t="s">
        <v>3136</v>
      </c>
      <c r="F37" s="106" t="s">
        <v>138</v>
      </c>
      <c r="G37" s="106" t="s">
        <v>3136</v>
      </c>
      <c r="H37" s="106" t="s">
        <v>138</v>
      </c>
      <c r="I37" s="106" t="s">
        <v>3225</v>
      </c>
      <c r="J37">
        <v>89.53</v>
      </c>
    </row>
    <row r="38" spans="1:10" x14ac:dyDescent="0.25">
      <c r="A38" s="106" t="s">
        <v>393</v>
      </c>
      <c r="B38">
        <v>100</v>
      </c>
      <c r="C38" s="106" t="s">
        <v>113</v>
      </c>
      <c r="D38" s="106" t="s">
        <v>117</v>
      </c>
      <c r="E38" s="106" t="s">
        <v>3136</v>
      </c>
      <c r="F38" s="106" t="s">
        <v>138</v>
      </c>
      <c r="G38" s="106" t="s">
        <v>3136</v>
      </c>
      <c r="H38" s="106" t="s">
        <v>138</v>
      </c>
      <c r="I38" s="106" t="s">
        <v>3062</v>
      </c>
      <c r="J38">
        <v>183.48</v>
      </c>
    </row>
    <row r="39" spans="1:10" x14ac:dyDescent="0.25">
      <c r="A39" s="106" t="s">
        <v>51</v>
      </c>
      <c r="B39">
        <v>30</v>
      </c>
      <c r="C39" s="106" t="s">
        <v>113</v>
      </c>
      <c r="D39" s="106" t="s">
        <v>117</v>
      </c>
      <c r="E39" s="106" t="s">
        <v>3136</v>
      </c>
      <c r="F39" s="106" t="s">
        <v>138</v>
      </c>
      <c r="G39" s="106" t="s">
        <v>3136</v>
      </c>
      <c r="H39" s="106" t="s">
        <v>138</v>
      </c>
      <c r="I39" s="106" t="s">
        <v>3063</v>
      </c>
      <c r="J39">
        <v>58.78</v>
      </c>
    </row>
    <row r="40" spans="1:10" x14ac:dyDescent="0.25">
      <c r="A40" s="106" t="s">
        <v>396</v>
      </c>
      <c r="B40">
        <v>20</v>
      </c>
      <c r="C40" s="106" t="s">
        <v>113</v>
      </c>
      <c r="D40" s="106" t="s">
        <v>117</v>
      </c>
      <c r="E40" s="106" t="s">
        <v>3136</v>
      </c>
      <c r="F40" s="106" t="s">
        <v>138</v>
      </c>
      <c r="G40" s="106" t="s">
        <v>3136</v>
      </c>
      <c r="H40" s="106" t="s">
        <v>138</v>
      </c>
      <c r="I40" s="106" t="s">
        <v>3064</v>
      </c>
      <c r="J40">
        <v>53.08</v>
      </c>
    </row>
    <row r="41" spans="1:10" x14ac:dyDescent="0.25">
      <c r="A41" s="106" t="s">
        <v>84</v>
      </c>
      <c r="B41">
        <v>20</v>
      </c>
      <c r="C41" s="106" t="s">
        <v>113</v>
      </c>
      <c r="D41" s="106" t="s">
        <v>117</v>
      </c>
      <c r="E41" s="106" t="s">
        <v>3136</v>
      </c>
      <c r="F41" s="106" t="s">
        <v>138</v>
      </c>
      <c r="G41" s="106" t="s">
        <v>3136</v>
      </c>
      <c r="H41" s="106" t="s">
        <v>138</v>
      </c>
      <c r="I41" s="106" t="s">
        <v>3174</v>
      </c>
      <c r="J41">
        <v>29.66</v>
      </c>
    </row>
    <row r="42" spans="1:10" x14ac:dyDescent="0.25">
      <c r="A42" s="106" t="s">
        <v>49</v>
      </c>
      <c r="B42">
        <v>20</v>
      </c>
      <c r="C42" s="106" t="s">
        <v>113</v>
      </c>
      <c r="D42" s="106" t="s">
        <v>117</v>
      </c>
      <c r="E42" s="106" t="s">
        <v>3136</v>
      </c>
      <c r="F42" s="106" t="s">
        <v>138</v>
      </c>
      <c r="G42" s="106" t="s">
        <v>3136</v>
      </c>
      <c r="H42" s="106" t="s">
        <v>138</v>
      </c>
      <c r="I42" s="106" t="s">
        <v>2898</v>
      </c>
      <c r="J42">
        <v>55.22</v>
      </c>
    </row>
    <row r="43" spans="1:10" x14ac:dyDescent="0.25">
      <c r="A43" s="106" t="s">
        <v>48</v>
      </c>
      <c r="B43">
        <v>15</v>
      </c>
      <c r="C43" s="106" t="s">
        <v>113</v>
      </c>
      <c r="D43" s="106" t="s">
        <v>117</v>
      </c>
      <c r="E43" s="106" t="s">
        <v>3136</v>
      </c>
      <c r="F43" s="106" t="s">
        <v>138</v>
      </c>
      <c r="G43" s="106" t="s">
        <v>3136</v>
      </c>
      <c r="H43" s="106" t="s">
        <v>138</v>
      </c>
      <c r="I43" s="106" t="s">
        <v>3065</v>
      </c>
      <c r="J43">
        <v>56.67</v>
      </c>
    </row>
    <row r="44" spans="1:10" x14ac:dyDescent="0.25">
      <c r="A44" s="106" t="s">
        <v>433</v>
      </c>
      <c r="B44">
        <v>10</v>
      </c>
      <c r="C44" s="106" t="s">
        <v>113</v>
      </c>
      <c r="D44" s="106" t="s">
        <v>117</v>
      </c>
      <c r="E44" s="106" t="s">
        <v>3136</v>
      </c>
      <c r="F44" s="106" t="s">
        <v>138</v>
      </c>
      <c r="G44" s="106" t="s">
        <v>3136</v>
      </c>
      <c r="H44" s="106" t="s">
        <v>138</v>
      </c>
      <c r="I44" s="106" t="s">
        <v>3066</v>
      </c>
      <c r="J44">
        <v>24.6</v>
      </c>
    </row>
    <row r="45" spans="1:10" x14ac:dyDescent="0.25">
      <c r="A45" s="106" t="s">
        <v>435</v>
      </c>
      <c r="B45">
        <v>50</v>
      </c>
      <c r="C45" s="106" t="s">
        <v>113</v>
      </c>
      <c r="D45" s="106" t="s">
        <v>117</v>
      </c>
      <c r="E45" s="106" t="s">
        <v>3136</v>
      </c>
      <c r="F45" s="106" t="s">
        <v>138</v>
      </c>
      <c r="G45" s="106" t="s">
        <v>3136</v>
      </c>
      <c r="H45" s="106" t="s">
        <v>138</v>
      </c>
      <c r="I45" s="106" t="s">
        <v>3067</v>
      </c>
      <c r="J45">
        <v>139.72999999999999</v>
      </c>
    </row>
    <row r="46" spans="1:10" x14ac:dyDescent="0.25">
      <c r="A46" s="106" t="s">
        <v>443</v>
      </c>
      <c r="B46">
        <v>5</v>
      </c>
      <c r="C46" s="106" t="s">
        <v>113</v>
      </c>
      <c r="D46" s="106" t="s">
        <v>117</v>
      </c>
      <c r="E46" s="106" t="s">
        <v>3136</v>
      </c>
      <c r="F46" s="106" t="s">
        <v>138</v>
      </c>
      <c r="G46" s="106" t="s">
        <v>3136</v>
      </c>
      <c r="H46" s="106" t="s">
        <v>138</v>
      </c>
      <c r="I46" s="106" t="s">
        <v>3320</v>
      </c>
      <c r="J46">
        <v>11.66</v>
      </c>
    </row>
    <row r="47" spans="1:10" x14ac:dyDescent="0.25">
      <c r="A47" s="106" t="s">
        <v>447</v>
      </c>
      <c r="B47">
        <v>10</v>
      </c>
      <c r="C47" s="106" t="s">
        <v>113</v>
      </c>
      <c r="D47" s="106" t="s">
        <v>117</v>
      </c>
      <c r="E47" s="106" t="s">
        <v>3136</v>
      </c>
      <c r="F47" s="106" t="s">
        <v>138</v>
      </c>
      <c r="G47" s="106" t="s">
        <v>3136</v>
      </c>
      <c r="H47" s="106" t="s">
        <v>138</v>
      </c>
      <c r="I47" s="106" t="s">
        <v>3226</v>
      </c>
      <c r="J47">
        <v>22.7</v>
      </c>
    </row>
    <row r="48" spans="1:10" x14ac:dyDescent="0.25">
      <c r="A48" s="106" t="s">
        <v>453</v>
      </c>
      <c r="B48">
        <v>5</v>
      </c>
      <c r="C48" s="106" t="s">
        <v>113</v>
      </c>
      <c r="D48" s="106" t="s">
        <v>117</v>
      </c>
      <c r="E48" s="106" t="s">
        <v>3136</v>
      </c>
      <c r="F48" s="106" t="s">
        <v>138</v>
      </c>
      <c r="G48" s="106" t="s">
        <v>3136</v>
      </c>
      <c r="H48" s="106" t="s">
        <v>138</v>
      </c>
      <c r="I48" s="106" t="s">
        <v>3227</v>
      </c>
      <c r="J48">
        <v>21.5</v>
      </c>
    </row>
    <row r="49" spans="1:10" x14ac:dyDescent="0.25">
      <c r="A49" s="106" t="s">
        <v>455</v>
      </c>
      <c r="B49">
        <v>15</v>
      </c>
      <c r="C49" s="106" t="s">
        <v>113</v>
      </c>
      <c r="D49" s="106" t="s">
        <v>117</v>
      </c>
      <c r="E49" s="106" t="s">
        <v>3136</v>
      </c>
      <c r="F49" s="106" t="s">
        <v>138</v>
      </c>
      <c r="G49" s="106" t="s">
        <v>3136</v>
      </c>
      <c r="H49" s="106" t="s">
        <v>138</v>
      </c>
      <c r="I49" s="106" t="s">
        <v>3068</v>
      </c>
      <c r="J49">
        <v>49.2</v>
      </c>
    </row>
    <row r="50" spans="1:10" x14ac:dyDescent="0.25">
      <c r="A50" s="106" t="s">
        <v>457</v>
      </c>
      <c r="B50">
        <v>25</v>
      </c>
      <c r="C50" s="106" t="s">
        <v>113</v>
      </c>
      <c r="D50" s="106" t="s">
        <v>117</v>
      </c>
      <c r="E50" s="106" t="s">
        <v>3136</v>
      </c>
      <c r="F50" s="106" t="s">
        <v>138</v>
      </c>
      <c r="G50" s="106" t="s">
        <v>3136</v>
      </c>
      <c r="H50" s="106" t="s">
        <v>138</v>
      </c>
      <c r="I50" s="106" t="s">
        <v>3069</v>
      </c>
      <c r="J50">
        <v>86.25</v>
      </c>
    </row>
    <row r="51" spans="1:10" x14ac:dyDescent="0.25">
      <c r="A51" s="106" t="s">
        <v>459</v>
      </c>
      <c r="B51">
        <v>10</v>
      </c>
      <c r="C51" s="106" t="s">
        <v>113</v>
      </c>
      <c r="D51" s="106" t="s">
        <v>117</v>
      </c>
      <c r="E51" s="106" t="s">
        <v>3136</v>
      </c>
      <c r="F51" s="106" t="s">
        <v>138</v>
      </c>
      <c r="G51" s="106" t="s">
        <v>3136</v>
      </c>
      <c r="H51" s="106" t="s">
        <v>138</v>
      </c>
      <c r="I51" s="106" t="s">
        <v>3070</v>
      </c>
      <c r="J51">
        <v>36.18</v>
      </c>
    </row>
    <row r="52" spans="1:10" x14ac:dyDescent="0.25">
      <c r="A52" s="106" t="s">
        <v>47</v>
      </c>
      <c r="B52">
        <v>10</v>
      </c>
      <c r="C52" s="106" t="s">
        <v>113</v>
      </c>
      <c r="D52" s="106" t="s">
        <v>117</v>
      </c>
      <c r="E52" s="106" t="s">
        <v>3136</v>
      </c>
      <c r="F52" s="106" t="s">
        <v>138</v>
      </c>
      <c r="G52" s="106" t="s">
        <v>3136</v>
      </c>
      <c r="H52" s="106" t="s">
        <v>138</v>
      </c>
      <c r="I52" s="106" t="s">
        <v>3289</v>
      </c>
      <c r="J52">
        <v>28.56</v>
      </c>
    </row>
    <row r="53" spans="1:10" x14ac:dyDescent="0.25">
      <c r="A53" s="106" t="s">
        <v>471</v>
      </c>
      <c r="B53">
        <v>20</v>
      </c>
      <c r="C53" s="106" t="s">
        <v>113</v>
      </c>
      <c r="D53" s="106" t="s">
        <v>117</v>
      </c>
      <c r="E53" s="106" t="s">
        <v>3136</v>
      </c>
      <c r="F53" s="106" t="s">
        <v>138</v>
      </c>
      <c r="G53" s="106" t="s">
        <v>3136</v>
      </c>
      <c r="H53" s="106" t="s">
        <v>138</v>
      </c>
      <c r="I53" s="106" t="s">
        <v>3071</v>
      </c>
      <c r="J53">
        <v>38.76</v>
      </c>
    </row>
    <row r="54" spans="1:10" x14ac:dyDescent="0.25">
      <c r="A54" s="106" t="s">
        <v>473</v>
      </c>
      <c r="B54">
        <v>25</v>
      </c>
      <c r="C54" s="106" t="s">
        <v>113</v>
      </c>
      <c r="D54" s="106" t="s">
        <v>117</v>
      </c>
      <c r="E54" s="106" t="s">
        <v>3136</v>
      </c>
      <c r="F54" s="106" t="s">
        <v>138</v>
      </c>
      <c r="G54" s="106" t="s">
        <v>3136</v>
      </c>
      <c r="H54" s="106" t="s">
        <v>138</v>
      </c>
      <c r="I54" s="106" t="s">
        <v>3072</v>
      </c>
      <c r="J54">
        <v>59.13</v>
      </c>
    </row>
    <row r="55" spans="1:10" x14ac:dyDescent="0.25">
      <c r="A55" s="106" t="s">
        <v>46</v>
      </c>
      <c r="B55">
        <v>80</v>
      </c>
      <c r="C55" s="106" t="s">
        <v>113</v>
      </c>
      <c r="D55" s="106" t="s">
        <v>117</v>
      </c>
      <c r="E55" s="106" t="s">
        <v>3136</v>
      </c>
      <c r="F55" s="106" t="s">
        <v>138</v>
      </c>
      <c r="G55" s="106" t="s">
        <v>3136</v>
      </c>
      <c r="H55" s="106" t="s">
        <v>138</v>
      </c>
      <c r="I55" s="106" t="s">
        <v>2902</v>
      </c>
      <c r="J55">
        <v>216.57</v>
      </c>
    </row>
    <row r="56" spans="1:10" x14ac:dyDescent="0.25">
      <c r="A56" s="106" t="s">
        <v>477</v>
      </c>
      <c r="B56">
        <v>5</v>
      </c>
      <c r="C56" s="106" t="s">
        <v>113</v>
      </c>
      <c r="D56" s="106" t="s">
        <v>117</v>
      </c>
      <c r="E56" s="106" t="s">
        <v>3136</v>
      </c>
      <c r="F56" s="106" t="s">
        <v>138</v>
      </c>
      <c r="G56" s="106" t="s">
        <v>3136</v>
      </c>
      <c r="H56" s="106" t="s">
        <v>138</v>
      </c>
      <c r="I56" s="106" t="s">
        <v>2906</v>
      </c>
      <c r="J56">
        <v>49.7</v>
      </c>
    </row>
    <row r="57" spans="1:10" x14ac:dyDescent="0.25">
      <c r="A57" s="106" t="s">
        <v>43</v>
      </c>
      <c r="B57">
        <v>30</v>
      </c>
      <c r="C57" s="106" t="s">
        <v>114</v>
      </c>
      <c r="D57" s="106" t="s">
        <v>117</v>
      </c>
      <c r="E57" s="106" t="s">
        <v>3136</v>
      </c>
      <c r="F57" s="106" t="s">
        <v>138</v>
      </c>
      <c r="G57" s="106" t="s">
        <v>3136</v>
      </c>
      <c r="H57" s="106" t="s">
        <v>138</v>
      </c>
      <c r="I57" s="106" t="s">
        <v>3229</v>
      </c>
      <c r="J57">
        <v>187.8</v>
      </c>
    </row>
    <row r="58" spans="1:10" x14ac:dyDescent="0.25">
      <c r="A58" s="106" t="s">
        <v>484</v>
      </c>
      <c r="B58">
        <v>5</v>
      </c>
      <c r="C58" s="106" t="s">
        <v>114</v>
      </c>
      <c r="D58" s="106" t="s">
        <v>117</v>
      </c>
      <c r="E58" s="106" t="s">
        <v>3136</v>
      </c>
      <c r="F58" s="106" t="s">
        <v>138</v>
      </c>
      <c r="G58" s="106" t="s">
        <v>3136</v>
      </c>
      <c r="H58" s="106" t="s">
        <v>138</v>
      </c>
      <c r="I58" s="106" t="s">
        <v>3230</v>
      </c>
      <c r="J58">
        <v>100</v>
      </c>
    </row>
    <row r="59" spans="1:10" x14ac:dyDescent="0.25">
      <c r="A59" s="106" t="s">
        <v>42</v>
      </c>
      <c r="B59">
        <v>50</v>
      </c>
      <c r="C59" s="106" t="s">
        <v>114</v>
      </c>
      <c r="D59" s="106" t="s">
        <v>117</v>
      </c>
      <c r="E59" s="106" t="s">
        <v>3136</v>
      </c>
      <c r="F59" s="106" t="s">
        <v>138</v>
      </c>
      <c r="G59" s="106" t="s">
        <v>3136</v>
      </c>
      <c r="H59" s="106" t="s">
        <v>138</v>
      </c>
      <c r="I59" s="106" t="s">
        <v>2899</v>
      </c>
      <c r="J59">
        <v>100.05</v>
      </c>
    </row>
    <row r="60" spans="1:10" x14ac:dyDescent="0.25">
      <c r="A60" s="106" t="s">
        <v>40</v>
      </c>
      <c r="B60">
        <v>5</v>
      </c>
      <c r="C60" s="106" t="s">
        <v>114</v>
      </c>
      <c r="D60" s="106" t="s">
        <v>117</v>
      </c>
      <c r="E60" s="106" t="s">
        <v>3136</v>
      </c>
      <c r="F60" s="106" t="s">
        <v>138</v>
      </c>
      <c r="G60" s="106" t="s">
        <v>3136</v>
      </c>
      <c r="H60" s="106" t="s">
        <v>138</v>
      </c>
      <c r="I60" s="106" t="s">
        <v>3074</v>
      </c>
      <c r="J60">
        <v>14.48</v>
      </c>
    </row>
    <row r="61" spans="1:10" x14ac:dyDescent="0.25">
      <c r="A61" s="106" t="s">
        <v>492</v>
      </c>
      <c r="B61">
        <v>15</v>
      </c>
      <c r="C61" s="106" t="s">
        <v>114</v>
      </c>
      <c r="D61" s="106" t="s">
        <v>117</v>
      </c>
      <c r="E61" s="106" t="s">
        <v>3136</v>
      </c>
      <c r="F61" s="106" t="s">
        <v>138</v>
      </c>
      <c r="G61" s="106" t="s">
        <v>3136</v>
      </c>
      <c r="H61" s="106" t="s">
        <v>138</v>
      </c>
      <c r="I61" s="106" t="s">
        <v>3075</v>
      </c>
      <c r="J61">
        <v>47.03</v>
      </c>
    </row>
    <row r="62" spans="1:10" x14ac:dyDescent="0.25">
      <c r="A62" s="106" t="s">
        <v>495</v>
      </c>
      <c r="B62">
        <v>5</v>
      </c>
      <c r="C62" s="106" t="s">
        <v>114</v>
      </c>
      <c r="D62" s="106" t="s">
        <v>117</v>
      </c>
      <c r="E62" s="106" t="s">
        <v>3136</v>
      </c>
      <c r="F62" s="106" t="s">
        <v>138</v>
      </c>
      <c r="G62" s="106" t="s">
        <v>3136</v>
      </c>
      <c r="H62" s="106" t="s">
        <v>138</v>
      </c>
      <c r="I62" s="106" t="s">
        <v>3076</v>
      </c>
      <c r="J62">
        <v>16.39</v>
      </c>
    </row>
    <row r="63" spans="1:10" x14ac:dyDescent="0.25">
      <c r="A63" s="106" t="s">
        <v>497</v>
      </c>
      <c r="B63">
        <v>25</v>
      </c>
      <c r="C63" s="106" t="s">
        <v>114</v>
      </c>
      <c r="D63" s="106" t="s">
        <v>117</v>
      </c>
      <c r="E63" s="106" t="s">
        <v>3136</v>
      </c>
      <c r="F63" s="106" t="s">
        <v>138</v>
      </c>
      <c r="G63" s="106" t="s">
        <v>3136</v>
      </c>
      <c r="H63" s="106" t="s">
        <v>138</v>
      </c>
      <c r="I63" s="106" t="s">
        <v>3321</v>
      </c>
      <c r="J63">
        <v>86.3</v>
      </c>
    </row>
    <row r="64" spans="1:10" x14ac:dyDescent="0.25">
      <c r="A64" s="106" t="s">
        <v>37</v>
      </c>
      <c r="B64">
        <v>15</v>
      </c>
      <c r="C64" s="106" t="s">
        <v>114</v>
      </c>
      <c r="D64" s="106" t="s">
        <v>117</v>
      </c>
      <c r="E64" s="106" t="s">
        <v>3136</v>
      </c>
      <c r="F64" s="106" t="s">
        <v>138</v>
      </c>
      <c r="G64" s="106" t="s">
        <v>3136</v>
      </c>
      <c r="H64" s="106" t="s">
        <v>138</v>
      </c>
      <c r="I64" s="106" t="s">
        <v>3079</v>
      </c>
      <c r="J64">
        <v>24.9</v>
      </c>
    </row>
    <row r="65" spans="1:10" x14ac:dyDescent="0.25">
      <c r="A65" s="106" t="s">
        <v>36</v>
      </c>
      <c r="B65">
        <v>30</v>
      </c>
      <c r="C65" s="106" t="s">
        <v>114</v>
      </c>
      <c r="D65" s="106" t="s">
        <v>117</v>
      </c>
      <c r="E65" s="106" t="s">
        <v>3136</v>
      </c>
      <c r="F65" s="106" t="s">
        <v>138</v>
      </c>
      <c r="G65" s="106" t="s">
        <v>3136</v>
      </c>
      <c r="H65" s="106" t="s">
        <v>138</v>
      </c>
      <c r="I65" s="106" t="s">
        <v>3080</v>
      </c>
      <c r="J65">
        <v>53.4</v>
      </c>
    </row>
    <row r="66" spans="1:10" x14ac:dyDescent="0.25">
      <c r="A66" s="106" t="s">
        <v>512</v>
      </c>
      <c r="B66">
        <v>20</v>
      </c>
      <c r="C66" s="106" t="s">
        <v>114</v>
      </c>
      <c r="D66" s="106" t="s">
        <v>117</v>
      </c>
      <c r="E66" s="106" t="s">
        <v>3136</v>
      </c>
      <c r="F66" s="106" t="s">
        <v>138</v>
      </c>
      <c r="G66" s="106" t="s">
        <v>3136</v>
      </c>
      <c r="H66" s="106" t="s">
        <v>138</v>
      </c>
      <c r="I66" s="106" t="s">
        <v>3232</v>
      </c>
      <c r="J66">
        <v>81.14</v>
      </c>
    </row>
    <row r="67" spans="1:10" x14ac:dyDescent="0.25">
      <c r="A67" s="106" t="s">
        <v>514</v>
      </c>
      <c r="B67">
        <v>10</v>
      </c>
      <c r="C67" s="106" t="s">
        <v>114</v>
      </c>
      <c r="D67" s="106" t="s">
        <v>117</v>
      </c>
      <c r="E67" s="106" t="s">
        <v>3136</v>
      </c>
      <c r="F67" s="106" t="s">
        <v>138</v>
      </c>
      <c r="G67" s="106" t="s">
        <v>3136</v>
      </c>
      <c r="H67" s="106" t="s">
        <v>138</v>
      </c>
      <c r="I67" s="106" t="s">
        <v>3322</v>
      </c>
      <c r="J67">
        <v>45.62</v>
      </c>
    </row>
    <row r="68" spans="1:10" x14ac:dyDescent="0.25">
      <c r="A68" s="106" t="s">
        <v>516</v>
      </c>
      <c r="B68">
        <v>5</v>
      </c>
      <c r="C68" s="106" t="s">
        <v>114</v>
      </c>
      <c r="D68" s="106" t="s">
        <v>117</v>
      </c>
      <c r="E68" s="106" t="s">
        <v>3136</v>
      </c>
      <c r="F68" s="106" t="s">
        <v>138</v>
      </c>
      <c r="G68" s="106" t="s">
        <v>3136</v>
      </c>
      <c r="H68" s="106" t="s">
        <v>138</v>
      </c>
      <c r="I68" s="106" t="s">
        <v>3233</v>
      </c>
      <c r="J68">
        <v>26.92</v>
      </c>
    </row>
    <row r="69" spans="1:10" x14ac:dyDescent="0.25">
      <c r="A69" s="106" t="s">
        <v>34</v>
      </c>
      <c r="B69">
        <v>100</v>
      </c>
      <c r="C69" s="106" t="s">
        <v>114</v>
      </c>
      <c r="D69" s="106" t="s">
        <v>117</v>
      </c>
      <c r="E69" s="106" t="s">
        <v>3136</v>
      </c>
      <c r="F69" s="106" t="s">
        <v>138</v>
      </c>
      <c r="G69" s="106" t="s">
        <v>3136</v>
      </c>
      <c r="H69" s="106" t="s">
        <v>138</v>
      </c>
      <c r="I69" s="106" t="s">
        <v>3234</v>
      </c>
      <c r="J69">
        <v>222</v>
      </c>
    </row>
    <row r="70" spans="1:10" x14ac:dyDescent="0.25">
      <c r="A70" s="106" t="s">
        <v>33</v>
      </c>
      <c r="B70">
        <v>15</v>
      </c>
      <c r="C70" s="106" t="s">
        <v>114</v>
      </c>
      <c r="D70" s="106" t="s">
        <v>117</v>
      </c>
      <c r="E70" s="106" t="s">
        <v>3136</v>
      </c>
      <c r="F70" s="106" t="s">
        <v>138</v>
      </c>
      <c r="G70" s="106" t="s">
        <v>3136</v>
      </c>
      <c r="H70" s="106" t="s">
        <v>138</v>
      </c>
      <c r="I70" s="106" t="s">
        <v>3235</v>
      </c>
      <c r="J70">
        <v>34.950000000000003</v>
      </c>
    </row>
    <row r="71" spans="1:10" x14ac:dyDescent="0.25">
      <c r="A71" s="106" t="s">
        <v>32</v>
      </c>
      <c r="B71">
        <v>20</v>
      </c>
      <c r="C71" s="106" t="s">
        <v>114</v>
      </c>
      <c r="D71" s="106" t="s">
        <v>117</v>
      </c>
      <c r="E71" s="106" t="s">
        <v>3136</v>
      </c>
      <c r="F71" s="106" t="s">
        <v>138</v>
      </c>
      <c r="G71" s="106" t="s">
        <v>3136</v>
      </c>
      <c r="H71" s="106" t="s">
        <v>138</v>
      </c>
      <c r="I71" s="106" t="s">
        <v>2900</v>
      </c>
      <c r="J71">
        <v>102.34</v>
      </c>
    </row>
    <row r="72" spans="1:10" x14ac:dyDescent="0.25">
      <c r="A72" s="106" t="s">
        <v>31</v>
      </c>
      <c r="B72">
        <v>10</v>
      </c>
      <c r="C72" s="106" t="s">
        <v>114</v>
      </c>
      <c r="D72" s="106" t="s">
        <v>117</v>
      </c>
      <c r="E72" s="106" t="s">
        <v>3136</v>
      </c>
      <c r="F72" s="106" t="s">
        <v>138</v>
      </c>
      <c r="G72" s="106" t="s">
        <v>3136</v>
      </c>
      <c r="H72" s="106" t="s">
        <v>138</v>
      </c>
      <c r="I72" s="106" t="s">
        <v>3236</v>
      </c>
      <c r="J72">
        <v>56.52</v>
      </c>
    </row>
    <row r="73" spans="1:10" x14ac:dyDescent="0.25">
      <c r="A73" s="106" t="s">
        <v>83</v>
      </c>
      <c r="B73">
        <v>30</v>
      </c>
      <c r="C73" s="106" t="s">
        <v>114</v>
      </c>
      <c r="D73" s="106" t="s">
        <v>117</v>
      </c>
      <c r="E73" s="106" t="s">
        <v>3136</v>
      </c>
      <c r="F73" s="106" t="s">
        <v>138</v>
      </c>
      <c r="G73" s="106" t="s">
        <v>3136</v>
      </c>
      <c r="H73" s="106" t="s">
        <v>138</v>
      </c>
      <c r="I73" s="106" t="s">
        <v>3081</v>
      </c>
      <c r="J73">
        <v>257.64999999999998</v>
      </c>
    </row>
    <row r="74" spans="1:10" x14ac:dyDescent="0.25">
      <c r="A74" s="106" t="s">
        <v>532</v>
      </c>
      <c r="B74">
        <v>50</v>
      </c>
      <c r="C74" s="106" t="s">
        <v>114</v>
      </c>
      <c r="D74" s="106" t="s">
        <v>117</v>
      </c>
      <c r="E74" s="106" t="s">
        <v>3136</v>
      </c>
      <c r="F74" s="106" t="s">
        <v>138</v>
      </c>
      <c r="G74" s="106" t="s">
        <v>3136</v>
      </c>
      <c r="H74" s="106" t="s">
        <v>138</v>
      </c>
      <c r="I74" s="106" t="s">
        <v>3323</v>
      </c>
      <c r="J74">
        <v>84.69</v>
      </c>
    </row>
    <row r="75" spans="1:10" x14ac:dyDescent="0.25">
      <c r="A75" s="106" t="s">
        <v>535</v>
      </c>
      <c r="B75">
        <v>10</v>
      </c>
      <c r="C75" s="106" t="s">
        <v>114</v>
      </c>
      <c r="D75" s="106" t="s">
        <v>117</v>
      </c>
      <c r="E75" s="106" t="s">
        <v>3136</v>
      </c>
      <c r="F75" s="106" t="s">
        <v>138</v>
      </c>
      <c r="G75" s="106" t="s">
        <v>3136</v>
      </c>
      <c r="H75" s="106" t="s">
        <v>138</v>
      </c>
      <c r="I75" s="106" t="s">
        <v>3324</v>
      </c>
      <c r="J75">
        <v>17.899999999999999</v>
      </c>
    </row>
    <row r="76" spans="1:10" x14ac:dyDescent="0.25">
      <c r="A76" s="106" t="s">
        <v>29</v>
      </c>
      <c r="B76">
        <v>5</v>
      </c>
      <c r="C76" s="106" t="s">
        <v>114</v>
      </c>
      <c r="D76" s="106" t="s">
        <v>117</v>
      </c>
      <c r="E76" s="106" t="s">
        <v>3136</v>
      </c>
      <c r="F76" s="106" t="s">
        <v>138</v>
      </c>
      <c r="G76" s="106" t="s">
        <v>3136</v>
      </c>
      <c r="H76" s="106" t="s">
        <v>138</v>
      </c>
      <c r="I76" s="106" t="s">
        <v>3176</v>
      </c>
      <c r="J76">
        <v>18.64</v>
      </c>
    </row>
    <row r="77" spans="1:10" x14ac:dyDescent="0.25">
      <c r="A77" s="106" t="s">
        <v>546</v>
      </c>
      <c r="B77">
        <v>25</v>
      </c>
      <c r="C77" s="106" t="s">
        <v>114</v>
      </c>
      <c r="D77" s="106" t="s">
        <v>117</v>
      </c>
      <c r="E77" s="106" t="s">
        <v>3136</v>
      </c>
      <c r="F77" s="106" t="s">
        <v>138</v>
      </c>
      <c r="G77" s="106" t="s">
        <v>3136</v>
      </c>
      <c r="H77" s="106" t="s">
        <v>138</v>
      </c>
      <c r="I77" s="106" t="s">
        <v>3177</v>
      </c>
      <c r="J77">
        <v>124.36</v>
      </c>
    </row>
    <row r="78" spans="1:10" x14ac:dyDescent="0.25">
      <c r="A78" s="106" t="s">
        <v>556</v>
      </c>
      <c r="B78">
        <v>5</v>
      </c>
      <c r="C78" s="106" t="s">
        <v>114</v>
      </c>
      <c r="D78" s="106" t="s">
        <v>117</v>
      </c>
      <c r="E78" s="106" t="s">
        <v>3136</v>
      </c>
      <c r="F78" s="106" t="s">
        <v>138</v>
      </c>
      <c r="G78" s="106" t="s">
        <v>3136</v>
      </c>
      <c r="H78" s="106" t="s">
        <v>138</v>
      </c>
      <c r="I78" s="106" t="s">
        <v>3237</v>
      </c>
      <c r="J78">
        <v>33.479999999999997</v>
      </c>
    </row>
    <row r="79" spans="1:10" x14ac:dyDescent="0.25">
      <c r="A79" s="106" t="s">
        <v>558</v>
      </c>
      <c r="B79">
        <v>5</v>
      </c>
      <c r="C79" s="106" t="s">
        <v>114</v>
      </c>
      <c r="D79" s="106" t="s">
        <v>117</v>
      </c>
      <c r="E79" s="106" t="s">
        <v>3136</v>
      </c>
      <c r="F79" s="106" t="s">
        <v>138</v>
      </c>
      <c r="G79" s="106" t="s">
        <v>3136</v>
      </c>
      <c r="H79" s="106" t="s">
        <v>138</v>
      </c>
      <c r="I79" s="106" t="s">
        <v>3238</v>
      </c>
      <c r="J79">
        <v>47.98</v>
      </c>
    </row>
    <row r="80" spans="1:10" x14ac:dyDescent="0.25">
      <c r="A80" s="106" t="s">
        <v>562</v>
      </c>
      <c r="B80">
        <v>5</v>
      </c>
      <c r="C80" s="106" t="s">
        <v>114</v>
      </c>
      <c r="D80" s="106" t="s">
        <v>117</v>
      </c>
      <c r="E80" s="106" t="s">
        <v>3136</v>
      </c>
      <c r="F80" s="106" t="s">
        <v>138</v>
      </c>
      <c r="G80" s="106" t="s">
        <v>3136</v>
      </c>
      <c r="H80" s="106" t="s">
        <v>138</v>
      </c>
      <c r="I80" s="106" t="s">
        <v>3239</v>
      </c>
      <c r="J80">
        <v>23.14</v>
      </c>
    </row>
    <row r="81" spans="1:10" x14ac:dyDescent="0.25">
      <c r="A81" s="106" t="s">
        <v>564</v>
      </c>
      <c r="B81">
        <v>5</v>
      </c>
      <c r="C81" s="106" t="s">
        <v>114</v>
      </c>
      <c r="D81" s="106" t="s">
        <v>117</v>
      </c>
      <c r="E81" s="106" t="s">
        <v>3136</v>
      </c>
      <c r="F81" s="106" t="s">
        <v>138</v>
      </c>
      <c r="G81" s="106" t="s">
        <v>3136</v>
      </c>
      <c r="H81" s="106" t="s">
        <v>138</v>
      </c>
      <c r="I81" s="106" t="s">
        <v>3240</v>
      </c>
      <c r="J81">
        <v>28</v>
      </c>
    </row>
    <row r="82" spans="1:10" x14ac:dyDescent="0.25">
      <c r="A82" s="106" t="s">
        <v>28</v>
      </c>
      <c r="B82">
        <v>5</v>
      </c>
      <c r="C82" s="106" t="s">
        <v>114</v>
      </c>
      <c r="D82" s="106" t="s">
        <v>117</v>
      </c>
      <c r="E82" s="106" t="s">
        <v>3136</v>
      </c>
      <c r="F82" s="106" t="s">
        <v>138</v>
      </c>
      <c r="G82" s="106" t="s">
        <v>3136</v>
      </c>
      <c r="H82" s="106" t="s">
        <v>138</v>
      </c>
      <c r="I82" s="106" t="s">
        <v>3003</v>
      </c>
      <c r="J82">
        <v>22.27</v>
      </c>
    </row>
    <row r="83" spans="1:10" x14ac:dyDescent="0.25">
      <c r="A83" s="106" t="s">
        <v>27</v>
      </c>
      <c r="B83">
        <v>10</v>
      </c>
      <c r="C83" s="106" t="s">
        <v>114</v>
      </c>
      <c r="D83" s="106" t="s">
        <v>117</v>
      </c>
      <c r="E83" s="106" t="s">
        <v>3136</v>
      </c>
      <c r="F83" s="106" t="s">
        <v>138</v>
      </c>
      <c r="G83" s="106" t="s">
        <v>3136</v>
      </c>
      <c r="H83" s="106" t="s">
        <v>138</v>
      </c>
      <c r="I83" s="106" t="s">
        <v>3241</v>
      </c>
      <c r="J83">
        <v>95.32</v>
      </c>
    </row>
    <row r="84" spans="1:10" x14ac:dyDescent="0.25">
      <c r="A84" s="106" t="s">
        <v>585</v>
      </c>
      <c r="B84">
        <v>10</v>
      </c>
      <c r="C84" s="106" t="s">
        <v>114</v>
      </c>
      <c r="D84" s="106" t="s">
        <v>117</v>
      </c>
      <c r="E84" s="106" t="s">
        <v>3136</v>
      </c>
      <c r="F84" s="106" t="s">
        <v>138</v>
      </c>
      <c r="G84" s="106" t="s">
        <v>3136</v>
      </c>
      <c r="H84" s="106" t="s">
        <v>138</v>
      </c>
      <c r="I84" s="106" t="s">
        <v>3242</v>
      </c>
      <c r="J84">
        <v>13.6</v>
      </c>
    </row>
    <row r="85" spans="1:10" x14ac:dyDescent="0.25">
      <c r="A85" s="106" t="s">
        <v>589</v>
      </c>
      <c r="B85">
        <v>20</v>
      </c>
      <c r="C85" s="106" t="s">
        <v>114</v>
      </c>
      <c r="D85" s="106" t="s">
        <v>117</v>
      </c>
      <c r="E85" s="106" t="s">
        <v>3136</v>
      </c>
      <c r="F85" s="106" t="s">
        <v>138</v>
      </c>
      <c r="G85" s="106" t="s">
        <v>3136</v>
      </c>
      <c r="H85" s="106" t="s">
        <v>138</v>
      </c>
      <c r="I85" s="106" t="s">
        <v>3325</v>
      </c>
      <c r="J85">
        <v>29.8</v>
      </c>
    </row>
    <row r="86" spans="1:10" x14ac:dyDescent="0.25">
      <c r="A86" s="106" t="s">
        <v>591</v>
      </c>
      <c r="B86">
        <v>5</v>
      </c>
      <c r="C86" s="106" t="s">
        <v>114</v>
      </c>
      <c r="D86" s="106" t="s">
        <v>117</v>
      </c>
      <c r="E86" s="106" t="s">
        <v>3136</v>
      </c>
      <c r="F86" s="106" t="s">
        <v>138</v>
      </c>
      <c r="G86" s="106" t="s">
        <v>3136</v>
      </c>
      <c r="H86" s="106" t="s">
        <v>138</v>
      </c>
      <c r="I86" s="106" t="s">
        <v>3082</v>
      </c>
      <c r="J86">
        <v>12.71</v>
      </c>
    </row>
    <row r="87" spans="1:10" x14ac:dyDescent="0.25">
      <c r="A87" s="106" t="s">
        <v>25</v>
      </c>
      <c r="B87">
        <v>100</v>
      </c>
      <c r="C87" s="106" t="s">
        <v>114</v>
      </c>
      <c r="D87" s="106" t="s">
        <v>117</v>
      </c>
      <c r="E87" s="106" t="s">
        <v>3136</v>
      </c>
      <c r="F87" s="106" t="s">
        <v>138</v>
      </c>
      <c r="G87" s="106" t="s">
        <v>3136</v>
      </c>
      <c r="H87" s="106" t="s">
        <v>138</v>
      </c>
      <c r="I87" s="106" t="s">
        <v>3083</v>
      </c>
      <c r="J87">
        <v>326.06</v>
      </c>
    </row>
    <row r="88" spans="1:10" x14ac:dyDescent="0.25">
      <c r="A88" s="106" t="s">
        <v>22</v>
      </c>
      <c r="B88">
        <v>25</v>
      </c>
      <c r="C88" s="106" t="s">
        <v>114</v>
      </c>
      <c r="D88" s="106" t="s">
        <v>117</v>
      </c>
      <c r="E88" s="106" t="s">
        <v>3136</v>
      </c>
      <c r="F88" s="106" t="s">
        <v>138</v>
      </c>
      <c r="G88" s="106" t="s">
        <v>3136</v>
      </c>
      <c r="H88" s="106" t="s">
        <v>138</v>
      </c>
      <c r="I88" s="106" t="s">
        <v>3084</v>
      </c>
      <c r="J88">
        <v>46.2</v>
      </c>
    </row>
    <row r="89" spans="1:10" x14ac:dyDescent="0.25">
      <c r="A89" s="106" t="s">
        <v>21</v>
      </c>
      <c r="B89">
        <v>25</v>
      </c>
      <c r="C89" s="106" t="s">
        <v>114</v>
      </c>
      <c r="D89" s="106" t="s">
        <v>117</v>
      </c>
      <c r="E89" s="106" t="s">
        <v>3136</v>
      </c>
      <c r="F89" s="106" t="s">
        <v>138</v>
      </c>
      <c r="G89" s="106" t="s">
        <v>3136</v>
      </c>
      <c r="H89" s="106" t="s">
        <v>138</v>
      </c>
      <c r="I89" s="106" t="s">
        <v>3243</v>
      </c>
      <c r="J89">
        <v>48.89</v>
      </c>
    </row>
    <row r="90" spans="1:10" x14ac:dyDescent="0.25">
      <c r="A90" s="106" t="s">
        <v>20</v>
      </c>
      <c r="B90">
        <v>60</v>
      </c>
      <c r="C90" s="106" t="s">
        <v>114</v>
      </c>
      <c r="D90" s="106" t="s">
        <v>117</v>
      </c>
      <c r="E90" s="106" t="s">
        <v>3136</v>
      </c>
      <c r="F90" s="106" t="s">
        <v>138</v>
      </c>
      <c r="G90" s="106" t="s">
        <v>3136</v>
      </c>
      <c r="H90" s="106" t="s">
        <v>138</v>
      </c>
      <c r="I90" s="106" t="s">
        <v>3291</v>
      </c>
      <c r="J90">
        <v>123.85</v>
      </c>
    </row>
    <row r="91" spans="1:10" x14ac:dyDescent="0.25">
      <c r="A91" s="106" t="s">
        <v>614</v>
      </c>
      <c r="B91">
        <v>30</v>
      </c>
      <c r="C91" s="106" t="s">
        <v>114</v>
      </c>
      <c r="D91" s="106" t="s">
        <v>117</v>
      </c>
      <c r="E91" s="106" t="s">
        <v>3136</v>
      </c>
      <c r="F91" s="106" t="s">
        <v>138</v>
      </c>
      <c r="G91" s="106" t="s">
        <v>3136</v>
      </c>
      <c r="H91" s="106" t="s">
        <v>138</v>
      </c>
      <c r="I91" s="106" t="s">
        <v>3244</v>
      </c>
      <c r="J91">
        <v>84.3</v>
      </c>
    </row>
    <row r="92" spans="1:10" x14ac:dyDescent="0.25">
      <c r="A92" s="106" t="s">
        <v>616</v>
      </c>
      <c r="B92">
        <v>5</v>
      </c>
      <c r="C92" s="106" t="s">
        <v>114</v>
      </c>
      <c r="D92" s="106" t="s">
        <v>117</v>
      </c>
      <c r="E92" s="106" t="s">
        <v>3136</v>
      </c>
      <c r="F92" s="106" t="s">
        <v>138</v>
      </c>
      <c r="G92" s="106" t="s">
        <v>3136</v>
      </c>
      <c r="H92" s="106" t="s">
        <v>138</v>
      </c>
      <c r="I92" s="106" t="s">
        <v>3245</v>
      </c>
      <c r="J92">
        <v>21.4</v>
      </c>
    </row>
    <row r="93" spans="1:10" x14ac:dyDescent="0.25">
      <c r="A93" s="106" t="s">
        <v>618</v>
      </c>
      <c r="B93">
        <v>15</v>
      </c>
      <c r="C93" s="106" t="s">
        <v>114</v>
      </c>
      <c r="D93" s="106" t="s">
        <v>117</v>
      </c>
      <c r="E93" s="106" t="s">
        <v>3136</v>
      </c>
      <c r="F93" s="106" t="s">
        <v>138</v>
      </c>
      <c r="G93" s="106" t="s">
        <v>3136</v>
      </c>
      <c r="H93" s="106" t="s">
        <v>138</v>
      </c>
      <c r="I93" s="106" t="s">
        <v>3246</v>
      </c>
      <c r="J93">
        <v>71.12</v>
      </c>
    </row>
    <row r="94" spans="1:10" x14ac:dyDescent="0.25">
      <c r="A94" s="106" t="s">
        <v>620</v>
      </c>
      <c r="B94">
        <v>5</v>
      </c>
      <c r="C94" s="106" t="s">
        <v>114</v>
      </c>
      <c r="D94" s="106" t="s">
        <v>117</v>
      </c>
      <c r="E94" s="106" t="s">
        <v>3136</v>
      </c>
      <c r="F94" s="106" t="s">
        <v>138</v>
      </c>
      <c r="G94" s="106" t="s">
        <v>3136</v>
      </c>
      <c r="H94" s="106" t="s">
        <v>138</v>
      </c>
      <c r="I94" s="106" t="s">
        <v>3085</v>
      </c>
      <c r="J94">
        <v>28.02</v>
      </c>
    </row>
    <row r="95" spans="1:10" x14ac:dyDescent="0.25">
      <c r="A95" s="106" t="s">
        <v>17</v>
      </c>
      <c r="B95">
        <v>20</v>
      </c>
      <c r="C95" s="106" t="s">
        <v>114</v>
      </c>
      <c r="D95" s="106" t="s">
        <v>117</v>
      </c>
      <c r="E95" s="106" t="s">
        <v>3136</v>
      </c>
      <c r="F95" s="106" t="s">
        <v>138</v>
      </c>
      <c r="G95" s="106" t="s">
        <v>3136</v>
      </c>
      <c r="H95" s="106" t="s">
        <v>138</v>
      </c>
      <c r="I95" s="106" t="s">
        <v>3247</v>
      </c>
      <c r="J95">
        <v>101.87</v>
      </c>
    </row>
    <row r="96" spans="1:10" x14ac:dyDescent="0.25">
      <c r="A96" s="106" t="s">
        <v>16</v>
      </c>
      <c r="B96">
        <v>15</v>
      </c>
      <c r="C96" s="106" t="s">
        <v>114</v>
      </c>
      <c r="D96" s="106" t="s">
        <v>117</v>
      </c>
      <c r="E96" s="106" t="s">
        <v>3136</v>
      </c>
      <c r="F96" s="106" t="s">
        <v>138</v>
      </c>
      <c r="G96" s="106" t="s">
        <v>3136</v>
      </c>
      <c r="H96" s="106" t="s">
        <v>138</v>
      </c>
      <c r="I96" s="106" t="s">
        <v>3088</v>
      </c>
      <c r="J96">
        <v>92.37</v>
      </c>
    </row>
    <row r="97" spans="1:10" x14ac:dyDescent="0.25">
      <c r="A97" s="106" t="s">
        <v>14</v>
      </c>
      <c r="B97">
        <v>20</v>
      </c>
      <c r="C97" s="106" t="s">
        <v>114</v>
      </c>
      <c r="D97" s="106" t="s">
        <v>117</v>
      </c>
      <c r="E97" s="106" t="s">
        <v>3136</v>
      </c>
      <c r="F97" s="106" t="s">
        <v>138</v>
      </c>
      <c r="G97" s="106" t="s">
        <v>3136</v>
      </c>
      <c r="H97" s="106" t="s">
        <v>138</v>
      </c>
      <c r="I97" s="106" t="s">
        <v>3248</v>
      </c>
      <c r="J97">
        <v>38.24</v>
      </c>
    </row>
    <row r="98" spans="1:10" x14ac:dyDescent="0.25">
      <c r="A98" s="106" t="s">
        <v>86</v>
      </c>
      <c r="B98">
        <v>5</v>
      </c>
      <c r="C98" s="106" t="s">
        <v>114</v>
      </c>
      <c r="D98" s="106" t="s">
        <v>117</v>
      </c>
      <c r="E98" s="106" t="s">
        <v>3136</v>
      </c>
      <c r="F98" s="106" t="s">
        <v>138</v>
      </c>
      <c r="G98" s="106" t="s">
        <v>3136</v>
      </c>
      <c r="H98" s="106" t="s">
        <v>138</v>
      </c>
      <c r="I98" s="106" t="s">
        <v>3326</v>
      </c>
      <c r="J98">
        <v>13.85</v>
      </c>
    </row>
    <row r="99" spans="1:10" x14ac:dyDescent="0.25">
      <c r="A99" s="106" t="s">
        <v>647</v>
      </c>
      <c r="B99">
        <v>5</v>
      </c>
      <c r="C99" s="106" t="s">
        <v>114</v>
      </c>
      <c r="D99" s="106" t="s">
        <v>117</v>
      </c>
      <c r="E99" s="106" t="s">
        <v>3136</v>
      </c>
      <c r="F99" s="106" t="s">
        <v>138</v>
      </c>
      <c r="G99" s="106" t="s">
        <v>3136</v>
      </c>
      <c r="H99" s="106" t="s">
        <v>138</v>
      </c>
      <c r="I99" s="106" t="s">
        <v>3327</v>
      </c>
      <c r="J99">
        <v>10.75</v>
      </c>
    </row>
    <row r="100" spans="1:10" x14ac:dyDescent="0.25">
      <c r="A100" s="106" t="s">
        <v>656</v>
      </c>
      <c r="B100">
        <v>15</v>
      </c>
      <c r="C100" s="106" t="s">
        <v>114</v>
      </c>
      <c r="D100" s="106" t="s">
        <v>117</v>
      </c>
      <c r="E100" s="106" t="s">
        <v>3136</v>
      </c>
      <c r="F100" s="106" t="s">
        <v>138</v>
      </c>
      <c r="G100" s="106" t="s">
        <v>3136</v>
      </c>
      <c r="H100" s="106" t="s">
        <v>138</v>
      </c>
      <c r="I100" s="106" t="s">
        <v>3249</v>
      </c>
      <c r="J100">
        <v>30</v>
      </c>
    </row>
    <row r="101" spans="1:10" x14ac:dyDescent="0.25">
      <c r="A101" s="106" t="s">
        <v>659</v>
      </c>
      <c r="B101">
        <v>10</v>
      </c>
      <c r="C101" s="106" t="s">
        <v>114</v>
      </c>
      <c r="D101" s="106" t="s">
        <v>117</v>
      </c>
      <c r="E101" s="106" t="s">
        <v>3136</v>
      </c>
      <c r="F101" s="106" t="s">
        <v>138</v>
      </c>
      <c r="G101" s="106" t="s">
        <v>3136</v>
      </c>
      <c r="H101" s="106" t="s">
        <v>138</v>
      </c>
      <c r="I101" s="106" t="s">
        <v>3250</v>
      </c>
      <c r="J101">
        <v>21.8</v>
      </c>
    </row>
    <row r="102" spans="1:10" x14ac:dyDescent="0.25">
      <c r="A102" s="106" t="s">
        <v>661</v>
      </c>
      <c r="B102">
        <v>10</v>
      </c>
      <c r="C102" s="106" t="s">
        <v>114</v>
      </c>
      <c r="D102" s="106" t="s">
        <v>117</v>
      </c>
      <c r="E102" s="106" t="s">
        <v>3136</v>
      </c>
      <c r="F102" s="106" t="s">
        <v>138</v>
      </c>
      <c r="G102" s="106" t="s">
        <v>3136</v>
      </c>
      <c r="H102" s="106" t="s">
        <v>138</v>
      </c>
      <c r="I102" s="106" t="s">
        <v>3090</v>
      </c>
      <c r="J102">
        <v>28.3</v>
      </c>
    </row>
    <row r="103" spans="1:10" x14ac:dyDescent="0.25">
      <c r="A103" s="106" t="s">
        <v>13</v>
      </c>
      <c r="B103">
        <v>25</v>
      </c>
      <c r="C103" s="106" t="s">
        <v>114</v>
      </c>
      <c r="D103" s="106" t="s">
        <v>117</v>
      </c>
      <c r="E103" s="106" t="s">
        <v>3136</v>
      </c>
      <c r="F103" s="106" t="s">
        <v>138</v>
      </c>
      <c r="G103" s="106" t="s">
        <v>3136</v>
      </c>
      <c r="H103" s="106" t="s">
        <v>138</v>
      </c>
      <c r="I103" s="106" t="s">
        <v>3091</v>
      </c>
      <c r="J103">
        <v>114</v>
      </c>
    </row>
    <row r="104" spans="1:10" x14ac:dyDescent="0.25">
      <c r="A104" s="106" t="s">
        <v>12</v>
      </c>
      <c r="B104">
        <v>5</v>
      </c>
      <c r="C104" s="106" t="s">
        <v>114</v>
      </c>
      <c r="D104" s="106" t="s">
        <v>117</v>
      </c>
      <c r="E104" s="106" t="s">
        <v>3136</v>
      </c>
      <c r="F104" s="106" t="s">
        <v>138</v>
      </c>
      <c r="G104" s="106" t="s">
        <v>3136</v>
      </c>
      <c r="H104" s="106" t="s">
        <v>138</v>
      </c>
      <c r="I104" s="106" t="s">
        <v>3178</v>
      </c>
      <c r="J104">
        <v>23.9</v>
      </c>
    </row>
    <row r="105" spans="1:10" x14ac:dyDescent="0.25">
      <c r="A105" s="106" t="s">
        <v>10</v>
      </c>
      <c r="B105">
        <v>100</v>
      </c>
      <c r="C105" s="106" t="s">
        <v>114</v>
      </c>
      <c r="D105" s="106" t="s">
        <v>117</v>
      </c>
      <c r="E105" s="106" t="s">
        <v>3136</v>
      </c>
      <c r="F105" s="106" t="s">
        <v>138</v>
      </c>
      <c r="G105" s="106" t="s">
        <v>3136</v>
      </c>
      <c r="H105" s="106" t="s">
        <v>138</v>
      </c>
      <c r="I105" s="106" t="s">
        <v>3093</v>
      </c>
      <c r="J105">
        <v>136</v>
      </c>
    </row>
    <row r="106" spans="1:10" x14ac:dyDescent="0.25">
      <c r="A106" s="106" t="s">
        <v>671</v>
      </c>
      <c r="B106">
        <v>10</v>
      </c>
      <c r="C106" s="106" t="s">
        <v>114</v>
      </c>
      <c r="D106" s="106" t="s">
        <v>117</v>
      </c>
      <c r="E106" s="106" t="s">
        <v>3136</v>
      </c>
      <c r="F106" s="106" t="s">
        <v>138</v>
      </c>
      <c r="G106" s="106" t="s">
        <v>3136</v>
      </c>
      <c r="H106" s="106" t="s">
        <v>138</v>
      </c>
      <c r="I106" s="106" t="s">
        <v>3251</v>
      </c>
      <c r="J106">
        <v>33.5</v>
      </c>
    </row>
    <row r="107" spans="1:10" x14ac:dyDescent="0.25">
      <c r="A107" s="106" t="s">
        <v>9</v>
      </c>
      <c r="B107">
        <v>5</v>
      </c>
      <c r="C107" s="106" t="s">
        <v>114</v>
      </c>
      <c r="D107" s="106" t="s">
        <v>117</v>
      </c>
      <c r="E107" s="106" t="s">
        <v>3136</v>
      </c>
      <c r="F107" s="106" t="s">
        <v>138</v>
      </c>
      <c r="G107" s="106" t="s">
        <v>3136</v>
      </c>
      <c r="H107" s="106" t="s">
        <v>138</v>
      </c>
      <c r="I107" s="106" t="s">
        <v>3094</v>
      </c>
      <c r="J107">
        <v>73.05</v>
      </c>
    </row>
    <row r="108" spans="1:10" x14ac:dyDescent="0.25">
      <c r="A108" s="106" t="s">
        <v>690</v>
      </c>
      <c r="B108">
        <v>20</v>
      </c>
      <c r="C108" s="106" t="s">
        <v>114</v>
      </c>
      <c r="D108" s="106" t="s">
        <v>117</v>
      </c>
      <c r="E108" s="106" t="s">
        <v>3136</v>
      </c>
      <c r="F108" s="106" t="s">
        <v>138</v>
      </c>
      <c r="G108" s="106" t="s">
        <v>3136</v>
      </c>
      <c r="H108" s="106" t="s">
        <v>138</v>
      </c>
      <c r="I108" s="106" t="s">
        <v>3095</v>
      </c>
      <c r="J108">
        <v>176</v>
      </c>
    </row>
    <row r="109" spans="1:10" x14ac:dyDescent="0.25">
      <c r="A109" s="106" t="s">
        <v>7</v>
      </c>
      <c r="B109">
        <v>20</v>
      </c>
      <c r="C109" s="106" t="s">
        <v>113</v>
      </c>
      <c r="D109" s="106" t="s">
        <v>117</v>
      </c>
      <c r="E109" s="106" t="s">
        <v>3136</v>
      </c>
      <c r="F109" s="106" t="s">
        <v>138</v>
      </c>
      <c r="G109" s="106" t="s">
        <v>3136</v>
      </c>
      <c r="H109" s="106" t="s">
        <v>145</v>
      </c>
      <c r="I109" s="106" t="s">
        <v>3096</v>
      </c>
      <c r="J109">
        <v>35.700000000000003</v>
      </c>
    </row>
    <row r="110" spans="1:10" x14ac:dyDescent="0.25">
      <c r="A110" s="106" t="s">
        <v>6</v>
      </c>
      <c r="B110">
        <v>20</v>
      </c>
      <c r="C110" s="106" t="s">
        <v>113</v>
      </c>
      <c r="D110" s="106" t="s">
        <v>117</v>
      </c>
      <c r="E110" s="106" t="s">
        <v>3136</v>
      </c>
      <c r="F110" s="106" t="s">
        <v>138</v>
      </c>
      <c r="G110" s="106" t="s">
        <v>3136</v>
      </c>
      <c r="H110" s="106" t="s">
        <v>145</v>
      </c>
      <c r="I110" s="106" t="s">
        <v>3097</v>
      </c>
      <c r="J110">
        <v>53.14</v>
      </c>
    </row>
    <row r="111" spans="1:10" x14ac:dyDescent="0.25">
      <c r="A111" s="106" t="s">
        <v>5</v>
      </c>
      <c r="B111">
        <v>10</v>
      </c>
      <c r="C111" s="106" t="s">
        <v>113</v>
      </c>
      <c r="D111" s="106" t="s">
        <v>117</v>
      </c>
      <c r="E111" s="106" t="s">
        <v>3136</v>
      </c>
      <c r="F111" s="106" t="s">
        <v>138</v>
      </c>
      <c r="G111" s="106" t="s">
        <v>3136</v>
      </c>
      <c r="H111" s="106" t="s">
        <v>145</v>
      </c>
      <c r="I111" s="106" t="s">
        <v>3098</v>
      </c>
      <c r="J111">
        <v>34.67</v>
      </c>
    </row>
    <row r="112" spans="1:10" x14ac:dyDescent="0.25">
      <c r="A112" s="106" t="s">
        <v>4</v>
      </c>
      <c r="B112">
        <v>20</v>
      </c>
      <c r="C112" s="106" t="s">
        <v>113</v>
      </c>
      <c r="D112" s="106" t="s">
        <v>117</v>
      </c>
      <c r="E112" s="106" t="s">
        <v>3136</v>
      </c>
      <c r="F112" s="106" t="s">
        <v>138</v>
      </c>
      <c r="G112" s="106" t="s">
        <v>3136</v>
      </c>
      <c r="H112" s="106" t="s">
        <v>145</v>
      </c>
      <c r="I112" s="106" t="s">
        <v>3099</v>
      </c>
      <c r="J112">
        <v>105.89</v>
      </c>
    </row>
    <row r="113" spans="1:10" x14ac:dyDescent="0.25">
      <c r="A113" s="106" t="s">
        <v>88</v>
      </c>
      <c r="B113">
        <v>200</v>
      </c>
      <c r="C113" s="106" t="s">
        <v>113</v>
      </c>
      <c r="D113" s="106" t="s">
        <v>117</v>
      </c>
      <c r="E113" s="106" t="s">
        <v>3136</v>
      </c>
      <c r="F113" s="106" t="s">
        <v>138</v>
      </c>
      <c r="G113" s="106" t="s">
        <v>3136</v>
      </c>
      <c r="H113" s="106" t="s">
        <v>145</v>
      </c>
      <c r="I113" s="106" t="s">
        <v>3102</v>
      </c>
      <c r="J113">
        <v>240</v>
      </c>
    </row>
    <row r="114" spans="1:10" x14ac:dyDescent="0.25">
      <c r="A114" s="106" t="s">
        <v>1237</v>
      </c>
      <c r="B114">
        <v>15</v>
      </c>
      <c r="C114" s="106" t="s">
        <v>114</v>
      </c>
      <c r="D114" s="106" t="s">
        <v>3304</v>
      </c>
      <c r="E114" s="106" t="s">
        <v>3137</v>
      </c>
      <c r="F114" s="106" t="s">
        <v>3312</v>
      </c>
      <c r="G114" s="106" t="s">
        <v>3137</v>
      </c>
      <c r="H114" s="106" t="s">
        <v>147</v>
      </c>
      <c r="I114" s="106" t="s">
        <v>3111</v>
      </c>
      <c r="J114">
        <v>6.3</v>
      </c>
    </row>
    <row r="115" spans="1:10" x14ac:dyDescent="0.25">
      <c r="A115" s="106" t="s">
        <v>1242</v>
      </c>
      <c r="B115">
        <v>5</v>
      </c>
      <c r="C115" s="106" t="s">
        <v>114</v>
      </c>
      <c r="D115" s="106" t="s">
        <v>3304</v>
      </c>
      <c r="E115" s="106" t="s">
        <v>3137</v>
      </c>
      <c r="F115" s="106" t="s">
        <v>3312</v>
      </c>
      <c r="G115" s="106" t="s">
        <v>3137</v>
      </c>
      <c r="H115" s="106" t="s">
        <v>147</v>
      </c>
      <c r="I115" s="106" t="s">
        <v>3113</v>
      </c>
      <c r="J115">
        <v>5</v>
      </c>
    </row>
    <row r="116" spans="1:10" x14ac:dyDescent="0.25">
      <c r="A116" s="106" t="s">
        <v>2858</v>
      </c>
      <c r="B116">
        <v>2</v>
      </c>
      <c r="C116" s="106" t="s">
        <v>114</v>
      </c>
      <c r="D116" s="106" t="s">
        <v>3304</v>
      </c>
      <c r="E116" s="106" t="s">
        <v>3137</v>
      </c>
      <c r="F116" s="106" t="s">
        <v>3312</v>
      </c>
      <c r="G116" s="106" t="s">
        <v>3137</v>
      </c>
      <c r="H116" s="106" t="s">
        <v>2992</v>
      </c>
      <c r="I116" s="106" t="s">
        <v>3299</v>
      </c>
      <c r="J116">
        <v>2.34</v>
      </c>
    </row>
    <row r="117" spans="1:10" x14ac:dyDescent="0.25">
      <c r="A117" s="106" t="s">
        <v>2024</v>
      </c>
      <c r="B117">
        <v>5</v>
      </c>
      <c r="C117" s="106" t="s">
        <v>114</v>
      </c>
      <c r="D117" s="106" t="s">
        <v>3304</v>
      </c>
      <c r="E117" s="106" t="s">
        <v>3137</v>
      </c>
      <c r="F117" s="106" t="s">
        <v>3312</v>
      </c>
      <c r="G117" s="106" t="s">
        <v>3137</v>
      </c>
      <c r="H117" s="106" t="s">
        <v>147</v>
      </c>
      <c r="I117" s="106" t="s">
        <v>3328</v>
      </c>
      <c r="J117">
        <v>4.8499999999999996</v>
      </c>
    </row>
    <row r="118" spans="1:10" x14ac:dyDescent="0.25">
      <c r="A118" s="106" t="s">
        <v>2027</v>
      </c>
      <c r="B118">
        <v>5</v>
      </c>
      <c r="C118" s="106" t="s">
        <v>114</v>
      </c>
      <c r="D118" s="106" t="s">
        <v>3304</v>
      </c>
      <c r="E118" s="106" t="s">
        <v>3137</v>
      </c>
      <c r="F118" s="106" t="s">
        <v>3312</v>
      </c>
      <c r="G118" s="106" t="s">
        <v>3137</v>
      </c>
      <c r="H118" s="106" t="s">
        <v>147</v>
      </c>
      <c r="I118" s="106" t="s">
        <v>3329</v>
      </c>
      <c r="J118">
        <v>5.7</v>
      </c>
    </row>
    <row r="119" spans="1:10" x14ac:dyDescent="0.25">
      <c r="A119" s="106" t="s">
        <v>2033</v>
      </c>
      <c r="B119">
        <v>5</v>
      </c>
      <c r="C119" s="106" t="s">
        <v>114</v>
      </c>
      <c r="D119" s="106" t="s">
        <v>3304</v>
      </c>
      <c r="E119" s="106" t="s">
        <v>3137</v>
      </c>
      <c r="F119" s="106" t="s">
        <v>3312</v>
      </c>
      <c r="G119" s="106" t="s">
        <v>3137</v>
      </c>
      <c r="H119" s="106" t="s">
        <v>147</v>
      </c>
      <c r="I119" s="106" t="s">
        <v>3330</v>
      </c>
      <c r="J119">
        <v>5</v>
      </c>
    </row>
    <row r="120" spans="1:10" x14ac:dyDescent="0.25">
      <c r="A120" s="106" t="s">
        <v>1442</v>
      </c>
      <c r="B120">
        <v>50</v>
      </c>
      <c r="C120" s="106" t="s">
        <v>114</v>
      </c>
      <c r="D120" s="106" t="s">
        <v>117</v>
      </c>
      <c r="E120" s="106" t="s">
        <v>3136</v>
      </c>
      <c r="F120" s="106" t="s">
        <v>138</v>
      </c>
      <c r="G120" s="106" t="s">
        <v>3136</v>
      </c>
      <c r="H120" s="106" t="s">
        <v>138</v>
      </c>
      <c r="I120" s="106" t="s">
        <v>3190</v>
      </c>
      <c r="J120">
        <v>55.5</v>
      </c>
    </row>
    <row r="121" spans="1:10" x14ac:dyDescent="0.25">
      <c r="A121" s="106" t="s">
        <v>1445</v>
      </c>
      <c r="B121">
        <v>40</v>
      </c>
      <c r="C121" s="106" t="s">
        <v>114</v>
      </c>
      <c r="D121" s="106" t="s">
        <v>117</v>
      </c>
      <c r="E121" s="106" t="s">
        <v>3136</v>
      </c>
      <c r="F121" s="106" t="s">
        <v>138</v>
      </c>
      <c r="G121" s="106" t="s">
        <v>3136</v>
      </c>
      <c r="H121" s="106" t="s">
        <v>138</v>
      </c>
      <c r="I121" s="106" t="s">
        <v>3191</v>
      </c>
      <c r="J121">
        <v>44.4</v>
      </c>
    </row>
    <row r="122" spans="1:10" x14ac:dyDescent="0.25">
      <c r="A122" s="106" t="s">
        <v>1433</v>
      </c>
      <c r="B122">
        <v>5</v>
      </c>
      <c r="C122" s="106" t="s">
        <v>114</v>
      </c>
      <c r="D122" s="106" t="s">
        <v>117</v>
      </c>
      <c r="E122" s="106" t="s">
        <v>3136</v>
      </c>
      <c r="F122" s="106" t="s">
        <v>138</v>
      </c>
      <c r="G122" s="106" t="s">
        <v>3136</v>
      </c>
      <c r="H122" s="106" t="s">
        <v>138</v>
      </c>
      <c r="I122" s="106" t="s">
        <v>3256</v>
      </c>
      <c r="J122">
        <v>35.5</v>
      </c>
    </row>
    <row r="123" spans="1:10" x14ac:dyDescent="0.25">
      <c r="A123" s="106" t="s">
        <v>1436</v>
      </c>
      <c r="B123">
        <v>500</v>
      </c>
      <c r="C123" s="106" t="s">
        <v>114</v>
      </c>
      <c r="D123" s="106" t="s">
        <v>117</v>
      </c>
      <c r="E123" s="106" t="s">
        <v>3136</v>
      </c>
      <c r="F123" s="106" t="s">
        <v>138</v>
      </c>
      <c r="G123" s="106" t="s">
        <v>3136</v>
      </c>
      <c r="H123" s="106" t="s">
        <v>138</v>
      </c>
      <c r="I123" s="106" t="s">
        <v>3189</v>
      </c>
      <c r="J123">
        <v>555</v>
      </c>
    </row>
    <row r="124" spans="1:10" x14ac:dyDescent="0.25">
      <c r="A124" s="106" t="s">
        <v>1307</v>
      </c>
      <c r="B124">
        <v>25</v>
      </c>
      <c r="C124" s="106" t="s">
        <v>114</v>
      </c>
      <c r="D124" s="106" t="s">
        <v>117</v>
      </c>
      <c r="E124" s="106" t="s">
        <v>3136</v>
      </c>
      <c r="F124" s="106" t="s">
        <v>138</v>
      </c>
      <c r="G124" s="106" t="s">
        <v>3136</v>
      </c>
      <c r="H124" s="106" t="s">
        <v>145</v>
      </c>
      <c r="I124" s="106" t="s">
        <v>3331</v>
      </c>
      <c r="J124">
        <v>45</v>
      </c>
    </row>
    <row r="125" spans="1:10" x14ac:dyDescent="0.25">
      <c r="A125" s="106" t="s">
        <v>752</v>
      </c>
      <c r="B125">
        <v>80</v>
      </c>
      <c r="C125" s="106" t="s">
        <v>114</v>
      </c>
      <c r="D125" s="106" t="s">
        <v>117</v>
      </c>
      <c r="E125" s="106" t="s">
        <v>3136</v>
      </c>
      <c r="F125" s="106" t="s">
        <v>138</v>
      </c>
      <c r="G125" s="106" t="s">
        <v>3136</v>
      </c>
      <c r="H125" s="106" t="s">
        <v>145</v>
      </c>
      <c r="I125" s="106" t="s">
        <v>3104</v>
      </c>
      <c r="J125">
        <v>132</v>
      </c>
    </row>
    <row r="126" spans="1:10" x14ac:dyDescent="0.25">
      <c r="A126" s="106" t="s">
        <v>1</v>
      </c>
      <c r="B126">
        <v>5</v>
      </c>
      <c r="C126" s="106" t="s">
        <v>114</v>
      </c>
      <c r="D126" s="106" t="s">
        <v>117</v>
      </c>
      <c r="E126" s="106" t="s">
        <v>3136</v>
      </c>
      <c r="F126" s="106" t="s">
        <v>138</v>
      </c>
      <c r="G126" s="106" t="s">
        <v>3136</v>
      </c>
      <c r="H126" s="106" t="s">
        <v>145</v>
      </c>
      <c r="I126" s="106" t="s">
        <v>3332</v>
      </c>
      <c r="J126">
        <v>13.25</v>
      </c>
    </row>
    <row r="127" spans="1:10" x14ac:dyDescent="0.25">
      <c r="A127" s="106" t="s">
        <v>0</v>
      </c>
      <c r="B127">
        <v>20</v>
      </c>
      <c r="C127" s="106" t="s">
        <v>114</v>
      </c>
      <c r="D127" s="106" t="s">
        <v>117</v>
      </c>
      <c r="E127" s="106" t="s">
        <v>3136</v>
      </c>
      <c r="F127" s="106" t="s">
        <v>138</v>
      </c>
      <c r="G127" s="106" t="s">
        <v>3136</v>
      </c>
      <c r="H127" s="106" t="s">
        <v>145</v>
      </c>
      <c r="I127" s="106" t="s">
        <v>3105</v>
      </c>
      <c r="J127">
        <v>72.2</v>
      </c>
    </row>
    <row r="128" spans="1:10" x14ac:dyDescent="0.25">
      <c r="A128" s="106" t="s">
        <v>758</v>
      </c>
      <c r="B128">
        <v>10</v>
      </c>
      <c r="C128" s="106" t="s">
        <v>114</v>
      </c>
      <c r="D128" s="106" t="s">
        <v>117</v>
      </c>
      <c r="E128" s="106" t="s">
        <v>3136</v>
      </c>
      <c r="F128" s="106" t="s">
        <v>138</v>
      </c>
      <c r="G128" s="106" t="s">
        <v>3136</v>
      </c>
      <c r="H128" s="106" t="s">
        <v>145</v>
      </c>
      <c r="I128" s="106" t="s">
        <v>3333</v>
      </c>
      <c r="J128">
        <v>67.3</v>
      </c>
    </row>
    <row r="129" spans="1:10" x14ac:dyDescent="0.25">
      <c r="A129" s="106" t="s">
        <v>1448</v>
      </c>
      <c r="B129">
        <v>15</v>
      </c>
      <c r="C129" s="106" t="s">
        <v>114</v>
      </c>
      <c r="D129" s="106" t="s">
        <v>117</v>
      </c>
      <c r="E129" s="106" t="s">
        <v>3136</v>
      </c>
      <c r="F129" s="106" t="s">
        <v>138</v>
      </c>
      <c r="G129" s="106" t="s">
        <v>3136</v>
      </c>
      <c r="H129" s="106" t="s">
        <v>145</v>
      </c>
      <c r="I129" s="106" t="s">
        <v>3257</v>
      </c>
      <c r="J129">
        <v>41.25</v>
      </c>
    </row>
    <row r="130" spans="1:10" x14ac:dyDescent="0.25">
      <c r="A130" s="106" t="s">
        <v>1283</v>
      </c>
      <c r="B130">
        <v>5</v>
      </c>
      <c r="C130" s="106" t="s">
        <v>115</v>
      </c>
      <c r="D130" s="106" t="s">
        <v>117</v>
      </c>
      <c r="E130" s="106" t="s">
        <v>3136</v>
      </c>
      <c r="F130" s="106" t="s">
        <v>138</v>
      </c>
      <c r="G130" s="106" t="s">
        <v>3136</v>
      </c>
      <c r="H130" s="106" t="s">
        <v>145</v>
      </c>
      <c r="I130" s="106" t="s">
        <v>3036</v>
      </c>
      <c r="J130">
        <v>4.05</v>
      </c>
    </row>
    <row r="131" spans="1:10" x14ac:dyDescent="0.25">
      <c r="A131" s="106" t="s">
        <v>1291</v>
      </c>
      <c r="B131">
        <v>10</v>
      </c>
      <c r="C131" s="106" t="s">
        <v>115</v>
      </c>
      <c r="D131" s="106" t="s">
        <v>117</v>
      </c>
      <c r="E131" s="106" t="s">
        <v>3136</v>
      </c>
      <c r="F131" s="106" t="s">
        <v>138</v>
      </c>
      <c r="G131" s="106" t="s">
        <v>3136</v>
      </c>
      <c r="H131" s="106" t="s">
        <v>145</v>
      </c>
      <c r="I131" s="106" t="s">
        <v>3185</v>
      </c>
      <c r="J131">
        <v>14.2</v>
      </c>
    </row>
    <row r="132" spans="1:10" x14ac:dyDescent="0.25">
      <c r="A132" s="106" t="s">
        <v>1384</v>
      </c>
      <c r="B132">
        <v>20</v>
      </c>
      <c r="C132" s="106" t="s">
        <v>115</v>
      </c>
      <c r="D132" s="106" t="s">
        <v>117</v>
      </c>
      <c r="E132" s="106" t="s">
        <v>3136</v>
      </c>
      <c r="F132" s="106" t="s">
        <v>138</v>
      </c>
      <c r="G132" s="106" t="s">
        <v>3136</v>
      </c>
      <c r="H132" s="106" t="s">
        <v>145</v>
      </c>
      <c r="I132" s="106" t="s">
        <v>3188</v>
      </c>
      <c r="J132">
        <v>12.8</v>
      </c>
    </row>
    <row r="133" spans="1:10" x14ac:dyDescent="0.25">
      <c r="A133" s="106" t="s">
        <v>1461</v>
      </c>
      <c r="B133">
        <v>10</v>
      </c>
      <c r="C133" s="106" t="s">
        <v>115</v>
      </c>
      <c r="D133" s="106" t="s">
        <v>117</v>
      </c>
      <c r="E133" s="106" t="s">
        <v>3136</v>
      </c>
      <c r="F133" s="106" t="s">
        <v>138</v>
      </c>
      <c r="G133" s="106" t="s">
        <v>3136</v>
      </c>
      <c r="H133" s="106" t="s">
        <v>145</v>
      </c>
      <c r="I133" s="106" t="s">
        <v>3040</v>
      </c>
      <c r="J133">
        <v>16</v>
      </c>
    </row>
    <row r="134" spans="1:10" x14ac:dyDescent="0.25">
      <c r="A134" s="106" t="s">
        <v>1466</v>
      </c>
      <c r="B134">
        <v>15</v>
      </c>
      <c r="C134" s="106" t="s">
        <v>115</v>
      </c>
      <c r="D134" s="106" t="s">
        <v>117</v>
      </c>
      <c r="E134" s="106" t="s">
        <v>3136</v>
      </c>
      <c r="F134" s="106" t="s">
        <v>138</v>
      </c>
      <c r="G134" s="106" t="s">
        <v>3136</v>
      </c>
      <c r="H134" s="106" t="s">
        <v>145</v>
      </c>
      <c r="I134" s="106" t="s">
        <v>3258</v>
      </c>
      <c r="J134">
        <v>16.05</v>
      </c>
    </row>
    <row r="135" spans="1:10" x14ac:dyDescent="0.25">
      <c r="A135" s="106" t="s">
        <v>1472</v>
      </c>
      <c r="B135">
        <v>5</v>
      </c>
      <c r="C135" s="106" t="s">
        <v>115</v>
      </c>
      <c r="D135" s="106" t="s">
        <v>117</v>
      </c>
      <c r="E135" s="106" t="s">
        <v>3136</v>
      </c>
      <c r="F135" s="106" t="s">
        <v>138</v>
      </c>
      <c r="G135" s="106" t="s">
        <v>3136</v>
      </c>
      <c r="H135" s="106" t="s">
        <v>145</v>
      </c>
      <c r="I135" s="106" t="s">
        <v>3114</v>
      </c>
      <c r="J135">
        <v>3.7</v>
      </c>
    </row>
    <row r="136" spans="1:10" x14ac:dyDescent="0.25">
      <c r="A136" s="106" t="s">
        <v>1367</v>
      </c>
      <c r="B136">
        <v>15</v>
      </c>
      <c r="C136" s="106" t="s">
        <v>115</v>
      </c>
      <c r="D136" s="106" t="s">
        <v>117</v>
      </c>
      <c r="E136" s="106" t="s">
        <v>3136</v>
      </c>
      <c r="F136" s="106" t="s">
        <v>138</v>
      </c>
      <c r="G136" s="106" t="s">
        <v>3136</v>
      </c>
      <c r="H136" s="106" t="s">
        <v>145</v>
      </c>
      <c r="I136" s="106" t="s">
        <v>3038</v>
      </c>
      <c r="J136">
        <v>27.9</v>
      </c>
    </row>
    <row r="137" spans="1:10" x14ac:dyDescent="0.25">
      <c r="A137" s="106" t="s">
        <v>1370</v>
      </c>
      <c r="B137">
        <v>25</v>
      </c>
      <c r="C137" s="106" t="s">
        <v>115</v>
      </c>
      <c r="D137" s="106" t="s">
        <v>117</v>
      </c>
      <c r="E137" s="106" t="s">
        <v>3136</v>
      </c>
      <c r="F137" s="106" t="s">
        <v>138</v>
      </c>
      <c r="G137" s="106" t="s">
        <v>3136</v>
      </c>
      <c r="H137" s="106" t="s">
        <v>145</v>
      </c>
      <c r="I137" s="106" t="s">
        <v>3039</v>
      </c>
      <c r="J137">
        <v>58.75</v>
      </c>
    </row>
    <row r="138" spans="1:10" x14ac:dyDescent="0.25">
      <c r="A138" s="106" t="s">
        <v>1373</v>
      </c>
      <c r="B138">
        <v>40</v>
      </c>
      <c r="C138" s="106" t="s">
        <v>115</v>
      </c>
      <c r="D138" s="106" t="s">
        <v>117</v>
      </c>
      <c r="E138" s="106" t="s">
        <v>3136</v>
      </c>
      <c r="F138" s="106" t="s">
        <v>138</v>
      </c>
      <c r="G138" s="106" t="s">
        <v>3136</v>
      </c>
      <c r="H138" s="106" t="s">
        <v>145</v>
      </c>
      <c r="I138" s="106" t="s">
        <v>3187</v>
      </c>
      <c r="J138">
        <v>64</v>
      </c>
    </row>
    <row r="139" spans="1:10" x14ac:dyDescent="0.25">
      <c r="A139" s="106" t="s">
        <v>1375</v>
      </c>
      <c r="B139">
        <v>40</v>
      </c>
      <c r="C139" s="106" t="s">
        <v>115</v>
      </c>
      <c r="D139" s="106" t="s">
        <v>117</v>
      </c>
      <c r="E139" s="106" t="s">
        <v>3136</v>
      </c>
      <c r="F139" s="106" t="s">
        <v>138</v>
      </c>
      <c r="G139" s="106" t="s">
        <v>3136</v>
      </c>
      <c r="H139" s="106" t="s">
        <v>145</v>
      </c>
      <c r="I139" s="106" t="s">
        <v>3255</v>
      </c>
      <c r="J139">
        <v>160</v>
      </c>
    </row>
    <row r="140" spans="1:10" x14ac:dyDescent="0.25">
      <c r="A140" s="106" t="s">
        <v>59</v>
      </c>
      <c r="B140">
        <v>25</v>
      </c>
      <c r="C140" s="106" t="s">
        <v>113</v>
      </c>
      <c r="D140" s="106" t="s">
        <v>117</v>
      </c>
      <c r="E140" s="106" t="s">
        <v>3136</v>
      </c>
      <c r="F140" s="106" t="s">
        <v>138</v>
      </c>
      <c r="G140" s="106" t="s">
        <v>3136</v>
      </c>
      <c r="H140" s="106" t="s">
        <v>145</v>
      </c>
      <c r="I140" s="106" t="s">
        <v>3180</v>
      </c>
      <c r="J140">
        <v>25</v>
      </c>
    </row>
    <row r="141" spans="1:10" x14ac:dyDescent="0.25">
      <c r="A141" s="106" t="s">
        <v>888</v>
      </c>
      <c r="B141">
        <v>20</v>
      </c>
      <c r="C141" s="106" t="s">
        <v>113</v>
      </c>
      <c r="D141" s="106" t="s">
        <v>117</v>
      </c>
      <c r="E141" s="106" t="s">
        <v>3136</v>
      </c>
      <c r="F141" s="106" t="s">
        <v>138</v>
      </c>
      <c r="G141" s="106" t="s">
        <v>3136</v>
      </c>
      <c r="H141" s="106" t="s">
        <v>145</v>
      </c>
      <c r="I141" s="106" t="s">
        <v>3182</v>
      </c>
      <c r="J141">
        <v>40</v>
      </c>
    </row>
    <row r="142" spans="1:10" x14ac:dyDescent="0.25">
      <c r="A142" s="106" t="s">
        <v>62</v>
      </c>
      <c r="B142">
        <v>15</v>
      </c>
      <c r="C142" s="106" t="s">
        <v>113</v>
      </c>
      <c r="D142" s="106" t="s">
        <v>117</v>
      </c>
      <c r="E142" s="106" t="s">
        <v>3136</v>
      </c>
      <c r="F142" s="106" t="s">
        <v>138</v>
      </c>
      <c r="G142" s="106" t="s">
        <v>3136</v>
      </c>
      <c r="H142" s="106" t="s">
        <v>145</v>
      </c>
      <c r="I142" s="106" t="s">
        <v>3183</v>
      </c>
      <c r="J142">
        <v>30</v>
      </c>
    </row>
    <row r="143" spans="1:10" x14ac:dyDescent="0.25">
      <c r="A143" s="106" t="s">
        <v>930</v>
      </c>
      <c r="B143">
        <v>5</v>
      </c>
      <c r="C143" s="106" t="s">
        <v>113</v>
      </c>
      <c r="D143" s="106" t="s">
        <v>117</v>
      </c>
      <c r="E143" s="106" t="s">
        <v>3136</v>
      </c>
      <c r="F143" s="106" t="s">
        <v>138</v>
      </c>
      <c r="G143" s="106" t="s">
        <v>3136</v>
      </c>
      <c r="H143" s="106" t="s">
        <v>138</v>
      </c>
      <c r="I143" s="106" t="s">
        <v>3106</v>
      </c>
      <c r="J143">
        <v>20</v>
      </c>
    </row>
    <row r="144" spans="1:10" x14ac:dyDescent="0.25">
      <c r="A144" s="106" t="s">
        <v>949</v>
      </c>
      <c r="B144">
        <v>5</v>
      </c>
      <c r="C144" s="106" t="s">
        <v>113</v>
      </c>
      <c r="D144" s="106" t="s">
        <v>117</v>
      </c>
      <c r="E144" s="106" t="s">
        <v>3136</v>
      </c>
      <c r="F144" s="106" t="s">
        <v>138</v>
      </c>
      <c r="G144" s="106" t="s">
        <v>3136</v>
      </c>
      <c r="H144" s="106" t="s">
        <v>138</v>
      </c>
      <c r="I144" s="106" t="s">
        <v>3253</v>
      </c>
      <c r="J144">
        <v>15</v>
      </c>
    </row>
    <row r="145" spans="1:10" x14ac:dyDescent="0.25">
      <c r="A145" s="106" t="s">
        <v>953</v>
      </c>
      <c r="B145">
        <v>15</v>
      </c>
      <c r="C145" s="106" t="s">
        <v>113</v>
      </c>
      <c r="D145" s="106" t="s">
        <v>117</v>
      </c>
      <c r="E145" s="106" t="s">
        <v>3136</v>
      </c>
      <c r="F145" s="106" t="s">
        <v>138</v>
      </c>
      <c r="G145" s="106" t="s">
        <v>3136</v>
      </c>
      <c r="H145" s="106" t="s">
        <v>145</v>
      </c>
      <c r="I145" s="106" t="s">
        <v>3108</v>
      </c>
      <c r="J145">
        <v>37.5</v>
      </c>
    </row>
    <row r="146" spans="1:10" x14ac:dyDescent="0.25">
      <c r="A146" s="106" t="s">
        <v>63</v>
      </c>
      <c r="B146">
        <v>10</v>
      </c>
      <c r="C146" s="106" t="s">
        <v>113</v>
      </c>
      <c r="D146" s="106" t="s">
        <v>117</v>
      </c>
      <c r="E146" s="106" t="s">
        <v>3136</v>
      </c>
      <c r="F146" s="106" t="s">
        <v>138</v>
      </c>
      <c r="G146" s="106" t="s">
        <v>3136</v>
      </c>
      <c r="H146" s="106" t="s">
        <v>145</v>
      </c>
      <c r="I146" s="106" t="s">
        <v>3110</v>
      </c>
      <c r="J146">
        <v>18</v>
      </c>
    </row>
    <row r="147" spans="1:10" x14ac:dyDescent="0.25">
      <c r="A147" s="106" t="s">
        <v>1613</v>
      </c>
      <c r="B147">
        <v>5</v>
      </c>
      <c r="C147" s="106" t="s">
        <v>114</v>
      </c>
      <c r="D147" s="106" t="s">
        <v>117</v>
      </c>
      <c r="E147" s="106" t="s">
        <v>3136</v>
      </c>
      <c r="F147" s="106" t="s">
        <v>138</v>
      </c>
      <c r="G147" s="106" t="s">
        <v>3136</v>
      </c>
      <c r="H147" s="106" t="s">
        <v>138</v>
      </c>
      <c r="I147" s="106" t="s">
        <v>3115</v>
      </c>
      <c r="J147">
        <v>9.5</v>
      </c>
    </row>
    <row r="148" spans="1:10" x14ac:dyDescent="0.25">
      <c r="A148" s="106" t="s">
        <v>1623</v>
      </c>
      <c r="B148">
        <v>5</v>
      </c>
      <c r="C148" s="106" t="s">
        <v>114</v>
      </c>
      <c r="D148" s="106" t="s">
        <v>117</v>
      </c>
      <c r="E148" s="106" t="s">
        <v>3136</v>
      </c>
      <c r="F148" s="106" t="s">
        <v>138</v>
      </c>
      <c r="G148" s="106" t="s">
        <v>3136</v>
      </c>
      <c r="H148" s="106" t="s">
        <v>138</v>
      </c>
      <c r="I148" s="106" t="s">
        <v>3264</v>
      </c>
      <c r="J148">
        <v>10.5</v>
      </c>
    </row>
    <row r="149" spans="1:10" x14ac:dyDescent="0.25">
      <c r="A149" s="106" t="s">
        <v>1632</v>
      </c>
      <c r="B149">
        <v>5</v>
      </c>
      <c r="C149" s="106" t="s">
        <v>114</v>
      </c>
      <c r="D149" s="106" t="s">
        <v>117</v>
      </c>
      <c r="E149" s="106" t="s">
        <v>3136</v>
      </c>
      <c r="F149" s="106" t="s">
        <v>138</v>
      </c>
      <c r="G149" s="106" t="s">
        <v>3136</v>
      </c>
      <c r="H149" s="106" t="s">
        <v>138</v>
      </c>
      <c r="I149" s="106" t="s">
        <v>3265</v>
      </c>
      <c r="J149">
        <v>12.5</v>
      </c>
    </row>
    <row r="150" spans="1:10" x14ac:dyDescent="0.25">
      <c r="A150" s="106" t="s">
        <v>1638</v>
      </c>
      <c r="B150">
        <v>5</v>
      </c>
      <c r="C150" s="106" t="s">
        <v>114</v>
      </c>
      <c r="D150" s="106" t="s">
        <v>117</v>
      </c>
      <c r="E150" s="106" t="s">
        <v>3136</v>
      </c>
      <c r="F150" s="106" t="s">
        <v>138</v>
      </c>
      <c r="G150" s="106" t="s">
        <v>3136</v>
      </c>
      <c r="H150" s="106" t="s">
        <v>138</v>
      </c>
      <c r="I150" s="106" t="s">
        <v>3266</v>
      </c>
      <c r="J150">
        <v>13</v>
      </c>
    </row>
    <row r="151" spans="1:10" x14ac:dyDescent="0.25">
      <c r="A151" s="106" t="s">
        <v>1718</v>
      </c>
      <c r="B151">
        <v>5</v>
      </c>
      <c r="C151" s="106" t="s">
        <v>114</v>
      </c>
      <c r="D151" s="106" t="s">
        <v>117</v>
      </c>
      <c r="E151" s="106" t="s">
        <v>3136</v>
      </c>
      <c r="F151" s="106" t="s">
        <v>138</v>
      </c>
      <c r="G151" s="106" t="s">
        <v>3136</v>
      </c>
      <c r="H151" s="106" t="s">
        <v>138</v>
      </c>
      <c r="I151" s="106" t="s">
        <v>3269</v>
      </c>
      <c r="J151">
        <v>17</v>
      </c>
    </row>
    <row r="152" spans="1:10" x14ac:dyDescent="0.25">
      <c r="A152" s="106" t="s">
        <v>2243</v>
      </c>
      <c r="B152">
        <v>10</v>
      </c>
      <c r="C152" s="106" t="s">
        <v>114</v>
      </c>
      <c r="D152" s="106" t="s">
        <v>117</v>
      </c>
      <c r="E152" s="106" t="s">
        <v>3136</v>
      </c>
      <c r="F152" s="106" t="s">
        <v>138</v>
      </c>
      <c r="G152" s="106" t="s">
        <v>3136</v>
      </c>
      <c r="H152" s="106" t="s">
        <v>138</v>
      </c>
      <c r="I152" s="106" t="s">
        <v>3283</v>
      </c>
      <c r="J152">
        <v>13.7</v>
      </c>
    </row>
    <row r="153" spans="1:10" x14ac:dyDescent="0.25">
      <c r="A153" s="106" t="s">
        <v>1999</v>
      </c>
      <c r="B153">
        <v>5</v>
      </c>
      <c r="C153" s="106" t="s">
        <v>113</v>
      </c>
      <c r="D153" s="106" t="s">
        <v>117</v>
      </c>
      <c r="E153" s="106" t="s">
        <v>3136</v>
      </c>
      <c r="F153" s="106" t="s">
        <v>138</v>
      </c>
      <c r="G153" s="106" t="s">
        <v>3136</v>
      </c>
      <c r="H153" s="106" t="s">
        <v>138</v>
      </c>
      <c r="I153" s="106" t="s">
        <v>3278</v>
      </c>
      <c r="J153">
        <v>8.9499999999999993</v>
      </c>
    </row>
    <row r="154" spans="1:10" x14ac:dyDescent="0.25">
      <c r="A154" s="106" t="s">
        <v>2095</v>
      </c>
      <c r="B154">
        <v>5</v>
      </c>
      <c r="C154" s="106" t="s">
        <v>115</v>
      </c>
      <c r="D154" s="106" t="s">
        <v>117</v>
      </c>
      <c r="E154" s="106" t="s">
        <v>3136</v>
      </c>
      <c r="F154" s="106" t="s">
        <v>138</v>
      </c>
      <c r="G154" s="106" t="s">
        <v>3136</v>
      </c>
      <c r="H154" s="106" t="s">
        <v>145</v>
      </c>
      <c r="I154" s="106" t="s">
        <v>3280</v>
      </c>
      <c r="J154">
        <v>6.75</v>
      </c>
    </row>
    <row r="155" spans="1:10" x14ac:dyDescent="0.25">
      <c r="A155" s="106" t="s">
        <v>1648</v>
      </c>
      <c r="B155">
        <v>5</v>
      </c>
      <c r="C155" s="106" t="s">
        <v>114</v>
      </c>
      <c r="D155" s="106" t="s">
        <v>117</v>
      </c>
      <c r="E155" s="106" t="s">
        <v>3136</v>
      </c>
      <c r="F155" s="106" t="s">
        <v>138</v>
      </c>
      <c r="G155" s="106" t="s">
        <v>3136</v>
      </c>
      <c r="H155" s="106" t="s">
        <v>138</v>
      </c>
      <c r="I155" s="106" t="s">
        <v>3267</v>
      </c>
      <c r="J155">
        <v>15.25</v>
      </c>
    </row>
    <row r="156" spans="1:10" x14ac:dyDescent="0.25">
      <c r="A156" s="106" t="s">
        <v>1654</v>
      </c>
      <c r="B156">
        <v>5</v>
      </c>
      <c r="C156" s="106" t="s">
        <v>114</v>
      </c>
      <c r="D156" s="106" t="s">
        <v>117</v>
      </c>
      <c r="E156" s="106" t="s">
        <v>3136</v>
      </c>
      <c r="F156" s="106" t="s">
        <v>138</v>
      </c>
      <c r="G156" s="106" t="s">
        <v>3136</v>
      </c>
      <c r="H156" s="106" t="s">
        <v>138</v>
      </c>
      <c r="I156" s="106" t="s">
        <v>3268</v>
      </c>
      <c r="J156">
        <v>17.45</v>
      </c>
    </row>
    <row r="157" spans="1:10" x14ac:dyDescent="0.25">
      <c r="A157" s="106" t="s">
        <v>1955</v>
      </c>
      <c r="B157">
        <v>5</v>
      </c>
      <c r="C157" s="106" t="s">
        <v>115</v>
      </c>
      <c r="D157" s="106" t="s">
        <v>117</v>
      </c>
      <c r="E157" s="106" t="s">
        <v>3136</v>
      </c>
      <c r="F157" s="106" t="s">
        <v>138</v>
      </c>
      <c r="G157" s="106" t="s">
        <v>3136</v>
      </c>
      <c r="H157" s="106" t="s">
        <v>145</v>
      </c>
      <c r="I157" s="106" t="s">
        <v>3334</v>
      </c>
      <c r="J157">
        <v>6.65</v>
      </c>
    </row>
    <row r="158" spans="1:10" x14ac:dyDescent="0.25">
      <c r="A158" s="106" t="s">
        <v>1816</v>
      </c>
      <c r="B158">
        <v>5</v>
      </c>
      <c r="C158" s="106" t="s">
        <v>115</v>
      </c>
      <c r="D158" s="106" t="s">
        <v>117</v>
      </c>
      <c r="E158" s="106" t="s">
        <v>3136</v>
      </c>
      <c r="F158" s="106" t="s">
        <v>138</v>
      </c>
      <c r="G158" s="106" t="s">
        <v>3136</v>
      </c>
      <c r="H158" s="106" t="s">
        <v>145</v>
      </c>
      <c r="I158" s="106" t="s">
        <v>3270</v>
      </c>
      <c r="J158">
        <v>1.5</v>
      </c>
    </row>
    <row r="159" spans="1:10" x14ac:dyDescent="0.25">
      <c r="A159" s="106" t="s">
        <v>1964</v>
      </c>
      <c r="B159">
        <v>5</v>
      </c>
      <c r="C159" s="106" t="s">
        <v>115</v>
      </c>
      <c r="D159" s="106" t="s">
        <v>117</v>
      </c>
      <c r="E159" s="106" t="s">
        <v>3136</v>
      </c>
      <c r="F159" s="106" t="s">
        <v>138</v>
      </c>
      <c r="G159" s="106" t="s">
        <v>3136</v>
      </c>
      <c r="H159" s="106" t="s">
        <v>145</v>
      </c>
      <c r="I159" s="106" t="s">
        <v>3277</v>
      </c>
      <c r="J159">
        <v>17.55</v>
      </c>
    </row>
    <row r="160" spans="1:10" x14ac:dyDescent="0.25">
      <c r="A160" s="106" t="s">
        <v>1976</v>
      </c>
      <c r="B160">
        <v>5</v>
      </c>
      <c r="C160" s="106" t="s">
        <v>115</v>
      </c>
      <c r="D160" s="106" t="s">
        <v>117</v>
      </c>
      <c r="E160" s="106" t="s">
        <v>3136</v>
      </c>
      <c r="F160" s="106" t="s">
        <v>138</v>
      </c>
      <c r="G160" s="106" t="s">
        <v>3136</v>
      </c>
      <c r="H160" s="106" t="s">
        <v>145</v>
      </c>
      <c r="I160" s="106" t="s">
        <v>3335</v>
      </c>
      <c r="J160">
        <v>7</v>
      </c>
    </row>
    <row r="161" spans="1:10" x14ac:dyDescent="0.25">
      <c r="A161" s="106" t="s">
        <v>1979</v>
      </c>
      <c r="B161">
        <v>5</v>
      </c>
      <c r="C161" s="106" t="s">
        <v>115</v>
      </c>
      <c r="D161" s="106" t="s">
        <v>117</v>
      </c>
      <c r="E161" s="106" t="s">
        <v>3136</v>
      </c>
      <c r="F161" s="106" t="s">
        <v>138</v>
      </c>
      <c r="G161" s="106" t="s">
        <v>3136</v>
      </c>
      <c r="H161" s="106" t="s">
        <v>145</v>
      </c>
      <c r="I161" s="106" t="s">
        <v>3118</v>
      </c>
      <c r="J161">
        <v>14.45</v>
      </c>
    </row>
    <row r="162" spans="1:10" x14ac:dyDescent="0.25">
      <c r="A162" s="106" t="s">
        <v>1982</v>
      </c>
      <c r="B162">
        <v>5</v>
      </c>
      <c r="C162" s="106" t="s">
        <v>115</v>
      </c>
      <c r="D162" s="106" t="s">
        <v>117</v>
      </c>
      <c r="E162" s="106" t="s">
        <v>3136</v>
      </c>
      <c r="F162" s="106" t="s">
        <v>138</v>
      </c>
      <c r="G162" s="106" t="s">
        <v>3136</v>
      </c>
      <c r="H162" s="106" t="s">
        <v>145</v>
      </c>
      <c r="I162" s="106" t="s">
        <v>3336</v>
      </c>
      <c r="J162">
        <v>9.1999999999999993</v>
      </c>
    </row>
    <row r="163" spans="1:10" x14ac:dyDescent="0.25">
      <c r="A163" s="106" t="s">
        <v>2039</v>
      </c>
      <c r="B163">
        <v>5</v>
      </c>
      <c r="C163" s="106" t="s">
        <v>114</v>
      </c>
      <c r="D163" s="106" t="s">
        <v>117</v>
      </c>
      <c r="E163" s="106" t="s">
        <v>3136</v>
      </c>
      <c r="F163" s="106" t="s">
        <v>138</v>
      </c>
      <c r="G163" s="106" t="s">
        <v>3136</v>
      </c>
      <c r="H163" s="106" t="s">
        <v>145</v>
      </c>
      <c r="I163" s="106" t="s">
        <v>3119</v>
      </c>
      <c r="J163">
        <v>24</v>
      </c>
    </row>
    <row r="164" spans="1:10" x14ac:dyDescent="0.25">
      <c r="A164" s="106" t="s">
        <v>2048</v>
      </c>
      <c r="B164">
        <v>5</v>
      </c>
      <c r="C164" s="106" t="s">
        <v>114</v>
      </c>
      <c r="D164" s="106" t="s">
        <v>117</v>
      </c>
      <c r="E164" s="106" t="s">
        <v>3136</v>
      </c>
      <c r="F164" s="106" t="s">
        <v>138</v>
      </c>
      <c r="G164" s="106" t="s">
        <v>3136</v>
      </c>
      <c r="H164" s="106" t="s">
        <v>145</v>
      </c>
      <c r="I164" s="106" t="s">
        <v>3120</v>
      </c>
      <c r="J164">
        <v>17.649999999999999</v>
      </c>
    </row>
    <row r="165" spans="1:10" x14ac:dyDescent="0.25">
      <c r="A165" s="106" t="s">
        <v>2054</v>
      </c>
      <c r="B165">
        <v>5</v>
      </c>
      <c r="C165" s="106" t="s">
        <v>114</v>
      </c>
      <c r="D165" s="106" t="s">
        <v>117</v>
      </c>
      <c r="E165" s="106" t="s">
        <v>3136</v>
      </c>
      <c r="F165" s="106" t="s">
        <v>138</v>
      </c>
      <c r="G165" s="106" t="s">
        <v>3136</v>
      </c>
      <c r="H165" s="106" t="s">
        <v>145</v>
      </c>
      <c r="I165" s="106" t="s">
        <v>3279</v>
      </c>
      <c r="J165">
        <v>12.75</v>
      </c>
    </row>
    <row r="166" spans="1:10" x14ac:dyDescent="0.25">
      <c r="A166" s="106" t="s">
        <v>2273</v>
      </c>
      <c r="B166">
        <v>10</v>
      </c>
      <c r="C166" s="106" t="s">
        <v>115</v>
      </c>
      <c r="D166" s="106" t="s">
        <v>117</v>
      </c>
      <c r="E166" s="106" t="s">
        <v>3136</v>
      </c>
      <c r="F166" s="106" t="s">
        <v>138</v>
      </c>
      <c r="G166" s="106" t="s">
        <v>3136</v>
      </c>
      <c r="H166" s="106" t="s">
        <v>145</v>
      </c>
      <c r="I166" s="106" t="s">
        <v>3202</v>
      </c>
      <c r="J166">
        <v>15</v>
      </c>
    </row>
    <row r="167" spans="1:10" x14ac:dyDescent="0.25">
      <c r="A167" s="106" t="s">
        <v>1913</v>
      </c>
      <c r="B167">
        <v>5</v>
      </c>
      <c r="C167" s="106" t="s">
        <v>115</v>
      </c>
      <c r="D167" s="106" t="s">
        <v>117</v>
      </c>
      <c r="E167" s="106" t="s">
        <v>3136</v>
      </c>
      <c r="F167" s="106" t="s">
        <v>138</v>
      </c>
      <c r="G167" s="106" t="s">
        <v>3136</v>
      </c>
      <c r="H167" s="106" t="s">
        <v>145</v>
      </c>
      <c r="I167" s="106" t="s">
        <v>3337</v>
      </c>
      <c r="J167">
        <v>6.55</v>
      </c>
    </row>
    <row r="168" spans="1:10" x14ac:dyDescent="0.25">
      <c r="A168" s="106" t="s">
        <v>1916</v>
      </c>
      <c r="B168">
        <v>10</v>
      </c>
      <c r="C168" s="106" t="s">
        <v>115</v>
      </c>
      <c r="D168" s="106" t="s">
        <v>117</v>
      </c>
      <c r="E168" s="106" t="s">
        <v>3136</v>
      </c>
      <c r="F168" s="106" t="s">
        <v>138</v>
      </c>
      <c r="G168" s="106" t="s">
        <v>3136</v>
      </c>
      <c r="H168" s="106" t="s">
        <v>145</v>
      </c>
      <c r="I168" s="106" t="s">
        <v>3276</v>
      </c>
      <c r="J168">
        <v>13.5</v>
      </c>
    </row>
    <row r="169" spans="1:10" x14ac:dyDescent="0.25">
      <c r="A169" s="106" t="s">
        <v>1919</v>
      </c>
      <c r="B169">
        <v>5</v>
      </c>
      <c r="C169" s="106" t="s">
        <v>115</v>
      </c>
      <c r="D169" s="106" t="s">
        <v>117</v>
      </c>
      <c r="E169" s="106" t="s">
        <v>3136</v>
      </c>
      <c r="F169" s="106" t="s">
        <v>138</v>
      </c>
      <c r="G169" s="106" t="s">
        <v>3136</v>
      </c>
      <c r="H169" s="106" t="s">
        <v>145</v>
      </c>
      <c r="I169" s="106" t="s">
        <v>3338</v>
      </c>
      <c r="J169">
        <v>9.5</v>
      </c>
    </row>
    <row r="170" spans="1:10" x14ac:dyDescent="0.25">
      <c r="A170" s="106" t="s">
        <v>1937</v>
      </c>
      <c r="B170">
        <v>5</v>
      </c>
      <c r="C170" s="106" t="s">
        <v>115</v>
      </c>
      <c r="D170" s="106" t="s">
        <v>117</v>
      </c>
      <c r="E170" s="106" t="s">
        <v>3136</v>
      </c>
      <c r="F170" s="106" t="s">
        <v>138</v>
      </c>
      <c r="G170" s="106" t="s">
        <v>3136</v>
      </c>
      <c r="H170" s="106" t="s">
        <v>145</v>
      </c>
      <c r="I170" s="106" t="s">
        <v>3117</v>
      </c>
      <c r="J170">
        <v>3.4</v>
      </c>
    </row>
    <row r="171" spans="1:10" x14ac:dyDescent="0.25">
      <c r="A171" s="106" t="s">
        <v>2333</v>
      </c>
      <c r="B171">
        <v>5</v>
      </c>
      <c r="C171" s="106" t="s">
        <v>115</v>
      </c>
      <c r="D171" s="106" t="s">
        <v>117</v>
      </c>
      <c r="E171" s="106" t="s">
        <v>3136</v>
      </c>
      <c r="F171" s="106" t="s">
        <v>138</v>
      </c>
      <c r="G171" s="106" t="s">
        <v>3136</v>
      </c>
      <c r="H171" s="106" t="s">
        <v>145</v>
      </c>
      <c r="I171" s="106" t="s">
        <v>3123</v>
      </c>
      <c r="J171">
        <v>4</v>
      </c>
    </row>
    <row r="172" spans="1:10" x14ac:dyDescent="0.25">
      <c r="A172" s="106" t="s">
        <v>2402</v>
      </c>
      <c r="B172">
        <v>5</v>
      </c>
      <c r="C172" s="106" t="s">
        <v>115</v>
      </c>
      <c r="D172" s="106" t="s">
        <v>117</v>
      </c>
      <c r="E172" s="106" t="s">
        <v>3136</v>
      </c>
      <c r="F172" s="106" t="s">
        <v>138</v>
      </c>
      <c r="G172" s="106" t="s">
        <v>3136</v>
      </c>
      <c r="H172" s="106" t="s">
        <v>145</v>
      </c>
      <c r="I172" s="106" t="s">
        <v>3129</v>
      </c>
      <c r="J172">
        <v>4.95</v>
      </c>
    </row>
    <row r="173" spans="1:10" x14ac:dyDescent="0.25">
      <c r="A173" s="106" t="s">
        <v>2162</v>
      </c>
      <c r="B173">
        <v>5</v>
      </c>
      <c r="C173" s="106" t="s">
        <v>114</v>
      </c>
      <c r="D173" s="106" t="s">
        <v>117</v>
      </c>
      <c r="E173" s="106" t="s">
        <v>3136</v>
      </c>
      <c r="F173" s="106" t="s">
        <v>138</v>
      </c>
      <c r="G173" s="106" t="s">
        <v>3136</v>
      </c>
      <c r="H173" s="106" t="s">
        <v>138</v>
      </c>
      <c r="I173" s="106" t="s">
        <v>3339</v>
      </c>
      <c r="J173">
        <v>6.05</v>
      </c>
    </row>
    <row r="174" spans="1:10" x14ac:dyDescent="0.25">
      <c r="A174" s="106" t="s">
        <v>2168</v>
      </c>
      <c r="B174">
        <v>5</v>
      </c>
      <c r="C174" s="106" t="s">
        <v>114</v>
      </c>
      <c r="D174" s="106" t="s">
        <v>117</v>
      </c>
      <c r="E174" s="106" t="s">
        <v>3136</v>
      </c>
      <c r="F174" s="106" t="s">
        <v>138</v>
      </c>
      <c r="G174" s="106" t="s">
        <v>3136</v>
      </c>
      <c r="H174" s="106" t="s">
        <v>138</v>
      </c>
      <c r="I174" s="106" t="s">
        <v>3340</v>
      </c>
      <c r="J174">
        <v>6.05</v>
      </c>
    </row>
    <row r="175" spans="1:10" x14ac:dyDescent="0.25">
      <c r="A175" s="106" t="s">
        <v>2177</v>
      </c>
      <c r="B175">
        <v>5</v>
      </c>
      <c r="C175" s="106" t="s">
        <v>114</v>
      </c>
      <c r="D175" s="106" t="s">
        <v>117</v>
      </c>
      <c r="E175" s="106" t="s">
        <v>3136</v>
      </c>
      <c r="F175" s="106" t="s">
        <v>138</v>
      </c>
      <c r="G175" s="106" t="s">
        <v>3136</v>
      </c>
      <c r="H175" s="106" t="s">
        <v>138</v>
      </c>
      <c r="I175" s="106" t="s">
        <v>3199</v>
      </c>
      <c r="J175">
        <v>65.150000000000006</v>
      </c>
    </row>
    <row r="176" spans="1:10" x14ac:dyDescent="0.25">
      <c r="A176" s="106" t="s">
        <v>2189</v>
      </c>
      <c r="B176">
        <v>5</v>
      </c>
      <c r="C176" s="106" t="s">
        <v>114</v>
      </c>
      <c r="D176" s="106" t="s">
        <v>117</v>
      </c>
      <c r="E176" s="106" t="s">
        <v>3136</v>
      </c>
      <c r="F176" s="106" t="s">
        <v>138</v>
      </c>
      <c r="G176" s="106" t="s">
        <v>3136</v>
      </c>
      <c r="H176" s="106" t="s">
        <v>138</v>
      </c>
      <c r="I176" s="106" t="s">
        <v>3121</v>
      </c>
      <c r="J176">
        <v>46.35</v>
      </c>
    </row>
    <row r="177" spans="1:10" x14ac:dyDescent="0.25">
      <c r="A177" s="106" t="s">
        <v>2192</v>
      </c>
      <c r="B177">
        <v>5</v>
      </c>
      <c r="C177" s="106" t="s">
        <v>114</v>
      </c>
      <c r="D177" s="106" t="s">
        <v>117</v>
      </c>
      <c r="E177" s="106" t="s">
        <v>3136</v>
      </c>
      <c r="F177" s="106" t="s">
        <v>138</v>
      </c>
      <c r="G177" s="106" t="s">
        <v>3136</v>
      </c>
      <c r="H177" s="106" t="s">
        <v>138</v>
      </c>
      <c r="I177" s="106" t="s">
        <v>3122</v>
      </c>
      <c r="J177">
        <v>50</v>
      </c>
    </row>
    <row r="178" spans="1:10" x14ac:dyDescent="0.25">
      <c r="A178" s="106" t="s">
        <v>2198</v>
      </c>
      <c r="B178">
        <v>5</v>
      </c>
      <c r="C178" s="106" t="s">
        <v>114</v>
      </c>
      <c r="D178" s="106" t="s">
        <v>117</v>
      </c>
      <c r="E178" s="106" t="s">
        <v>3136</v>
      </c>
      <c r="F178" s="106" t="s">
        <v>138</v>
      </c>
      <c r="G178" s="106" t="s">
        <v>3136</v>
      </c>
      <c r="H178" s="106" t="s">
        <v>138</v>
      </c>
      <c r="I178" s="106" t="s">
        <v>3282</v>
      </c>
      <c r="J178">
        <v>69.849999999999994</v>
      </c>
    </row>
    <row r="179" spans="1:10" x14ac:dyDescent="0.25">
      <c r="A179" s="106" t="s">
        <v>2201</v>
      </c>
      <c r="B179">
        <v>5</v>
      </c>
      <c r="C179" s="106" t="s">
        <v>114</v>
      </c>
      <c r="D179" s="106" t="s">
        <v>117</v>
      </c>
      <c r="E179" s="106" t="s">
        <v>3136</v>
      </c>
      <c r="F179" s="106" t="s">
        <v>138</v>
      </c>
      <c r="G179" s="106" t="s">
        <v>3136</v>
      </c>
      <c r="H179" s="106" t="s">
        <v>138</v>
      </c>
      <c r="I179" s="106" t="s">
        <v>3341</v>
      </c>
      <c r="J179">
        <v>118.05</v>
      </c>
    </row>
    <row r="180" spans="1:10" x14ac:dyDescent="0.25">
      <c r="A180" s="106" t="s">
        <v>2204</v>
      </c>
      <c r="B180">
        <v>5</v>
      </c>
      <c r="C180" s="106" t="s">
        <v>114</v>
      </c>
      <c r="D180" s="106" t="s">
        <v>117</v>
      </c>
      <c r="E180" s="106" t="s">
        <v>3136</v>
      </c>
      <c r="F180" s="106" t="s">
        <v>138</v>
      </c>
      <c r="G180" s="106" t="s">
        <v>3136</v>
      </c>
      <c r="H180" s="106" t="s">
        <v>138</v>
      </c>
      <c r="I180" s="106" t="s">
        <v>3342</v>
      </c>
      <c r="J180">
        <v>127.95</v>
      </c>
    </row>
    <row r="181" spans="1:10" x14ac:dyDescent="0.25">
      <c r="A181" s="106" t="s">
        <v>1889</v>
      </c>
      <c r="B181">
        <v>5</v>
      </c>
      <c r="C181" s="106" t="s">
        <v>115</v>
      </c>
      <c r="D181" s="106" t="s">
        <v>117</v>
      </c>
      <c r="E181" s="106" t="s">
        <v>3136</v>
      </c>
      <c r="F181" s="106" t="s">
        <v>138</v>
      </c>
      <c r="G181" s="106" t="s">
        <v>3136</v>
      </c>
      <c r="H181" s="106" t="s">
        <v>145</v>
      </c>
      <c r="I181" s="106" t="s">
        <v>3274</v>
      </c>
      <c r="J181">
        <v>10.75</v>
      </c>
    </row>
    <row r="182" spans="1:10" x14ac:dyDescent="0.25">
      <c r="A182" s="106" t="s">
        <v>1904</v>
      </c>
      <c r="B182">
        <v>5</v>
      </c>
      <c r="C182" s="106" t="s">
        <v>115</v>
      </c>
      <c r="D182" s="106" t="s">
        <v>117</v>
      </c>
      <c r="E182" s="106" t="s">
        <v>3136</v>
      </c>
      <c r="F182" s="106" t="s">
        <v>138</v>
      </c>
      <c r="G182" s="106" t="s">
        <v>3136</v>
      </c>
      <c r="H182" s="106" t="s">
        <v>145</v>
      </c>
      <c r="I182" s="106" t="s">
        <v>3275</v>
      </c>
      <c r="J182">
        <v>5.85</v>
      </c>
    </row>
    <row r="183" spans="1:10" x14ac:dyDescent="0.25">
      <c r="A183" s="106" t="s">
        <v>1512</v>
      </c>
      <c r="B183">
        <v>10</v>
      </c>
      <c r="C183" s="106" t="s">
        <v>114</v>
      </c>
      <c r="D183" s="106" t="s">
        <v>117</v>
      </c>
      <c r="E183" s="106" t="s">
        <v>3136</v>
      </c>
      <c r="F183" s="106" t="s">
        <v>138</v>
      </c>
      <c r="G183" s="106" t="s">
        <v>3136</v>
      </c>
      <c r="H183" s="106" t="s">
        <v>145</v>
      </c>
      <c r="I183" s="106" t="s">
        <v>3041</v>
      </c>
      <c r="J183">
        <v>20.5</v>
      </c>
    </row>
    <row r="184" spans="1:10" x14ac:dyDescent="0.25">
      <c r="A184" s="106" t="s">
        <v>1527</v>
      </c>
      <c r="B184">
        <v>5</v>
      </c>
      <c r="C184" s="106" t="s">
        <v>114</v>
      </c>
      <c r="D184" s="106" t="s">
        <v>117</v>
      </c>
      <c r="E184" s="106" t="s">
        <v>3136</v>
      </c>
      <c r="F184" s="106" t="s">
        <v>138</v>
      </c>
      <c r="G184" s="106" t="s">
        <v>3136</v>
      </c>
      <c r="H184" s="106" t="s">
        <v>145</v>
      </c>
      <c r="I184" s="106" t="s">
        <v>3259</v>
      </c>
      <c r="J184">
        <v>10.6</v>
      </c>
    </row>
    <row r="185" spans="1:10" x14ac:dyDescent="0.25">
      <c r="A185" s="106" t="s">
        <v>1536</v>
      </c>
      <c r="B185">
        <v>5</v>
      </c>
      <c r="C185" s="106" t="s">
        <v>114</v>
      </c>
      <c r="D185" s="106" t="s">
        <v>117</v>
      </c>
      <c r="E185" s="106" t="s">
        <v>3136</v>
      </c>
      <c r="F185" s="106" t="s">
        <v>138</v>
      </c>
      <c r="G185" s="106" t="s">
        <v>3136</v>
      </c>
      <c r="H185" s="106" t="s">
        <v>145</v>
      </c>
      <c r="I185" s="106" t="s">
        <v>3343</v>
      </c>
      <c r="J185">
        <v>8.9</v>
      </c>
    </row>
    <row r="186" spans="1:10" x14ac:dyDescent="0.25">
      <c r="A186" s="106" t="s">
        <v>1539</v>
      </c>
      <c r="B186">
        <v>5</v>
      </c>
      <c r="C186" s="106" t="s">
        <v>114</v>
      </c>
      <c r="D186" s="106" t="s">
        <v>117</v>
      </c>
      <c r="E186" s="106" t="s">
        <v>3136</v>
      </c>
      <c r="F186" s="106" t="s">
        <v>138</v>
      </c>
      <c r="G186" s="106" t="s">
        <v>3136</v>
      </c>
      <c r="H186" s="106" t="s">
        <v>145</v>
      </c>
      <c r="I186" s="106" t="s">
        <v>3260</v>
      </c>
      <c r="J186">
        <v>8.6999999999999993</v>
      </c>
    </row>
    <row r="187" spans="1:10" x14ac:dyDescent="0.25">
      <c r="A187" s="106" t="s">
        <v>1542</v>
      </c>
      <c r="B187">
        <v>5</v>
      </c>
      <c r="C187" s="106" t="s">
        <v>114</v>
      </c>
      <c r="D187" s="106" t="s">
        <v>117</v>
      </c>
      <c r="E187" s="106" t="s">
        <v>3136</v>
      </c>
      <c r="F187" s="106" t="s">
        <v>138</v>
      </c>
      <c r="G187" s="106" t="s">
        <v>3136</v>
      </c>
      <c r="H187" s="106" t="s">
        <v>145</v>
      </c>
      <c r="I187" s="106" t="s">
        <v>3261</v>
      </c>
      <c r="J187">
        <v>10.9</v>
      </c>
    </row>
    <row r="188" spans="1:10" x14ac:dyDescent="0.25">
      <c r="A188" s="106" t="s">
        <v>1548</v>
      </c>
      <c r="B188">
        <v>10</v>
      </c>
      <c r="C188" s="106" t="s">
        <v>114</v>
      </c>
      <c r="D188" s="106" t="s">
        <v>117</v>
      </c>
      <c r="E188" s="106" t="s">
        <v>3136</v>
      </c>
      <c r="F188" s="106" t="s">
        <v>138</v>
      </c>
      <c r="G188" s="106" t="s">
        <v>3136</v>
      </c>
      <c r="H188" s="106" t="s">
        <v>145</v>
      </c>
      <c r="I188" s="106" t="s">
        <v>3042</v>
      </c>
      <c r="J188">
        <v>31.1</v>
      </c>
    </row>
    <row r="189" spans="1:10" x14ac:dyDescent="0.25">
      <c r="A189" s="106" t="s">
        <v>1566</v>
      </c>
      <c r="B189">
        <v>5</v>
      </c>
      <c r="C189" s="106" t="s">
        <v>114</v>
      </c>
      <c r="D189" s="106" t="s">
        <v>117</v>
      </c>
      <c r="E189" s="106" t="s">
        <v>3136</v>
      </c>
      <c r="F189" s="106" t="s">
        <v>138</v>
      </c>
      <c r="G189" s="106" t="s">
        <v>3136</v>
      </c>
      <c r="H189" s="106" t="s">
        <v>145</v>
      </c>
      <c r="I189" s="106" t="s">
        <v>3262</v>
      </c>
      <c r="J189">
        <v>12.25</v>
      </c>
    </row>
    <row r="190" spans="1:10" x14ac:dyDescent="0.25">
      <c r="A190" s="106" t="s">
        <v>1569</v>
      </c>
      <c r="B190">
        <v>10</v>
      </c>
      <c r="C190" s="106" t="s">
        <v>114</v>
      </c>
      <c r="D190" s="106" t="s">
        <v>117</v>
      </c>
      <c r="E190" s="106" t="s">
        <v>3136</v>
      </c>
      <c r="F190" s="106" t="s">
        <v>138</v>
      </c>
      <c r="G190" s="106" t="s">
        <v>3136</v>
      </c>
      <c r="H190" s="106" t="s">
        <v>145</v>
      </c>
      <c r="I190" s="106" t="s">
        <v>3263</v>
      </c>
      <c r="J190">
        <v>22.3</v>
      </c>
    </row>
    <row r="191" spans="1:10" x14ac:dyDescent="0.25">
      <c r="A191" s="106" t="s">
        <v>2110</v>
      </c>
      <c r="B191">
        <v>15</v>
      </c>
      <c r="C191" s="106" t="s">
        <v>115</v>
      </c>
      <c r="D191" s="106" t="s">
        <v>117</v>
      </c>
      <c r="E191" s="106" t="s">
        <v>3136</v>
      </c>
      <c r="F191" s="106" t="s">
        <v>138</v>
      </c>
      <c r="G191" s="106" t="s">
        <v>3136</v>
      </c>
      <c r="H191" s="106" t="s">
        <v>145</v>
      </c>
      <c r="I191" s="106" t="s">
        <v>3281</v>
      </c>
      <c r="J191">
        <v>38.4</v>
      </c>
    </row>
    <row r="192" spans="1:10" x14ac:dyDescent="0.25">
      <c r="A192" s="106" t="s">
        <v>1832</v>
      </c>
      <c r="B192">
        <v>5</v>
      </c>
      <c r="C192" s="106" t="s">
        <v>115</v>
      </c>
      <c r="D192" s="106" t="s">
        <v>117</v>
      </c>
      <c r="E192" s="106" t="s">
        <v>3136</v>
      </c>
      <c r="F192" s="106" t="s">
        <v>138</v>
      </c>
      <c r="G192" s="106" t="s">
        <v>3136</v>
      </c>
      <c r="H192" s="106" t="s">
        <v>145</v>
      </c>
      <c r="I192" s="106" t="s">
        <v>3271</v>
      </c>
      <c r="J192">
        <v>18.7</v>
      </c>
    </row>
    <row r="193" spans="1:10" x14ac:dyDescent="0.25">
      <c r="A193" s="106" t="s">
        <v>2300</v>
      </c>
      <c r="B193">
        <v>5</v>
      </c>
      <c r="C193" s="106" t="s">
        <v>115</v>
      </c>
      <c r="D193" s="106" t="s">
        <v>117</v>
      </c>
      <c r="E193" s="106" t="s">
        <v>3136</v>
      </c>
      <c r="F193" s="106" t="s">
        <v>138</v>
      </c>
      <c r="G193" s="106" t="s">
        <v>3136</v>
      </c>
      <c r="H193" s="106" t="s">
        <v>145</v>
      </c>
      <c r="I193" s="106" t="s">
        <v>3287</v>
      </c>
      <c r="J193">
        <v>10</v>
      </c>
    </row>
    <row r="194" spans="1:10" x14ac:dyDescent="0.25">
      <c r="A194" s="106" t="s">
        <v>1850</v>
      </c>
      <c r="B194">
        <v>5</v>
      </c>
      <c r="C194" s="106" t="s">
        <v>115</v>
      </c>
      <c r="D194" s="106" t="s">
        <v>117</v>
      </c>
      <c r="E194" s="106" t="s">
        <v>3136</v>
      </c>
      <c r="F194" s="106" t="s">
        <v>138</v>
      </c>
      <c r="G194" s="106" t="s">
        <v>3136</v>
      </c>
      <c r="H194" s="106" t="s">
        <v>145</v>
      </c>
      <c r="I194" s="106" t="s">
        <v>3344</v>
      </c>
      <c r="J194">
        <v>9.75</v>
      </c>
    </row>
    <row r="195" spans="1:10" x14ac:dyDescent="0.25">
      <c r="A195" s="106" t="s">
        <v>2303</v>
      </c>
      <c r="B195">
        <v>5</v>
      </c>
      <c r="C195" s="106" t="s">
        <v>115</v>
      </c>
      <c r="D195" s="106" t="s">
        <v>117</v>
      </c>
      <c r="E195" s="106" t="s">
        <v>3136</v>
      </c>
      <c r="F195" s="106" t="s">
        <v>138</v>
      </c>
      <c r="G195" s="106" t="s">
        <v>3136</v>
      </c>
      <c r="H195" s="106" t="s">
        <v>145</v>
      </c>
      <c r="I195" s="106" t="s">
        <v>3288</v>
      </c>
      <c r="J195">
        <v>10.35</v>
      </c>
    </row>
    <row r="196" spans="1:10" x14ac:dyDescent="0.25">
      <c r="A196" s="106" t="s">
        <v>1856</v>
      </c>
      <c r="B196">
        <v>5</v>
      </c>
      <c r="C196" s="106" t="s">
        <v>115</v>
      </c>
      <c r="D196" s="106" t="s">
        <v>117</v>
      </c>
      <c r="E196" s="106" t="s">
        <v>3136</v>
      </c>
      <c r="F196" s="106" t="s">
        <v>138</v>
      </c>
      <c r="G196" s="106" t="s">
        <v>3136</v>
      </c>
      <c r="H196" s="106" t="s">
        <v>145</v>
      </c>
      <c r="I196" s="106" t="s">
        <v>3116</v>
      </c>
      <c r="J196">
        <v>10.35</v>
      </c>
    </row>
    <row r="197" spans="1:10" x14ac:dyDescent="0.25">
      <c r="A197" s="106" t="s">
        <v>2306</v>
      </c>
      <c r="B197">
        <v>5</v>
      </c>
      <c r="C197" s="106" t="s">
        <v>115</v>
      </c>
      <c r="D197" s="106" t="s">
        <v>117</v>
      </c>
      <c r="E197" s="106" t="s">
        <v>3136</v>
      </c>
      <c r="F197" s="106" t="s">
        <v>138</v>
      </c>
      <c r="G197" s="106" t="s">
        <v>3136</v>
      </c>
      <c r="H197" s="106" t="s">
        <v>138</v>
      </c>
      <c r="I197" s="106" t="s">
        <v>3345</v>
      </c>
      <c r="J197">
        <v>10.6</v>
      </c>
    </row>
    <row r="198" spans="1:10" x14ac:dyDescent="0.25">
      <c r="A198" s="106" t="s">
        <v>1865</v>
      </c>
      <c r="B198">
        <v>5</v>
      </c>
      <c r="C198" s="106" t="s">
        <v>115</v>
      </c>
      <c r="D198" s="106" t="s">
        <v>117</v>
      </c>
      <c r="E198" s="106" t="s">
        <v>3136</v>
      </c>
      <c r="F198" s="106" t="s">
        <v>138</v>
      </c>
      <c r="G198" s="106" t="s">
        <v>3136</v>
      </c>
      <c r="H198" s="106" t="s">
        <v>145</v>
      </c>
      <c r="I198" s="106" t="s">
        <v>3272</v>
      </c>
      <c r="J198">
        <v>7.9</v>
      </c>
    </row>
    <row r="199" spans="1:10" x14ac:dyDescent="0.25">
      <c r="A199" s="106" t="s">
        <v>1868</v>
      </c>
      <c r="B199">
        <v>5</v>
      </c>
      <c r="C199" s="106" t="s">
        <v>115</v>
      </c>
      <c r="D199" s="106" t="s">
        <v>117</v>
      </c>
      <c r="E199" s="106" t="s">
        <v>3136</v>
      </c>
      <c r="F199" s="106" t="s">
        <v>138</v>
      </c>
      <c r="G199" s="106" t="s">
        <v>3136</v>
      </c>
      <c r="H199" s="106" t="s">
        <v>145</v>
      </c>
      <c r="I199" s="106" t="s">
        <v>3043</v>
      </c>
      <c r="J199">
        <v>8.15</v>
      </c>
    </row>
    <row r="200" spans="1:10" x14ac:dyDescent="0.25">
      <c r="A200" s="106" t="s">
        <v>1946</v>
      </c>
      <c r="B200">
        <v>5</v>
      </c>
      <c r="C200" s="106" t="s">
        <v>115</v>
      </c>
      <c r="D200" s="106" t="s">
        <v>117</v>
      </c>
      <c r="E200" s="106" t="s">
        <v>3136</v>
      </c>
      <c r="F200" s="106" t="s">
        <v>138</v>
      </c>
      <c r="G200" s="106" t="s">
        <v>3136</v>
      </c>
      <c r="H200" s="106" t="s">
        <v>145</v>
      </c>
      <c r="I200" s="106" t="s">
        <v>3346</v>
      </c>
      <c r="J200">
        <v>4.8499999999999996</v>
      </c>
    </row>
    <row r="201" spans="1:10" x14ac:dyDescent="0.25">
      <c r="A201" s="106" t="s">
        <v>2240</v>
      </c>
      <c r="B201">
        <v>40</v>
      </c>
      <c r="C201" s="106" t="s">
        <v>114</v>
      </c>
      <c r="D201" s="106" t="s">
        <v>117</v>
      </c>
      <c r="E201" s="106" t="s">
        <v>3136</v>
      </c>
      <c r="F201" s="106" t="s">
        <v>138</v>
      </c>
      <c r="G201" s="106" t="s">
        <v>3136</v>
      </c>
      <c r="H201" s="106" t="s">
        <v>138</v>
      </c>
      <c r="I201" s="106" t="s">
        <v>3347</v>
      </c>
      <c r="J201">
        <v>55.2</v>
      </c>
    </row>
    <row r="202" spans="1:10" x14ac:dyDescent="0.25">
      <c r="A202" s="106" t="s">
        <v>2282</v>
      </c>
      <c r="B202">
        <v>5</v>
      </c>
      <c r="C202" s="106" t="s">
        <v>115</v>
      </c>
      <c r="D202" s="106" t="s">
        <v>117</v>
      </c>
      <c r="E202" s="106" t="s">
        <v>3136</v>
      </c>
      <c r="F202" s="106" t="s">
        <v>138</v>
      </c>
      <c r="G202" s="106" t="s">
        <v>3136</v>
      </c>
      <c r="H202" s="106" t="s">
        <v>145</v>
      </c>
      <c r="I202" s="106" t="s">
        <v>3286</v>
      </c>
      <c r="J202">
        <v>16</v>
      </c>
    </row>
    <row r="203" spans="1:10" x14ac:dyDescent="0.25">
      <c r="A203" s="106" t="s">
        <v>2258</v>
      </c>
      <c r="B203">
        <v>5</v>
      </c>
      <c r="C203" s="106" t="s">
        <v>115</v>
      </c>
      <c r="D203" s="106" t="s">
        <v>117</v>
      </c>
      <c r="E203" s="106" t="s">
        <v>3136</v>
      </c>
      <c r="F203" s="106" t="s">
        <v>138</v>
      </c>
      <c r="G203" s="106" t="s">
        <v>3136</v>
      </c>
      <c r="H203" s="106" t="s">
        <v>145</v>
      </c>
      <c r="I203" s="106" t="s">
        <v>3285</v>
      </c>
      <c r="J203">
        <v>8</v>
      </c>
    </row>
    <row r="204" spans="1:10" x14ac:dyDescent="0.25">
      <c r="A204" s="106" t="s">
        <v>1132</v>
      </c>
      <c r="B204">
        <v>5</v>
      </c>
      <c r="C204" s="106" t="s">
        <v>114</v>
      </c>
      <c r="D204" s="106" t="s">
        <v>117</v>
      </c>
      <c r="E204" s="106" t="s">
        <v>3136</v>
      </c>
      <c r="F204" s="106" t="s">
        <v>138</v>
      </c>
      <c r="G204" s="106" t="s">
        <v>3136</v>
      </c>
      <c r="H204" s="106" t="s">
        <v>138</v>
      </c>
      <c r="I204" s="106" t="s">
        <v>3254</v>
      </c>
      <c r="J204">
        <v>20.5</v>
      </c>
    </row>
    <row r="205" spans="1:10" x14ac:dyDescent="0.25">
      <c r="A205" s="106" t="s">
        <v>1420</v>
      </c>
      <c r="B205">
        <v>5</v>
      </c>
      <c r="C205" s="106" t="s">
        <v>114</v>
      </c>
      <c r="D205" s="106" t="s">
        <v>117</v>
      </c>
      <c r="E205" s="106" t="s">
        <v>3136</v>
      </c>
      <c r="F205" s="106" t="s">
        <v>138</v>
      </c>
      <c r="G205" s="106" t="s">
        <v>3136</v>
      </c>
      <c r="H205" s="106" t="s">
        <v>138</v>
      </c>
      <c r="I205" s="106" t="s">
        <v>3348</v>
      </c>
      <c r="J205">
        <v>27.5</v>
      </c>
    </row>
  </sheetData>
  <phoneticPr fontId="19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C3EEA3-D2C3-416B-9EF3-E17B09DFB857}">
  <sheetPr codeName="TotInvPivot"/>
  <dimension ref="A1:J270"/>
  <sheetViews>
    <sheetView workbookViewId="0">
      <selection activeCell="A12" sqref="A12"/>
    </sheetView>
  </sheetViews>
  <sheetFormatPr defaultRowHeight="15" x14ac:dyDescent="0.25"/>
  <cols>
    <col min="1" max="1" width="30.7109375" customWidth="1"/>
    <col min="2" max="2" width="17.85546875" customWidth="1"/>
    <col min="3" max="3" width="13.42578125" style="33" bestFit="1" customWidth="1"/>
    <col min="4" max="4" width="10.28515625" style="33" bestFit="1" customWidth="1"/>
    <col min="5" max="5" width="12.7109375" style="33" bestFit="1" customWidth="1"/>
    <col min="6" max="7" width="15.5703125" style="33" bestFit="1" customWidth="1"/>
    <col min="8" max="8" width="18.28515625" style="33" customWidth="1"/>
    <col min="9" max="9" width="15.5703125" style="33" bestFit="1" customWidth="1"/>
    <col min="10" max="10" width="15.42578125" style="33" bestFit="1" customWidth="1"/>
    <col min="11" max="11" width="15.42578125" customWidth="1"/>
  </cols>
  <sheetData>
    <row r="1" spans="1:10" x14ac:dyDescent="0.25">
      <c r="A1" s="53" t="s">
        <v>2978</v>
      </c>
      <c r="B1" t="s">
        <v>3171</v>
      </c>
      <c r="H1" s="33" t="s">
        <v>2979</v>
      </c>
    </row>
    <row r="2" spans="1:10" ht="18.75" x14ac:dyDescent="0.3">
      <c r="H2" s="107" t="str">
        <f>'Sku List'!G18</f>
        <v>AU</v>
      </c>
    </row>
    <row r="3" spans="1:10" x14ac:dyDescent="0.25">
      <c r="A3" s="53" t="s">
        <v>128</v>
      </c>
      <c r="B3" s="53" t="s">
        <v>129</v>
      </c>
      <c r="C3" s="53" t="s">
        <v>2976</v>
      </c>
      <c r="D3" t="s">
        <v>130</v>
      </c>
      <c r="E3" s="33" t="s">
        <v>2980</v>
      </c>
      <c r="F3" s="33" t="s">
        <v>2986</v>
      </c>
      <c r="G3" s="33" t="s">
        <v>2985</v>
      </c>
      <c r="H3" s="33" t="s">
        <v>2984</v>
      </c>
      <c r="I3" s="33" t="s">
        <v>2982</v>
      </c>
      <c r="J3" s="33" t="s">
        <v>2983</v>
      </c>
    </row>
    <row r="4" spans="1:10" x14ac:dyDescent="0.25">
      <c r="A4" t="s">
        <v>3305</v>
      </c>
      <c r="B4" t="s">
        <v>114</v>
      </c>
      <c r="C4" t="s">
        <v>3136</v>
      </c>
      <c r="D4" s="106">
        <v>50</v>
      </c>
      <c r="E4" s="33">
        <v>136.6</v>
      </c>
      <c r="F4" s="33">
        <v>188.41050000000001</v>
      </c>
      <c r="G4" s="33">
        <v>330.61259942830372</v>
      </c>
      <c r="H4" s="33">
        <v>338.40523744521875</v>
      </c>
      <c r="I4" s="33">
        <v>258.27949383330389</v>
      </c>
      <c r="J4" s="33">
        <v>213.86831485927365</v>
      </c>
    </row>
    <row r="5" spans="1:10" x14ac:dyDescent="0.25">
      <c r="A5" t="s">
        <v>3305</v>
      </c>
      <c r="B5" t="s">
        <v>113</v>
      </c>
      <c r="C5" t="s">
        <v>3136</v>
      </c>
      <c r="D5" s="106">
        <v>20</v>
      </c>
      <c r="E5" s="33">
        <v>29.663366336633601</v>
      </c>
      <c r="F5" s="33">
        <v>40.415999999999997</v>
      </c>
      <c r="G5" s="33">
        <v>70.919820384184106</v>
      </c>
      <c r="H5" s="33">
        <v>72.591421797542921</v>
      </c>
      <c r="I5" s="33">
        <v>55.403621468903317</v>
      </c>
      <c r="J5" s="33">
        <v>45.876964465103605</v>
      </c>
    </row>
    <row r="6" spans="1:10" x14ac:dyDescent="0.25">
      <c r="A6" t="s">
        <v>3306</v>
      </c>
      <c r="B6" t="s">
        <v>114</v>
      </c>
      <c r="C6" t="s">
        <v>3136</v>
      </c>
      <c r="D6" s="106">
        <v>685</v>
      </c>
      <c r="E6" s="33">
        <v>1634.1401549278319</v>
      </c>
      <c r="F6" s="33">
        <v>1928.4209999999998</v>
      </c>
      <c r="G6" s="33">
        <v>3383.8893246508487</v>
      </c>
      <c r="H6" s="33">
        <v>3463.6486098139226</v>
      </c>
      <c r="I6" s="33">
        <v>2643.5448118736153</v>
      </c>
      <c r="J6" s="33">
        <v>2188.9870766716044</v>
      </c>
    </row>
    <row r="7" spans="1:10" x14ac:dyDescent="0.25">
      <c r="A7" t="s">
        <v>3306</v>
      </c>
      <c r="B7" t="s">
        <v>113</v>
      </c>
      <c r="C7" t="s">
        <v>3136</v>
      </c>
      <c r="D7" s="106">
        <v>65</v>
      </c>
      <c r="E7" s="33">
        <v>209.14</v>
      </c>
      <c r="F7" s="33">
        <v>206.92299999999997</v>
      </c>
      <c r="G7" s="33">
        <v>363.09733752366714</v>
      </c>
      <c r="H7" s="33">
        <v>371.65565054960842</v>
      </c>
      <c r="I7" s="33">
        <v>283.65705575044245</v>
      </c>
      <c r="J7" s="33">
        <v>234.88220303871324</v>
      </c>
    </row>
    <row r="8" spans="1:10" x14ac:dyDescent="0.25">
      <c r="A8" t="s">
        <v>3307</v>
      </c>
      <c r="B8" t="s">
        <v>114</v>
      </c>
      <c r="C8" t="s">
        <v>3136</v>
      </c>
      <c r="D8" s="106">
        <v>640</v>
      </c>
      <c r="E8" s="33">
        <v>3323.7167191417907</v>
      </c>
      <c r="F8" s="33">
        <v>3399.3389999999999</v>
      </c>
      <c r="G8" s="33">
        <v>5964.9770215991684</v>
      </c>
      <c r="H8" s="33">
        <v>6105.5733170486383</v>
      </c>
      <c r="I8" s="33">
        <v>4659.9290182224941</v>
      </c>
      <c r="J8" s="33">
        <v>3858.6538625257535</v>
      </c>
    </row>
    <row r="9" spans="1:10" x14ac:dyDescent="0.25">
      <c r="A9" t="s">
        <v>3307</v>
      </c>
      <c r="B9" t="s">
        <v>113</v>
      </c>
      <c r="C9" t="s">
        <v>3136</v>
      </c>
      <c r="D9" s="106">
        <v>905</v>
      </c>
      <c r="E9" s="33">
        <v>1907.6818459316389</v>
      </c>
      <c r="F9" s="33">
        <v>2110.3269999999998</v>
      </c>
      <c r="G9" s="33">
        <v>3703.0881777487657</v>
      </c>
      <c r="H9" s="33">
        <v>3790.3710755082971</v>
      </c>
      <c r="I9" s="33">
        <v>2892.9077168350746</v>
      </c>
      <c r="J9" s="33">
        <v>2395.4720108063316</v>
      </c>
    </row>
    <row r="10" spans="1:10" x14ac:dyDescent="0.25">
      <c r="A10" t="s">
        <v>3308</v>
      </c>
      <c r="B10" t="s">
        <v>114</v>
      </c>
      <c r="C10" t="s">
        <v>3136</v>
      </c>
      <c r="D10" s="106">
        <v>165</v>
      </c>
      <c r="E10" s="33">
        <v>396.25</v>
      </c>
      <c r="F10" s="33">
        <v>579.21799999999985</v>
      </c>
      <c r="G10" s="33">
        <v>1016.3805553069664</v>
      </c>
      <c r="H10" s="33">
        <v>1040.336949493498</v>
      </c>
      <c r="I10" s="33">
        <v>794.01164934618066</v>
      </c>
      <c r="J10" s="33">
        <v>657.48128472754308</v>
      </c>
    </row>
    <row r="11" spans="1:10" x14ac:dyDescent="0.25">
      <c r="A11" t="s">
        <v>3308</v>
      </c>
      <c r="B11" t="s">
        <v>113</v>
      </c>
      <c r="C11" t="s">
        <v>3136</v>
      </c>
      <c r="D11" s="106">
        <v>315</v>
      </c>
      <c r="E11" s="33">
        <v>574.90826065162912</v>
      </c>
      <c r="F11" s="33">
        <v>748.10300000000007</v>
      </c>
      <c r="G11" s="33">
        <v>1312.7308587903133</v>
      </c>
      <c r="H11" s="33">
        <v>1343.672318413679</v>
      </c>
      <c r="I11" s="33">
        <v>1025.5249265575756</v>
      </c>
      <c r="J11" s="33">
        <v>849.18583598667374</v>
      </c>
    </row>
    <row r="12" spans="1:10" x14ac:dyDescent="0.25">
      <c r="A12" t="s">
        <v>3308</v>
      </c>
      <c r="B12" t="s">
        <v>115</v>
      </c>
      <c r="C12" t="s">
        <v>3136</v>
      </c>
      <c r="D12" s="106">
        <v>260</v>
      </c>
      <c r="E12" s="33">
        <v>503.2</v>
      </c>
      <c r="F12" s="33">
        <v>910.78849999999989</v>
      </c>
      <c r="G12" s="33">
        <v>1598.2026135189155</v>
      </c>
      <c r="H12" s="33">
        <v>1635.8727279258565</v>
      </c>
      <c r="I12" s="33">
        <v>1248.5397192258081</v>
      </c>
      <c r="J12" s="33">
        <v>1033.853217778232</v>
      </c>
    </row>
    <row r="13" spans="1:10" x14ac:dyDescent="0.25">
      <c r="A13" t="s">
        <v>3172</v>
      </c>
      <c r="B13" t="s">
        <v>114</v>
      </c>
      <c r="C13" t="s">
        <v>3136</v>
      </c>
      <c r="D13" s="106">
        <v>590</v>
      </c>
      <c r="E13" s="33">
        <v>654.9</v>
      </c>
      <c r="F13" s="33">
        <v>1234.549</v>
      </c>
      <c r="G13" s="33">
        <v>2166.3201043021108</v>
      </c>
      <c r="H13" s="33">
        <v>2217.3809181694082</v>
      </c>
      <c r="I13" s="33">
        <v>1692.3615766234441</v>
      </c>
      <c r="J13" s="33">
        <v>1401.3598724126384</v>
      </c>
    </row>
    <row r="14" spans="1:10" x14ac:dyDescent="0.25">
      <c r="A14" t="s">
        <v>3309</v>
      </c>
      <c r="B14" t="s">
        <v>114</v>
      </c>
      <c r="C14" t="s">
        <v>3136</v>
      </c>
      <c r="D14" s="106">
        <v>70</v>
      </c>
      <c r="E14" s="33">
        <v>166.5</v>
      </c>
      <c r="F14" s="33">
        <v>328.84449999999998</v>
      </c>
      <c r="G14" s="33">
        <v>577.03862020800761</v>
      </c>
      <c r="H14" s="33">
        <v>590.63959336159212</v>
      </c>
      <c r="I14" s="33">
        <v>450.79117676491433</v>
      </c>
      <c r="J14" s="33">
        <v>373.27759899655484</v>
      </c>
    </row>
    <row r="15" spans="1:10" x14ac:dyDescent="0.25">
      <c r="A15" t="s">
        <v>3309</v>
      </c>
      <c r="B15" t="s">
        <v>113</v>
      </c>
      <c r="C15" t="s">
        <v>3136</v>
      </c>
      <c r="D15" s="106">
        <v>60</v>
      </c>
      <c r="E15" s="33">
        <v>95</v>
      </c>
      <c r="F15" s="33">
        <v>148.90550000000002</v>
      </c>
      <c r="G15" s="33">
        <v>261.29135278644912</v>
      </c>
      <c r="H15" s="33">
        <v>267.45006825202961</v>
      </c>
      <c r="I15" s="33">
        <v>204.12470201498869</v>
      </c>
      <c r="J15" s="33">
        <v>169.02544368959039</v>
      </c>
    </row>
    <row r="16" spans="1:10" x14ac:dyDescent="0.25">
      <c r="A16" t="s">
        <v>3309</v>
      </c>
      <c r="B16" t="s">
        <v>115</v>
      </c>
      <c r="C16" t="s">
        <v>3136</v>
      </c>
      <c r="D16" s="106">
        <v>25</v>
      </c>
      <c r="E16" s="33">
        <v>55</v>
      </c>
      <c r="F16" s="33">
        <v>83.388000000000005</v>
      </c>
      <c r="G16" s="33">
        <v>146.32477192686918</v>
      </c>
      <c r="H16" s="33">
        <v>149.77369063869531</v>
      </c>
      <c r="I16" s="33">
        <v>114.31109429554904</v>
      </c>
      <c r="J16" s="33">
        <v>94.655292775535912</v>
      </c>
    </row>
    <row r="17" spans="1:10" x14ac:dyDescent="0.25">
      <c r="A17" t="s">
        <v>3310</v>
      </c>
      <c r="B17" t="s">
        <v>113</v>
      </c>
      <c r="C17" t="s">
        <v>3136</v>
      </c>
      <c r="D17" s="106">
        <v>10</v>
      </c>
      <c r="E17" s="33">
        <v>35</v>
      </c>
      <c r="F17" s="33">
        <v>50.218499999999999</v>
      </c>
      <c r="G17" s="33">
        <v>88.120719516111194</v>
      </c>
      <c r="H17" s="33">
        <v>90.197751275235277</v>
      </c>
      <c r="I17" s="33">
        <v>68.841220425972921</v>
      </c>
      <c r="J17" s="33">
        <v>57.003967240469265</v>
      </c>
    </row>
    <row r="18" spans="1:10" x14ac:dyDescent="0.25">
      <c r="A18" t="s">
        <v>3034</v>
      </c>
      <c r="B18" t="s">
        <v>115</v>
      </c>
      <c r="C18" t="s">
        <v>3136</v>
      </c>
      <c r="D18" s="106">
        <v>40</v>
      </c>
      <c r="E18" s="33">
        <v>85.800000000000011</v>
      </c>
      <c r="F18" s="33">
        <v>163.39600000000002</v>
      </c>
      <c r="G18" s="33">
        <v>286.71850186792727</v>
      </c>
      <c r="H18" s="33">
        <v>293.47654285509014</v>
      </c>
      <c r="I18" s="33">
        <v>223.98877012898174</v>
      </c>
      <c r="J18" s="33">
        <v>185.47388375247601</v>
      </c>
    </row>
    <row r="19" spans="1:10" x14ac:dyDescent="0.25">
      <c r="A19" t="s">
        <v>3035</v>
      </c>
      <c r="B19" t="s">
        <v>115</v>
      </c>
      <c r="C19" t="s">
        <v>3136</v>
      </c>
      <c r="D19" s="106">
        <v>20</v>
      </c>
      <c r="E19" s="33">
        <v>23.099999999999998</v>
      </c>
      <c r="F19" s="33">
        <v>46.186500000000002</v>
      </c>
      <c r="G19" s="33">
        <v>81.045583040729412</v>
      </c>
      <c r="H19" s="33">
        <v>82.95585171348516</v>
      </c>
      <c r="I19" s="33">
        <v>63.31401828418209</v>
      </c>
      <c r="J19" s="33">
        <v>52.427167935162011</v>
      </c>
    </row>
    <row r="20" spans="1:10" x14ac:dyDescent="0.25">
      <c r="A20" t="s">
        <v>3311</v>
      </c>
      <c r="B20" t="s">
        <v>114</v>
      </c>
      <c r="C20" t="s">
        <v>3137</v>
      </c>
      <c r="D20" s="106">
        <v>2</v>
      </c>
      <c r="E20" s="33">
        <v>2.34</v>
      </c>
      <c r="F20" s="33">
        <v>54.101199999999999</v>
      </c>
      <c r="G20" s="33">
        <v>94.933872391350505</v>
      </c>
      <c r="H20" s="33">
        <v>97.171492204899764</v>
      </c>
      <c r="I20" s="33">
        <v>74.163757071789192</v>
      </c>
      <c r="J20" s="33">
        <v>61.411293297690598</v>
      </c>
    </row>
    <row r="21" spans="1:10" x14ac:dyDescent="0.25">
      <c r="A21" t="s">
        <v>3313</v>
      </c>
      <c r="B21" t="s">
        <v>114</v>
      </c>
      <c r="C21" t="s">
        <v>3137</v>
      </c>
      <c r="D21" s="106">
        <v>20</v>
      </c>
      <c r="E21" s="33">
        <v>11.3</v>
      </c>
      <c r="F21" s="33">
        <v>229.75700000000001</v>
      </c>
      <c r="G21" s="33">
        <v>403.16521110473548</v>
      </c>
      <c r="H21" s="33">
        <v>412.66793591493638</v>
      </c>
      <c r="I21" s="33">
        <v>314.95867621315369</v>
      </c>
      <c r="J21" s="33">
        <v>260.80150743786646</v>
      </c>
    </row>
    <row r="22" spans="1:10" x14ac:dyDescent="0.25">
      <c r="A22" t="s">
        <v>3350</v>
      </c>
      <c r="B22" t="s">
        <v>114</v>
      </c>
      <c r="C22" t="s">
        <v>3137</v>
      </c>
      <c r="D22" s="106">
        <v>15</v>
      </c>
      <c r="E22" s="33">
        <v>15.549999999999999</v>
      </c>
      <c r="F22" s="33">
        <v>336.22449999999998</v>
      </c>
      <c r="G22" s="33">
        <v>589.98864679241183</v>
      </c>
      <c r="H22" s="33">
        <v>603.89485595229542</v>
      </c>
      <c r="I22" s="33">
        <v>460.90793068515649</v>
      </c>
      <c r="J22" s="33">
        <v>381.65477629644766</v>
      </c>
    </row>
    <row r="23" spans="1:10" x14ac:dyDescent="0.25">
      <c r="C23"/>
      <c r="D23"/>
      <c r="E23"/>
      <c r="F23"/>
      <c r="G23"/>
      <c r="H23"/>
      <c r="I23"/>
      <c r="J23"/>
    </row>
    <row r="24" spans="1:10" x14ac:dyDescent="0.25">
      <c r="C24"/>
      <c r="D24"/>
      <c r="E24"/>
      <c r="F24"/>
      <c r="G24"/>
      <c r="H24"/>
      <c r="I24"/>
      <c r="J24"/>
    </row>
    <row r="25" spans="1:10" x14ac:dyDescent="0.25">
      <c r="C25"/>
      <c r="D25"/>
      <c r="E25"/>
      <c r="F25"/>
      <c r="G25"/>
      <c r="H25"/>
      <c r="I25"/>
      <c r="J25"/>
    </row>
    <row r="26" spans="1:10" x14ac:dyDescent="0.25">
      <c r="C26"/>
      <c r="D26"/>
      <c r="E26"/>
      <c r="F26"/>
      <c r="G26"/>
      <c r="H26"/>
      <c r="I26"/>
      <c r="J26"/>
    </row>
    <row r="27" spans="1:10" x14ac:dyDescent="0.25">
      <c r="C27"/>
      <c r="D27"/>
      <c r="E27"/>
      <c r="F27"/>
      <c r="G27"/>
      <c r="H27"/>
      <c r="I27"/>
      <c r="J27"/>
    </row>
    <row r="28" spans="1:10" x14ac:dyDescent="0.25">
      <c r="C28"/>
      <c r="D28"/>
      <c r="E28"/>
      <c r="F28"/>
      <c r="G28"/>
      <c r="H28"/>
      <c r="I28"/>
      <c r="J28"/>
    </row>
    <row r="29" spans="1:10" x14ac:dyDescent="0.25">
      <c r="C29"/>
      <c r="D29"/>
      <c r="E29"/>
      <c r="F29"/>
      <c r="G29"/>
      <c r="H29"/>
      <c r="I29"/>
      <c r="J29"/>
    </row>
    <row r="30" spans="1:10" x14ac:dyDescent="0.25">
      <c r="C30"/>
      <c r="D30"/>
      <c r="E30"/>
      <c r="F30"/>
      <c r="G30"/>
      <c r="H30"/>
      <c r="I30"/>
      <c r="J30"/>
    </row>
    <row r="31" spans="1:10" x14ac:dyDescent="0.25">
      <c r="C31"/>
      <c r="D31"/>
      <c r="E31"/>
      <c r="F31"/>
      <c r="G31"/>
      <c r="H31"/>
      <c r="I31"/>
      <c r="J31"/>
    </row>
    <row r="32" spans="1:10" x14ac:dyDescent="0.25">
      <c r="C32"/>
      <c r="D32"/>
      <c r="E32"/>
      <c r="F32"/>
      <c r="G32"/>
      <c r="H32"/>
      <c r="I32"/>
      <c r="J32"/>
    </row>
    <row r="33" customFormat="1" x14ac:dyDescent="0.25"/>
    <row r="34" customFormat="1" x14ac:dyDescent="0.25"/>
    <row r="35" customFormat="1" x14ac:dyDescent="0.25"/>
    <row r="36" customFormat="1" x14ac:dyDescent="0.25"/>
    <row r="37" customFormat="1" x14ac:dyDescent="0.25"/>
    <row r="38" customFormat="1" x14ac:dyDescent="0.25"/>
    <row r="39" customFormat="1" x14ac:dyDescent="0.25"/>
    <row r="40" customFormat="1" x14ac:dyDescent="0.25"/>
    <row r="41" customFormat="1" x14ac:dyDescent="0.25"/>
    <row r="42" customFormat="1" x14ac:dyDescent="0.25"/>
    <row r="43" customFormat="1" x14ac:dyDescent="0.25"/>
    <row r="44" customFormat="1" x14ac:dyDescent="0.25"/>
    <row r="45" customFormat="1" x14ac:dyDescent="0.25"/>
    <row r="46" customFormat="1" x14ac:dyDescent="0.25"/>
    <row r="47" customFormat="1" x14ac:dyDescent="0.25"/>
    <row r="48" customFormat="1" x14ac:dyDescent="0.25"/>
    <row r="49" customFormat="1" x14ac:dyDescent="0.25"/>
    <row r="50" customFormat="1" x14ac:dyDescent="0.25"/>
    <row r="51" customFormat="1" x14ac:dyDescent="0.25"/>
    <row r="52" customFormat="1" x14ac:dyDescent="0.25"/>
    <row r="53" customFormat="1" x14ac:dyDescent="0.25"/>
    <row r="54" customFormat="1" x14ac:dyDescent="0.25"/>
    <row r="55" customFormat="1" x14ac:dyDescent="0.25"/>
    <row r="56" customFormat="1" x14ac:dyDescent="0.25"/>
    <row r="57" customFormat="1" x14ac:dyDescent="0.25"/>
    <row r="58" customFormat="1" x14ac:dyDescent="0.25"/>
    <row r="59" customFormat="1" x14ac:dyDescent="0.25"/>
    <row r="60" customFormat="1" x14ac:dyDescent="0.25"/>
    <row r="61" customFormat="1" x14ac:dyDescent="0.25"/>
    <row r="62" customFormat="1" x14ac:dyDescent="0.25"/>
    <row r="63" customFormat="1" x14ac:dyDescent="0.25"/>
    <row r="64" customFormat="1" x14ac:dyDescent="0.25"/>
    <row r="65" customFormat="1" x14ac:dyDescent="0.25"/>
    <row r="66" customFormat="1" x14ac:dyDescent="0.25"/>
    <row r="67" customFormat="1" x14ac:dyDescent="0.25"/>
    <row r="68" customFormat="1" x14ac:dyDescent="0.25"/>
    <row r="69" customFormat="1" x14ac:dyDescent="0.25"/>
    <row r="70" customFormat="1" x14ac:dyDescent="0.25"/>
    <row r="71" customFormat="1" x14ac:dyDescent="0.25"/>
    <row r="72" customFormat="1" x14ac:dyDescent="0.25"/>
    <row r="73" customFormat="1" x14ac:dyDescent="0.25"/>
    <row r="74" customFormat="1" x14ac:dyDescent="0.25"/>
    <row r="75" customFormat="1" x14ac:dyDescent="0.25"/>
    <row r="76" customFormat="1" x14ac:dyDescent="0.25"/>
    <row r="77" customFormat="1" x14ac:dyDescent="0.25"/>
    <row r="78" customFormat="1" x14ac:dyDescent="0.25"/>
    <row r="79" customFormat="1" x14ac:dyDescent="0.25"/>
    <row r="80" customFormat="1" x14ac:dyDescent="0.25"/>
    <row r="81" customFormat="1" x14ac:dyDescent="0.25"/>
    <row r="82" customFormat="1" x14ac:dyDescent="0.25"/>
    <row r="83" customFormat="1" x14ac:dyDescent="0.25"/>
    <row r="84" customFormat="1" x14ac:dyDescent="0.25"/>
    <row r="85" customFormat="1" x14ac:dyDescent="0.25"/>
    <row r="86" customFormat="1" x14ac:dyDescent="0.25"/>
    <row r="87" customFormat="1" x14ac:dyDescent="0.25"/>
    <row r="88" customFormat="1" x14ac:dyDescent="0.25"/>
    <row r="89" customFormat="1" x14ac:dyDescent="0.25"/>
    <row r="90" customFormat="1" x14ac:dyDescent="0.25"/>
    <row r="91" customFormat="1" x14ac:dyDescent="0.25"/>
    <row r="92" customFormat="1" x14ac:dyDescent="0.25"/>
    <row r="93" customFormat="1" x14ac:dyDescent="0.25"/>
    <row r="94" customFormat="1" x14ac:dyDescent="0.25"/>
    <row r="95" customFormat="1" x14ac:dyDescent="0.25"/>
    <row r="96" customFormat="1" x14ac:dyDescent="0.25"/>
    <row r="97" customFormat="1" x14ac:dyDescent="0.25"/>
    <row r="98" customFormat="1" x14ac:dyDescent="0.25"/>
    <row r="99" customFormat="1" x14ac:dyDescent="0.25"/>
    <row r="100" customFormat="1" x14ac:dyDescent="0.25"/>
    <row r="101" customFormat="1" x14ac:dyDescent="0.25"/>
    <row r="102" customFormat="1" x14ac:dyDescent="0.25"/>
    <row r="103" customFormat="1" x14ac:dyDescent="0.25"/>
    <row r="104" customFormat="1" x14ac:dyDescent="0.25"/>
    <row r="105" customFormat="1" x14ac:dyDescent="0.25"/>
    <row r="106" customFormat="1" x14ac:dyDescent="0.25"/>
    <row r="107" customFormat="1" x14ac:dyDescent="0.25"/>
    <row r="108" customFormat="1" x14ac:dyDescent="0.25"/>
    <row r="109" customFormat="1" x14ac:dyDescent="0.25"/>
    <row r="110" customFormat="1" x14ac:dyDescent="0.25"/>
    <row r="111" customFormat="1" x14ac:dyDescent="0.25"/>
    <row r="112" customFormat="1" x14ac:dyDescent="0.25"/>
    <row r="113" customFormat="1" x14ac:dyDescent="0.25"/>
    <row r="114" customFormat="1" x14ac:dyDescent="0.25"/>
    <row r="115" customFormat="1" x14ac:dyDescent="0.25"/>
    <row r="116" customFormat="1" x14ac:dyDescent="0.25"/>
    <row r="117" customFormat="1" x14ac:dyDescent="0.25"/>
    <row r="118" customFormat="1" x14ac:dyDescent="0.25"/>
    <row r="119" customFormat="1" x14ac:dyDescent="0.25"/>
    <row r="120" customFormat="1" x14ac:dyDescent="0.25"/>
    <row r="121" customFormat="1" x14ac:dyDescent="0.25"/>
    <row r="122" customFormat="1" x14ac:dyDescent="0.25"/>
    <row r="123" customFormat="1" x14ac:dyDescent="0.25"/>
    <row r="124" customFormat="1" x14ac:dyDescent="0.25"/>
    <row r="125" customFormat="1" x14ac:dyDescent="0.25"/>
    <row r="126" customFormat="1" x14ac:dyDescent="0.25"/>
    <row r="127" customFormat="1" x14ac:dyDescent="0.25"/>
    <row r="128" customFormat="1" x14ac:dyDescent="0.25"/>
    <row r="129" customFormat="1" x14ac:dyDescent="0.25"/>
    <row r="130" customFormat="1" x14ac:dyDescent="0.25"/>
    <row r="131" customFormat="1" x14ac:dyDescent="0.25"/>
    <row r="132" customFormat="1" x14ac:dyDescent="0.25"/>
    <row r="133" customFormat="1" x14ac:dyDescent="0.25"/>
    <row r="134" customFormat="1" x14ac:dyDescent="0.25"/>
    <row r="135" customFormat="1" x14ac:dyDescent="0.25"/>
    <row r="136" customFormat="1" x14ac:dyDescent="0.25"/>
    <row r="137" customFormat="1" x14ac:dyDescent="0.25"/>
    <row r="138" customFormat="1" x14ac:dyDescent="0.25"/>
    <row r="139" customFormat="1" x14ac:dyDescent="0.25"/>
    <row r="140" customFormat="1" x14ac:dyDescent="0.25"/>
    <row r="141" customFormat="1" x14ac:dyDescent="0.25"/>
    <row r="142" customFormat="1" x14ac:dyDescent="0.25"/>
    <row r="143" customFormat="1" x14ac:dyDescent="0.25"/>
    <row r="144" customFormat="1" x14ac:dyDescent="0.25"/>
    <row r="145" customFormat="1" x14ac:dyDescent="0.25"/>
    <row r="146" customFormat="1" x14ac:dyDescent="0.25"/>
    <row r="147" customFormat="1" x14ac:dyDescent="0.25"/>
    <row r="148" customFormat="1" x14ac:dyDescent="0.25"/>
    <row r="149" customFormat="1" x14ac:dyDescent="0.25"/>
    <row r="150" customFormat="1" x14ac:dyDescent="0.25"/>
    <row r="151" customFormat="1" x14ac:dyDescent="0.25"/>
    <row r="152" customFormat="1" x14ac:dyDescent="0.25"/>
    <row r="153" customFormat="1" x14ac:dyDescent="0.25"/>
    <row r="154" customFormat="1" x14ac:dyDescent="0.25"/>
    <row r="155" customFormat="1" x14ac:dyDescent="0.25"/>
    <row r="156" customFormat="1" x14ac:dyDescent="0.25"/>
    <row r="157" customFormat="1" x14ac:dyDescent="0.25"/>
    <row r="158" customFormat="1" x14ac:dyDescent="0.25"/>
    <row r="159" customFormat="1" x14ac:dyDescent="0.25"/>
    <row r="160" customFormat="1" x14ac:dyDescent="0.25"/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44A40C-91C8-49AC-8BE8-6357AE2E2CF4}">
  <sheetPr codeName="Inventory"/>
  <dimension ref="A1:Z1276"/>
  <sheetViews>
    <sheetView topLeftCell="I1" zoomScale="85" zoomScaleNormal="85" workbookViewId="0">
      <selection activeCell="S2" sqref="S2"/>
    </sheetView>
  </sheetViews>
  <sheetFormatPr defaultColWidth="9.140625" defaultRowHeight="15" x14ac:dyDescent="0.25"/>
  <cols>
    <col min="1" max="1" width="36.140625" customWidth="1"/>
    <col min="2" max="2" width="19.28515625" customWidth="1"/>
    <col min="3" max="3" width="9.42578125" customWidth="1"/>
    <col min="4" max="4" width="33.7109375" customWidth="1"/>
    <col min="5" max="5" width="33.7109375" style="33" customWidth="1"/>
    <col min="6" max="7" width="23" style="33" customWidth="1"/>
    <col min="8" max="11" width="17.28515625" customWidth="1"/>
    <col min="12" max="12" width="26.5703125" customWidth="1"/>
    <col min="13" max="14" width="26.140625" style="33" customWidth="1"/>
    <col min="15" max="15" width="26.28515625" customWidth="1"/>
    <col min="16" max="17" width="17.28515625" customWidth="1"/>
    <col min="18" max="18" width="17.42578125" customWidth="1"/>
    <col min="19" max="19" width="16.85546875" customWidth="1"/>
    <col min="20" max="20" width="33" customWidth="1"/>
    <col min="21" max="21" width="25.7109375" customWidth="1"/>
    <col min="22" max="22" width="33.140625" customWidth="1"/>
    <col min="23" max="23" width="39.7109375" customWidth="1"/>
    <col min="24" max="24" width="44" customWidth="1"/>
    <col min="25" max="26" width="20.28515625" customWidth="1"/>
    <col min="27" max="27" width="36.140625" customWidth="1"/>
    <col min="28" max="28" width="26.28515625" customWidth="1"/>
  </cols>
  <sheetData>
    <row r="1" spans="1:26" s="196" customFormat="1" ht="30" x14ac:dyDescent="0.25">
      <c r="A1" s="196" t="s">
        <v>58</v>
      </c>
      <c r="B1" s="196" t="s">
        <v>87</v>
      </c>
      <c r="C1" s="196" t="s">
        <v>129</v>
      </c>
      <c r="D1" s="196" t="s">
        <v>2860</v>
      </c>
      <c r="E1" s="197" t="s">
        <v>2890</v>
      </c>
      <c r="F1" s="198" t="s">
        <v>2891</v>
      </c>
      <c r="G1" s="201" t="s">
        <v>71</v>
      </c>
      <c r="H1" s="200" t="s">
        <v>99</v>
      </c>
      <c r="I1" s="196" t="s">
        <v>2976</v>
      </c>
      <c r="J1" s="196" t="s">
        <v>2974</v>
      </c>
      <c r="K1" s="196" t="s">
        <v>2975</v>
      </c>
      <c r="L1" s="196" t="s">
        <v>2977</v>
      </c>
      <c r="M1" s="196" t="s">
        <v>2888</v>
      </c>
      <c r="N1" s="198" t="s">
        <v>3020</v>
      </c>
      <c r="O1" s="198" t="s">
        <v>2981</v>
      </c>
      <c r="P1" s="198" t="s">
        <v>3009</v>
      </c>
      <c r="Q1" s="198" t="s">
        <v>3209</v>
      </c>
      <c r="R1" s="196" t="s">
        <v>100</v>
      </c>
      <c r="S1" s="196" t="s">
        <v>150</v>
      </c>
      <c r="T1" s="197" t="s">
        <v>2990</v>
      </c>
      <c r="U1" s="197" t="s">
        <v>154</v>
      </c>
      <c r="V1" s="197" t="s">
        <v>155</v>
      </c>
      <c r="W1" s="197" t="s">
        <v>2892</v>
      </c>
      <c r="X1" s="197" t="s">
        <v>156</v>
      </c>
      <c r="Y1" s="197" t="s">
        <v>157</v>
      </c>
      <c r="Z1" s="197"/>
    </row>
    <row r="2" spans="1:26" x14ac:dyDescent="0.25">
      <c r="A2" t="s">
        <v>158</v>
      </c>
      <c r="B2" t="s">
        <v>159</v>
      </c>
      <c r="C2" t="s">
        <v>113</v>
      </c>
      <c r="D2" t="s">
        <v>160</v>
      </c>
      <c r="E2">
        <v>1.5</v>
      </c>
      <c r="F2" s="33">
        <v>2.0926</v>
      </c>
      <c r="G2" s="33" t="s">
        <v>117</v>
      </c>
      <c r="H2" t="s">
        <v>3366</v>
      </c>
      <c r="I2" t="str">
        <f>IF(quantInv[[#This Row],[Metal]] = "925 Silver",  "7113.11.00"," 7113.19.00")</f>
        <v>7113.11.00</v>
      </c>
      <c r="J2" t="str">
        <f>IF(quantInv[[#This Row],[Metal]] = "925 Silver", "7113.11.10.00"," 7113.19.10.00")</f>
        <v>7113.11.10.00</v>
      </c>
      <c r="K2" t="str">
        <f>IF(quantInv[[#This Row],[Metal]] = "925 Silver",  "7113.11.00"," 7113.19.00")</f>
        <v>7113.11.00</v>
      </c>
      <c r="L2" t="str">
        <f>IFERROR(VLOOKUP(quantInv[[#This Row],[Description for New Invoice]],Map!$G$12:$H$32,2,FALSE), IF(quantInv[[#This Row],[Metal]] = "925 Silver", "7113.11.10.00", "7113.19.29.00"))</f>
        <v>7113.11.10.00</v>
      </c>
      <c r="M2" t="str">
        <f>quantInv[[#This Row],[ASIN]] &amp; " " &amp; quantInv[[#This Row],[Short Description]]</f>
        <v>B00NG1HUX0 Curb Chain</v>
      </c>
      <c r="N2" s="33">
        <f>quantInv[[#This Row],[UNIT
VALUE]] / EURtoGBP</f>
        <v>2.3753497585034591</v>
      </c>
      <c r="O2" s="33">
        <f>quantInv[[#This Row],[UNIT
VALUE]]/USDtoGBP</f>
        <v>2.8686069449185245</v>
      </c>
      <c r="P2" s="33">
        <f>quantInv[[#This Row],[UNIT
VALUE]] / CADtoGBP</f>
        <v>3.6719817927539511</v>
      </c>
      <c r="Q2" s="33">
        <f>quantInv[[#This Row],[UNIT
VALUE]]/AUDtoGBP</f>
        <v>3.7585315036999782</v>
      </c>
      <c r="R2">
        <f>IFERROR(VLOOKUP(quantInv[[#This Row],[Assigned Item SKU]],skuQuantity[#All],2,FALSE),0)</f>
        <v>10</v>
      </c>
      <c r="S2" t="str">
        <f>PROPER(quantInv[[#This Row],[Metal]] &amp; " " &amp; quantInv[[#This Row],[Item Type]])</f>
        <v>925 Silver Chain</v>
      </c>
      <c r="T2" s="33">
        <f>quantInv[[#This Row],[Quantity]]*quantInv[[#This Row],[WEIGHT]]</f>
        <v>15</v>
      </c>
      <c r="U2" s="33">
        <f>quantInv[[#This Row],[UNIT
VALUE]]*quantInv[[#This Row],[Quantity]]</f>
        <v>20.926000000000002</v>
      </c>
      <c r="V2" s="33">
        <f>quantInv[[#This Row],[Total Cost GBP]]/EURtoGBP</f>
        <v>23.753497585034594</v>
      </c>
      <c r="W2" s="33">
        <f>quantInv[[#This Row],[Total Cost GBP]]/USDtoGBP</f>
        <v>28.686069449185247</v>
      </c>
      <c r="X2" s="33">
        <f>quantInv[[#This Row],[Total Cost GBP]]/CADtoGBP</f>
        <v>36.719817927539516</v>
      </c>
      <c r="Y2" s="33">
        <f>quantInv[[#This Row],[Quantity]]*quantInv[[#This Row],[UNIT
VALUE AUD]]</f>
        <v>37.585315036999781</v>
      </c>
      <c r="Z2" s="33"/>
    </row>
    <row r="3" spans="1:26" x14ac:dyDescent="0.25">
      <c r="A3" t="s">
        <v>88</v>
      </c>
      <c r="B3" t="s">
        <v>721</v>
      </c>
      <c r="C3" t="s">
        <v>113</v>
      </c>
      <c r="D3" t="s">
        <v>707</v>
      </c>
      <c r="E3">
        <v>1.2</v>
      </c>
      <c r="F3" s="33">
        <v>1.6380999999999999</v>
      </c>
      <c r="G3" s="33" t="s">
        <v>117</v>
      </c>
      <c r="H3" t="s">
        <v>1310</v>
      </c>
      <c r="I3" t="str">
        <f>IF(quantInv[[#This Row],[Metal]] = "925 Silver",  "7113.11.00"," 7113.19.00")</f>
        <v>7113.11.00</v>
      </c>
      <c r="J3" t="str">
        <f>IF(quantInv[[#This Row],[Metal]] = "925 Silver", "7113.11.10.00"," 7113.19.10.00")</f>
        <v>7113.11.10.00</v>
      </c>
      <c r="K3" t="str">
        <f>IF(quantInv[[#This Row],[Metal]] = "925 Silver",  "7113.11.00"," 7113.19.00")</f>
        <v>7113.11.00</v>
      </c>
      <c r="L3" t="str">
        <f>IFERROR(VLOOKUP(quantInv[[#This Row],[Description for New Invoice]],Map!$G$12:$H$32,2,FALSE), IF(quantInv[[#This Row],[Metal]] = "925 Silver", "7113.11.10.00", "7113.19.29.00"))</f>
        <v>7113.11.50.00</v>
      </c>
      <c r="M3" t="str">
        <f>quantInv[[#This Row],[ASIN]] &amp; " " &amp; quantInv[[#This Row],[Short Description]]</f>
        <v>B077MN9BHT Hinged Hoop Earrings</v>
      </c>
      <c r="N3" s="33">
        <f>quantInv[[#This Row],[UNIT
VALUE]] / EURtoGBP</f>
        <v>1.8594382296686018</v>
      </c>
      <c r="O3" s="33">
        <f>quantInv[[#This Row],[UNIT
VALUE]]/USDtoGBP</f>
        <v>2.2455629534889776</v>
      </c>
      <c r="P3" s="33">
        <f>quantInv[[#This Row],[UNIT
VALUE]] / CADtoGBP</f>
        <v>2.874449667738816</v>
      </c>
      <c r="Q3" s="33">
        <f>quantInv[[#This Row],[UNIT
VALUE]]/AUDtoGBP</f>
        <v>2.9422013075651985</v>
      </c>
      <c r="R3">
        <f>IFERROR(VLOOKUP(quantInv[[#This Row],[Assigned Item SKU]],skuQuantity[#All],2,FALSE),0)</f>
        <v>200</v>
      </c>
      <c r="S3" t="str">
        <f>PROPER(quantInv[[#This Row],[Metal]] &amp; " " &amp; quantInv[[#This Row],[Item Type]])</f>
        <v>925 Silver Earrings</v>
      </c>
      <c r="T3" s="33">
        <f>quantInv[[#This Row],[Quantity]]*quantInv[[#This Row],[WEIGHT]]</f>
        <v>240</v>
      </c>
      <c r="U3" s="33">
        <f>quantInv[[#This Row],[UNIT
VALUE]]*quantInv[[#This Row],[Quantity]]</f>
        <v>327.62</v>
      </c>
      <c r="V3" s="33">
        <f>quantInv[[#This Row],[Total Cost GBP]]/EURtoGBP</f>
        <v>371.88764593372042</v>
      </c>
      <c r="W3" s="33">
        <f>quantInv[[#This Row],[Total Cost GBP]]/USDtoGBP</f>
        <v>449.11259069779555</v>
      </c>
      <c r="X3" s="33">
        <f>quantInv[[#This Row],[Total Cost GBP]]/CADtoGBP</f>
        <v>574.88993354776335</v>
      </c>
      <c r="Y3" s="33">
        <f>quantInv[[#This Row],[Quantity]]*quantInv[[#This Row],[UNIT
VALUE AUD]]</f>
        <v>588.44026151303967</v>
      </c>
      <c r="Z3" s="33"/>
    </row>
    <row r="4" spans="1:26" x14ac:dyDescent="0.25">
      <c r="A4" t="s">
        <v>56</v>
      </c>
      <c r="B4" t="s">
        <v>162</v>
      </c>
      <c r="C4" t="s">
        <v>113</v>
      </c>
      <c r="D4" t="s">
        <v>160</v>
      </c>
      <c r="E4">
        <v>2</v>
      </c>
      <c r="F4" s="33">
        <v>2.6741000000000001</v>
      </c>
      <c r="G4" s="33" t="s">
        <v>117</v>
      </c>
      <c r="H4" t="s">
        <v>103</v>
      </c>
      <c r="I4" t="str">
        <f>IF(quantInv[[#This Row],[Metal]] = "925 Silver",  "7113.11.00"," 7113.19.00")</f>
        <v>7113.11.00</v>
      </c>
      <c r="J4" t="str">
        <f>IF(quantInv[[#This Row],[Metal]] = "925 Silver", "7113.11.10.00"," 7113.19.10.00")</f>
        <v>7113.11.10.00</v>
      </c>
      <c r="K4" t="str">
        <f>IF(quantInv[[#This Row],[Metal]] = "925 Silver",  "7113.11.00"," 7113.19.00")</f>
        <v>7113.11.00</v>
      </c>
      <c r="L4" t="str">
        <f>IFERROR(VLOOKUP(quantInv[[#This Row],[Description for New Invoice]],Map!$G$12:$H$32,2,FALSE), IF(quantInv[[#This Row],[Metal]] = "925 Silver", "7113.11.10.00", "7113.19.29.00"))</f>
        <v>7113.11.10.00</v>
      </c>
      <c r="M4" t="str">
        <f>quantInv[[#This Row],[ASIN]] &amp; " " &amp; quantInv[[#This Row],[Short Description]]</f>
        <v>B00NG1HXZ0 Curb Chain</v>
      </c>
      <c r="N4" s="33">
        <f>quantInv[[#This Row],[UNIT
VALUE]] / EURtoGBP</f>
        <v>3.0354213845044926</v>
      </c>
      <c r="O4" s="33">
        <f>quantInv[[#This Row],[UNIT
VALUE]]/USDtoGBP</f>
        <v>3.6657468371435664</v>
      </c>
      <c r="P4" s="33">
        <f>quantInv[[#This Row],[UNIT
VALUE]] / CADtoGBP</f>
        <v>4.6923666787744152</v>
      </c>
      <c r="Q4" s="33">
        <f>quantInv[[#This Row],[UNIT
VALUE]]/AUDtoGBP</f>
        <v>4.8029671671815501</v>
      </c>
      <c r="R4">
        <f>IFERROR(VLOOKUP(quantInv[[#This Row],[Assigned Item SKU]],skuQuantity[#All],2,FALSE),0)</f>
        <v>0</v>
      </c>
      <c r="S4" t="str">
        <f>PROPER(quantInv[[#This Row],[Metal]] &amp; " " &amp; quantInv[[#This Row],[Item Type]])</f>
        <v>925 Silver Chain</v>
      </c>
      <c r="T4" s="33">
        <f>quantInv[[#This Row],[Quantity]]*quantInv[[#This Row],[WEIGHT]]</f>
        <v>0</v>
      </c>
      <c r="U4" s="33">
        <f>quantInv[[#This Row],[UNIT
VALUE]]*quantInv[[#This Row],[Quantity]]</f>
        <v>0</v>
      </c>
      <c r="V4" s="33">
        <f>quantInv[[#This Row],[Total Cost GBP]]/EURtoGBP</f>
        <v>0</v>
      </c>
      <c r="W4" s="33">
        <f>quantInv[[#This Row],[Total Cost GBP]]/USDtoGBP</f>
        <v>0</v>
      </c>
      <c r="X4" s="33">
        <f>quantInv[[#This Row],[Total Cost GBP]]/CADtoGBP</f>
        <v>0</v>
      </c>
      <c r="Y4" s="33">
        <f>quantInv[[#This Row],[Quantity]]*quantInv[[#This Row],[UNIT
VALUE AUD]]</f>
        <v>0</v>
      </c>
      <c r="Z4" s="33"/>
    </row>
    <row r="5" spans="1:26" x14ac:dyDescent="0.25">
      <c r="A5" t="s">
        <v>52</v>
      </c>
      <c r="B5" t="s">
        <v>390</v>
      </c>
      <c r="C5" t="s">
        <v>113</v>
      </c>
      <c r="D5" t="s">
        <v>160</v>
      </c>
      <c r="E5">
        <v>1.83</v>
      </c>
      <c r="F5" s="33">
        <v>1.9926999999999999</v>
      </c>
      <c r="G5" s="33" t="s">
        <v>117</v>
      </c>
      <c r="H5" t="s">
        <v>103</v>
      </c>
      <c r="I5" t="str">
        <f>IF(quantInv[[#This Row],[Metal]] = "925 Silver",  "7113.11.00"," 7113.19.00")</f>
        <v>7113.11.00</v>
      </c>
      <c r="J5" t="str">
        <f>IF(quantInv[[#This Row],[Metal]] = "925 Silver", "7113.11.10.00"," 7113.19.10.00")</f>
        <v>7113.11.10.00</v>
      </c>
      <c r="K5" t="str">
        <f>IF(quantInv[[#This Row],[Metal]] = "925 Silver",  "7113.11.00"," 7113.19.00")</f>
        <v>7113.11.00</v>
      </c>
      <c r="L5" t="str">
        <f>IFERROR(VLOOKUP(quantInv[[#This Row],[Description for New Invoice]],Map!$G$12:$H$32,2,FALSE), IF(quantInv[[#This Row],[Metal]] = "925 Silver", "7113.11.10.00", "7113.19.29.00"))</f>
        <v>7113.11.10.00</v>
      </c>
      <c r="M5" t="str">
        <f>quantInv[[#This Row],[ASIN]] &amp; " " &amp; quantInv[[#This Row],[Short Description]]</f>
        <v>B00D94C2N2 Curb Chain</v>
      </c>
      <c r="N5" s="33">
        <f>quantInv[[#This Row],[UNIT
VALUE]] / EURtoGBP</f>
        <v>2.2619513828585696</v>
      </c>
      <c r="O5" s="33">
        <f>quantInv[[#This Row],[UNIT
VALUE]]/USDtoGBP</f>
        <v>2.7316606418518319</v>
      </c>
      <c r="P5" s="33">
        <f>quantInv[[#This Row],[UNIT
VALUE]] / CADtoGBP</f>
        <v>3.4966826524040897</v>
      </c>
      <c r="Q5" s="33">
        <f>quantInv[[#This Row],[UNIT
VALUE]]/AUDtoGBP</f>
        <v>3.5791005100941158</v>
      </c>
      <c r="R5">
        <f>IFERROR(VLOOKUP(quantInv[[#This Row],[Assigned Item SKU]],skuQuantity[#All],2,FALSE),0)</f>
        <v>100</v>
      </c>
      <c r="S5" t="str">
        <f>PROPER(quantInv[[#This Row],[Metal]] &amp; " " &amp; quantInv[[#This Row],[Item Type]])</f>
        <v>925 Silver Chain</v>
      </c>
      <c r="T5" s="33">
        <f>quantInv[[#This Row],[Quantity]]*quantInv[[#This Row],[WEIGHT]]</f>
        <v>183</v>
      </c>
      <c r="U5" s="33">
        <f>quantInv[[#This Row],[UNIT
VALUE]]*quantInv[[#This Row],[Quantity]]</f>
        <v>199.26999999999998</v>
      </c>
      <c r="V5" s="33">
        <f>quantInv[[#This Row],[Total Cost GBP]]/EURtoGBP</f>
        <v>226.19513828585696</v>
      </c>
      <c r="W5" s="33">
        <f>quantInv[[#This Row],[Total Cost GBP]]/USDtoGBP</f>
        <v>273.16606418518319</v>
      </c>
      <c r="X5" s="33">
        <f>quantInv[[#This Row],[Total Cost GBP]]/CADtoGBP</f>
        <v>349.66826524040897</v>
      </c>
      <c r="Y5" s="33">
        <f>quantInv[[#This Row],[Quantity]]*quantInv[[#This Row],[UNIT
VALUE AUD]]</f>
        <v>357.91005100941157</v>
      </c>
      <c r="Z5" s="33"/>
    </row>
    <row r="6" spans="1:26" x14ac:dyDescent="0.25">
      <c r="A6" t="s">
        <v>92</v>
      </c>
      <c r="B6" t="s">
        <v>164</v>
      </c>
      <c r="C6" t="s">
        <v>113</v>
      </c>
      <c r="D6" t="s">
        <v>160</v>
      </c>
      <c r="E6">
        <v>1.62</v>
      </c>
      <c r="F6" s="33">
        <v>2.6602999999999999</v>
      </c>
      <c r="G6" s="33" t="s">
        <v>117</v>
      </c>
      <c r="H6" t="s">
        <v>1426</v>
      </c>
      <c r="I6" t="str">
        <f>IF(quantInv[[#This Row],[Metal]] = "925 Silver",  "7113.11.00"," 7113.19.00")</f>
        <v>7113.11.00</v>
      </c>
      <c r="J6" t="str">
        <f>IF(quantInv[[#This Row],[Metal]] = "925 Silver", "7113.11.10.00"," 7113.19.10.00")</f>
        <v>7113.11.10.00</v>
      </c>
      <c r="K6" t="str">
        <f>IF(quantInv[[#This Row],[Metal]] = "925 Silver",  "7113.11.00"," 7113.19.00")</f>
        <v>7113.11.00</v>
      </c>
      <c r="L6" t="str">
        <f>IFERROR(VLOOKUP(quantInv[[#This Row],[Description for New Invoice]],Map!$G$12:$H$32,2,FALSE), IF(quantInv[[#This Row],[Metal]] = "925 Silver", "7113.11.10.00", "7113.19.29.00"))</f>
        <v>7113.11.10.00</v>
      </c>
      <c r="M6" t="str">
        <f>quantInv[[#This Row],[ASIN]] &amp; " " &amp; quantInv[[#This Row],[Short Description]]</f>
        <v>B077MQ71G6 Curb Chain</v>
      </c>
      <c r="N6" s="33">
        <f>quantInv[[#This Row],[UNIT
VALUE]] / EURtoGBP</f>
        <v>3.0197567440250177</v>
      </c>
      <c r="O6" s="33">
        <f>quantInv[[#This Row],[UNIT
VALUE]]/USDtoGBP</f>
        <v>3.6468293298130319</v>
      </c>
      <c r="P6" s="33">
        <f>quantInv[[#This Row],[UNIT
VALUE]] / CADtoGBP</f>
        <v>4.6681511819092689</v>
      </c>
      <c r="Q6" s="33">
        <f>quantInv[[#This Row],[UNIT
VALUE]]/AUDtoGBP</f>
        <v>4.7781809038005596</v>
      </c>
      <c r="R6">
        <f>IFERROR(VLOOKUP(quantInv[[#This Row],[Assigned Item SKU]],skuQuantity[#All],2,FALSE),0)</f>
        <v>0</v>
      </c>
      <c r="S6" t="str">
        <f>PROPER(quantInv[[#This Row],[Metal]] &amp; " " &amp; quantInv[[#This Row],[Item Type]])</f>
        <v>925 Silver Anklet</v>
      </c>
      <c r="T6" s="33">
        <f>quantInv[[#This Row],[Quantity]]*quantInv[[#This Row],[WEIGHT]]</f>
        <v>0</v>
      </c>
      <c r="U6" s="33">
        <f>quantInv[[#This Row],[UNIT
VALUE]]*quantInv[[#This Row],[Quantity]]</f>
        <v>0</v>
      </c>
      <c r="V6" s="33">
        <f>quantInv[[#This Row],[Total Cost GBP]]/EURtoGBP</f>
        <v>0</v>
      </c>
      <c r="W6" s="33">
        <f>quantInv[[#This Row],[Total Cost GBP]]/USDtoGBP</f>
        <v>0</v>
      </c>
      <c r="X6" s="33">
        <f>quantInv[[#This Row],[Total Cost GBP]]/CADtoGBP</f>
        <v>0</v>
      </c>
      <c r="Y6" s="33">
        <f>quantInv[[#This Row],[Quantity]]*quantInv[[#This Row],[UNIT
VALUE AUD]]</f>
        <v>0</v>
      </c>
      <c r="Z6" s="33"/>
    </row>
    <row r="7" spans="1:26" x14ac:dyDescent="0.25">
      <c r="A7" t="s">
        <v>165</v>
      </c>
      <c r="B7" t="s">
        <v>166</v>
      </c>
      <c r="C7" t="s">
        <v>113</v>
      </c>
      <c r="D7" t="s">
        <v>160</v>
      </c>
      <c r="E7">
        <v>5.0901960784313696</v>
      </c>
      <c r="F7" s="33">
        <v>5.5500999999999996</v>
      </c>
      <c r="G7" s="33" t="s">
        <v>117</v>
      </c>
      <c r="H7" t="s">
        <v>103</v>
      </c>
      <c r="I7" t="str">
        <f>IF(quantInv[[#This Row],[Metal]] = "925 Silver",  "7113.11.00"," 7113.19.00")</f>
        <v>7113.11.00</v>
      </c>
      <c r="J7" t="str">
        <f>IF(quantInv[[#This Row],[Metal]] = "925 Silver", "7113.11.10.00"," 7113.19.10.00")</f>
        <v>7113.11.10.00</v>
      </c>
      <c r="K7" t="str">
        <f>IF(quantInv[[#This Row],[Metal]] = "925 Silver",  "7113.11.00"," 7113.19.00")</f>
        <v>7113.11.00</v>
      </c>
      <c r="L7" t="str">
        <f>IFERROR(VLOOKUP(quantInv[[#This Row],[Description for New Invoice]],Map!$G$12:$H$32,2,FALSE), IF(quantInv[[#This Row],[Metal]] = "925 Silver", "7113.11.10.00", "7113.19.29.00"))</f>
        <v>7113.11.10.00</v>
      </c>
      <c r="M7" t="str">
        <f>quantInv[[#This Row],[ASIN]] &amp; " " &amp; quantInv[[#This Row],[Short Description]]</f>
        <v>B073G8ZSHF Curb Chain</v>
      </c>
      <c r="N7" s="33">
        <f>quantInv[[#This Row],[UNIT
VALUE]] / EURtoGBP</f>
        <v>6.3000232699369434</v>
      </c>
      <c r="O7" s="33">
        <f>quantInv[[#This Row],[UNIT
VALUE]]/USDtoGBP</f>
        <v>7.6082650315360327</v>
      </c>
      <c r="P7" s="33">
        <f>quantInv[[#This Row],[UNIT
VALUE]] / CADtoGBP</f>
        <v>9.7390166051628135</v>
      </c>
      <c r="Q7" s="33">
        <f>quantInv[[#This Row],[UNIT
VALUE]]/AUDtoGBP</f>
        <v>9.9685681442632355</v>
      </c>
      <c r="R7">
        <f>IFERROR(VLOOKUP(quantInv[[#This Row],[Assigned Item SKU]],skuQuantity[#All],2,FALSE),0)</f>
        <v>0</v>
      </c>
      <c r="S7" t="str">
        <f>PROPER(quantInv[[#This Row],[Metal]] &amp; " " &amp; quantInv[[#This Row],[Item Type]])</f>
        <v>925 Silver Chain</v>
      </c>
      <c r="T7" s="33">
        <f>quantInv[[#This Row],[Quantity]]*quantInv[[#This Row],[WEIGHT]]</f>
        <v>0</v>
      </c>
      <c r="U7" s="33">
        <f>quantInv[[#This Row],[UNIT
VALUE]]*quantInv[[#This Row],[Quantity]]</f>
        <v>0</v>
      </c>
      <c r="V7" s="33">
        <f>quantInv[[#This Row],[Total Cost GBP]]/EURtoGBP</f>
        <v>0</v>
      </c>
      <c r="W7" s="33">
        <f>quantInv[[#This Row],[Total Cost GBP]]/USDtoGBP</f>
        <v>0</v>
      </c>
      <c r="X7" s="33">
        <f>quantInv[[#This Row],[Total Cost GBP]]/CADtoGBP</f>
        <v>0</v>
      </c>
      <c r="Y7" s="33">
        <f>quantInv[[#This Row],[Quantity]]*quantInv[[#This Row],[UNIT
VALUE AUD]]</f>
        <v>0</v>
      </c>
      <c r="Z7" s="33"/>
    </row>
    <row r="8" spans="1:26" x14ac:dyDescent="0.25">
      <c r="A8" t="s">
        <v>167</v>
      </c>
      <c r="B8" t="s">
        <v>168</v>
      </c>
      <c r="C8" t="s">
        <v>113</v>
      </c>
      <c r="D8" t="s">
        <v>160</v>
      </c>
      <c r="E8">
        <v>5.6098039215686297</v>
      </c>
      <c r="F8" s="33">
        <v>6.0811000000000002</v>
      </c>
      <c r="G8" s="33" t="s">
        <v>117</v>
      </c>
      <c r="H8" t="s">
        <v>103</v>
      </c>
      <c r="I8" t="str">
        <f>IF(quantInv[[#This Row],[Metal]] = "925 Silver",  "7113.11.00"," 7113.19.00")</f>
        <v>7113.11.00</v>
      </c>
      <c r="J8" t="str">
        <f>IF(quantInv[[#This Row],[Metal]] = "925 Silver", "7113.11.10.00"," 7113.19.10.00")</f>
        <v>7113.11.10.00</v>
      </c>
      <c r="K8" t="str">
        <f>IF(quantInv[[#This Row],[Metal]] = "925 Silver",  "7113.11.00"," 7113.19.00")</f>
        <v>7113.11.00</v>
      </c>
      <c r="L8" t="str">
        <f>IFERROR(VLOOKUP(quantInv[[#This Row],[Description for New Invoice]],Map!$G$12:$H$32,2,FALSE), IF(quantInv[[#This Row],[Metal]] = "925 Silver", "7113.11.10.00", "7113.19.29.00"))</f>
        <v>7113.11.10.00</v>
      </c>
      <c r="M8" t="str">
        <f>quantInv[[#This Row],[ASIN]] &amp; " " &amp; quantInv[[#This Row],[Short Description]]</f>
        <v>B073GCMSDH Curb Chain</v>
      </c>
      <c r="N8" s="33">
        <f>quantInv[[#This Row],[UNIT
VALUE]] / EURtoGBP</f>
        <v>6.9027713927341043</v>
      </c>
      <c r="O8" s="33">
        <f>quantInv[[#This Row],[UNIT
VALUE]]/USDtoGBP</f>
        <v>8.3361778136022373</v>
      </c>
      <c r="P8" s="33">
        <f>quantInv[[#This Row],[UNIT
VALUE]] / CADtoGBP</f>
        <v>10.670786810626041</v>
      </c>
      <c r="Q8" s="33">
        <f>quantInv[[#This Row],[UNIT
VALUE]]/AUDtoGBP</f>
        <v>10.922300452618723</v>
      </c>
      <c r="R8">
        <f>IFERROR(VLOOKUP(quantInv[[#This Row],[Assigned Item SKU]],skuQuantity[#All],2,FALSE),0)</f>
        <v>0</v>
      </c>
      <c r="S8" t="str">
        <f>PROPER(quantInv[[#This Row],[Metal]] &amp; " " &amp; quantInv[[#This Row],[Item Type]])</f>
        <v>925 Silver Chain</v>
      </c>
      <c r="T8" s="33">
        <f>quantInv[[#This Row],[Quantity]]*quantInv[[#This Row],[WEIGHT]]</f>
        <v>0</v>
      </c>
      <c r="U8" s="33">
        <f>quantInv[[#This Row],[UNIT
VALUE]]*quantInv[[#This Row],[Quantity]]</f>
        <v>0</v>
      </c>
      <c r="V8" s="33">
        <f>quantInv[[#This Row],[Total Cost GBP]]/EURtoGBP</f>
        <v>0</v>
      </c>
      <c r="W8" s="33">
        <f>quantInv[[#This Row],[Total Cost GBP]]/USDtoGBP</f>
        <v>0</v>
      </c>
      <c r="X8" s="33">
        <f>quantInv[[#This Row],[Total Cost GBP]]/CADtoGBP</f>
        <v>0</v>
      </c>
      <c r="Y8" s="33">
        <f>quantInv[[#This Row],[Quantity]]*quantInv[[#This Row],[UNIT
VALUE AUD]]</f>
        <v>0</v>
      </c>
      <c r="Z8" s="33"/>
    </row>
    <row r="9" spans="1:26" x14ac:dyDescent="0.25">
      <c r="A9" t="s">
        <v>169</v>
      </c>
      <c r="B9" t="s">
        <v>170</v>
      </c>
      <c r="C9" t="s">
        <v>113</v>
      </c>
      <c r="D9" t="s">
        <v>160</v>
      </c>
      <c r="E9">
        <v>7.9039215686274504</v>
      </c>
      <c r="F9" s="33">
        <v>8.4254999999999995</v>
      </c>
      <c r="G9" s="33" t="s">
        <v>117</v>
      </c>
      <c r="H9" t="s">
        <v>103</v>
      </c>
      <c r="I9" t="str">
        <f>IF(quantInv[[#This Row],[Metal]] = "925 Silver",  "7113.11.00"," 7113.19.00")</f>
        <v>7113.11.00</v>
      </c>
      <c r="J9" t="str">
        <f>IF(quantInv[[#This Row],[Metal]] = "925 Silver", "7113.11.10.00"," 7113.19.10.00")</f>
        <v>7113.11.10.00</v>
      </c>
      <c r="K9" t="str">
        <f>IF(quantInv[[#This Row],[Metal]] = "925 Silver",  "7113.11.00"," 7113.19.00")</f>
        <v>7113.11.00</v>
      </c>
      <c r="L9" t="str">
        <f>IFERROR(VLOOKUP(quantInv[[#This Row],[Description for New Invoice]],Map!$G$12:$H$32,2,FALSE), IF(quantInv[[#This Row],[Metal]] = "925 Silver", "7113.11.10.00", "7113.19.29.00"))</f>
        <v>7113.11.10.00</v>
      </c>
      <c r="M9" t="str">
        <f>quantInv[[#This Row],[ASIN]] &amp; " " &amp; quantInv[[#This Row],[Short Description]]</f>
        <v>B073G6KJ5M Curb Chain</v>
      </c>
      <c r="N9" s="33">
        <f>quantInv[[#This Row],[UNIT
VALUE]] / EURtoGBP</f>
        <v>9.5639440840442003</v>
      </c>
      <c r="O9" s="33">
        <f>quantInv[[#This Row],[UNIT
VALUE]]/USDtoGBP</f>
        <v>11.549960725609781</v>
      </c>
      <c r="P9" s="33">
        <f>quantInv[[#This Row],[UNIT
VALUE]] / CADtoGBP</f>
        <v>14.784613683861423</v>
      </c>
      <c r="Q9" s="33">
        <f>quantInv[[#This Row],[UNIT
VALUE]]/AUDtoGBP</f>
        <v>15.133091457719662</v>
      </c>
      <c r="R9">
        <f>IFERROR(VLOOKUP(quantInv[[#This Row],[Assigned Item SKU]],skuQuantity[#All],2,FALSE),0)</f>
        <v>0</v>
      </c>
      <c r="S9" t="str">
        <f>PROPER(quantInv[[#This Row],[Metal]] &amp; " " &amp; quantInv[[#This Row],[Item Type]])</f>
        <v>925 Silver Chain</v>
      </c>
      <c r="T9" s="33">
        <f>quantInv[[#This Row],[Quantity]]*quantInv[[#This Row],[WEIGHT]]</f>
        <v>0</v>
      </c>
      <c r="U9" s="33">
        <f>quantInv[[#This Row],[UNIT
VALUE]]*quantInv[[#This Row],[Quantity]]</f>
        <v>0</v>
      </c>
      <c r="V9" s="33">
        <f>quantInv[[#This Row],[Total Cost GBP]]/EURtoGBP</f>
        <v>0</v>
      </c>
      <c r="W9" s="33">
        <f>quantInv[[#This Row],[Total Cost GBP]]/USDtoGBP</f>
        <v>0</v>
      </c>
      <c r="X9" s="33">
        <f>quantInv[[#This Row],[Total Cost GBP]]/CADtoGBP</f>
        <v>0</v>
      </c>
      <c r="Y9" s="33">
        <f>quantInv[[#This Row],[Quantity]]*quantInv[[#This Row],[UNIT
VALUE AUD]]</f>
        <v>0</v>
      </c>
      <c r="Z9" s="33"/>
    </row>
    <row r="10" spans="1:26" x14ac:dyDescent="0.25">
      <c r="A10" t="s">
        <v>171</v>
      </c>
      <c r="B10" t="s">
        <v>172</v>
      </c>
      <c r="C10" t="s">
        <v>113</v>
      </c>
      <c r="D10" t="s">
        <v>173</v>
      </c>
      <c r="E10">
        <v>1.86078431372549</v>
      </c>
      <c r="F10" s="33">
        <v>2.5777999999999999</v>
      </c>
      <c r="G10" s="33" t="s">
        <v>117</v>
      </c>
      <c r="H10" t="s">
        <v>103</v>
      </c>
      <c r="I10" t="str">
        <f>IF(quantInv[[#This Row],[Metal]] = "925 Silver",  "7113.11.00"," 7113.19.00")</f>
        <v>7113.11.00</v>
      </c>
      <c r="J10" t="str">
        <f>IF(quantInv[[#This Row],[Metal]] = "925 Silver", "7113.11.10.00"," 7113.19.10.00")</f>
        <v>7113.11.10.00</v>
      </c>
      <c r="K10" t="str">
        <f>IF(quantInv[[#This Row],[Metal]] = "925 Silver",  "7113.11.00"," 7113.19.00")</f>
        <v>7113.11.00</v>
      </c>
      <c r="L10" t="str">
        <f>IFERROR(VLOOKUP(quantInv[[#This Row],[Description for New Invoice]],Map!$G$12:$H$32,2,FALSE), IF(quantInv[[#This Row],[Metal]] = "925 Silver", "7113.11.10.00", "7113.19.29.00"))</f>
        <v>7113.11.10.00</v>
      </c>
      <c r="M10" t="str">
        <f>quantInv[[#This Row],[ASIN]] &amp; " " &amp; quantInv[[#This Row],[Short Description]]</f>
        <v>B073G8S5JT Figaro Chain</v>
      </c>
      <c r="N10" s="33">
        <f>quantInv[[#This Row],[UNIT
VALUE]] / EURtoGBP</f>
        <v>2.9261094368107701</v>
      </c>
      <c r="O10" s="33">
        <f>quantInv[[#This Row],[UNIT
VALUE]]/USDtoGBP</f>
        <v>3.5337355359891869</v>
      </c>
      <c r="P10" s="33">
        <f>quantInv[[#This Row],[UNIT
VALUE]] / CADtoGBP</f>
        <v>4.5233846245632874</v>
      </c>
      <c r="Q10" s="33">
        <f>quantInv[[#This Row],[UNIT
VALUE]]/AUDtoGBP</f>
        <v>4.6300021553272499</v>
      </c>
      <c r="R10">
        <f>IFERROR(VLOOKUP(quantInv[[#This Row],[Assigned Item SKU]],skuQuantity[#All],2,FALSE),0)</f>
        <v>0</v>
      </c>
      <c r="S10" t="str">
        <f>PROPER(quantInv[[#This Row],[Metal]] &amp; " " &amp; quantInv[[#This Row],[Item Type]])</f>
        <v>925 Silver Chain</v>
      </c>
      <c r="T10" s="33">
        <f>quantInv[[#This Row],[Quantity]]*quantInv[[#This Row],[WEIGHT]]</f>
        <v>0</v>
      </c>
      <c r="U10" s="33">
        <f>quantInv[[#This Row],[UNIT
VALUE]]*quantInv[[#This Row],[Quantity]]</f>
        <v>0</v>
      </c>
      <c r="V10" s="33">
        <f>quantInv[[#This Row],[Total Cost GBP]]/EURtoGBP</f>
        <v>0</v>
      </c>
      <c r="W10" s="33">
        <f>quantInv[[#This Row],[Total Cost GBP]]/USDtoGBP</f>
        <v>0</v>
      </c>
      <c r="X10" s="33">
        <f>quantInv[[#This Row],[Total Cost GBP]]/CADtoGBP</f>
        <v>0</v>
      </c>
      <c r="Y10" s="33">
        <f>quantInv[[#This Row],[Quantity]]*quantInv[[#This Row],[UNIT
VALUE AUD]]</f>
        <v>0</v>
      </c>
      <c r="Z10" s="33"/>
    </row>
    <row r="11" spans="1:26" x14ac:dyDescent="0.25">
      <c r="A11" t="s">
        <v>54</v>
      </c>
      <c r="B11" t="s">
        <v>388</v>
      </c>
      <c r="C11" t="s">
        <v>113</v>
      </c>
      <c r="D11" t="s">
        <v>160</v>
      </c>
      <c r="E11">
        <v>1.53</v>
      </c>
      <c r="F11" s="33">
        <v>1.7232000000000001</v>
      </c>
      <c r="G11" s="33" t="s">
        <v>117</v>
      </c>
      <c r="H11" t="s">
        <v>103</v>
      </c>
      <c r="I11" t="str">
        <f>IF(quantInv[[#This Row],[Metal]] = "925 Silver",  "7113.11.00"," 7113.19.00")</f>
        <v>7113.11.00</v>
      </c>
      <c r="J11" t="str">
        <f>IF(quantInv[[#This Row],[Metal]] = "925 Silver", "7113.11.10.00"," 7113.19.10.00")</f>
        <v>7113.11.10.00</v>
      </c>
      <c r="K11" t="str">
        <f>IF(quantInv[[#This Row],[Metal]] = "925 Silver",  "7113.11.00"," 7113.19.00")</f>
        <v>7113.11.00</v>
      </c>
      <c r="L11" t="str">
        <f>IFERROR(VLOOKUP(quantInv[[#This Row],[Description for New Invoice]],Map!$G$12:$H$32,2,FALSE), IF(quantInv[[#This Row],[Metal]] = "925 Silver", "7113.11.10.00", "7113.19.29.00"))</f>
        <v>7113.11.10.00</v>
      </c>
      <c r="M11" t="str">
        <f>quantInv[[#This Row],[ASIN]] &amp; " " &amp; quantInv[[#This Row],[Short Description]]</f>
        <v>B00D94C3Y0 Curb Chain</v>
      </c>
      <c r="N11" s="33">
        <f>quantInv[[#This Row],[UNIT
VALUE]] / EURtoGBP</f>
        <v>1.9560368459586932</v>
      </c>
      <c r="O11" s="33">
        <f>quantInv[[#This Row],[UNIT
VALUE]]/USDtoGBP</f>
        <v>2.3622209153606049</v>
      </c>
      <c r="P11" s="33">
        <f>quantInv[[#This Row],[UNIT
VALUE]] / CADtoGBP</f>
        <v>3.0237785650738838</v>
      </c>
      <c r="Q11" s="33">
        <f>quantInv[[#This Row],[UNIT
VALUE]]/AUDtoGBP</f>
        <v>3.0950499317479703</v>
      </c>
      <c r="R11">
        <f>IFERROR(VLOOKUP(quantInv[[#This Row],[Assigned Item SKU]],skuQuantity[#All],2,FALSE),0)</f>
        <v>100</v>
      </c>
      <c r="S11" t="str">
        <f>PROPER(quantInv[[#This Row],[Metal]] &amp; " " &amp; quantInv[[#This Row],[Item Type]])</f>
        <v>925 Silver Chain</v>
      </c>
      <c r="T11" s="33">
        <f>quantInv[[#This Row],[Quantity]]*quantInv[[#This Row],[WEIGHT]]</f>
        <v>153</v>
      </c>
      <c r="U11" s="33">
        <f>quantInv[[#This Row],[UNIT
VALUE]]*quantInv[[#This Row],[Quantity]]</f>
        <v>172.32</v>
      </c>
      <c r="V11" s="33">
        <f>quantInv[[#This Row],[Total Cost GBP]]/EURtoGBP</f>
        <v>195.60368459586928</v>
      </c>
      <c r="W11" s="33">
        <f>quantInv[[#This Row],[Total Cost GBP]]/USDtoGBP</f>
        <v>236.22209153606047</v>
      </c>
      <c r="X11" s="33">
        <f>quantInv[[#This Row],[Total Cost GBP]]/CADtoGBP</f>
        <v>302.37785650738834</v>
      </c>
      <c r="Y11" s="33">
        <f>quantInv[[#This Row],[Quantity]]*quantInv[[#This Row],[UNIT
VALUE AUD]]</f>
        <v>309.50499317479705</v>
      </c>
      <c r="Z11" s="33"/>
    </row>
    <row r="12" spans="1:26" x14ac:dyDescent="0.25">
      <c r="A12" t="s">
        <v>10</v>
      </c>
      <c r="B12" t="s">
        <v>666</v>
      </c>
      <c r="C12" t="s">
        <v>114</v>
      </c>
      <c r="D12" t="s">
        <v>242</v>
      </c>
      <c r="E12">
        <v>1.36</v>
      </c>
      <c r="F12" s="33">
        <v>1.6515</v>
      </c>
      <c r="G12" s="33" t="s">
        <v>117</v>
      </c>
      <c r="H12" t="s">
        <v>1414</v>
      </c>
      <c r="I12" t="str">
        <f>IF(quantInv[[#This Row],[Metal]] = "925 Silver",  "7113.11.00"," 7113.19.00")</f>
        <v>7113.11.00</v>
      </c>
      <c r="J12" t="str">
        <f>IF(quantInv[[#This Row],[Metal]] = "925 Silver", "7113.11.10.00"," 7113.19.10.00")</f>
        <v>7113.11.10.00</v>
      </c>
      <c r="K12" t="str">
        <f>IF(quantInv[[#This Row],[Metal]] = "925 Silver",  "7113.11.00"," 7113.19.00")</f>
        <v>7113.11.00</v>
      </c>
      <c r="L12" t="str">
        <f>IFERROR(VLOOKUP(quantInv[[#This Row],[Description for New Invoice]],Map!$G$12:$H$32,2,FALSE), IF(quantInv[[#This Row],[Metal]] = "925 Silver", "7113.11.10.00", "7113.19.29.00"))</f>
        <v>7113.11.10.00</v>
      </c>
      <c r="M12" t="str">
        <f>quantInv[[#This Row],[ASIN]] &amp; " " &amp; quantInv[[#This Row],[Short Description]]</f>
        <v>B01N360YYH Heart Chain</v>
      </c>
      <c r="N12" s="33">
        <f>quantInv[[#This Row],[UNIT
VALUE]] / EURtoGBP</f>
        <v>1.8746488225979465</v>
      </c>
      <c r="O12" s="33">
        <f>quantInv[[#This Row],[UNIT
VALUE]]/USDtoGBP</f>
        <v>2.2639321272736992</v>
      </c>
      <c r="P12" s="33">
        <f>quantInv[[#This Row],[UNIT
VALUE]] / CADtoGBP</f>
        <v>2.897963266144103</v>
      </c>
      <c r="Q12" s="33">
        <f>quantInv[[#This Row],[UNIT
VALUE]]/AUDtoGBP</f>
        <v>2.9662691285293481</v>
      </c>
      <c r="R12">
        <f>IFERROR(VLOOKUP(quantInv[[#This Row],[Assigned Item SKU]],skuQuantity[#All],2,FALSE),0)</f>
        <v>100</v>
      </c>
      <c r="S12" t="str">
        <f>PROPER(quantInv[[#This Row],[Metal]] &amp; " " &amp; quantInv[[#This Row],[Item Type]])</f>
        <v>925 Silver Bracelet</v>
      </c>
      <c r="T12" s="33">
        <f>quantInv[[#This Row],[Quantity]]*quantInv[[#This Row],[WEIGHT]]</f>
        <v>136</v>
      </c>
      <c r="U12" s="33">
        <f>quantInv[[#This Row],[UNIT
VALUE]]*quantInv[[#This Row],[Quantity]]</f>
        <v>165.15</v>
      </c>
      <c r="V12" s="33">
        <f>quantInv[[#This Row],[Total Cost GBP]]/EURtoGBP</f>
        <v>187.46488225979468</v>
      </c>
      <c r="W12" s="33">
        <f>quantInv[[#This Row],[Total Cost GBP]]/USDtoGBP</f>
        <v>226.39321272736993</v>
      </c>
      <c r="X12" s="33">
        <f>quantInv[[#This Row],[Total Cost GBP]]/CADtoGBP</f>
        <v>289.7963266144103</v>
      </c>
      <c r="Y12" s="33">
        <f>quantInv[[#This Row],[Quantity]]*quantInv[[#This Row],[UNIT
VALUE AUD]]</f>
        <v>296.62691285293482</v>
      </c>
      <c r="Z12" s="33"/>
    </row>
    <row r="13" spans="1:26" x14ac:dyDescent="0.25">
      <c r="A13" t="s">
        <v>178</v>
      </c>
      <c r="B13" t="s">
        <v>179</v>
      </c>
      <c r="C13" t="s">
        <v>113</v>
      </c>
      <c r="D13" t="s">
        <v>180</v>
      </c>
      <c r="E13">
        <v>1.7313725490196099</v>
      </c>
      <c r="F13" s="33">
        <v>2.4685000000000001</v>
      </c>
      <c r="G13" s="33" t="s">
        <v>117</v>
      </c>
      <c r="H13" t="s">
        <v>103</v>
      </c>
      <c r="I13" t="str">
        <f>IF(quantInv[[#This Row],[Metal]] = "925 Silver",  "7113.11.00"," 7113.19.00")</f>
        <v>7113.11.00</v>
      </c>
      <c r="J13" t="str">
        <f>IF(quantInv[[#This Row],[Metal]] = "925 Silver", "7113.11.10.00"," 7113.19.10.00")</f>
        <v>7113.11.10.00</v>
      </c>
      <c r="K13" t="str">
        <f>IF(quantInv[[#This Row],[Metal]] = "925 Silver",  "7113.11.00"," 7113.19.00")</f>
        <v>7113.11.00</v>
      </c>
      <c r="L13" t="str">
        <f>IFERROR(VLOOKUP(quantInv[[#This Row],[Description for New Invoice]],Map!$G$12:$H$32,2,FALSE), IF(quantInv[[#This Row],[Metal]] = "925 Silver", "7113.11.10.00", "7113.19.29.00"))</f>
        <v>7113.11.10.00</v>
      </c>
      <c r="M13" t="str">
        <f>quantInv[[#This Row],[ASIN]] &amp; " " &amp; quantInv[[#This Row],[Short Description]]</f>
        <v>B012HM885M Belcher Chain</v>
      </c>
      <c r="N13" s="33">
        <f>quantInv[[#This Row],[UNIT
VALUE]] / EURtoGBP</f>
        <v>2.8020409437378331</v>
      </c>
      <c r="O13" s="33">
        <f>quantInv[[#This Row],[UNIT
VALUE]]/USDtoGBP</f>
        <v>3.3839033945958992</v>
      </c>
      <c r="P13" s="33">
        <f>quantInv[[#This Row],[UNIT
VALUE]] / CADtoGBP</f>
        <v>4.3315908704067327</v>
      </c>
      <c r="Q13" s="33">
        <f>quantInv[[#This Row],[UNIT
VALUE]]/AUDtoGBP</f>
        <v>4.433687764925641</v>
      </c>
      <c r="R13">
        <f>IFERROR(VLOOKUP(quantInv[[#This Row],[Assigned Item SKU]],skuQuantity[#All],2,FALSE),0)</f>
        <v>0</v>
      </c>
      <c r="S13" t="str">
        <f>PROPER(quantInv[[#This Row],[Metal]] &amp; " " &amp; quantInv[[#This Row],[Item Type]])</f>
        <v>925 Silver Chain</v>
      </c>
      <c r="T13" s="33">
        <f>quantInv[[#This Row],[Quantity]]*quantInv[[#This Row],[WEIGHT]]</f>
        <v>0</v>
      </c>
      <c r="U13" s="33">
        <f>quantInv[[#This Row],[UNIT
VALUE]]*quantInv[[#This Row],[Quantity]]</f>
        <v>0</v>
      </c>
      <c r="V13" s="33">
        <f>quantInv[[#This Row],[Total Cost GBP]]/EURtoGBP</f>
        <v>0</v>
      </c>
      <c r="W13" s="33">
        <f>quantInv[[#This Row],[Total Cost GBP]]/USDtoGBP</f>
        <v>0</v>
      </c>
      <c r="X13" s="33">
        <f>quantInv[[#This Row],[Total Cost GBP]]/CADtoGBP</f>
        <v>0</v>
      </c>
      <c r="Y13" s="33">
        <f>quantInv[[#This Row],[Quantity]]*quantInv[[#This Row],[UNIT
VALUE AUD]]</f>
        <v>0</v>
      </c>
      <c r="Z13" s="33"/>
    </row>
    <row r="14" spans="1:26" x14ac:dyDescent="0.25">
      <c r="A14" t="s">
        <v>57</v>
      </c>
      <c r="B14" t="s">
        <v>161</v>
      </c>
      <c r="C14" t="s">
        <v>113</v>
      </c>
      <c r="D14" t="s">
        <v>160</v>
      </c>
      <c r="E14">
        <v>1.78571428571429</v>
      </c>
      <c r="F14" s="33">
        <v>2.4249000000000001</v>
      </c>
      <c r="G14" s="33" t="s">
        <v>117</v>
      </c>
      <c r="H14" t="s">
        <v>103</v>
      </c>
      <c r="I14" t="str">
        <f>IF(quantInv[[#This Row],[Metal]] = "925 Silver",  "7113.11.00"," 7113.19.00")</f>
        <v>7113.11.00</v>
      </c>
      <c r="J14" t="str">
        <f>IF(quantInv[[#This Row],[Metal]] = "925 Silver", "7113.11.10.00"," 7113.19.10.00")</f>
        <v>7113.11.10.00</v>
      </c>
      <c r="K14" t="str">
        <f>IF(quantInv[[#This Row],[Metal]] = "925 Silver",  "7113.11.00"," 7113.19.00")</f>
        <v>7113.11.00</v>
      </c>
      <c r="L14" t="str">
        <f>IFERROR(VLOOKUP(quantInv[[#This Row],[Description for New Invoice]],Map!$G$12:$H$32,2,FALSE), IF(quantInv[[#This Row],[Metal]] = "925 Silver", "7113.11.10.00", "7113.19.29.00"))</f>
        <v>7113.11.10.00</v>
      </c>
      <c r="M14" t="str">
        <f>quantInv[[#This Row],[ASIN]] &amp; " " &amp; quantInv[[#This Row],[Short Description]]</f>
        <v>B00NG1HX9Q Curb Chain</v>
      </c>
      <c r="N14" s="33">
        <f>quantInv[[#This Row],[UNIT
VALUE]] / EURtoGBP</f>
        <v>2.7525497607736971</v>
      </c>
      <c r="O14" s="33">
        <f>quantInv[[#This Row],[UNIT
VALUE]]/USDtoGBP</f>
        <v>3.3241350381023276</v>
      </c>
      <c r="P14" s="33">
        <f>quantInv[[#This Row],[UNIT
VALUE]] / CADtoGBP</f>
        <v>4.255083938282068</v>
      </c>
      <c r="Q14" s="33">
        <f>quantInv[[#This Row],[UNIT
VALUE]]/AUDtoGBP</f>
        <v>4.3553775414900491</v>
      </c>
      <c r="R14">
        <f>IFERROR(VLOOKUP(quantInv[[#This Row],[Assigned Item SKU]],skuQuantity[#All],2,FALSE),0)</f>
        <v>0</v>
      </c>
      <c r="S14" t="str">
        <f>PROPER(quantInv[[#This Row],[Metal]] &amp; " " &amp; quantInv[[#This Row],[Item Type]])</f>
        <v>925 Silver Chain</v>
      </c>
      <c r="T14" s="33">
        <f>quantInv[[#This Row],[Quantity]]*quantInv[[#This Row],[WEIGHT]]</f>
        <v>0</v>
      </c>
      <c r="U14" s="33">
        <f>quantInv[[#This Row],[UNIT
VALUE]]*quantInv[[#This Row],[Quantity]]</f>
        <v>0</v>
      </c>
      <c r="V14" s="33">
        <f>quantInv[[#This Row],[Total Cost GBP]]/EURtoGBP</f>
        <v>0</v>
      </c>
      <c r="W14" s="33">
        <f>quantInv[[#This Row],[Total Cost GBP]]/USDtoGBP</f>
        <v>0</v>
      </c>
      <c r="X14" s="33">
        <f>quantInv[[#This Row],[Total Cost GBP]]/CADtoGBP</f>
        <v>0</v>
      </c>
      <c r="Y14" s="33">
        <f>quantInv[[#This Row],[Quantity]]*quantInv[[#This Row],[UNIT
VALUE AUD]]</f>
        <v>0</v>
      </c>
      <c r="Z14" s="33"/>
    </row>
    <row r="15" spans="1:26" x14ac:dyDescent="0.25">
      <c r="A15" t="s">
        <v>53</v>
      </c>
      <c r="B15" t="s">
        <v>389</v>
      </c>
      <c r="C15" t="s">
        <v>113</v>
      </c>
      <c r="D15" t="s">
        <v>160</v>
      </c>
      <c r="E15">
        <v>1.65</v>
      </c>
      <c r="F15" s="33">
        <v>1.831</v>
      </c>
      <c r="G15" s="33" t="s">
        <v>117</v>
      </c>
      <c r="H15" t="s">
        <v>103</v>
      </c>
      <c r="I15" t="str">
        <f>IF(quantInv[[#This Row],[Metal]] = "925 Silver",  "7113.11.00"," 7113.19.00")</f>
        <v>7113.11.00</v>
      </c>
      <c r="J15" t="str">
        <f>IF(quantInv[[#This Row],[Metal]] = "925 Silver", "7113.11.10.00"," 7113.19.10.00")</f>
        <v>7113.11.10.00</v>
      </c>
      <c r="K15" t="str">
        <f>IF(quantInv[[#This Row],[Metal]] = "925 Silver",  "7113.11.00"," 7113.19.00")</f>
        <v>7113.11.00</v>
      </c>
      <c r="L15" t="str">
        <f>IFERROR(VLOOKUP(quantInv[[#This Row],[Description for New Invoice]],Map!$G$12:$H$32,2,FALSE), IF(quantInv[[#This Row],[Metal]] = "925 Silver", "7113.11.10.00", "7113.19.29.00"))</f>
        <v>7113.11.10.00</v>
      </c>
      <c r="M15" t="str">
        <f>quantInv[[#This Row],[ASIN]] &amp; " " &amp; quantInv[[#This Row],[Short Description]]</f>
        <v>B00D94BYVS Curb Chain</v>
      </c>
      <c r="N15" s="33">
        <f>quantInv[[#This Row],[UNIT
VALUE]] / EURtoGBP</f>
        <v>2.0784026607186439</v>
      </c>
      <c r="O15" s="33">
        <f>quantInv[[#This Row],[UNIT
VALUE]]/USDtoGBP</f>
        <v>2.5099968059570954</v>
      </c>
      <c r="P15" s="33">
        <f>quantInv[[#This Row],[UNIT
VALUE]] / CADtoGBP</f>
        <v>3.2129402000059657</v>
      </c>
      <c r="Q15" s="33">
        <f>quantInv[[#This Row],[UNIT
VALUE]]/AUDtoGBP</f>
        <v>3.2886701630864286</v>
      </c>
      <c r="R15">
        <f>IFERROR(VLOOKUP(quantInv[[#This Row],[Assigned Item SKU]],skuQuantity[#All],2,FALSE),0)</f>
        <v>100</v>
      </c>
      <c r="S15" t="str">
        <f>PROPER(quantInv[[#This Row],[Metal]] &amp; " " &amp; quantInv[[#This Row],[Item Type]])</f>
        <v>925 Silver Chain</v>
      </c>
      <c r="T15" s="33">
        <f>quantInv[[#This Row],[Quantity]]*quantInv[[#This Row],[WEIGHT]]</f>
        <v>165</v>
      </c>
      <c r="U15" s="33">
        <f>quantInv[[#This Row],[UNIT
VALUE]]*quantInv[[#This Row],[Quantity]]</f>
        <v>183.1</v>
      </c>
      <c r="V15" s="33">
        <f>quantInv[[#This Row],[Total Cost GBP]]/EURtoGBP</f>
        <v>207.84026607186436</v>
      </c>
      <c r="W15" s="33">
        <f>quantInv[[#This Row],[Total Cost GBP]]/USDtoGBP</f>
        <v>250.99968059570955</v>
      </c>
      <c r="X15" s="33">
        <f>quantInv[[#This Row],[Total Cost GBP]]/CADtoGBP</f>
        <v>321.29402000059656</v>
      </c>
      <c r="Y15" s="33">
        <f>quantInv[[#This Row],[Quantity]]*quantInv[[#This Row],[UNIT
VALUE AUD]]</f>
        <v>328.86701630864286</v>
      </c>
      <c r="Z15" s="33"/>
    </row>
    <row r="16" spans="1:26" x14ac:dyDescent="0.25">
      <c r="A16" t="s">
        <v>391</v>
      </c>
      <c r="B16" t="s">
        <v>392</v>
      </c>
      <c r="C16" t="s">
        <v>113</v>
      </c>
      <c r="D16" t="s">
        <v>160</v>
      </c>
      <c r="E16">
        <v>1.4921568627451001</v>
      </c>
      <c r="F16" s="33">
        <v>1.6366000000000001</v>
      </c>
      <c r="G16" s="33" t="s">
        <v>117</v>
      </c>
      <c r="H16" t="s">
        <v>103</v>
      </c>
      <c r="I16" t="str">
        <f>IF(quantInv[[#This Row],[Metal]] = "925 Silver",  "7113.11.00"," 7113.19.00")</f>
        <v>7113.11.00</v>
      </c>
      <c r="J16" t="str">
        <f>IF(quantInv[[#This Row],[Metal]] = "925 Silver", "7113.11.10.00"," 7113.19.10.00")</f>
        <v>7113.11.10.00</v>
      </c>
      <c r="K16" t="str">
        <f>IF(quantInv[[#This Row],[Metal]] = "925 Silver",  "7113.11.00"," 7113.19.00")</f>
        <v>7113.11.00</v>
      </c>
      <c r="L16" t="str">
        <f>IFERROR(VLOOKUP(quantInv[[#This Row],[Description for New Invoice]],Map!$G$12:$H$32,2,FALSE), IF(quantInv[[#This Row],[Metal]] = "925 Silver", "7113.11.10.00", "7113.19.29.00"))</f>
        <v>7113.11.10.00</v>
      </c>
      <c r="M16" t="str">
        <f>quantInv[[#This Row],[ASIN]] &amp; " " &amp; quantInv[[#This Row],[Short Description]]</f>
        <v>B00D9BPSX6 Curb Chain</v>
      </c>
      <c r="N16" s="33">
        <f>quantInv[[#This Row],[UNIT
VALUE]] / EURtoGBP</f>
        <v>1.8577355513556157</v>
      </c>
      <c r="O16" s="33">
        <f>quantInv[[#This Row],[UNIT
VALUE]]/USDtoGBP</f>
        <v>2.2435067026921809</v>
      </c>
      <c r="P16" s="33">
        <f>quantInv[[#This Row],[UNIT
VALUE]] / CADtoGBP</f>
        <v>2.8718175485143442</v>
      </c>
      <c r="Q16" s="33">
        <f>quantInv[[#This Row],[UNIT
VALUE]]/AUDtoGBP</f>
        <v>2.9395071485020474</v>
      </c>
      <c r="R16">
        <f>IFERROR(VLOOKUP(quantInv[[#This Row],[Assigned Item SKU]],skuQuantity[#All],2,FALSE),0)</f>
        <v>60</v>
      </c>
      <c r="S16" t="str">
        <f>PROPER(quantInv[[#This Row],[Metal]] &amp; " " &amp; quantInv[[#This Row],[Item Type]])</f>
        <v>925 Silver Chain</v>
      </c>
      <c r="T16" s="33">
        <f>quantInv[[#This Row],[Quantity]]*quantInv[[#This Row],[WEIGHT]]</f>
        <v>89.529411764705998</v>
      </c>
      <c r="U16" s="33">
        <f>quantInv[[#This Row],[UNIT
VALUE]]*quantInv[[#This Row],[Quantity]]</f>
        <v>98.195999999999998</v>
      </c>
      <c r="V16" s="33">
        <f>quantInv[[#This Row],[Total Cost GBP]]/EURtoGBP</f>
        <v>111.46413308133694</v>
      </c>
      <c r="W16" s="33">
        <f>quantInv[[#This Row],[Total Cost GBP]]/USDtoGBP</f>
        <v>134.61040216153083</v>
      </c>
      <c r="X16" s="33">
        <f>quantInv[[#This Row],[Total Cost GBP]]/CADtoGBP</f>
        <v>172.30905291086063</v>
      </c>
      <c r="Y16" s="33">
        <f>quantInv[[#This Row],[Quantity]]*quantInv[[#This Row],[UNIT
VALUE AUD]]</f>
        <v>176.37042891012285</v>
      </c>
      <c r="Z16" s="33"/>
    </row>
    <row r="17" spans="1:26" x14ac:dyDescent="0.25">
      <c r="A17" t="s">
        <v>187</v>
      </c>
      <c r="B17" t="s">
        <v>188</v>
      </c>
      <c r="C17" t="s">
        <v>113</v>
      </c>
      <c r="D17" t="s">
        <v>189</v>
      </c>
      <c r="E17">
        <v>1.62745098039216</v>
      </c>
      <c r="F17" s="33">
        <v>2.3698999999999999</v>
      </c>
      <c r="G17" s="33" t="s">
        <v>117</v>
      </c>
      <c r="H17" t="s">
        <v>103</v>
      </c>
      <c r="I17" t="str">
        <f>IF(quantInv[[#This Row],[Metal]] = "925 Silver",  "7113.11.00"," 7113.19.00")</f>
        <v>7113.11.00</v>
      </c>
      <c r="J17" t="str">
        <f>IF(quantInv[[#This Row],[Metal]] = "925 Silver", "7113.11.10.00"," 7113.19.10.00")</f>
        <v>7113.11.10.00</v>
      </c>
      <c r="K17" t="str">
        <f>IF(quantInv[[#This Row],[Metal]] = "925 Silver",  "7113.11.00"," 7113.19.00")</f>
        <v>7113.11.00</v>
      </c>
      <c r="L17" t="str">
        <f>IFERROR(VLOOKUP(quantInv[[#This Row],[Description for New Invoice]],Map!$G$12:$H$32,2,FALSE), IF(quantInv[[#This Row],[Metal]] = "925 Silver", "7113.11.10.00", "7113.19.29.00"))</f>
        <v>7113.11.10.00</v>
      </c>
      <c r="M17" t="str">
        <f>quantInv[[#This Row],[ASIN]] &amp; " " &amp; quantInv[[#This Row],[Short Description]]</f>
        <v>B012HM8VWC Singapore Chain</v>
      </c>
      <c r="N17" s="33">
        <f>quantInv[[#This Row],[UNIT
VALUE]] / EURtoGBP</f>
        <v>2.6901182226308649</v>
      </c>
      <c r="O17" s="33">
        <f>quantInv[[#This Row],[UNIT
VALUE]]/USDtoGBP</f>
        <v>3.248739175553097</v>
      </c>
      <c r="P17" s="33">
        <f>quantInv[[#This Row],[UNIT
VALUE]] / CADtoGBP</f>
        <v>4.1585729000514133</v>
      </c>
      <c r="Q17" s="33">
        <f>quantInv[[#This Row],[UNIT
VALUE]]/AUDtoGBP</f>
        <v>4.2565917091745096</v>
      </c>
      <c r="R17">
        <f>IFERROR(VLOOKUP(quantInv[[#This Row],[Assigned Item SKU]],skuQuantity[#All],2,FALSE),0)</f>
        <v>0</v>
      </c>
      <c r="S17" t="str">
        <f>PROPER(quantInv[[#This Row],[Metal]] &amp; " " &amp; quantInv[[#This Row],[Item Type]])</f>
        <v>925 Silver Chain</v>
      </c>
      <c r="T17" s="33">
        <f>quantInv[[#This Row],[Quantity]]*quantInv[[#This Row],[WEIGHT]]</f>
        <v>0</v>
      </c>
      <c r="U17" s="33">
        <f>quantInv[[#This Row],[UNIT
VALUE]]*quantInv[[#This Row],[Quantity]]</f>
        <v>0</v>
      </c>
      <c r="V17" s="33">
        <f>quantInv[[#This Row],[Total Cost GBP]]/EURtoGBP</f>
        <v>0</v>
      </c>
      <c r="W17" s="33">
        <f>quantInv[[#This Row],[Total Cost GBP]]/USDtoGBP</f>
        <v>0</v>
      </c>
      <c r="X17" s="33">
        <f>quantInv[[#This Row],[Total Cost GBP]]/CADtoGBP</f>
        <v>0</v>
      </c>
      <c r="Y17" s="33">
        <f>quantInv[[#This Row],[Quantity]]*quantInv[[#This Row],[UNIT
VALUE AUD]]</f>
        <v>0</v>
      </c>
      <c r="Z17" s="33"/>
    </row>
    <row r="18" spans="1:26" x14ac:dyDescent="0.25">
      <c r="A18" t="s">
        <v>393</v>
      </c>
      <c r="B18" t="s">
        <v>394</v>
      </c>
      <c r="C18" t="s">
        <v>113</v>
      </c>
      <c r="D18" t="s">
        <v>160</v>
      </c>
      <c r="E18">
        <v>1.83481012658228</v>
      </c>
      <c r="F18" s="33">
        <v>1.9323999999999999</v>
      </c>
      <c r="G18" s="33" t="s">
        <v>117</v>
      </c>
      <c r="H18" t="s">
        <v>103</v>
      </c>
      <c r="I18" t="str">
        <f>IF(quantInv[[#This Row],[Metal]] = "925 Silver",  "7113.11.00"," 7113.19.00")</f>
        <v>7113.11.00</v>
      </c>
      <c r="J18" t="str">
        <f>IF(quantInv[[#This Row],[Metal]] = "925 Silver", "7113.11.10.00"," 7113.19.10.00")</f>
        <v>7113.11.10.00</v>
      </c>
      <c r="K18" t="str">
        <f>IF(quantInv[[#This Row],[Metal]] = "925 Silver",  "7113.11.00"," 7113.19.00")</f>
        <v>7113.11.00</v>
      </c>
      <c r="L18" t="str">
        <f>IFERROR(VLOOKUP(quantInv[[#This Row],[Description for New Invoice]],Map!$G$12:$H$32,2,FALSE), IF(quantInv[[#This Row],[Metal]] = "925 Silver", "7113.11.10.00", "7113.19.29.00"))</f>
        <v>7113.11.10.00</v>
      </c>
      <c r="M18" t="str">
        <f>quantInv[[#This Row],[ASIN]] &amp; " " &amp; quantInv[[#This Row],[Short Description]]</f>
        <v>B00D9BPYF8 Curb Chain</v>
      </c>
      <c r="N18" s="33">
        <f>quantInv[[#This Row],[UNIT
VALUE]] / EURtoGBP</f>
        <v>2.1935037146765195</v>
      </c>
      <c r="O18" s="33">
        <f>quantInv[[#This Row],[UNIT
VALUE]]/USDtoGBP</f>
        <v>2.6489993598205852</v>
      </c>
      <c r="P18" s="33">
        <f>quantInv[[#This Row],[UNIT
VALUE]] / CADtoGBP</f>
        <v>3.3908714595802993</v>
      </c>
      <c r="Q18" s="33">
        <f>quantInv[[#This Row],[UNIT
VALUE]]/AUDtoGBP</f>
        <v>3.4707953157554416</v>
      </c>
      <c r="R18">
        <f>IFERROR(VLOOKUP(quantInv[[#This Row],[Assigned Item SKU]],skuQuantity[#All],2,FALSE),0)</f>
        <v>100</v>
      </c>
      <c r="S18" t="str">
        <f>PROPER(quantInv[[#This Row],[Metal]] &amp; " " &amp; quantInv[[#This Row],[Item Type]])</f>
        <v>925 Silver Chain</v>
      </c>
      <c r="T18" s="33">
        <f>quantInv[[#This Row],[Quantity]]*quantInv[[#This Row],[WEIGHT]]</f>
        <v>183.481012658228</v>
      </c>
      <c r="U18" s="33">
        <f>quantInv[[#This Row],[UNIT
VALUE]]*quantInv[[#This Row],[Quantity]]</f>
        <v>193.23999999999998</v>
      </c>
      <c r="V18" s="33">
        <f>quantInv[[#This Row],[Total Cost GBP]]/EURtoGBP</f>
        <v>219.35037146765194</v>
      </c>
      <c r="W18" s="33">
        <f>quantInv[[#This Row],[Total Cost GBP]]/USDtoGBP</f>
        <v>264.89993598205848</v>
      </c>
      <c r="X18" s="33">
        <f>quantInv[[#This Row],[Total Cost GBP]]/CADtoGBP</f>
        <v>339.08714595802991</v>
      </c>
      <c r="Y18" s="33">
        <f>quantInv[[#This Row],[Quantity]]*quantInv[[#This Row],[UNIT
VALUE AUD]]</f>
        <v>347.07953157554414</v>
      </c>
      <c r="Z18" s="33"/>
    </row>
    <row r="19" spans="1:26" x14ac:dyDescent="0.25">
      <c r="A19" t="s">
        <v>50</v>
      </c>
      <c r="B19" t="s">
        <v>399</v>
      </c>
      <c r="C19" t="s">
        <v>113</v>
      </c>
      <c r="D19" t="s">
        <v>160</v>
      </c>
      <c r="E19">
        <v>2.3332007952286302</v>
      </c>
      <c r="F19" s="33">
        <v>2.3420999999999998</v>
      </c>
      <c r="G19" s="33" t="s">
        <v>117</v>
      </c>
      <c r="H19" t="s">
        <v>103</v>
      </c>
      <c r="I19" t="str">
        <f>IF(quantInv[[#This Row],[Metal]] = "925 Silver",  "7113.11.00"," 7113.19.00")</f>
        <v>7113.11.00</v>
      </c>
      <c r="J19" t="str">
        <f>IF(quantInv[[#This Row],[Metal]] = "925 Silver", "7113.11.10.00"," 7113.19.10.00")</f>
        <v>7113.11.10.00</v>
      </c>
      <c r="K19" t="str">
        <f>IF(quantInv[[#This Row],[Metal]] = "925 Silver",  "7113.11.00"," 7113.19.00")</f>
        <v>7113.11.00</v>
      </c>
      <c r="L19" t="str">
        <f>IFERROR(VLOOKUP(quantInv[[#This Row],[Description for New Invoice]],Map!$G$12:$H$32,2,FALSE), IF(quantInv[[#This Row],[Metal]] = "925 Silver", "7113.11.10.00", "7113.19.29.00"))</f>
        <v>7113.11.10.00</v>
      </c>
      <c r="M19" t="str">
        <f>quantInv[[#This Row],[ASIN]] &amp; " " &amp; quantInv[[#This Row],[Short Description]]</f>
        <v>B00D9BQHAO Curb Chain</v>
      </c>
      <c r="N19" s="33">
        <f>quantInv[[#This Row],[UNIT
VALUE]] / EURtoGBP</f>
        <v>2.6585619178968516</v>
      </c>
      <c r="O19" s="33">
        <f>quantInv[[#This Row],[UNIT
VALUE]]/USDtoGBP</f>
        <v>3.2106299941191225</v>
      </c>
      <c r="P19" s="33">
        <f>quantInv[[#This Row],[UNIT
VALUE]] / CADtoGBP</f>
        <v>4.1097909570911924</v>
      </c>
      <c r="Q19" s="33">
        <f>quantInv[[#This Row],[UNIT
VALUE]]/AUDtoGBP</f>
        <v>4.2066599612041093</v>
      </c>
      <c r="R19">
        <f>IFERROR(VLOOKUP(quantInv[[#This Row],[Assigned Item SKU]],skuQuantity[#All],2,FALSE),0)</f>
        <v>0</v>
      </c>
      <c r="S19" t="str">
        <f>PROPER(quantInv[[#This Row],[Metal]] &amp; " " &amp; quantInv[[#This Row],[Item Type]])</f>
        <v>925 Silver Chain</v>
      </c>
      <c r="T19" s="33">
        <f>quantInv[[#This Row],[Quantity]]*quantInv[[#This Row],[WEIGHT]]</f>
        <v>0</v>
      </c>
      <c r="U19" s="33">
        <f>quantInv[[#This Row],[UNIT
VALUE]]*quantInv[[#This Row],[Quantity]]</f>
        <v>0</v>
      </c>
      <c r="V19" s="33">
        <f>quantInv[[#This Row],[Total Cost GBP]]/EURtoGBP</f>
        <v>0</v>
      </c>
      <c r="W19" s="33">
        <f>quantInv[[#This Row],[Total Cost GBP]]/USDtoGBP</f>
        <v>0</v>
      </c>
      <c r="X19" s="33">
        <f>quantInv[[#This Row],[Total Cost GBP]]/CADtoGBP</f>
        <v>0</v>
      </c>
      <c r="Y19" s="33">
        <f>quantInv[[#This Row],[Quantity]]*quantInv[[#This Row],[UNIT
VALUE AUD]]</f>
        <v>0</v>
      </c>
      <c r="Z19" s="33"/>
    </row>
    <row r="20" spans="1:26" x14ac:dyDescent="0.25">
      <c r="A20" t="s">
        <v>194</v>
      </c>
      <c r="B20" t="s">
        <v>195</v>
      </c>
      <c r="C20" t="s">
        <v>113</v>
      </c>
      <c r="D20" t="s">
        <v>189</v>
      </c>
      <c r="E20">
        <v>3.0333333333333301</v>
      </c>
      <c r="F20" s="33">
        <v>4.1162000000000001</v>
      </c>
      <c r="G20" s="33" t="s">
        <v>117</v>
      </c>
      <c r="H20" t="s">
        <v>103</v>
      </c>
      <c r="I20" t="str">
        <f>IF(quantInv[[#This Row],[Metal]] = "925 Silver",  "7113.11.00"," 7113.19.00")</f>
        <v>7113.11.00</v>
      </c>
      <c r="J20" t="str">
        <f>IF(quantInv[[#This Row],[Metal]] = "925 Silver", "7113.11.10.00"," 7113.19.10.00")</f>
        <v>7113.11.10.00</v>
      </c>
      <c r="K20" t="str">
        <f>IF(quantInv[[#This Row],[Metal]] = "925 Silver",  "7113.11.00"," 7113.19.00")</f>
        <v>7113.11.00</v>
      </c>
      <c r="L20" t="str">
        <f>IFERROR(VLOOKUP(quantInv[[#This Row],[Description for New Invoice]],Map!$G$12:$H$32,2,FALSE), IF(quantInv[[#This Row],[Metal]] = "925 Silver", "7113.11.10.00", "7113.19.29.00"))</f>
        <v>7113.11.10.00</v>
      </c>
      <c r="M20" t="str">
        <f>quantInv[[#This Row],[ASIN]] &amp; " " &amp; quantInv[[#This Row],[Short Description]]</f>
        <v>B012HM9DJ2 Singapore Chain</v>
      </c>
      <c r="N20" s="33">
        <f>quantInv[[#This Row],[UNIT
VALUE]] / EURtoGBP</f>
        <v>4.6723763146095472</v>
      </c>
      <c r="O20" s="33">
        <f>quantInv[[#This Row],[UNIT
VALUE]]/USDtoGBP</f>
        <v>5.6426263531843786</v>
      </c>
      <c r="P20" s="33">
        <f>quantInv[[#This Row],[UNIT
VALUE]] / CADtoGBP</f>
        <v>7.2228861011821719</v>
      </c>
      <c r="Q20" s="33">
        <f>quantInv[[#This Row],[UNIT
VALUE]]/AUDtoGBP</f>
        <v>7.3931316904950064</v>
      </c>
      <c r="R20">
        <f>IFERROR(VLOOKUP(quantInv[[#This Row],[Assigned Item SKU]],skuQuantity[#All],2,FALSE),0)</f>
        <v>0</v>
      </c>
      <c r="S20" t="str">
        <f>PROPER(quantInv[[#This Row],[Metal]] &amp; " " &amp; quantInv[[#This Row],[Item Type]])</f>
        <v>925 Silver Chain</v>
      </c>
      <c r="T20" s="33">
        <f>quantInv[[#This Row],[Quantity]]*quantInv[[#This Row],[WEIGHT]]</f>
        <v>0</v>
      </c>
      <c r="U20" s="33">
        <f>quantInv[[#This Row],[UNIT
VALUE]]*quantInv[[#This Row],[Quantity]]</f>
        <v>0</v>
      </c>
      <c r="V20" s="33">
        <f>quantInv[[#This Row],[Total Cost GBP]]/EURtoGBP</f>
        <v>0</v>
      </c>
      <c r="W20" s="33">
        <f>quantInv[[#This Row],[Total Cost GBP]]/USDtoGBP</f>
        <v>0</v>
      </c>
      <c r="X20" s="33">
        <f>quantInv[[#This Row],[Total Cost GBP]]/CADtoGBP</f>
        <v>0</v>
      </c>
      <c r="Y20" s="33">
        <f>quantInv[[#This Row],[Quantity]]*quantInv[[#This Row],[UNIT
VALUE AUD]]</f>
        <v>0</v>
      </c>
      <c r="Z20" s="33"/>
    </row>
    <row r="21" spans="1:26" x14ac:dyDescent="0.25">
      <c r="A21" t="s">
        <v>196</v>
      </c>
      <c r="B21" t="s">
        <v>197</v>
      </c>
      <c r="C21" t="s">
        <v>113</v>
      </c>
      <c r="D21" t="s">
        <v>189</v>
      </c>
      <c r="E21" s="195">
        <v>4.55</v>
      </c>
      <c r="F21" s="33">
        <v>6.1204000000000001</v>
      </c>
      <c r="G21" s="33" t="s">
        <v>117</v>
      </c>
      <c r="H21" t="s">
        <v>1426</v>
      </c>
      <c r="I21" t="str">
        <f>IF(quantInv[[#This Row],[Metal]] = "925 Silver",  "7113.11.00"," 7113.19.00")</f>
        <v>7113.11.00</v>
      </c>
      <c r="J21" t="str">
        <f>IF(quantInv[[#This Row],[Metal]] = "925 Silver", "7113.11.10.00"," 7113.19.10.00")</f>
        <v>7113.11.10.00</v>
      </c>
      <c r="K21" t="str">
        <f>IF(quantInv[[#This Row],[Metal]] = "925 Silver",  "7113.11.00"," 7113.19.00")</f>
        <v>7113.11.00</v>
      </c>
      <c r="L21" t="str">
        <f>IFERROR(VLOOKUP(quantInv[[#This Row],[Description for New Invoice]],Map!$G$12:$H$32,2,FALSE), IF(quantInv[[#This Row],[Metal]] = "925 Silver", "7113.11.10.00", "7113.19.29.00"))</f>
        <v>7113.11.10.00</v>
      </c>
      <c r="M21" t="str">
        <f>quantInv[[#This Row],[ASIN]] &amp; " " &amp; quantInv[[#This Row],[Short Description]]</f>
        <v>B0783QLT88 Singapore Chain</v>
      </c>
      <c r="N21" s="33">
        <f>quantInv[[#This Row],[UNIT
VALUE]] / EURtoGBP</f>
        <v>6.9473815645343455</v>
      </c>
      <c r="O21" s="33">
        <f>quantInv[[#This Row],[UNIT
VALUE]]/USDtoGBP</f>
        <v>8.3900515844783232</v>
      </c>
      <c r="P21" s="33">
        <f>quantInv[[#This Row],[UNIT
VALUE]] / CADtoGBP</f>
        <v>10.739748334307217</v>
      </c>
      <c r="Q21" s="33">
        <f>quantInv[[#This Row],[UNIT
VALUE]]/AUDtoGBP</f>
        <v>10.992887420073281</v>
      </c>
      <c r="R21">
        <f>IFERROR(VLOOKUP(quantInv[[#This Row],[Assigned Item SKU]],skuQuantity[#All],2,FALSE),0)</f>
        <v>0</v>
      </c>
      <c r="S21" t="str">
        <f>PROPER(quantInv[[#This Row],[Metal]] &amp; " " &amp; quantInv[[#This Row],[Item Type]])</f>
        <v>925 Silver Anklet</v>
      </c>
      <c r="T21" s="33">
        <f>quantInv[[#This Row],[Quantity]]*quantInv[[#This Row],[WEIGHT]]</f>
        <v>0</v>
      </c>
      <c r="U21" s="33">
        <f>quantInv[[#This Row],[UNIT
VALUE]]*quantInv[[#This Row],[Quantity]]</f>
        <v>0</v>
      </c>
      <c r="V21" s="33">
        <f>quantInv[[#This Row],[Total Cost GBP]]/EURtoGBP</f>
        <v>0</v>
      </c>
      <c r="W21" s="33">
        <f>quantInv[[#This Row],[Total Cost GBP]]/USDtoGBP</f>
        <v>0</v>
      </c>
      <c r="X21" s="33">
        <f>quantInv[[#This Row],[Total Cost GBP]]/CADtoGBP</f>
        <v>0</v>
      </c>
      <c r="Y21" s="33">
        <f>quantInv[[#This Row],[Quantity]]*quantInv[[#This Row],[UNIT
VALUE AUD]]</f>
        <v>0</v>
      </c>
      <c r="Z21" s="33"/>
    </row>
    <row r="22" spans="1:26" x14ac:dyDescent="0.25">
      <c r="A22" t="s">
        <v>198</v>
      </c>
      <c r="B22" t="s">
        <v>199</v>
      </c>
      <c r="C22" t="s">
        <v>113</v>
      </c>
      <c r="D22" t="s">
        <v>200</v>
      </c>
      <c r="E22">
        <v>1.8</v>
      </c>
      <c r="F22" s="33">
        <v>2.4731999999999998</v>
      </c>
      <c r="G22" s="33" t="s">
        <v>117</v>
      </c>
      <c r="H22" t="s">
        <v>103</v>
      </c>
      <c r="I22" t="str">
        <f>IF(quantInv[[#This Row],[Metal]] = "925 Silver",  "7113.11.00"," 7113.19.00")</f>
        <v>7113.11.00</v>
      </c>
      <c r="J22" t="str">
        <f>IF(quantInv[[#This Row],[Metal]] = "925 Silver", "7113.11.10.00"," 7113.19.10.00")</f>
        <v>7113.11.10.00</v>
      </c>
      <c r="K22" t="str">
        <f>IF(quantInv[[#This Row],[Metal]] = "925 Silver",  "7113.11.00"," 7113.19.00")</f>
        <v>7113.11.00</v>
      </c>
      <c r="L22" t="str">
        <f>IFERROR(VLOOKUP(quantInv[[#This Row],[Description for New Invoice]],Map!$G$12:$H$32,2,FALSE), IF(quantInv[[#This Row],[Metal]] = "925 Silver", "7113.11.10.00", "7113.19.29.00"))</f>
        <v>7113.11.10.00</v>
      </c>
      <c r="M22" t="str">
        <f>quantInv[[#This Row],[ASIN]] &amp; " " &amp; quantInv[[#This Row],[Short Description]]</f>
        <v>B012HM9HTI Venice Box Chain</v>
      </c>
      <c r="N22" s="33">
        <f>quantInv[[#This Row],[UNIT
VALUE]] / EURtoGBP</f>
        <v>2.8073760024518566</v>
      </c>
      <c r="O22" s="33">
        <f>quantInv[[#This Row],[UNIT
VALUE]]/USDtoGBP</f>
        <v>3.3903463137591965</v>
      </c>
      <c r="P22" s="33">
        <f>quantInv[[#This Row],[UNIT
VALUE]] / CADtoGBP</f>
        <v>4.3398381773100789</v>
      </c>
      <c r="Q22" s="33">
        <f>quantInv[[#This Row],[UNIT
VALUE]]/AUDtoGBP</f>
        <v>4.4421294633235142</v>
      </c>
      <c r="R22">
        <f>IFERROR(VLOOKUP(quantInv[[#This Row],[Assigned Item SKU]],skuQuantity[#All],2,FALSE),0)</f>
        <v>15</v>
      </c>
      <c r="S22" t="str">
        <f>PROPER(quantInv[[#This Row],[Metal]] &amp; " " &amp; quantInv[[#This Row],[Item Type]])</f>
        <v>925 Silver Chain</v>
      </c>
      <c r="T22" s="33">
        <f>quantInv[[#This Row],[Quantity]]*quantInv[[#This Row],[WEIGHT]]</f>
        <v>27</v>
      </c>
      <c r="U22" s="33">
        <f>quantInv[[#This Row],[UNIT
VALUE]]*quantInv[[#This Row],[Quantity]]</f>
        <v>37.097999999999999</v>
      </c>
      <c r="V22" s="33">
        <f>quantInv[[#This Row],[Total Cost GBP]]/EURtoGBP</f>
        <v>42.110640036777852</v>
      </c>
      <c r="W22" s="33">
        <f>quantInv[[#This Row],[Total Cost GBP]]/USDtoGBP</f>
        <v>50.855194706387948</v>
      </c>
      <c r="X22" s="33">
        <f>quantInv[[#This Row],[Total Cost GBP]]/CADtoGBP</f>
        <v>65.097572659651192</v>
      </c>
      <c r="Y22" s="33">
        <f>quantInv[[#This Row],[Quantity]]*quantInv[[#This Row],[UNIT
VALUE AUD]]</f>
        <v>66.631941949852717</v>
      </c>
      <c r="Z22" s="33"/>
    </row>
    <row r="23" spans="1:26" x14ac:dyDescent="0.25">
      <c r="A23" t="s">
        <v>201</v>
      </c>
      <c r="B23" t="s">
        <v>202</v>
      </c>
      <c r="C23" t="s">
        <v>113</v>
      </c>
      <c r="D23" t="s">
        <v>200</v>
      </c>
      <c r="E23">
        <v>2.23</v>
      </c>
      <c r="F23" s="33">
        <v>2.9807999999999999</v>
      </c>
      <c r="G23" s="33" t="s">
        <v>117</v>
      </c>
      <c r="H23" t="s">
        <v>103</v>
      </c>
      <c r="I23" t="str">
        <f>IF(quantInv[[#This Row],[Metal]] = "925 Silver",  "7113.11.00"," 7113.19.00")</f>
        <v>7113.11.00</v>
      </c>
      <c r="J23" t="str">
        <f>IF(quantInv[[#This Row],[Metal]] = "925 Silver", "7113.11.10.00"," 7113.19.10.00")</f>
        <v>7113.11.10.00</v>
      </c>
      <c r="K23" t="str">
        <f>IF(quantInv[[#This Row],[Metal]] = "925 Silver",  "7113.11.00"," 7113.19.00")</f>
        <v>7113.11.00</v>
      </c>
      <c r="L23" t="str">
        <f>IFERROR(VLOOKUP(quantInv[[#This Row],[Description for New Invoice]],Map!$G$12:$H$32,2,FALSE), IF(quantInv[[#This Row],[Metal]] = "925 Silver", "7113.11.10.00", "7113.19.29.00"))</f>
        <v>7113.11.10.00</v>
      </c>
      <c r="M23" t="str">
        <f>quantInv[[#This Row],[ASIN]] &amp; " " &amp; quantInv[[#This Row],[Short Description]]</f>
        <v>B012HM9MVQ Venice Box Chain</v>
      </c>
      <c r="N23" s="33">
        <f>quantInv[[#This Row],[UNIT
VALUE]] / EURtoGBP</f>
        <v>3.3835623435664299</v>
      </c>
      <c r="O23" s="33">
        <f>quantInv[[#This Row],[UNIT
VALUE]]/USDtoGBP</f>
        <v>4.0861815833953639</v>
      </c>
      <c r="P23" s="33">
        <f>quantInv[[#This Row],[UNIT
VALUE]] / CADtoGBP</f>
        <v>5.2305473228715362</v>
      </c>
      <c r="Q23" s="33">
        <f>quantInv[[#This Row],[UNIT
VALUE]]/AUDtoGBP</f>
        <v>5.3538328902938428</v>
      </c>
      <c r="R23">
        <f>IFERROR(VLOOKUP(quantInv[[#This Row],[Assigned Item SKU]],skuQuantity[#All],2,FALSE),0)</f>
        <v>0</v>
      </c>
      <c r="S23" t="str">
        <f>PROPER(quantInv[[#This Row],[Metal]] &amp; " " &amp; quantInv[[#This Row],[Item Type]])</f>
        <v>925 Silver Chain</v>
      </c>
      <c r="T23" s="33">
        <f>quantInv[[#This Row],[Quantity]]*quantInv[[#This Row],[WEIGHT]]</f>
        <v>0</v>
      </c>
      <c r="U23" s="33">
        <f>quantInv[[#This Row],[UNIT
VALUE]]*quantInv[[#This Row],[Quantity]]</f>
        <v>0</v>
      </c>
      <c r="V23" s="33">
        <f>quantInv[[#This Row],[Total Cost GBP]]/EURtoGBP</f>
        <v>0</v>
      </c>
      <c r="W23" s="33">
        <f>quantInv[[#This Row],[Total Cost GBP]]/USDtoGBP</f>
        <v>0</v>
      </c>
      <c r="X23" s="33">
        <f>quantInv[[#This Row],[Total Cost GBP]]/CADtoGBP</f>
        <v>0</v>
      </c>
      <c r="Y23" s="33">
        <f>quantInv[[#This Row],[Quantity]]*quantInv[[#This Row],[UNIT
VALUE AUD]]</f>
        <v>0</v>
      </c>
      <c r="Z23" s="33"/>
    </row>
    <row r="24" spans="1:26" x14ac:dyDescent="0.25">
      <c r="A24" t="s">
        <v>473</v>
      </c>
      <c r="B24" t="s">
        <v>474</v>
      </c>
      <c r="C24" t="s">
        <v>113</v>
      </c>
      <c r="D24" t="s">
        <v>200</v>
      </c>
      <c r="E24">
        <v>2.3650602409638601</v>
      </c>
      <c r="F24" s="33">
        <v>2.4319000000000002</v>
      </c>
      <c r="G24" s="33" t="s">
        <v>117</v>
      </c>
      <c r="H24" t="s">
        <v>103</v>
      </c>
      <c r="I24" t="str">
        <f>IF(quantInv[[#This Row],[Metal]] = "925 Silver",  "7113.11.00"," 7113.19.00")</f>
        <v>7113.11.00</v>
      </c>
      <c r="J24" t="str">
        <f>IF(quantInv[[#This Row],[Metal]] = "925 Silver", "7113.11.10.00"," 7113.19.10.00")</f>
        <v>7113.11.10.00</v>
      </c>
      <c r="K24" t="str">
        <f>IF(quantInv[[#This Row],[Metal]] = "925 Silver",  "7113.11.00"," 7113.19.00")</f>
        <v>7113.11.00</v>
      </c>
      <c r="L24" t="str">
        <f>IFERROR(VLOOKUP(quantInv[[#This Row],[Description for New Invoice]],Map!$G$12:$H$32,2,FALSE), IF(quantInv[[#This Row],[Metal]] = "925 Silver", "7113.11.10.00", "7113.19.29.00"))</f>
        <v>7113.11.10.00</v>
      </c>
      <c r="M24" t="str">
        <f>quantInv[[#This Row],[ASIN]] &amp; " " &amp; quantInv[[#This Row],[Short Description]]</f>
        <v>B012EOLJA4 Venice Box Chain</v>
      </c>
      <c r="N24" s="33">
        <f>quantInv[[#This Row],[UNIT
VALUE]] / EURtoGBP</f>
        <v>2.7604955929009667</v>
      </c>
      <c r="O24" s="33">
        <f>quantInv[[#This Row],[UNIT
VALUE]]/USDtoGBP</f>
        <v>3.3337308751540475</v>
      </c>
      <c r="P24" s="33">
        <f>quantInv[[#This Row],[UNIT
VALUE]] / CADtoGBP</f>
        <v>4.2673671613296067</v>
      </c>
      <c r="Q24" s="33">
        <f>quantInv[[#This Row],[UNIT
VALUE]]/AUDtoGBP</f>
        <v>4.3679502837847544</v>
      </c>
      <c r="R24">
        <f>IFERROR(VLOOKUP(quantInv[[#This Row],[Assigned Item SKU]],skuQuantity[#All],2,FALSE),0)</f>
        <v>25</v>
      </c>
      <c r="S24" t="str">
        <f>PROPER(quantInv[[#This Row],[Metal]] &amp; " " &amp; quantInv[[#This Row],[Item Type]])</f>
        <v>925 Silver Chain</v>
      </c>
      <c r="T24" s="33">
        <f>quantInv[[#This Row],[Quantity]]*quantInv[[#This Row],[WEIGHT]]</f>
        <v>59.1265060240965</v>
      </c>
      <c r="U24" s="33">
        <f>quantInv[[#This Row],[UNIT
VALUE]]*quantInv[[#This Row],[Quantity]]</f>
        <v>60.797500000000007</v>
      </c>
      <c r="V24" s="33">
        <f>quantInv[[#This Row],[Total Cost GBP]]/EURtoGBP</f>
        <v>69.01238982252417</v>
      </c>
      <c r="W24" s="33">
        <f>quantInv[[#This Row],[Total Cost GBP]]/USDtoGBP</f>
        <v>83.343271878851198</v>
      </c>
      <c r="X24" s="33">
        <f>quantInv[[#This Row],[Total Cost GBP]]/CADtoGBP</f>
        <v>106.68417903324016</v>
      </c>
      <c r="Y24" s="33">
        <f>quantInv[[#This Row],[Quantity]]*quantInv[[#This Row],[UNIT
VALUE AUD]]</f>
        <v>109.19875709461886</v>
      </c>
      <c r="Z24" s="33"/>
    </row>
    <row r="25" spans="1:26" x14ac:dyDescent="0.25">
      <c r="A25" t="s">
        <v>205</v>
      </c>
      <c r="B25" t="s">
        <v>206</v>
      </c>
      <c r="C25" t="s">
        <v>113</v>
      </c>
      <c r="D25" t="s">
        <v>200</v>
      </c>
      <c r="E25">
        <v>2.8584158415841601</v>
      </c>
      <c r="F25" s="33">
        <v>3.7227000000000001</v>
      </c>
      <c r="G25" s="33" t="s">
        <v>117</v>
      </c>
      <c r="H25" t="s">
        <v>103</v>
      </c>
      <c r="I25" t="str">
        <f>IF(quantInv[[#This Row],[Metal]] = "925 Silver",  "7113.11.00"," 7113.19.00")</f>
        <v>7113.11.00</v>
      </c>
      <c r="J25" t="str">
        <f>IF(quantInv[[#This Row],[Metal]] = "925 Silver", "7113.11.10.00"," 7113.19.10.00")</f>
        <v>7113.11.10.00</v>
      </c>
      <c r="K25" t="str">
        <f>IF(quantInv[[#This Row],[Metal]] = "925 Silver",  "7113.11.00"," 7113.19.00")</f>
        <v>7113.11.00</v>
      </c>
      <c r="L25" t="str">
        <f>IFERROR(VLOOKUP(quantInv[[#This Row],[Description for New Invoice]],Map!$G$12:$H$32,2,FALSE), IF(quantInv[[#This Row],[Metal]] = "925 Silver", "7113.11.10.00", "7113.19.29.00"))</f>
        <v>7113.11.10.00</v>
      </c>
      <c r="M25" t="str">
        <f>quantInv[[#This Row],[ASIN]] &amp; " " &amp; quantInv[[#This Row],[Short Description]]</f>
        <v>B012HM9VVC Venice Box Chain</v>
      </c>
      <c r="N25" s="33">
        <f>quantInv[[#This Row],[UNIT
VALUE]] / EURtoGBP</f>
        <v>4.2257070371694674</v>
      </c>
      <c r="O25" s="33">
        <f>quantInv[[#This Row],[UNIT
VALUE]]/USDtoGBP</f>
        <v>5.1032032274912504</v>
      </c>
      <c r="P25" s="33">
        <f>quantInv[[#This Row],[UNIT
VALUE]] / CADtoGBP</f>
        <v>6.5323934912955819</v>
      </c>
      <c r="Q25" s="33">
        <f>quantInv[[#This Row],[UNIT
VALUE]]/AUDtoGBP</f>
        <v>6.6863639629283709</v>
      </c>
      <c r="R25">
        <f>IFERROR(VLOOKUP(quantInv[[#This Row],[Assigned Item SKU]],skuQuantity[#All],2,FALSE),0)</f>
        <v>0</v>
      </c>
      <c r="S25" t="str">
        <f>PROPER(quantInv[[#This Row],[Metal]] &amp; " " &amp; quantInv[[#This Row],[Item Type]])</f>
        <v>925 Silver Chain</v>
      </c>
      <c r="T25" s="33">
        <f>quantInv[[#This Row],[Quantity]]*quantInv[[#This Row],[WEIGHT]]</f>
        <v>0</v>
      </c>
      <c r="U25" s="33">
        <f>quantInv[[#This Row],[UNIT
VALUE]]*quantInv[[#This Row],[Quantity]]</f>
        <v>0</v>
      </c>
      <c r="V25" s="33">
        <f>quantInv[[#This Row],[Total Cost GBP]]/EURtoGBP</f>
        <v>0</v>
      </c>
      <c r="W25" s="33">
        <f>quantInv[[#This Row],[Total Cost GBP]]/USDtoGBP</f>
        <v>0</v>
      </c>
      <c r="X25" s="33">
        <f>quantInv[[#This Row],[Total Cost GBP]]/CADtoGBP</f>
        <v>0</v>
      </c>
      <c r="Y25" s="33">
        <f>quantInv[[#This Row],[Quantity]]*quantInv[[#This Row],[UNIT
VALUE AUD]]</f>
        <v>0</v>
      </c>
      <c r="Z25" s="33"/>
    </row>
    <row r="26" spans="1:26" x14ac:dyDescent="0.25">
      <c r="A26" t="s">
        <v>207</v>
      </c>
      <c r="B26" t="s">
        <v>208</v>
      </c>
      <c r="C26" t="s">
        <v>114</v>
      </c>
      <c r="D26" t="s">
        <v>209</v>
      </c>
      <c r="E26">
        <v>10.26</v>
      </c>
      <c r="F26" s="33">
        <v>13.1935</v>
      </c>
      <c r="G26" s="33" t="s">
        <v>117</v>
      </c>
      <c r="H26" t="s">
        <v>1414</v>
      </c>
      <c r="I26" t="str">
        <f>IF(quantInv[[#This Row],[Metal]] = "925 Silver",  "7113.11.00"," 7113.19.00")</f>
        <v>7113.11.00</v>
      </c>
      <c r="J26" t="str">
        <f>IF(quantInv[[#This Row],[Metal]] = "925 Silver", "7113.11.10.00"," 7113.19.10.00")</f>
        <v>7113.11.10.00</v>
      </c>
      <c r="K26" t="str">
        <f>IF(quantInv[[#This Row],[Metal]] = "925 Silver",  "7113.11.00"," 7113.19.00")</f>
        <v>7113.11.00</v>
      </c>
      <c r="L26" t="str">
        <f>IFERROR(VLOOKUP(quantInv[[#This Row],[Description for New Invoice]],Map!$G$12:$H$32,2,FALSE), IF(quantInv[[#This Row],[Metal]] = "925 Silver", "7113.11.10.00", "7113.19.29.00"))</f>
        <v>7113.11.10.00</v>
      </c>
      <c r="M26" t="str">
        <f>quantInv[[#This Row],[ASIN]] &amp; " " &amp; quantInv[[#This Row],[Short Description]]</f>
        <v>B073V2KYM1 Byzantine Chain</v>
      </c>
      <c r="N26" s="33">
        <f>quantInv[[#This Row],[UNIT
VALUE]] / EURtoGBP</f>
        <v>14.976190881590075</v>
      </c>
      <c r="O26" s="33">
        <f>quantInv[[#This Row],[UNIT
VALUE]]/USDtoGBP</f>
        <v>18.086096591695764</v>
      </c>
      <c r="P26" s="33">
        <f>quantInv[[#This Row],[UNIT
VALUE]] / CADtoGBP</f>
        <v>23.151243325384332</v>
      </c>
      <c r="Q26" s="33">
        <f>quantInv[[#This Row],[UNIT
VALUE]]/AUDtoGBP</f>
        <v>23.696925066455922</v>
      </c>
      <c r="R26">
        <f>IFERROR(VLOOKUP(quantInv[[#This Row],[Assigned Item SKU]],skuQuantity[#All],2,FALSE),0)</f>
        <v>0</v>
      </c>
      <c r="S26" t="str">
        <f>PROPER(quantInv[[#This Row],[Metal]] &amp; " " &amp; quantInv[[#This Row],[Item Type]])</f>
        <v>925 Silver Bracelet</v>
      </c>
      <c r="T26" s="33">
        <f>quantInv[[#This Row],[Quantity]]*quantInv[[#This Row],[WEIGHT]]</f>
        <v>0</v>
      </c>
      <c r="U26" s="33">
        <f>quantInv[[#This Row],[UNIT
VALUE]]*quantInv[[#This Row],[Quantity]]</f>
        <v>0</v>
      </c>
      <c r="V26" s="33">
        <f>quantInv[[#This Row],[Total Cost GBP]]/EURtoGBP</f>
        <v>0</v>
      </c>
      <c r="W26" s="33">
        <f>quantInv[[#This Row],[Total Cost GBP]]/USDtoGBP</f>
        <v>0</v>
      </c>
      <c r="X26" s="33">
        <f>quantInv[[#This Row],[Total Cost GBP]]/CADtoGBP</f>
        <v>0</v>
      </c>
      <c r="Y26" s="33">
        <f>quantInv[[#This Row],[Quantity]]*quantInv[[#This Row],[UNIT
VALUE AUD]]</f>
        <v>0</v>
      </c>
      <c r="Z26" s="33"/>
    </row>
    <row r="27" spans="1:26" x14ac:dyDescent="0.25">
      <c r="A27" t="s">
        <v>210</v>
      </c>
      <c r="B27" t="s">
        <v>211</v>
      </c>
      <c r="C27" t="s">
        <v>114</v>
      </c>
      <c r="D27" t="s">
        <v>209</v>
      </c>
      <c r="E27">
        <v>11.06</v>
      </c>
      <c r="F27" s="33">
        <v>14.159000000000001</v>
      </c>
      <c r="G27" s="33" t="s">
        <v>117</v>
      </c>
      <c r="H27" t="s">
        <v>1414</v>
      </c>
      <c r="I27" t="str">
        <f>IF(quantInv[[#This Row],[Metal]] = "925 Silver",  "7113.11.00"," 7113.19.00")</f>
        <v>7113.11.00</v>
      </c>
      <c r="J27" t="str">
        <f>IF(quantInv[[#This Row],[Metal]] = "925 Silver", "7113.11.10.00"," 7113.19.10.00")</f>
        <v>7113.11.10.00</v>
      </c>
      <c r="K27" t="str">
        <f>IF(quantInv[[#This Row],[Metal]] = "925 Silver",  "7113.11.00"," 7113.19.00")</f>
        <v>7113.11.00</v>
      </c>
      <c r="L27" t="str">
        <f>IFERROR(VLOOKUP(quantInv[[#This Row],[Description for New Invoice]],Map!$G$12:$H$32,2,FALSE), IF(quantInv[[#This Row],[Metal]] = "925 Silver", "7113.11.10.00", "7113.19.29.00"))</f>
        <v>7113.11.10.00</v>
      </c>
      <c r="M27" t="str">
        <f>quantInv[[#This Row],[ASIN]] &amp; " " &amp; quantInv[[#This Row],[Short Description]]</f>
        <v>B073V3D571 Byzantine Chain</v>
      </c>
      <c r="N27" s="33">
        <f>quantInv[[#This Row],[UNIT
VALUE]] / EURtoGBP</f>
        <v>16.07214815571561</v>
      </c>
      <c r="O27" s="33">
        <f>quantInv[[#This Row],[UNIT
VALUE]]/USDtoGBP</f>
        <v>19.409636687900885</v>
      </c>
      <c r="P27" s="33">
        <f>quantInv[[#This Row],[UNIT
VALUE]] / CADtoGBP</f>
        <v>24.845450732869729</v>
      </c>
      <c r="Q27" s="33">
        <f>quantInv[[#This Row],[UNIT
VALUE]]/AUDtoGBP</f>
        <v>25.431065450104175</v>
      </c>
      <c r="R27">
        <f>IFERROR(VLOOKUP(quantInv[[#This Row],[Assigned Item SKU]],skuQuantity[#All],2,FALSE),0)</f>
        <v>0</v>
      </c>
      <c r="S27" t="str">
        <f>PROPER(quantInv[[#This Row],[Metal]] &amp; " " &amp; quantInv[[#This Row],[Item Type]])</f>
        <v>925 Silver Bracelet</v>
      </c>
      <c r="T27" s="33">
        <f>quantInv[[#This Row],[Quantity]]*quantInv[[#This Row],[WEIGHT]]</f>
        <v>0</v>
      </c>
      <c r="U27" s="33">
        <f>quantInv[[#This Row],[UNIT
VALUE]]*quantInv[[#This Row],[Quantity]]</f>
        <v>0</v>
      </c>
      <c r="V27" s="33">
        <f>quantInv[[#This Row],[Total Cost GBP]]/EURtoGBP</f>
        <v>0</v>
      </c>
      <c r="W27" s="33">
        <f>quantInv[[#This Row],[Total Cost GBP]]/USDtoGBP</f>
        <v>0</v>
      </c>
      <c r="X27" s="33">
        <f>quantInv[[#This Row],[Total Cost GBP]]/CADtoGBP</f>
        <v>0</v>
      </c>
      <c r="Y27" s="33">
        <f>quantInv[[#This Row],[Quantity]]*quantInv[[#This Row],[UNIT
VALUE AUD]]</f>
        <v>0</v>
      </c>
      <c r="Z27" s="33"/>
    </row>
    <row r="28" spans="1:26" x14ac:dyDescent="0.25">
      <c r="A28" t="s">
        <v>1384</v>
      </c>
      <c r="B28" t="s">
        <v>1385</v>
      </c>
      <c r="C28" t="s">
        <v>115</v>
      </c>
      <c r="D28" t="s">
        <v>1386</v>
      </c>
      <c r="E28">
        <v>0.64</v>
      </c>
      <c r="F28" s="33">
        <v>1.8996</v>
      </c>
      <c r="G28" s="33" t="s">
        <v>117</v>
      </c>
      <c r="H28" t="s">
        <v>1310</v>
      </c>
      <c r="I28" t="str">
        <f>IF(quantInv[[#This Row],[Metal]] = "925 Silver",  "7113.11.00"," 7113.19.00")</f>
        <v>7113.11.00</v>
      </c>
      <c r="J28" t="str">
        <f>IF(quantInv[[#This Row],[Metal]] = "925 Silver", "7113.11.10.00"," 7113.19.10.00")</f>
        <v>7113.11.10.00</v>
      </c>
      <c r="K28" t="str">
        <f>IF(quantInv[[#This Row],[Metal]] = "925 Silver",  "7113.11.00"," 7113.19.00")</f>
        <v>7113.11.00</v>
      </c>
      <c r="L28" t="str">
        <f>IFERROR(VLOOKUP(quantInv[[#This Row],[Description for New Invoice]],Map!$G$12:$H$32,2,FALSE), IF(quantInv[[#This Row],[Metal]] = "925 Silver", "7113.11.10.00", "7113.19.29.00"))</f>
        <v>7113.11.50.00</v>
      </c>
      <c r="M28" t="str">
        <f>quantInv[[#This Row],[ASIN]] &amp; " " &amp; quantInv[[#This Row],[Short Description]]</f>
        <v>B07STWS287 Earrings - 2 mm CZ Stones</v>
      </c>
      <c r="N28" s="33">
        <f>quantInv[[#This Row],[UNIT
VALUE]] / EURtoGBP</f>
        <v>2.1562718155658849</v>
      </c>
      <c r="O28" s="33">
        <f>quantInv[[#This Row],[UNIT
VALUE]]/USDtoGBP</f>
        <v>2.6040360090639534</v>
      </c>
      <c r="P28" s="33">
        <f>quantInv[[#This Row],[UNIT
VALUE]] / CADtoGBP</f>
        <v>3.3333157858718367</v>
      </c>
      <c r="Q28" s="33">
        <f>quantInv[[#This Row],[UNIT
VALUE]]/AUDtoGBP</f>
        <v>3.4118830375745381</v>
      </c>
      <c r="R28">
        <f>IFERROR(VLOOKUP(quantInv[[#This Row],[Assigned Item SKU]],skuQuantity[#All],2,FALSE),0)</f>
        <v>20</v>
      </c>
      <c r="S28" t="str">
        <f>PROPER(quantInv[[#This Row],[Metal]] &amp; " " &amp; quantInv[[#This Row],[Item Type]])</f>
        <v>925 Silver Earrings</v>
      </c>
      <c r="T28" s="33">
        <f>quantInv[[#This Row],[Quantity]]*quantInv[[#This Row],[WEIGHT]]</f>
        <v>12.8</v>
      </c>
      <c r="U28" s="33">
        <f>quantInv[[#This Row],[UNIT
VALUE]]*quantInv[[#This Row],[Quantity]]</f>
        <v>37.991999999999997</v>
      </c>
      <c r="V28" s="33">
        <f>quantInv[[#This Row],[Total Cost GBP]]/EURtoGBP</f>
        <v>43.125436311317699</v>
      </c>
      <c r="W28" s="33">
        <f>quantInv[[#This Row],[Total Cost GBP]]/USDtoGBP</f>
        <v>52.080720181279069</v>
      </c>
      <c r="X28" s="33">
        <f>quantInv[[#This Row],[Total Cost GBP]]/CADtoGBP</f>
        <v>66.666315717436731</v>
      </c>
      <c r="Y28" s="33">
        <f>quantInv[[#This Row],[Quantity]]*quantInv[[#This Row],[UNIT
VALUE AUD]]</f>
        <v>68.237660751490765</v>
      </c>
      <c r="Z28" s="33"/>
    </row>
    <row r="29" spans="1:26" x14ac:dyDescent="0.25">
      <c r="A29" t="s">
        <v>80</v>
      </c>
      <c r="B29" t="s">
        <v>277</v>
      </c>
      <c r="C29" t="s">
        <v>113</v>
      </c>
      <c r="D29" t="s">
        <v>160</v>
      </c>
      <c r="E29">
        <v>1.78571428571429</v>
      </c>
      <c r="F29" s="33">
        <v>2.4405999999999999</v>
      </c>
      <c r="G29" s="33" t="s">
        <v>117</v>
      </c>
      <c r="H29" t="s">
        <v>103</v>
      </c>
      <c r="I29" t="str">
        <f>IF(quantInv[[#This Row],[Metal]] = "925 Silver",  "7113.11.00"," 7113.19.00")</f>
        <v>7113.11.00</v>
      </c>
      <c r="J29" t="str">
        <f>IF(quantInv[[#This Row],[Metal]] = "925 Silver", "7113.11.10.00"," 7113.19.10.00")</f>
        <v>7113.11.10.00</v>
      </c>
      <c r="K29" t="str">
        <f>IF(quantInv[[#This Row],[Metal]] = "925 Silver",  "7113.11.00"," 7113.19.00")</f>
        <v>7113.11.00</v>
      </c>
      <c r="L29" t="str">
        <f>IFERROR(VLOOKUP(quantInv[[#This Row],[Description for New Invoice]],Map!$G$12:$H$32,2,FALSE), IF(quantInv[[#This Row],[Metal]] = "925 Silver", "7113.11.10.00", "7113.19.29.00"))</f>
        <v>7113.11.10.00</v>
      </c>
      <c r="M29" t="str">
        <f>quantInv[[#This Row],[ASIN]] &amp; " " &amp; quantInv[[#This Row],[Short Description]]</f>
        <v>B073GBS69W Curb Chain</v>
      </c>
      <c r="N29" s="33">
        <f>quantInv[[#This Row],[UNIT
VALUE]] / EURtoGBP</f>
        <v>2.7703711271162872</v>
      </c>
      <c r="O29" s="33">
        <f>quantInv[[#This Row],[UNIT
VALUE]]/USDtoGBP</f>
        <v>3.3456571297754709</v>
      </c>
      <c r="P29" s="33">
        <f>quantInv[[#This Row],[UNIT
VALUE]] / CADtoGBP</f>
        <v>4.2826334528315453</v>
      </c>
      <c r="Q29" s="33">
        <f>quantInv[[#This Row],[UNIT
VALUE]]/AUDtoGBP</f>
        <v>4.3835764063510307</v>
      </c>
      <c r="R29">
        <f>IFERROR(VLOOKUP(quantInv[[#This Row],[Assigned Item SKU]],skuQuantity[#All],2,FALSE),0)</f>
        <v>15</v>
      </c>
      <c r="S29" t="str">
        <f>PROPER(quantInv[[#This Row],[Metal]] &amp; " " &amp; quantInv[[#This Row],[Item Type]])</f>
        <v>925 Silver Chain</v>
      </c>
      <c r="T29" s="33">
        <f>quantInv[[#This Row],[Quantity]]*quantInv[[#This Row],[WEIGHT]]</f>
        <v>26.785714285714349</v>
      </c>
      <c r="U29" s="33">
        <f>quantInv[[#This Row],[UNIT
VALUE]]*quantInv[[#This Row],[Quantity]]</f>
        <v>36.608999999999995</v>
      </c>
      <c r="V29" s="33">
        <f>quantInv[[#This Row],[Total Cost GBP]]/EURtoGBP</f>
        <v>41.555566906744303</v>
      </c>
      <c r="W29" s="33">
        <f>quantInv[[#This Row],[Total Cost GBP]]/USDtoGBP</f>
        <v>50.18485694663206</v>
      </c>
      <c r="X29" s="33">
        <f>quantInv[[#This Row],[Total Cost GBP]]/CADtoGBP</f>
        <v>64.239501792473177</v>
      </c>
      <c r="Y29" s="33">
        <f>quantInv[[#This Row],[Quantity]]*quantInv[[#This Row],[UNIT
VALUE AUD]]</f>
        <v>65.753646095265466</v>
      </c>
      <c r="Z29" s="33"/>
    </row>
    <row r="30" spans="1:26" x14ac:dyDescent="0.25">
      <c r="A30" t="s">
        <v>51</v>
      </c>
      <c r="B30" t="s">
        <v>395</v>
      </c>
      <c r="C30" t="s">
        <v>113</v>
      </c>
      <c r="D30" t="s">
        <v>160</v>
      </c>
      <c r="E30">
        <v>1.95947712418301</v>
      </c>
      <c r="F30" s="33">
        <v>2.04</v>
      </c>
      <c r="G30" s="33" t="s">
        <v>117</v>
      </c>
      <c r="H30" t="s">
        <v>103</v>
      </c>
      <c r="I30" t="str">
        <f>IF(quantInv[[#This Row],[Metal]] = "925 Silver",  "7113.11.00"," 7113.19.00")</f>
        <v>7113.11.00</v>
      </c>
      <c r="J30" t="str">
        <f>IF(quantInv[[#This Row],[Metal]] = "925 Silver", "7113.11.10.00"," 7113.19.10.00")</f>
        <v>7113.11.10.00</v>
      </c>
      <c r="K30" t="str">
        <f>IF(quantInv[[#This Row],[Metal]] = "925 Silver",  "7113.11.00"," 7113.19.00")</f>
        <v>7113.11.00</v>
      </c>
      <c r="L30" t="str">
        <f>IFERROR(VLOOKUP(quantInv[[#This Row],[Description for New Invoice]],Map!$G$12:$H$32,2,FALSE), IF(quantInv[[#This Row],[Metal]] = "925 Silver", "7113.11.10.00", "7113.19.29.00"))</f>
        <v>7113.11.10.00</v>
      </c>
      <c r="M30" t="str">
        <f>quantInv[[#This Row],[ASIN]] &amp; " " &amp; quantInv[[#This Row],[Short Description]]</f>
        <v>B00D9BQ0W4 Curb Chain</v>
      </c>
      <c r="N30" s="33">
        <f>quantInv[[#This Row],[UNIT
VALUE]] / EURtoGBP</f>
        <v>2.3156425056614056</v>
      </c>
      <c r="O30" s="33">
        <f>quantInv[[#This Row],[UNIT
VALUE]]/USDtoGBP</f>
        <v>2.7965010836441699</v>
      </c>
      <c r="P30" s="33">
        <f>quantInv[[#This Row],[UNIT
VALUE]] / CADtoGBP</f>
        <v>3.5796821452824528</v>
      </c>
      <c r="Q30" s="33">
        <f>quantInv[[#This Row],[UNIT
VALUE]]/AUDtoGBP</f>
        <v>3.6640563258854799</v>
      </c>
      <c r="R30">
        <f>IFERROR(VLOOKUP(quantInv[[#This Row],[Assigned Item SKU]],skuQuantity[#All],2,FALSE),0)</f>
        <v>30</v>
      </c>
      <c r="S30" t="str">
        <f>PROPER(quantInv[[#This Row],[Metal]] &amp; " " &amp; quantInv[[#This Row],[Item Type]])</f>
        <v>925 Silver Chain</v>
      </c>
      <c r="T30" s="33">
        <f>quantInv[[#This Row],[Quantity]]*quantInv[[#This Row],[WEIGHT]]</f>
        <v>58.7843137254903</v>
      </c>
      <c r="U30" s="33">
        <f>quantInv[[#This Row],[UNIT
VALUE]]*quantInv[[#This Row],[Quantity]]</f>
        <v>61.2</v>
      </c>
      <c r="V30" s="33">
        <f>quantInv[[#This Row],[Total Cost GBP]]/EURtoGBP</f>
        <v>69.469275169842163</v>
      </c>
      <c r="W30" s="33">
        <f>quantInv[[#This Row],[Total Cost GBP]]/USDtoGBP</f>
        <v>83.895032509325105</v>
      </c>
      <c r="X30" s="33">
        <f>quantInv[[#This Row],[Total Cost GBP]]/CADtoGBP</f>
        <v>107.39046435847358</v>
      </c>
      <c r="Y30" s="33">
        <f>quantInv[[#This Row],[Quantity]]*quantInv[[#This Row],[UNIT
VALUE AUD]]</f>
        <v>109.92168977656439</v>
      </c>
      <c r="Z30" s="33"/>
    </row>
    <row r="31" spans="1:26" x14ac:dyDescent="0.25">
      <c r="A31" t="s">
        <v>93</v>
      </c>
      <c r="B31" t="s">
        <v>216</v>
      </c>
      <c r="C31" t="s">
        <v>114</v>
      </c>
      <c r="D31" t="s">
        <v>213</v>
      </c>
      <c r="E31">
        <v>2.42</v>
      </c>
      <c r="F31" s="33">
        <v>3.93</v>
      </c>
      <c r="G31" s="33" t="s">
        <v>117</v>
      </c>
      <c r="H31" t="s">
        <v>1426</v>
      </c>
      <c r="I31" t="str">
        <f>IF(quantInv[[#This Row],[Metal]] = "925 Silver",  "7113.11.00"," 7113.19.00")</f>
        <v>7113.11.00</v>
      </c>
      <c r="J31" t="str">
        <f>IF(quantInv[[#This Row],[Metal]] = "925 Silver", "7113.11.10.00"," 7113.19.10.00")</f>
        <v>7113.11.10.00</v>
      </c>
      <c r="K31" t="str">
        <f>IF(quantInv[[#This Row],[Metal]] = "925 Silver",  "7113.11.00"," 7113.19.00")</f>
        <v>7113.11.00</v>
      </c>
      <c r="L31" t="str">
        <f>IFERROR(VLOOKUP(quantInv[[#This Row],[Description for New Invoice]],Map!$G$12:$H$32,2,FALSE), IF(quantInv[[#This Row],[Metal]] = "925 Silver", "7113.11.10.00", "7113.19.29.00"))</f>
        <v>7113.11.10.00</v>
      </c>
      <c r="M31" t="str">
        <f>quantInv[[#This Row],[ASIN]] &amp; " " &amp; quantInv[[#This Row],[Short Description]]</f>
        <v>B077MBFMZS Ball Chain</v>
      </c>
      <c r="N31" s="33">
        <f>quantInv[[#This Row],[UNIT
VALUE]] / EURtoGBP</f>
        <v>4.4610171800241778</v>
      </c>
      <c r="O31" s="33">
        <f>quantInv[[#This Row],[UNIT
VALUE]]/USDtoGBP</f>
        <v>5.3873770876086216</v>
      </c>
      <c r="P31" s="33">
        <f>quantInv[[#This Row],[UNIT
VALUE]] / CADtoGBP</f>
        <v>6.896152368117666</v>
      </c>
      <c r="Q31" s="33">
        <f>quantInv[[#This Row],[UNIT
VALUE]]/AUDtoGBP</f>
        <v>7.058696745455852</v>
      </c>
      <c r="R31">
        <f>IFERROR(VLOOKUP(quantInv[[#This Row],[Assigned Item SKU]],skuQuantity[#All],2,FALSE),0)</f>
        <v>0</v>
      </c>
      <c r="S31" t="str">
        <f>PROPER(quantInv[[#This Row],[Metal]] &amp; " " &amp; quantInv[[#This Row],[Item Type]])</f>
        <v>925 Silver Anklet</v>
      </c>
      <c r="T31" s="33">
        <f>quantInv[[#This Row],[Quantity]]*quantInv[[#This Row],[WEIGHT]]</f>
        <v>0</v>
      </c>
      <c r="U31" s="33">
        <f>quantInv[[#This Row],[UNIT
VALUE]]*quantInv[[#This Row],[Quantity]]</f>
        <v>0</v>
      </c>
      <c r="V31" s="33">
        <f>quantInv[[#This Row],[Total Cost GBP]]/EURtoGBP</f>
        <v>0</v>
      </c>
      <c r="W31" s="33">
        <f>quantInv[[#This Row],[Total Cost GBP]]/USDtoGBP</f>
        <v>0</v>
      </c>
      <c r="X31" s="33">
        <f>quantInv[[#This Row],[Total Cost GBP]]/CADtoGBP</f>
        <v>0</v>
      </c>
      <c r="Y31" s="33">
        <f>quantInv[[#This Row],[Quantity]]*quantInv[[#This Row],[UNIT
VALUE AUD]]</f>
        <v>0</v>
      </c>
      <c r="Z31" s="33"/>
    </row>
    <row r="32" spans="1:26" x14ac:dyDescent="0.25">
      <c r="A32" t="s">
        <v>217</v>
      </c>
      <c r="B32" t="s">
        <v>218</v>
      </c>
      <c r="C32" t="s">
        <v>114</v>
      </c>
      <c r="D32" t="s">
        <v>213</v>
      </c>
      <c r="E32">
        <v>4.05</v>
      </c>
      <c r="F32" s="33">
        <v>5.2363999999999997</v>
      </c>
      <c r="G32" s="33" t="s">
        <v>117</v>
      </c>
      <c r="H32" t="s">
        <v>103</v>
      </c>
      <c r="I32" t="str">
        <f>IF(quantInv[[#This Row],[Metal]] = "925 Silver",  "7113.11.00"," 7113.19.00")</f>
        <v>7113.11.00</v>
      </c>
      <c r="J32" t="str">
        <f>IF(quantInv[[#This Row],[Metal]] = "925 Silver", "7113.11.10.00"," 7113.19.10.00")</f>
        <v>7113.11.10.00</v>
      </c>
      <c r="K32" t="str">
        <f>IF(quantInv[[#This Row],[Metal]] = "925 Silver",  "7113.11.00"," 7113.19.00")</f>
        <v>7113.11.00</v>
      </c>
      <c r="L32" t="str">
        <f>IFERROR(VLOOKUP(quantInv[[#This Row],[Description for New Invoice]],Map!$G$12:$H$32,2,FALSE), IF(quantInv[[#This Row],[Metal]] = "925 Silver", "7113.11.10.00", "7113.19.29.00"))</f>
        <v>7113.11.10.00</v>
      </c>
      <c r="M32" t="str">
        <f>quantInv[[#This Row],[ASIN]] &amp; " " &amp; quantInv[[#This Row],[Short Description]]</f>
        <v>B073G9GG6N Ball Chain</v>
      </c>
      <c r="N32" s="33">
        <f>quantInv[[#This Row],[UNIT
VALUE]] / EURtoGBP</f>
        <v>5.9439364787477365</v>
      </c>
      <c r="O32" s="33">
        <f>quantInv[[#This Row],[UNIT
VALUE]]/USDtoGBP</f>
        <v>7.1782344482325149</v>
      </c>
      <c r="P32" s="33">
        <f>quantInv[[#This Row],[UNIT
VALUE]] / CADtoGBP</f>
        <v>9.1885527380181529</v>
      </c>
      <c r="Q32" s="33">
        <f>quantInv[[#This Row],[UNIT
VALUE]]/AUDtoGBP</f>
        <v>9.4051296788562393</v>
      </c>
      <c r="R32">
        <f>IFERROR(VLOOKUP(quantInv[[#This Row],[Assigned Item SKU]],skuQuantity[#All],2,FALSE),0)</f>
        <v>0</v>
      </c>
      <c r="S32" t="str">
        <f>PROPER(quantInv[[#This Row],[Metal]] &amp; " " &amp; quantInv[[#This Row],[Item Type]])</f>
        <v>925 Silver Chain</v>
      </c>
      <c r="T32" s="33">
        <f>quantInv[[#This Row],[Quantity]]*quantInv[[#This Row],[WEIGHT]]</f>
        <v>0</v>
      </c>
      <c r="U32" s="33">
        <f>quantInv[[#This Row],[UNIT
VALUE]]*quantInv[[#This Row],[Quantity]]</f>
        <v>0</v>
      </c>
      <c r="V32" s="33">
        <f>quantInv[[#This Row],[Total Cost GBP]]/EURtoGBP</f>
        <v>0</v>
      </c>
      <c r="W32" s="33">
        <f>quantInv[[#This Row],[Total Cost GBP]]/USDtoGBP</f>
        <v>0</v>
      </c>
      <c r="X32" s="33">
        <f>quantInv[[#This Row],[Total Cost GBP]]/CADtoGBP</f>
        <v>0</v>
      </c>
      <c r="Y32" s="33">
        <f>quantInv[[#This Row],[Quantity]]*quantInv[[#This Row],[UNIT
VALUE AUD]]</f>
        <v>0</v>
      </c>
      <c r="Z32" s="33"/>
    </row>
    <row r="33" spans="1:26" x14ac:dyDescent="0.25">
      <c r="A33" t="s">
        <v>219</v>
      </c>
      <c r="B33" t="s">
        <v>220</v>
      </c>
      <c r="C33" t="s">
        <v>114</v>
      </c>
      <c r="D33" t="s">
        <v>213</v>
      </c>
      <c r="E33">
        <v>4.5161290322580596</v>
      </c>
      <c r="F33" s="33">
        <v>5.7990000000000004</v>
      </c>
      <c r="G33" s="33" t="s">
        <v>117</v>
      </c>
      <c r="H33" t="s">
        <v>103</v>
      </c>
      <c r="I33" t="str">
        <f>IF(quantInv[[#This Row],[Metal]] = "925 Silver",  "7113.11.00"," 7113.19.00")</f>
        <v>7113.11.00</v>
      </c>
      <c r="J33" t="str">
        <f>IF(quantInv[[#This Row],[Metal]] = "925 Silver", "7113.11.10.00"," 7113.19.10.00")</f>
        <v>7113.11.10.00</v>
      </c>
      <c r="K33" t="str">
        <f>IF(quantInv[[#This Row],[Metal]] = "925 Silver",  "7113.11.00"," 7113.19.00")</f>
        <v>7113.11.00</v>
      </c>
      <c r="L33" t="str">
        <f>IFERROR(VLOOKUP(quantInv[[#This Row],[Description for New Invoice]],Map!$G$12:$H$32,2,FALSE), IF(quantInv[[#This Row],[Metal]] = "925 Silver", "7113.11.10.00", "7113.19.29.00"))</f>
        <v>7113.11.10.00</v>
      </c>
      <c r="M33" t="str">
        <f>quantInv[[#This Row],[ASIN]] &amp; " " &amp; quantInv[[#This Row],[Short Description]]</f>
        <v>B073G8L25J Ball Chain</v>
      </c>
      <c r="N33" s="33">
        <f>quantInv[[#This Row],[UNIT
VALUE]] / EURtoGBP</f>
        <v>6.5825543580051429</v>
      </c>
      <c r="O33" s="33">
        <f>quantInv[[#This Row],[UNIT
VALUE]]/USDtoGBP</f>
        <v>7.9494655804179128</v>
      </c>
      <c r="P33" s="33">
        <f>quantInv[[#This Row],[UNIT
VALUE]] / CADtoGBP</f>
        <v>10.175772921810266</v>
      </c>
      <c r="Q33" s="33">
        <f>quantInv[[#This Row],[UNIT
VALUE]]/AUDtoGBP</f>
        <v>10.415618938142108</v>
      </c>
      <c r="R33">
        <f>IFERROR(VLOOKUP(quantInv[[#This Row],[Assigned Item SKU]],skuQuantity[#All],2,FALSE),0)</f>
        <v>0</v>
      </c>
      <c r="S33" t="str">
        <f>PROPER(quantInv[[#This Row],[Metal]] &amp; " " &amp; quantInv[[#This Row],[Item Type]])</f>
        <v>925 Silver Chain</v>
      </c>
      <c r="T33" s="33">
        <f>quantInv[[#This Row],[Quantity]]*quantInv[[#This Row],[WEIGHT]]</f>
        <v>0</v>
      </c>
      <c r="U33" s="33">
        <f>quantInv[[#This Row],[UNIT
VALUE]]*quantInv[[#This Row],[Quantity]]</f>
        <v>0</v>
      </c>
      <c r="V33" s="33">
        <f>quantInv[[#This Row],[Total Cost GBP]]/EURtoGBP</f>
        <v>0</v>
      </c>
      <c r="W33" s="33">
        <f>quantInv[[#This Row],[Total Cost GBP]]/USDtoGBP</f>
        <v>0</v>
      </c>
      <c r="X33" s="33">
        <f>quantInv[[#This Row],[Total Cost GBP]]/CADtoGBP</f>
        <v>0</v>
      </c>
      <c r="Y33" s="33">
        <f>quantInv[[#This Row],[Quantity]]*quantInv[[#This Row],[UNIT
VALUE AUD]]</f>
        <v>0</v>
      </c>
      <c r="Z33" s="33"/>
    </row>
    <row r="34" spans="1:26" x14ac:dyDescent="0.25">
      <c r="A34" t="s">
        <v>221</v>
      </c>
      <c r="B34" t="s">
        <v>222</v>
      </c>
      <c r="C34" t="s">
        <v>114</v>
      </c>
      <c r="D34" t="s">
        <v>213</v>
      </c>
      <c r="E34">
        <v>5.37</v>
      </c>
      <c r="F34" s="33">
        <v>6.8295000000000003</v>
      </c>
      <c r="G34" s="33" t="s">
        <v>117</v>
      </c>
      <c r="H34" t="s">
        <v>103</v>
      </c>
      <c r="I34" t="str">
        <f>IF(quantInv[[#This Row],[Metal]] = "925 Silver",  "7113.11.00"," 7113.19.00")</f>
        <v>7113.11.00</v>
      </c>
      <c r="J34" t="str">
        <f>IF(quantInv[[#This Row],[Metal]] = "925 Silver", "7113.11.10.00"," 7113.19.10.00")</f>
        <v>7113.11.10.00</v>
      </c>
      <c r="K34" t="str">
        <f>IF(quantInv[[#This Row],[Metal]] = "925 Silver",  "7113.11.00"," 7113.19.00")</f>
        <v>7113.11.00</v>
      </c>
      <c r="L34" t="str">
        <f>IFERROR(VLOOKUP(quantInv[[#This Row],[Description for New Invoice]],Map!$G$12:$H$32,2,FALSE), IF(quantInv[[#This Row],[Metal]] = "925 Silver", "7113.11.10.00", "7113.19.29.00"))</f>
        <v>7113.11.10.00</v>
      </c>
      <c r="M34" t="str">
        <f>quantInv[[#This Row],[ASIN]] &amp; " " &amp; quantInv[[#This Row],[Short Description]]</f>
        <v>B073G9JZMK Ball Chain</v>
      </c>
      <c r="N34" s="33">
        <f>quantInv[[#This Row],[UNIT
VALUE]] / EURtoGBP</f>
        <v>7.7522943590267497</v>
      </c>
      <c r="O34" s="33">
        <f>quantInv[[#This Row],[UNIT
VALUE]]/USDtoGBP</f>
        <v>9.3621098778175789</v>
      </c>
      <c r="P34" s="33">
        <f>quantInv[[#This Row],[UNIT
VALUE]] / CADtoGBP</f>
        <v>11.984038829022799</v>
      </c>
      <c r="Q34" s="33">
        <f>quantInv[[#This Row],[UNIT
VALUE]]/AUDtoGBP</f>
        <v>12.266506214526906</v>
      </c>
      <c r="R34">
        <f>IFERROR(VLOOKUP(quantInv[[#This Row],[Assigned Item SKU]],skuQuantity[#All],2,FALSE),0)</f>
        <v>0</v>
      </c>
      <c r="S34" t="str">
        <f>PROPER(quantInv[[#This Row],[Metal]] &amp; " " &amp; quantInv[[#This Row],[Item Type]])</f>
        <v>925 Silver Chain</v>
      </c>
      <c r="T34" s="33">
        <f>quantInv[[#This Row],[Quantity]]*quantInv[[#This Row],[WEIGHT]]</f>
        <v>0</v>
      </c>
      <c r="U34" s="33">
        <f>quantInv[[#This Row],[UNIT
VALUE]]*quantInv[[#This Row],[Quantity]]</f>
        <v>0</v>
      </c>
      <c r="V34" s="33">
        <f>quantInv[[#This Row],[Total Cost GBP]]/EURtoGBP</f>
        <v>0</v>
      </c>
      <c r="W34" s="33">
        <f>quantInv[[#This Row],[Total Cost GBP]]/USDtoGBP</f>
        <v>0</v>
      </c>
      <c r="X34" s="33">
        <f>quantInv[[#This Row],[Total Cost GBP]]/CADtoGBP</f>
        <v>0</v>
      </c>
      <c r="Y34" s="33">
        <f>quantInv[[#This Row],[Quantity]]*quantInv[[#This Row],[UNIT
VALUE AUD]]</f>
        <v>0</v>
      </c>
      <c r="Z34" s="33"/>
    </row>
    <row r="35" spans="1:26" x14ac:dyDescent="0.25">
      <c r="A35" t="s">
        <v>75</v>
      </c>
      <c r="B35" t="s">
        <v>223</v>
      </c>
      <c r="C35" t="s">
        <v>114</v>
      </c>
      <c r="D35" t="s">
        <v>213</v>
      </c>
      <c r="E35">
        <v>2.2627450980392201</v>
      </c>
      <c r="F35" s="33">
        <v>2.9198</v>
      </c>
      <c r="G35" s="33" t="s">
        <v>117</v>
      </c>
      <c r="H35" t="s">
        <v>1414</v>
      </c>
      <c r="I35" t="str">
        <f>IF(quantInv[[#This Row],[Metal]] = "925 Silver",  "7113.11.00"," 7113.19.00")</f>
        <v>7113.11.00</v>
      </c>
      <c r="J35" t="str">
        <f>IF(quantInv[[#This Row],[Metal]] = "925 Silver", "7113.11.10.00"," 7113.19.10.00")</f>
        <v>7113.11.10.00</v>
      </c>
      <c r="K35" t="str">
        <f>IF(quantInv[[#This Row],[Metal]] = "925 Silver",  "7113.11.00"," 7113.19.00")</f>
        <v>7113.11.00</v>
      </c>
      <c r="L35" t="str">
        <f>IFERROR(VLOOKUP(quantInv[[#This Row],[Description for New Invoice]],Map!$G$12:$H$32,2,FALSE), IF(quantInv[[#This Row],[Metal]] = "925 Silver", "7113.11.10.00", "7113.19.29.00"))</f>
        <v>7113.11.10.00</v>
      </c>
      <c r="M35" t="str">
        <f>quantInv[[#This Row],[ASIN]] &amp; " " &amp; quantInv[[#This Row],[Short Description]]</f>
        <v>B073V4NY79 Ball Chain</v>
      </c>
      <c r="N35" s="33">
        <f>quantInv[[#This Row],[UNIT
VALUE]] / EURtoGBP</f>
        <v>3.3143200921716525</v>
      </c>
      <c r="O35" s="33">
        <f>quantInv[[#This Row],[UNIT
VALUE]]/USDtoGBP</f>
        <v>4.0025607176589446</v>
      </c>
      <c r="P35" s="33">
        <f>quantInv[[#This Row],[UNIT
VALUE]] / CADtoGBP</f>
        <v>5.1235078077429925</v>
      </c>
      <c r="Q35" s="33">
        <f>quantInv[[#This Row],[UNIT
VALUE]]/AUDtoGBP</f>
        <v>5.2442704217256981</v>
      </c>
      <c r="R35">
        <f>IFERROR(VLOOKUP(quantInv[[#This Row],[Assigned Item SKU]],skuQuantity[#All],2,FALSE),0)</f>
        <v>20</v>
      </c>
      <c r="S35" t="str">
        <f>PROPER(quantInv[[#This Row],[Metal]] &amp; " " &amp; quantInv[[#This Row],[Item Type]])</f>
        <v>925 Silver Bracelet</v>
      </c>
      <c r="T35" s="33">
        <f>quantInv[[#This Row],[Quantity]]*quantInv[[#This Row],[WEIGHT]]</f>
        <v>45.254901960784402</v>
      </c>
      <c r="U35" s="33">
        <f>quantInv[[#This Row],[UNIT
VALUE]]*quantInv[[#This Row],[Quantity]]</f>
        <v>58.396000000000001</v>
      </c>
      <c r="V35" s="33">
        <f>quantInv[[#This Row],[Total Cost GBP]]/EURtoGBP</f>
        <v>66.286401843433055</v>
      </c>
      <c r="W35" s="33">
        <f>quantInv[[#This Row],[Total Cost GBP]]/USDtoGBP</f>
        <v>80.051214353178892</v>
      </c>
      <c r="X35" s="33">
        <f>quantInv[[#This Row],[Total Cost GBP]]/CADtoGBP</f>
        <v>102.47015615485985</v>
      </c>
      <c r="Y35" s="33">
        <f>quantInv[[#This Row],[Quantity]]*quantInv[[#This Row],[UNIT
VALUE AUD]]</f>
        <v>104.88540843451396</v>
      </c>
      <c r="Z35" s="33"/>
    </row>
    <row r="36" spans="1:26" x14ac:dyDescent="0.25">
      <c r="A36" t="s">
        <v>76</v>
      </c>
      <c r="B36" t="s">
        <v>224</v>
      </c>
      <c r="C36" t="s">
        <v>114</v>
      </c>
      <c r="D36" t="s">
        <v>213</v>
      </c>
      <c r="E36">
        <v>2.3470588235294101</v>
      </c>
      <c r="F36" s="33">
        <v>3.0156000000000001</v>
      </c>
      <c r="G36" s="33" t="s">
        <v>117</v>
      </c>
      <c r="H36" t="s">
        <v>1414</v>
      </c>
      <c r="I36" t="str">
        <f>IF(quantInv[[#This Row],[Metal]] = "925 Silver",  "7113.11.00"," 7113.19.00")</f>
        <v>7113.11.00</v>
      </c>
      <c r="J36" t="str">
        <f>IF(quantInv[[#This Row],[Metal]] = "925 Silver", "7113.11.10.00"," 7113.19.10.00")</f>
        <v>7113.11.10.00</v>
      </c>
      <c r="K36" t="str">
        <f>IF(quantInv[[#This Row],[Metal]] = "925 Silver",  "7113.11.00"," 7113.19.00")</f>
        <v>7113.11.00</v>
      </c>
      <c r="L36" t="str">
        <f>IFERROR(VLOOKUP(quantInv[[#This Row],[Description for New Invoice]],Map!$G$12:$H$32,2,FALSE), IF(quantInv[[#This Row],[Metal]] = "925 Silver", "7113.11.10.00", "7113.19.29.00"))</f>
        <v>7113.11.10.00</v>
      </c>
      <c r="M36" t="str">
        <f>quantInv[[#This Row],[ASIN]] &amp; " " &amp; quantInv[[#This Row],[Short Description]]</f>
        <v>B073V368GD Ball Chain</v>
      </c>
      <c r="N36" s="33">
        <f>quantInv[[#This Row],[UNIT
VALUE]] / EURtoGBP</f>
        <v>3.4230644804277128</v>
      </c>
      <c r="O36" s="33">
        <f>quantInv[[#This Row],[UNIT
VALUE]]/USDtoGBP</f>
        <v>4.1338866018810583</v>
      </c>
      <c r="P36" s="33">
        <f>quantInv[[#This Row],[UNIT
VALUE]] / CADtoGBP</f>
        <v>5.2916124888792959</v>
      </c>
      <c r="Q36" s="33">
        <f>quantInv[[#This Row],[UNIT
VALUE]]/AUDtoGBP</f>
        <v>5.4163373805589483</v>
      </c>
      <c r="R36">
        <f>IFERROR(VLOOKUP(quantInv[[#This Row],[Assigned Item SKU]],skuQuantity[#All],2,FALSE),0)</f>
        <v>5</v>
      </c>
      <c r="S36" t="str">
        <f>PROPER(quantInv[[#This Row],[Metal]] &amp; " " &amp; quantInv[[#This Row],[Item Type]])</f>
        <v>925 Silver Bracelet</v>
      </c>
      <c r="T36" s="33">
        <f>quantInv[[#This Row],[Quantity]]*quantInv[[#This Row],[WEIGHT]]</f>
        <v>11.735294117647051</v>
      </c>
      <c r="U36" s="33">
        <f>quantInv[[#This Row],[UNIT
VALUE]]*quantInv[[#This Row],[Quantity]]</f>
        <v>15.077999999999999</v>
      </c>
      <c r="V36" s="33">
        <f>quantInv[[#This Row],[Total Cost GBP]]/EURtoGBP</f>
        <v>17.115322402138563</v>
      </c>
      <c r="W36" s="33">
        <f>quantInv[[#This Row],[Total Cost GBP]]/USDtoGBP</f>
        <v>20.669433009405292</v>
      </c>
      <c r="X36" s="33">
        <f>quantInv[[#This Row],[Total Cost GBP]]/CADtoGBP</f>
        <v>26.458062444396479</v>
      </c>
      <c r="Y36" s="33">
        <f>quantInv[[#This Row],[Quantity]]*quantInv[[#This Row],[UNIT
VALUE AUD]]</f>
        <v>27.081686902794743</v>
      </c>
      <c r="Z36" s="33"/>
    </row>
    <row r="37" spans="1:26" x14ac:dyDescent="0.25">
      <c r="A37" t="s">
        <v>77</v>
      </c>
      <c r="B37" t="s">
        <v>225</v>
      </c>
      <c r="C37" t="s">
        <v>114</v>
      </c>
      <c r="D37" t="s">
        <v>213</v>
      </c>
      <c r="E37">
        <v>5.0941176470588196</v>
      </c>
      <c r="F37" s="33">
        <v>6.0029000000000003</v>
      </c>
      <c r="G37" s="33" t="s">
        <v>117</v>
      </c>
      <c r="H37" t="s">
        <v>103</v>
      </c>
      <c r="I37" t="str">
        <f>IF(quantInv[[#This Row],[Metal]] = "925 Silver",  "7113.11.00"," 7113.19.00")</f>
        <v>7113.11.00</v>
      </c>
      <c r="J37" t="str">
        <f>IF(quantInv[[#This Row],[Metal]] = "925 Silver", "7113.11.10.00"," 7113.19.10.00")</f>
        <v>7113.11.10.00</v>
      </c>
      <c r="K37" t="str">
        <f>IF(quantInv[[#This Row],[Metal]] = "925 Silver",  "7113.11.00"," 7113.19.00")</f>
        <v>7113.11.00</v>
      </c>
      <c r="L37" t="str">
        <f>IFERROR(VLOOKUP(quantInv[[#This Row],[Description for New Invoice]],Map!$G$12:$H$32,2,FALSE), IF(quantInv[[#This Row],[Metal]] = "925 Silver", "7113.11.10.00", "7113.19.29.00"))</f>
        <v>7113.11.10.00</v>
      </c>
      <c r="M37" t="str">
        <f>quantInv[[#This Row],[ASIN]] &amp; " " &amp; quantInv[[#This Row],[Short Description]]</f>
        <v>B073GBXF5Q Ball Chain</v>
      </c>
      <c r="N37" s="33">
        <f>quantInv[[#This Row],[UNIT
VALUE]] / EURtoGBP</f>
        <v>6.8140050966837507</v>
      </c>
      <c r="O37" s="33">
        <f>quantInv[[#This Row],[UNIT
VALUE]]/USDtoGBP</f>
        <v>8.2289786053958771</v>
      </c>
      <c r="P37" s="33">
        <f>quantInv[[#This Row],[UNIT
VALUE]] / CADtoGBP</f>
        <v>10.533565661723546</v>
      </c>
      <c r="Q37" s="33">
        <f>quantInv[[#This Row],[UNIT
VALUE]]/AUDtoGBP</f>
        <v>10.781844960126445</v>
      </c>
      <c r="R37">
        <f>IFERROR(VLOOKUP(quantInv[[#This Row],[Assigned Item SKU]],skuQuantity[#All],2,FALSE),0)</f>
        <v>0</v>
      </c>
      <c r="S37" t="str">
        <f>PROPER(quantInv[[#This Row],[Metal]] &amp; " " &amp; quantInv[[#This Row],[Item Type]])</f>
        <v>925 Silver Chain</v>
      </c>
      <c r="T37" s="33">
        <f>quantInv[[#This Row],[Quantity]]*quantInv[[#This Row],[WEIGHT]]</f>
        <v>0</v>
      </c>
      <c r="U37" s="33">
        <f>quantInv[[#This Row],[UNIT
VALUE]]*quantInv[[#This Row],[Quantity]]</f>
        <v>0</v>
      </c>
      <c r="V37" s="33">
        <f>quantInv[[#This Row],[Total Cost GBP]]/EURtoGBP</f>
        <v>0</v>
      </c>
      <c r="W37" s="33">
        <f>quantInv[[#This Row],[Total Cost GBP]]/USDtoGBP</f>
        <v>0</v>
      </c>
      <c r="X37" s="33">
        <f>quantInv[[#This Row],[Total Cost GBP]]/CADtoGBP</f>
        <v>0</v>
      </c>
      <c r="Y37" s="33">
        <f>quantInv[[#This Row],[Quantity]]*quantInv[[#This Row],[UNIT
VALUE AUD]]</f>
        <v>0</v>
      </c>
      <c r="Z37" s="33"/>
    </row>
    <row r="38" spans="1:26" x14ac:dyDescent="0.25">
      <c r="A38" t="s">
        <v>420</v>
      </c>
      <c r="B38" t="s">
        <v>421</v>
      </c>
      <c r="C38" t="s">
        <v>113</v>
      </c>
      <c r="D38" t="s">
        <v>419</v>
      </c>
      <c r="E38">
        <v>4.0380000000000003</v>
      </c>
      <c r="F38" s="33">
        <v>4.1902999999999997</v>
      </c>
      <c r="G38" s="33" t="s">
        <v>117</v>
      </c>
      <c r="H38" t="s">
        <v>1414</v>
      </c>
      <c r="I38" t="str">
        <f>IF(quantInv[[#This Row],[Metal]] = "925 Silver",  "7113.11.00"," 7113.19.00")</f>
        <v>7113.11.00</v>
      </c>
      <c r="J38" t="str">
        <f>IF(quantInv[[#This Row],[Metal]] = "925 Silver", "7113.11.10.00"," 7113.19.10.00")</f>
        <v>7113.11.10.00</v>
      </c>
      <c r="K38" t="str">
        <f>IF(quantInv[[#This Row],[Metal]] = "925 Silver",  "7113.11.00"," 7113.19.00")</f>
        <v>7113.11.00</v>
      </c>
      <c r="L38" t="str">
        <f>IFERROR(VLOOKUP(quantInv[[#This Row],[Description for New Invoice]],Map!$G$12:$H$32,2,FALSE), IF(quantInv[[#This Row],[Metal]] = "925 Silver", "7113.11.10.00", "7113.19.29.00"))</f>
        <v>7113.11.10.00</v>
      </c>
      <c r="M38" t="str">
        <f>quantInv[[#This Row],[ASIN]] &amp; " " &amp; quantInv[[#This Row],[Short Description]]</f>
        <v>B01MUCWVDN Garibaldi Chain</v>
      </c>
      <c r="N38" s="33">
        <f>quantInv[[#This Row],[UNIT
VALUE]] / EURtoGBP</f>
        <v>4.7564886232710721</v>
      </c>
      <c r="O38" s="33">
        <f>quantInv[[#This Row],[UNIT
VALUE]]/USDtoGBP</f>
        <v>5.7442051425461589</v>
      </c>
      <c r="P38" s="33">
        <f>quantInv[[#This Row],[UNIT
VALUE]] / CADtoGBP</f>
        <v>7.3529127908711081</v>
      </c>
      <c r="Q38" s="33">
        <f>quantInv[[#This Row],[UNIT
VALUE]]/AUDtoGBP</f>
        <v>7.5262231482146698</v>
      </c>
      <c r="R38">
        <f>IFERROR(VLOOKUP(quantInv[[#This Row],[Assigned Item SKU]],skuQuantity[#All],2,FALSE),0)</f>
        <v>0</v>
      </c>
      <c r="S38" t="str">
        <f>PROPER(quantInv[[#This Row],[Metal]] &amp; " " &amp; quantInv[[#This Row],[Item Type]])</f>
        <v>925 Silver Bracelet</v>
      </c>
      <c r="T38" s="33">
        <f>quantInv[[#This Row],[Quantity]]*quantInv[[#This Row],[WEIGHT]]</f>
        <v>0</v>
      </c>
      <c r="U38" s="33">
        <f>quantInv[[#This Row],[UNIT
VALUE]]*quantInv[[#This Row],[Quantity]]</f>
        <v>0</v>
      </c>
      <c r="V38" s="33">
        <f>quantInv[[#This Row],[Total Cost GBP]]/EURtoGBP</f>
        <v>0</v>
      </c>
      <c r="W38" s="33">
        <f>quantInv[[#This Row],[Total Cost GBP]]/USDtoGBP</f>
        <v>0</v>
      </c>
      <c r="X38" s="33">
        <f>quantInv[[#This Row],[Total Cost GBP]]/CADtoGBP</f>
        <v>0</v>
      </c>
      <c r="Y38" s="33">
        <f>quantInv[[#This Row],[Quantity]]*quantInv[[#This Row],[UNIT
VALUE AUD]]</f>
        <v>0</v>
      </c>
      <c r="Z38" s="33"/>
    </row>
    <row r="39" spans="1:26" x14ac:dyDescent="0.25">
      <c r="A39" t="s">
        <v>435</v>
      </c>
      <c r="B39" t="s">
        <v>436</v>
      </c>
      <c r="C39" t="s">
        <v>113</v>
      </c>
      <c r="D39" t="s">
        <v>428</v>
      </c>
      <c r="E39">
        <v>2.7946666666666702</v>
      </c>
      <c r="F39" s="33">
        <v>2.9333999999999998</v>
      </c>
      <c r="G39" s="33" t="s">
        <v>117</v>
      </c>
      <c r="H39" t="s">
        <v>103</v>
      </c>
      <c r="I39" t="str">
        <f>IF(quantInv[[#This Row],[Metal]] = "925 Silver",  "7113.11.00"," 7113.19.00")</f>
        <v>7113.11.00</v>
      </c>
      <c r="J39" t="str">
        <f>IF(quantInv[[#This Row],[Metal]] = "925 Silver", "7113.11.10.00"," 7113.19.10.00")</f>
        <v>7113.11.10.00</v>
      </c>
      <c r="K39" t="str">
        <f>IF(quantInv[[#This Row],[Metal]] = "925 Silver",  "7113.11.00"," 7113.19.00")</f>
        <v>7113.11.00</v>
      </c>
      <c r="L39" t="str">
        <f>IFERROR(VLOOKUP(quantInv[[#This Row],[Description for New Invoice]],Map!$G$12:$H$32,2,FALSE), IF(quantInv[[#This Row],[Metal]] = "925 Silver", "7113.11.10.00", "7113.19.29.00"))</f>
        <v>7113.11.10.00</v>
      </c>
      <c r="M39" t="str">
        <f>quantInv[[#This Row],[ASIN]] &amp; " " &amp; quantInv[[#This Row],[Short Description]]</f>
        <v>B00DKCZEQ0 Rhombus Chain</v>
      </c>
      <c r="N39" s="33">
        <f>quantInv[[#This Row],[UNIT
VALUE]] / EURtoGBP</f>
        <v>3.3297577088760617</v>
      </c>
      <c r="O39" s="33">
        <f>quantInv[[#This Row],[UNIT
VALUE]]/USDtoGBP</f>
        <v>4.021204058216572</v>
      </c>
      <c r="P39" s="33">
        <f>quantInv[[#This Row],[UNIT
VALUE]] / CADtoGBP</f>
        <v>5.1473723553782085</v>
      </c>
      <c r="Q39" s="33">
        <f>quantInv[[#This Row],[UNIT
VALUE]]/AUDtoGBP</f>
        <v>5.2686974638982678</v>
      </c>
      <c r="R39">
        <f>IFERROR(VLOOKUP(quantInv[[#This Row],[Assigned Item SKU]],skuQuantity[#All],2,FALSE),0)</f>
        <v>50</v>
      </c>
      <c r="S39" t="str">
        <f>PROPER(quantInv[[#This Row],[Metal]] &amp; " " &amp; quantInv[[#This Row],[Item Type]])</f>
        <v>925 Silver Chain</v>
      </c>
      <c r="T39" s="33">
        <f>quantInv[[#This Row],[Quantity]]*quantInv[[#This Row],[WEIGHT]]</f>
        <v>139.73333333333352</v>
      </c>
      <c r="U39" s="33">
        <f>quantInv[[#This Row],[UNIT
VALUE]]*quantInv[[#This Row],[Quantity]]</f>
        <v>146.66999999999999</v>
      </c>
      <c r="V39" s="33">
        <f>quantInv[[#This Row],[Total Cost GBP]]/EURtoGBP</f>
        <v>166.48788544380309</v>
      </c>
      <c r="W39" s="33">
        <f>quantInv[[#This Row],[Total Cost GBP]]/USDtoGBP</f>
        <v>201.06020291082862</v>
      </c>
      <c r="X39" s="33">
        <f>quantInv[[#This Row],[Total Cost GBP]]/CADtoGBP</f>
        <v>257.36861776891044</v>
      </c>
      <c r="Y39" s="33">
        <f>quantInv[[#This Row],[Quantity]]*quantInv[[#This Row],[UNIT
VALUE AUD]]</f>
        <v>263.43487319491339</v>
      </c>
      <c r="Z39" s="33"/>
    </row>
    <row r="40" spans="1:26" x14ac:dyDescent="0.25">
      <c r="A40" t="s">
        <v>228</v>
      </c>
      <c r="B40" t="s">
        <v>229</v>
      </c>
      <c r="C40" t="s">
        <v>114</v>
      </c>
      <c r="D40" t="s">
        <v>230</v>
      </c>
      <c r="E40">
        <v>1.6843137254902001</v>
      </c>
      <c r="F40" s="33">
        <v>2.3662999999999998</v>
      </c>
      <c r="G40" s="33" t="s">
        <v>117</v>
      </c>
      <c r="H40" t="s">
        <v>1414</v>
      </c>
      <c r="I40" t="str">
        <f>IF(quantInv[[#This Row],[Metal]] = "925 Silver",  "7113.11.00"," 7113.19.00")</f>
        <v>7113.11.00</v>
      </c>
      <c r="J40" t="str">
        <f>IF(quantInv[[#This Row],[Metal]] = "925 Silver", "7113.11.10.00"," 7113.19.10.00")</f>
        <v>7113.11.10.00</v>
      </c>
      <c r="K40" t="str">
        <f>IF(quantInv[[#This Row],[Metal]] = "925 Silver",  "7113.11.00"," 7113.19.00")</f>
        <v>7113.11.00</v>
      </c>
      <c r="L40" t="str">
        <f>IFERROR(VLOOKUP(quantInv[[#This Row],[Description for New Invoice]],Map!$G$12:$H$32,2,FALSE), IF(quantInv[[#This Row],[Metal]] = "925 Silver", "7113.11.10.00", "7113.19.29.00"))</f>
        <v>7113.11.10.00</v>
      </c>
      <c r="M40" t="str">
        <f>quantInv[[#This Row],[ASIN]] &amp; " " &amp; quantInv[[#This Row],[Short Description]]</f>
        <v>B073V2ZLZY French Rope Chain</v>
      </c>
      <c r="N40" s="33">
        <f>quantInv[[#This Row],[UNIT
VALUE]] / EURtoGBP</f>
        <v>2.6860317946796979</v>
      </c>
      <c r="O40" s="33">
        <f>quantInv[[#This Row],[UNIT
VALUE]]/USDtoGBP</f>
        <v>3.2438041736407839</v>
      </c>
      <c r="P40" s="33">
        <f>quantInv[[#This Row],[UNIT
VALUE]] / CADtoGBP</f>
        <v>4.1522558139126797</v>
      </c>
      <c r="Q40" s="33">
        <f>quantInv[[#This Row],[UNIT
VALUE]]/AUDtoGBP</f>
        <v>4.2501257274229465</v>
      </c>
      <c r="R40">
        <f>IFERROR(VLOOKUP(quantInv[[#This Row],[Assigned Item SKU]],skuQuantity[#All],2,FALSE),0)</f>
        <v>0</v>
      </c>
      <c r="S40" t="str">
        <f>PROPER(quantInv[[#This Row],[Metal]] &amp; " " &amp; quantInv[[#This Row],[Item Type]])</f>
        <v>925 Silver Bracelet</v>
      </c>
      <c r="T40" s="33">
        <f>quantInv[[#This Row],[Quantity]]*quantInv[[#This Row],[WEIGHT]]</f>
        <v>0</v>
      </c>
      <c r="U40" s="33">
        <f>quantInv[[#This Row],[UNIT
VALUE]]*quantInv[[#This Row],[Quantity]]</f>
        <v>0</v>
      </c>
      <c r="V40" s="33">
        <f>quantInv[[#This Row],[Total Cost GBP]]/EURtoGBP</f>
        <v>0</v>
      </c>
      <c r="W40" s="33">
        <f>quantInv[[#This Row],[Total Cost GBP]]/USDtoGBP</f>
        <v>0</v>
      </c>
      <c r="X40" s="33">
        <f>quantInv[[#This Row],[Total Cost GBP]]/CADtoGBP</f>
        <v>0</v>
      </c>
      <c r="Y40" s="33">
        <f>quantInv[[#This Row],[Quantity]]*quantInv[[#This Row],[UNIT
VALUE AUD]]</f>
        <v>0</v>
      </c>
      <c r="Z40" s="33"/>
    </row>
    <row r="41" spans="1:26" x14ac:dyDescent="0.25">
      <c r="A41" t="s">
        <v>231</v>
      </c>
      <c r="B41" t="s">
        <v>232</v>
      </c>
      <c r="C41" t="s">
        <v>114</v>
      </c>
      <c r="D41" t="s">
        <v>230</v>
      </c>
      <c r="E41">
        <v>1.78823529411765</v>
      </c>
      <c r="F41" s="33">
        <v>2.4908000000000001</v>
      </c>
      <c r="G41" s="33" t="s">
        <v>117</v>
      </c>
      <c r="H41" t="s">
        <v>1414</v>
      </c>
      <c r="I41" t="str">
        <f>IF(quantInv[[#This Row],[Metal]] = "925 Silver",  "7113.11.00"," 7113.19.00")</f>
        <v>7113.11.00</v>
      </c>
      <c r="J41" t="str">
        <f>IF(quantInv[[#This Row],[Metal]] = "925 Silver", "7113.11.10.00"," 7113.19.10.00")</f>
        <v>7113.11.10.00</v>
      </c>
      <c r="K41" t="str">
        <f>IF(quantInv[[#This Row],[Metal]] = "925 Silver",  "7113.11.00"," 7113.19.00")</f>
        <v>7113.11.00</v>
      </c>
      <c r="L41" t="str">
        <f>IFERROR(VLOOKUP(quantInv[[#This Row],[Description for New Invoice]],Map!$G$12:$H$32,2,FALSE), IF(quantInv[[#This Row],[Metal]] = "925 Silver", "7113.11.10.00", "7113.19.29.00"))</f>
        <v>7113.11.10.00</v>
      </c>
      <c r="M41" t="str">
        <f>quantInv[[#This Row],[ASIN]] &amp; " " &amp; quantInv[[#This Row],[Short Description]]</f>
        <v>B073V3S8XH French Rope Chain</v>
      </c>
      <c r="N41" s="33">
        <f>quantInv[[#This Row],[UNIT
VALUE]] / EURtoGBP</f>
        <v>2.8273540946575633</v>
      </c>
      <c r="O41" s="33">
        <f>quantInv[[#This Row],[UNIT
VALUE]]/USDtoGBP</f>
        <v>3.4144729897749504</v>
      </c>
      <c r="P41" s="33">
        <f>quantInv[[#This Row],[UNIT
VALUE]] / CADtoGBP</f>
        <v>4.3707217095438891</v>
      </c>
      <c r="Q41" s="33">
        <f>quantInv[[#This Row],[UNIT
VALUE]]/AUDtoGBP</f>
        <v>4.473740929664487</v>
      </c>
      <c r="R41">
        <f>IFERROR(VLOOKUP(quantInv[[#This Row],[Assigned Item SKU]],skuQuantity[#All],2,FALSE),0)</f>
        <v>0</v>
      </c>
      <c r="S41" t="str">
        <f>PROPER(quantInv[[#This Row],[Metal]] &amp; " " &amp; quantInv[[#This Row],[Item Type]])</f>
        <v>925 Silver Bracelet</v>
      </c>
      <c r="T41" s="33">
        <f>quantInv[[#This Row],[Quantity]]*quantInv[[#This Row],[WEIGHT]]</f>
        <v>0</v>
      </c>
      <c r="U41" s="33">
        <f>quantInv[[#This Row],[UNIT
VALUE]]*quantInv[[#This Row],[Quantity]]</f>
        <v>0</v>
      </c>
      <c r="V41" s="33">
        <f>quantInv[[#This Row],[Total Cost GBP]]/EURtoGBP</f>
        <v>0</v>
      </c>
      <c r="W41" s="33">
        <f>quantInv[[#This Row],[Total Cost GBP]]/USDtoGBP</f>
        <v>0</v>
      </c>
      <c r="X41" s="33">
        <f>quantInv[[#This Row],[Total Cost GBP]]/CADtoGBP</f>
        <v>0</v>
      </c>
      <c r="Y41" s="33">
        <f>quantInv[[#This Row],[Quantity]]*quantInv[[#This Row],[UNIT
VALUE AUD]]</f>
        <v>0</v>
      </c>
      <c r="Z41" s="33"/>
    </row>
    <row r="42" spans="1:26" x14ac:dyDescent="0.25">
      <c r="A42" t="s">
        <v>46</v>
      </c>
      <c r="B42" t="s">
        <v>475</v>
      </c>
      <c r="C42" t="s">
        <v>113</v>
      </c>
      <c r="D42" t="s">
        <v>200</v>
      </c>
      <c r="E42">
        <v>2.7071146245059299</v>
      </c>
      <c r="F42" s="33">
        <v>2.7332000000000001</v>
      </c>
      <c r="G42" s="33" t="s">
        <v>117</v>
      </c>
      <c r="H42" t="s">
        <v>103</v>
      </c>
      <c r="I42" t="str">
        <f>IF(quantInv[[#This Row],[Metal]] = "925 Silver",  "7113.11.00"," 7113.19.00")</f>
        <v>7113.11.00</v>
      </c>
      <c r="J42" t="str">
        <f>IF(quantInv[[#This Row],[Metal]] = "925 Silver", "7113.11.10.00"," 7113.19.10.00")</f>
        <v>7113.11.10.00</v>
      </c>
      <c r="K42" t="str">
        <f>IF(quantInv[[#This Row],[Metal]] = "925 Silver",  "7113.11.00"," 7113.19.00")</f>
        <v>7113.11.00</v>
      </c>
      <c r="L42" t="str">
        <f>IFERROR(VLOOKUP(quantInv[[#This Row],[Description for New Invoice]],Map!$G$12:$H$32,2,FALSE), IF(quantInv[[#This Row],[Metal]] = "925 Silver", "7113.11.10.00", "7113.19.29.00"))</f>
        <v>7113.11.10.00</v>
      </c>
      <c r="M42" t="str">
        <f>quantInv[[#This Row],[ASIN]] &amp; " " &amp; quantInv[[#This Row],[Short Description]]</f>
        <v>B012EOLKEO Venice Box Chain</v>
      </c>
      <c r="N42" s="33">
        <f>quantInv[[#This Row],[UNIT
VALUE]] / EURtoGBP</f>
        <v>3.1025069100361535</v>
      </c>
      <c r="O42" s="33">
        <f>quantInv[[#This Row],[UNIT
VALUE]]/USDtoGBP</f>
        <v>3.7467631185373751</v>
      </c>
      <c r="P42" s="33">
        <f>quantInv[[#This Row],[UNIT
VALUE]] / CADtoGBP</f>
        <v>4.7960721762186269</v>
      </c>
      <c r="Q42" s="33">
        <f>quantInv[[#This Row],[UNIT
VALUE]]/AUDtoGBP</f>
        <v>4.9091170342697028</v>
      </c>
      <c r="R42">
        <f>IFERROR(VLOOKUP(quantInv[[#This Row],[Assigned Item SKU]],skuQuantity[#All],2,FALSE),0)</f>
        <v>80</v>
      </c>
      <c r="S42" t="str">
        <f>PROPER(quantInv[[#This Row],[Metal]] &amp; " " &amp; quantInv[[#This Row],[Item Type]])</f>
        <v>925 Silver Chain</v>
      </c>
      <c r="T42" s="33">
        <f>quantInv[[#This Row],[Quantity]]*quantInv[[#This Row],[WEIGHT]]</f>
        <v>216.5691699604744</v>
      </c>
      <c r="U42" s="33">
        <f>quantInv[[#This Row],[UNIT
VALUE]]*quantInv[[#This Row],[Quantity]]</f>
        <v>218.65600000000001</v>
      </c>
      <c r="V42" s="33">
        <f>quantInv[[#This Row],[Total Cost GBP]]/EURtoGBP</f>
        <v>248.2005528028923</v>
      </c>
      <c r="W42" s="33">
        <f>quantInv[[#This Row],[Total Cost GBP]]/USDtoGBP</f>
        <v>299.74104948299004</v>
      </c>
      <c r="X42" s="33">
        <f>quantInv[[#This Row],[Total Cost GBP]]/CADtoGBP</f>
        <v>383.6857740974902</v>
      </c>
      <c r="Y42" s="33">
        <f>quantInv[[#This Row],[Quantity]]*quantInv[[#This Row],[UNIT
VALUE AUD]]</f>
        <v>392.72936274157621</v>
      </c>
      <c r="Z42" s="33"/>
    </row>
    <row r="43" spans="1:26" x14ac:dyDescent="0.25">
      <c r="A43" t="s">
        <v>236</v>
      </c>
      <c r="B43" t="s">
        <v>237</v>
      </c>
      <c r="C43" t="s">
        <v>114</v>
      </c>
      <c r="D43" t="s">
        <v>235</v>
      </c>
      <c r="E43">
        <v>3.8</v>
      </c>
      <c r="F43" s="33">
        <v>4.9680999999999997</v>
      </c>
      <c r="G43" s="33" t="s">
        <v>117</v>
      </c>
      <c r="H43" t="s">
        <v>103</v>
      </c>
      <c r="I43" t="str">
        <f>IF(quantInv[[#This Row],[Metal]] = "925 Silver",  "7113.11.00"," 7113.19.00")</f>
        <v>7113.11.00</v>
      </c>
      <c r="J43" t="str">
        <f>IF(quantInv[[#This Row],[Metal]] = "925 Silver", "7113.11.10.00"," 7113.19.10.00")</f>
        <v>7113.11.10.00</v>
      </c>
      <c r="K43" t="str">
        <f>IF(quantInv[[#This Row],[Metal]] = "925 Silver",  "7113.11.00"," 7113.19.00")</f>
        <v>7113.11.00</v>
      </c>
      <c r="L43" t="str">
        <f>IFERROR(VLOOKUP(quantInv[[#This Row],[Description for New Invoice]],Map!$G$12:$H$32,2,FALSE), IF(quantInv[[#This Row],[Metal]] = "925 Silver", "7113.11.10.00", "7113.19.29.00"))</f>
        <v>7113.11.10.00</v>
      </c>
      <c r="M43" t="str">
        <f>quantInv[[#This Row],[ASIN]] &amp; " " &amp; quantInv[[#This Row],[Short Description]]</f>
        <v>B073G8D9H6 Snake Chain</v>
      </c>
      <c r="N43" s="33">
        <f>quantInv[[#This Row],[UNIT
VALUE]] / EURtoGBP</f>
        <v>5.639384084498249</v>
      </c>
      <c r="O43" s="33">
        <f>quantInv[[#This Row],[UNIT
VALUE]]/USDtoGBP</f>
        <v>6.8104397223787254</v>
      </c>
      <c r="P43" s="33">
        <f>quantInv[[#This Row],[UNIT
VALUE]] / CADtoGBP</f>
        <v>8.717754346067526</v>
      </c>
      <c r="Q43" s="33">
        <f>quantInv[[#This Row],[UNIT
VALUE]]/AUDtoGBP</f>
        <v>8.9232344277606135</v>
      </c>
      <c r="R43">
        <f>IFERROR(VLOOKUP(quantInv[[#This Row],[Assigned Item SKU]],skuQuantity[#All],2,FALSE),0)</f>
        <v>0</v>
      </c>
      <c r="S43" t="str">
        <f>PROPER(quantInv[[#This Row],[Metal]] &amp; " " &amp; quantInv[[#This Row],[Item Type]])</f>
        <v>925 Silver Chain</v>
      </c>
      <c r="T43" s="33">
        <f>quantInv[[#This Row],[Quantity]]*quantInv[[#This Row],[WEIGHT]]</f>
        <v>0</v>
      </c>
      <c r="U43" s="33">
        <f>quantInv[[#This Row],[UNIT
VALUE]]*quantInv[[#This Row],[Quantity]]</f>
        <v>0</v>
      </c>
      <c r="V43" s="33">
        <f>quantInv[[#This Row],[Total Cost GBP]]/EURtoGBP</f>
        <v>0</v>
      </c>
      <c r="W43" s="33">
        <f>quantInv[[#This Row],[Total Cost GBP]]/USDtoGBP</f>
        <v>0</v>
      </c>
      <c r="X43" s="33">
        <f>quantInv[[#This Row],[Total Cost GBP]]/CADtoGBP</f>
        <v>0</v>
      </c>
      <c r="Y43" s="33">
        <f>quantInv[[#This Row],[Quantity]]*quantInv[[#This Row],[UNIT
VALUE AUD]]</f>
        <v>0</v>
      </c>
      <c r="Z43" s="33"/>
    </row>
    <row r="44" spans="1:26" x14ac:dyDescent="0.25">
      <c r="A44" t="s">
        <v>44</v>
      </c>
      <c r="B44" t="s">
        <v>480</v>
      </c>
      <c r="C44" t="s">
        <v>114</v>
      </c>
      <c r="D44" t="s">
        <v>209</v>
      </c>
      <c r="E44">
        <v>5.98</v>
      </c>
      <c r="F44" s="33">
        <v>7.7492999999999999</v>
      </c>
      <c r="G44" s="33" t="s">
        <v>117</v>
      </c>
      <c r="H44" t="s">
        <v>1414</v>
      </c>
      <c r="I44" t="str">
        <f>IF(quantInv[[#This Row],[Metal]] = "925 Silver",  "7113.11.00"," 7113.19.00")</f>
        <v>7113.11.00</v>
      </c>
      <c r="J44" t="str">
        <f>IF(quantInv[[#This Row],[Metal]] = "925 Silver", "7113.11.10.00"," 7113.19.10.00")</f>
        <v>7113.11.10.00</v>
      </c>
      <c r="K44" t="str">
        <f>IF(quantInv[[#This Row],[Metal]] = "925 Silver",  "7113.11.00"," 7113.19.00")</f>
        <v>7113.11.00</v>
      </c>
      <c r="L44" t="str">
        <f>IFERROR(VLOOKUP(quantInv[[#This Row],[Description for New Invoice]],Map!$G$12:$H$32,2,FALSE), IF(quantInv[[#This Row],[Metal]] = "925 Silver", "7113.11.10.00", "7113.19.29.00"))</f>
        <v>7113.11.10.00</v>
      </c>
      <c r="M44" t="str">
        <f>quantInv[[#This Row],[ASIN]] &amp; " " &amp; quantInv[[#This Row],[Short Description]]</f>
        <v>B00DKD02Z2 Byzantine Chain</v>
      </c>
      <c r="N44" s="33">
        <f>quantInv[[#This Row],[UNIT
VALUE]] / EURtoGBP</f>
        <v>8.7963767005499651</v>
      </c>
      <c r="O44" s="33">
        <f>quantInv[[#This Row],[UNIT
VALUE]]/USDtoGBP</f>
        <v>10.623002866413611</v>
      </c>
      <c r="P44" s="33">
        <f>quantInv[[#This Row],[UNIT
VALUE]] / CADtoGBP</f>
        <v>13.59805433746927</v>
      </c>
      <c r="Q44" s="33">
        <f>quantInv[[#This Row],[UNIT
VALUE]]/AUDtoGBP</f>
        <v>13.918564552051151</v>
      </c>
      <c r="R44">
        <f>IFERROR(VLOOKUP(quantInv[[#This Row],[Assigned Item SKU]],skuQuantity[#All],2,FALSE),0)</f>
        <v>0</v>
      </c>
      <c r="S44" t="str">
        <f>PROPER(quantInv[[#This Row],[Metal]] &amp; " " &amp; quantInv[[#This Row],[Item Type]])</f>
        <v>925 Silver Bracelet</v>
      </c>
      <c r="T44" s="33">
        <f>quantInv[[#This Row],[Quantity]]*quantInv[[#This Row],[WEIGHT]]</f>
        <v>0</v>
      </c>
      <c r="U44" s="33">
        <f>quantInv[[#This Row],[UNIT
VALUE]]*quantInv[[#This Row],[Quantity]]</f>
        <v>0</v>
      </c>
      <c r="V44" s="33">
        <f>quantInv[[#This Row],[Total Cost GBP]]/EURtoGBP</f>
        <v>0</v>
      </c>
      <c r="W44" s="33">
        <f>quantInv[[#This Row],[Total Cost GBP]]/USDtoGBP</f>
        <v>0</v>
      </c>
      <c r="X44" s="33">
        <f>quantInv[[#This Row],[Total Cost GBP]]/CADtoGBP</f>
        <v>0</v>
      </c>
      <c r="Y44" s="33">
        <f>quantInv[[#This Row],[Quantity]]*quantInv[[#This Row],[UNIT
VALUE AUD]]</f>
        <v>0</v>
      </c>
      <c r="Z44" s="33"/>
    </row>
    <row r="45" spans="1:26" x14ac:dyDescent="0.25">
      <c r="A45" t="s">
        <v>240</v>
      </c>
      <c r="B45" t="s">
        <v>241</v>
      </c>
      <c r="C45" t="s">
        <v>114</v>
      </c>
      <c r="D45" t="s">
        <v>242</v>
      </c>
      <c r="E45">
        <v>1.36666666666667</v>
      </c>
      <c r="F45" s="33">
        <v>2.0821000000000001</v>
      </c>
      <c r="G45" s="33" t="s">
        <v>117</v>
      </c>
      <c r="H45" t="s">
        <v>1414</v>
      </c>
      <c r="I45" t="str">
        <f>IF(quantInv[[#This Row],[Metal]] = "925 Silver",  "7113.11.00"," 7113.19.00")</f>
        <v>7113.11.00</v>
      </c>
      <c r="J45" t="str">
        <f>IF(quantInv[[#This Row],[Metal]] = "925 Silver", "7113.11.10.00"," 7113.19.10.00")</f>
        <v>7113.11.10.00</v>
      </c>
      <c r="K45" t="str">
        <f>IF(quantInv[[#This Row],[Metal]] = "925 Silver",  "7113.11.00"," 7113.19.00")</f>
        <v>7113.11.00</v>
      </c>
      <c r="L45" t="str">
        <f>IFERROR(VLOOKUP(quantInv[[#This Row],[Description for New Invoice]],Map!$G$12:$H$32,2,FALSE), IF(quantInv[[#This Row],[Metal]] = "925 Silver", "7113.11.10.00", "7113.19.29.00"))</f>
        <v>7113.11.10.00</v>
      </c>
      <c r="M45" t="str">
        <f>quantInv[[#This Row],[ASIN]] &amp; " " &amp; quantInv[[#This Row],[Short Description]]</f>
        <v>B073V3KRZ4 Heart Chain</v>
      </c>
      <c r="N45" s="33">
        <f>quantInv[[#This Row],[UNIT
VALUE]] / EURtoGBP</f>
        <v>2.3634310103125551</v>
      </c>
      <c r="O45" s="33">
        <f>quantInv[[#This Row],[UNIT
VALUE]]/USDtoGBP</f>
        <v>2.8542131893409444</v>
      </c>
      <c r="P45" s="33">
        <f>quantInv[[#This Row],[UNIT
VALUE]] / CADtoGBP</f>
        <v>3.6535569581826444</v>
      </c>
      <c r="Q45" s="33">
        <f>quantInv[[#This Row],[UNIT
VALUE]]/AUDtoGBP</f>
        <v>3.7396723902579208</v>
      </c>
      <c r="R45">
        <f>IFERROR(VLOOKUP(quantInv[[#This Row],[Assigned Item SKU]],skuQuantity[#All],2,FALSE),0)</f>
        <v>0</v>
      </c>
      <c r="S45" t="str">
        <f>PROPER(quantInv[[#This Row],[Metal]] &amp; " " &amp; quantInv[[#This Row],[Item Type]])</f>
        <v>925 Silver Bracelet</v>
      </c>
      <c r="T45" s="33">
        <f>quantInv[[#This Row],[Quantity]]*quantInv[[#This Row],[WEIGHT]]</f>
        <v>0</v>
      </c>
      <c r="U45" s="33">
        <f>quantInv[[#This Row],[UNIT
VALUE]]*quantInv[[#This Row],[Quantity]]</f>
        <v>0</v>
      </c>
      <c r="V45" s="33">
        <f>quantInv[[#This Row],[Total Cost GBP]]/EURtoGBP</f>
        <v>0</v>
      </c>
      <c r="W45" s="33">
        <f>quantInv[[#This Row],[Total Cost GBP]]/USDtoGBP</f>
        <v>0</v>
      </c>
      <c r="X45" s="33">
        <f>quantInv[[#This Row],[Total Cost GBP]]/CADtoGBP</f>
        <v>0</v>
      </c>
      <c r="Y45" s="33">
        <f>quantInv[[#This Row],[Quantity]]*quantInv[[#This Row],[UNIT
VALUE AUD]]</f>
        <v>0</v>
      </c>
      <c r="Z45" s="33"/>
    </row>
    <row r="46" spans="1:26" x14ac:dyDescent="0.25">
      <c r="A46" t="s">
        <v>243</v>
      </c>
      <c r="B46" t="s">
        <v>244</v>
      </c>
      <c r="C46" t="s">
        <v>114</v>
      </c>
      <c r="D46" t="s">
        <v>242</v>
      </c>
      <c r="E46">
        <v>1.43225806451613</v>
      </c>
      <c r="F46" s="33">
        <v>2.1652999999999998</v>
      </c>
      <c r="G46" s="33" t="s">
        <v>117</v>
      </c>
      <c r="H46" t="s">
        <v>1414</v>
      </c>
      <c r="I46" t="str">
        <f>IF(quantInv[[#This Row],[Metal]] = "925 Silver",  "7113.11.00"," 7113.19.00")</f>
        <v>7113.11.00</v>
      </c>
      <c r="J46" t="str">
        <f>IF(quantInv[[#This Row],[Metal]] = "925 Silver", "7113.11.10.00"," 7113.19.10.00")</f>
        <v>7113.11.10.00</v>
      </c>
      <c r="K46" t="str">
        <f>IF(quantInv[[#This Row],[Metal]] = "925 Silver",  "7113.11.00"," 7113.19.00")</f>
        <v>7113.11.00</v>
      </c>
      <c r="L46" t="str">
        <f>IFERROR(VLOOKUP(quantInv[[#This Row],[Description for New Invoice]],Map!$G$12:$H$32,2,FALSE), IF(quantInv[[#This Row],[Metal]] = "925 Silver", "7113.11.10.00", "7113.19.29.00"))</f>
        <v>7113.11.10.00</v>
      </c>
      <c r="M46" t="str">
        <f>quantInv[[#This Row],[ASIN]] &amp; " " &amp; quantInv[[#This Row],[Short Description]]</f>
        <v>B073V45K2H Heart Chain</v>
      </c>
      <c r="N46" s="33">
        <f>quantInv[[#This Row],[UNIT
VALUE]] / EURtoGBP</f>
        <v>2.4578729007395297</v>
      </c>
      <c r="O46" s="33">
        <f>quantInv[[#This Row],[UNIT
VALUE]]/USDtoGBP</f>
        <v>2.968266566869961</v>
      </c>
      <c r="P46" s="33">
        <f>quantInv[[#This Row],[UNIT
VALUE]] / CADtoGBP</f>
        <v>3.7995518378333792</v>
      </c>
      <c r="Q46" s="33">
        <f>quantInv[[#This Row],[UNIT
VALUE]]/AUDtoGBP</f>
        <v>3.8891084129607005</v>
      </c>
      <c r="R46">
        <f>IFERROR(VLOOKUP(quantInv[[#This Row],[Assigned Item SKU]],skuQuantity[#All],2,FALSE),0)</f>
        <v>0</v>
      </c>
      <c r="S46" t="str">
        <f>PROPER(quantInv[[#This Row],[Metal]] &amp; " " &amp; quantInv[[#This Row],[Item Type]])</f>
        <v>925 Silver Bracelet</v>
      </c>
      <c r="T46" s="33">
        <f>quantInv[[#This Row],[Quantity]]*quantInv[[#This Row],[WEIGHT]]</f>
        <v>0</v>
      </c>
      <c r="U46" s="33">
        <f>quantInv[[#This Row],[UNIT
VALUE]]*quantInv[[#This Row],[Quantity]]</f>
        <v>0</v>
      </c>
      <c r="V46" s="33">
        <f>quantInv[[#This Row],[Total Cost GBP]]/EURtoGBP</f>
        <v>0</v>
      </c>
      <c r="W46" s="33">
        <f>quantInv[[#This Row],[Total Cost GBP]]/USDtoGBP</f>
        <v>0</v>
      </c>
      <c r="X46" s="33">
        <f>quantInv[[#This Row],[Total Cost GBP]]/CADtoGBP</f>
        <v>0</v>
      </c>
      <c r="Y46" s="33">
        <f>quantInv[[#This Row],[Quantity]]*quantInv[[#This Row],[UNIT
VALUE AUD]]</f>
        <v>0</v>
      </c>
      <c r="Z46" s="33"/>
    </row>
    <row r="47" spans="1:26" x14ac:dyDescent="0.25">
      <c r="A47" t="s">
        <v>245</v>
      </c>
      <c r="B47" t="s">
        <v>246</v>
      </c>
      <c r="C47" t="s">
        <v>114</v>
      </c>
      <c r="D47" t="s">
        <v>242</v>
      </c>
      <c r="E47">
        <v>1.42</v>
      </c>
      <c r="F47" s="33">
        <v>2.1497000000000002</v>
      </c>
      <c r="G47" s="33" t="s">
        <v>117</v>
      </c>
      <c r="H47" t="s">
        <v>1414</v>
      </c>
      <c r="I47" t="str">
        <f>IF(quantInv[[#This Row],[Metal]] = "925 Silver",  "7113.11.00"," 7113.19.00")</f>
        <v>7113.11.00</v>
      </c>
      <c r="J47" t="str">
        <f>IF(quantInv[[#This Row],[Metal]] = "925 Silver", "7113.11.10.00"," 7113.19.10.00")</f>
        <v>7113.11.10.00</v>
      </c>
      <c r="K47" t="str">
        <f>IF(quantInv[[#This Row],[Metal]] = "925 Silver",  "7113.11.00"," 7113.19.00")</f>
        <v>7113.11.00</v>
      </c>
      <c r="L47" t="str">
        <f>IFERROR(VLOOKUP(quantInv[[#This Row],[Description for New Invoice]],Map!$G$12:$H$32,2,FALSE), IF(quantInv[[#This Row],[Metal]] = "925 Silver", "7113.11.10.00", "7113.19.29.00"))</f>
        <v>7113.11.10.00</v>
      </c>
      <c r="M47" t="str">
        <f>quantInv[[#This Row],[ASIN]] &amp; " " &amp; quantInv[[#This Row],[Short Description]]</f>
        <v>B073V3V133 Heart Chain</v>
      </c>
      <c r="N47" s="33">
        <f>quantInv[[#This Row],[UNIT
VALUE]] / EURtoGBP</f>
        <v>2.4401650462844722</v>
      </c>
      <c r="O47" s="33">
        <f>quantInv[[#This Row],[UNIT
VALUE]]/USDtoGBP</f>
        <v>2.9468815585832711</v>
      </c>
      <c r="P47" s="33">
        <f>quantInv[[#This Row],[UNIT
VALUE]] / CADtoGBP</f>
        <v>3.7721777978988671</v>
      </c>
      <c r="Q47" s="33">
        <f>quantInv[[#This Row],[UNIT
VALUE]]/AUDtoGBP</f>
        <v>3.8610891587039298</v>
      </c>
      <c r="R47">
        <f>IFERROR(VLOOKUP(quantInv[[#This Row],[Assigned Item SKU]],skuQuantity[#All],2,FALSE),0)</f>
        <v>0</v>
      </c>
      <c r="S47" t="str">
        <f>PROPER(quantInv[[#This Row],[Metal]] &amp; " " &amp; quantInv[[#This Row],[Item Type]])</f>
        <v>925 Silver Bracelet</v>
      </c>
      <c r="T47" s="33">
        <f>quantInv[[#This Row],[Quantity]]*quantInv[[#This Row],[WEIGHT]]</f>
        <v>0</v>
      </c>
      <c r="U47" s="33">
        <f>quantInv[[#This Row],[UNIT
VALUE]]*quantInv[[#This Row],[Quantity]]</f>
        <v>0</v>
      </c>
      <c r="V47" s="33">
        <f>quantInv[[#This Row],[Total Cost GBP]]/EURtoGBP</f>
        <v>0</v>
      </c>
      <c r="W47" s="33">
        <f>quantInv[[#This Row],[Total Cost GBP]]/USDtoGBP</f>
        <v>0</v>
      </c>
      <c r="X47" s="33">
        <f>quantInv[[#This Row],[Total Cost GBP]]/CADtoGBP</f>
        <v>0</v>
      </c>
      <c r="Y47" s="33">
        <f>quantInv[[#This Row],[Quantity]]*quantInv[[#This Row],[UNIT
VALUE AUD]]</f>
        <v>0</v>
      </c>
      <c r="Z47" s="33"/>
    </row>
    <row r="48" spans="1:26" x14ac:dyDescent="0.25">
      <c r="A48" t="s">
        <v>247</v>
      </c>
      <c r="B48" t="s">
        <v>248</v>
      </c>
      <c r="C48" t="s">
        <v>114</v>
      </c>
      <c r="D48" t="s">
        <v>242</v>
      </c>
      <c r="E48">
        <v>2.5588235294117601</v>
      </c>
      <c r="F48" s="33">
        <v>3.4592000000000001</v>
      </c>
      <c r="G48" s="33" t="s">
        <v>117</v>
      </c>
      <c r="H48" t="s">
        <v>103</v>
      </c>
      <c r="I48" t="str">
        <f>IF(quantInv[[#This Row],[Metal]] = "925 Silver",  "7113.11.00"," 7113.19.00")</f>
        <v>7113.11.00</v>
      </c>
      <c r="J48" t="str">
        <f>IF(quantInv[[#This Row],[Metal]] = "925 Silver", "7113.11.10.00"," 7113.19.10.00")</f>
        <v>7113.11.10.00</v>
      </c>
      <c r="K48" t="str">
        <f>IF(quantInv[[#This Row],[Metal]] = "925 Silver",  "7113.11.00"," 7113.19.00")</f>
        <v>7113.11.00</v>
      </c>
      <c r="L48" t="str">
        <f>IFERROR(VLOOKUP(quantInv[[#This Row],[Description for New Invoice]],Map!$G$12:$H$32,2,FALSE), IF(quantInv[[#This Row],[Metal]] = "925 Silver", "7113.11.10.00", "7113.19.29.00"))</f>
        <v>7113.11.10.00</v>
      </c>
      <c r="M48" t="str">
        <f>quantInv[[#This Row],[ASIN]] &amp; " " &amp; quantInv[[#This Row],[Short Description]]</f>
        <v>B072NC1X39 Heart Chain</v>
      </c>
      <c r="N48" s="33">
        <f>quantInv[[#This Row],[UNIT
VALUE]] / EURtoGBP</f>
        <v>3.9266032135215361</v>
      </c>
      <c r="O48" s="33">
        <f>quantInv[[#This Row],[UNIT
VALUE]]/USDtoGBP</f>
        <v>4.7419885041872121</v>
      </c>
      <c r="P48" s="33">
        <f>quantInv[[#This Row],[UNIT
VALUE]] / CADtoGBP</f>
        <v>6.070017880863265</v>
      </c>
      <c r="Q48" s="33">
        <f>quantInv[[#This Row],[UNIT
VALUE]]/AUDtoGBP</f>
        <v>6.2130900208348301</v>
      </c>
      <c r="R48">
        <f>IFERROR(VLOOKUP(quantInv[[#This Row],[Assigned Item SKU]],skuQuantity[#All],2,FALSE),0)</f>
        <v>0</v>
      </c>
      <c r="S48" t="str">
        <f>PROPER(quantInv[[#This Row],[Metal]] &amp; " " &amp; quantInv[[#This Row],[Item Type]])</f>
        <v>925 Silver Chain</v>
      </c>
      <c r="T48" s="33">
        <f>quantInv[[#This Row],[Quantity]]*quantInv[[#This Row],[WEIGHT]]</f>
        <v>0</v>
      </c>
      <c r="U48" s="33">
        <f>quantInv[[#This Row],[UNIT
VALUE]]*quantInv[[#This Row],[Quantity]]</f>
        <v>0</v>
      </c>
      <c r="V48" s="33">
        <f>quantInv[[#This Row],[Total Cost GBP]]/EURtoGBP</f>
        <v>0</v>
      </c>
      <c r="W48" s="33">
        <f>quantInv[[#This Row],[Total Cost GBP]]/USDtoGBP</f>
        <v>0</v>
      </c>
      <c r="X48" s="33">
        <f>quantInv[[#This Row],[Total Cost GBP]]/CADtoGBP</f>
        <v>0</v>
      </c>
      <c r="Y48" s="33">
        <f>quantInv[[#This Row],[Quantity]]*quantInv[[#This Row],[UNIT
VALUE AUD]]</f>
        <v>0</v>
      </c>
      <c r="Z48" s="33"/>
    </row>
    <row r="49" spans="1:26" x14ac:dyDescent="0.25">
      <c r="A49" t="s">
        <v>249</v>
      </c>
      <c r="B49" t="s">
        <v>250</v>
      </c>
      <c r="C49" t="s">
        <v>114</v>
      </c>
      <c r="D49" t="s">
        <v>242</v>
      </c>
      <c r="E49">
        <v>3.1823529411764699</v>
      </c>
      <c r="F49" s="33">
        <v>4.2172000000000001</v>
      </c>
      <c r="G49" s="33" t="s">
        <v>117</v>
      </c>
      <c r="H49" t="s">
        <v>103</v>
      </c>
      <c r="I49" t="str">
        <f>IF(quantInv[[#This Row],[Metal]] = "925 Silver",  "7113.11.00"," 7113.19.00")</f>
        <v>7113.11.00</v>
      </c>
      <c r="J49" t="str">
        <f>IF(quantInv[[#This Row],[Metal]] = "925 Silver", "7113.11.10.00"," 7113.19.10.00")</f>
        <v>7113.11.10.00</v>
      </c>
      <c r="K49" t="str">
        <f>IF(quantInv[[#This Row],[Metal]] = "925 Silver",  "7113.11.00"," 7113.19.00")</f>
        <v>7113.11.00</v>
      </c>
      <c r="L49" t="str">
        <f>IFERROR(VLOOKUP(quantInv[[#This Row],[Description for New Invoice]],Map!$G$12:$H$32,2,FALSE), IF(quantInv[[#This Row],[Metal]] = "925 Silver", "7113.11.10.00", "7113.19.29.00"))</f>
        <v>7113.11.10.00</v>
      </c>
      <c r="M49" t="str">
        <f>quantInv[[#This Row],[ASIN]] &amp; " " &amp; quantInv[[#This Row],[Short Description]]</f>
        <v>B0721Y53ZL Heart Chain</v>
      </c>
      <c r="N49" s="33">
        <f>quantInv[[#This Row],[UNIT
VALUE]] / EURtoGBP</f>
        <v>4.7870233210172932</v>
      </c>
      <c r="O49" s="33">
        <f>quantInv[[#This Row],[UNIT
VALUE]]/USDtoGBP</f>
        <v>5.7810805735020558</v>
      </c>
      <c r="P49" s="33">
        <f>quantInv[[#This Row],[UNIT
VALUE]] / CADtoGBP</f>
        <v>7.4001154622966467</v>
      </c>
      <c r="Q49" s="33">
        <f>quantInv[[#This Row],[UNIT
VALUE]]/AUDtoGBP</f>
        <v>7.5745384007471799</v>
      </c>
      <c r="R49">
        <f>IFERROR(VLOOKUP(quantInv[[#This Row],[Assigned Item SKU]],skuQuantity[#All],2,FALSE),0)</f>
        <v>0</v>
      </c>
      <c r="S49" t="str">
        <f>PROPER(quantInv[[#This Row],[Metal]] &amp; " " &amp; quantInv[[#This Row],[Item Type]])</f>
        <v>925 Silver Chain</v>
      </c>
      <c r="T49" s="33">
        <f>quantInv[[#This Row],[Quantity]]*quantInv[[#This Row],[WEIGHT]]</f>
        <v>0</v>
      </c>
      <c r="U49" s="33">
        <f>quantInv[[#This Row],[UNIT
VALUE]]*quantInv[[#This Row],[Quantity]]</f>
        <v>0</v>
      </c>
      <c r="V49" s="33">
        <f>quantInv[[#This Row],[Total Cost GBP]]/EURtoGBP</f>
        <v>0</v>
      </c>
      <c r="W49" s="33">
        <f>quantInv[[#This Row],[Total Cost GBP]]/USDtoGBP</f>
        <v>0</v>
      </c>
      <c r="X49" s="33">
        <f>quantInv[[#This Row],[Total Cost GBP]]/CADtoGBP</f>
        <v>0</v>
      </c>
      <c r="Y49" s="33">
        <f>quantInv[[#This Row],[Quantity]]*quantInv[[#This Row],[UNIT
VALUE AUD]]</f>
        <v>0</v>
      </c>
      <c r="Z49" s="33"/>
    </row>
    <row r="50" spans="1:26" x14ac:dyDescent="0.25">
      <c r="A50" t="s">
        <v>251</v>
      </c>
      <c r="B50" t="s">
        <v>252</v>
      </c>
      <c r="C50" t="s">
        <v>114</v>
      </c>
      <c r="D50" t="s">
        <v>242</v>
      </c>
      <c r="E50">
        <v>3.6333333333333302</v>
      </c>
      <c r="F50" s="33">
        <v>4.7655000000000003</v>
      </c>
      <c r="G50" s="33" t="s">
        <v>117</v>
      </c>
      <c r="H50" t="s">
        <v>103</v>
      </c>
      <c r="I50" t="str">
        <f>IF(quantInv[[#This Row],[Metal]] = "925 Silver",  "7113.11.00"," 7113.19.00")</f>
        <v>7113.11.00</v>
      </c>
      <c r="J50" t="str">
        <f>IF(quantInv[[#This Row],[Metal]] = "925 Silver", "7113.11.10.00"," 7113.19.10.00")</f>
        <v>7113.11.10.00</v>
      </c>
      <c r="K50" t="str">
        <f>IF(quantInv[[#This Row],[Metal]] = "925 Silver",  "7113.11.00"," 7113.19.00")</f>
        <v>7113.11.00</v>
      </c>
      <c r="L50" t="str">
        <f>IFERROR(VLOOKUP(quantInv[[#This Row],[Description for New Invoice]],Map!$G$12:$H$32,2,FALSE), IF(quantInv[[#This Row],[Metal]] = "925 Silver", "7113.11.10.00", "7113.19.29.00"))</f>
        <v>7113.11.10.00</v>
      </c>
      <c r="M50" t="str">
        <f>quantInv[[#This Row],[ASIN]] &amp; " " &amp; quantInv[[#This Row],[Short Description]]</f>
        <v>B072KS699P Heart Chain</v>
      </c>
      <c r="N50" s="33">
        <f>quantInv[[#This Row],[UNIT
VALUE]] / EURtoGBP</f>
        <v>5.409409000357563</v>
      </c>
      <c r="O50" s="33">
        <f>quantInv[[#This Row],[UNIT
VALUE]]/USDtoGBP</f>
        <v>6.5327087814246534</v>
      </c>
      <c r="P50" s="33">
        <f>quantInv[[#This Row],[UNIT
VALUE]] / CADtoGBP</f>
        <v>8.3622427761487881</v>
      </c>
      <c r="Q50" s="33">
        <f>quantInv[[#This Row],[UNIT
VALUE]]/AUDtoGBP</f>
        <v>8.5593433436310082</v>
      </c>
      <c r="R50">
        <f>IFERROR(VLOOKUP(quantInv[[#This Row],[Assigned Item SKU]],skuQuantity[#All],2,FALSE),0)</f>
        <v>0</v>
      </c>
      <c r="S50" t="str">
        <f>PROPER(quantInv[[#This Row],[Metal]] &amp; " " &amp; quantInv[[#This Row],[Item Type]])</f>
        <v>925 Silver Chain</v>
      </c>
      <c r="T50" s="33">
        <f>quantInv[[#This Row],[Quantity]]*quantInv[[#This Row],[WEIGHT]]</f>
        <v>0</v>
      </c>
      <c r="U50" s="33">
        <f>quantInv[[#This Row],[UNIT
VALUE]]*quantInv[[#This Row],[Quantity]]</f>
        <v>0</v>
      </c>
      <c r="V50" s="33">
        <f>quantInv[[#This Row],[Total Cost GBP]]/EURtoGBP</f>
        <v>0</v>
      </c>
      <c r="W50" s="33">
        <f>quantInv[[#This Row],[Total Cost GBP]]/USDtoGBP</f>
        <v>0</v>
      </c>
      <c r="X50" s="33">
        <f>quantInv[[#This Row],[Total Cost GBP]]/CADtoGBP</f>
        <v>0</v>
      </c>
      <c r="Y50" s="33">
        <f>quantInv[[#This Row],[Quantity]]*quantInv[[#This Row],[UNIT
VALUE AUD]]</f>
        <v>0</v>
      </c>
      <c r="Z50" s="33"/>
    </row>
    <row r="51" spans="1:26" x14ac:dyDescent="0.25">
      <c r="A51" t="s">
        <v>253</v>
      </c>
      <c r="B51" t="s">
        <v>254</v>
      </c>
      <c r="C51" t="s">
        <v>114</v>
      </c>
      <c r="D51" t="s">
        <v>242</v>
      </c>
      <c r="E51">
        <v>4.1588235294117704</v>
      </c>
      <c r="F51" s="33">
        <v>5.4043999999999999</v>
      </c>
      <c r="G51" s="33" t="s">
        <v>117</v>
      </c>
      <c r="H51" t="s">
        <v>103</v>
      </c>
      <c r="I51" t="str">
        <f>IF(quantInv[[#This Row],[Metal]] = "925 Silver",  "7113.11.00"," 7113.19.00")</f>
        <v>7113.11.00</v>
      </c>
      <c r="J51" t="str">
        <f>IF(quantInv[[#This Row],[Metal]] = "925 Silver", "7113.11.10.00"," 7113.19.10.00")</f>
        <v>7113.11.10.00</v>
      </c>
      <c r="K51" t="str">
        <f>IF(quantInv[[#This Row],[Metal]] = "925 Silver",  "7113.11.00"," 7113.19.00")</f>
        <v>7113.11.00</v>
      </c>
      <c r="L51" t="str">
        <f>IFERROR(VLOOKUP(quantInv[[#This Row],[Description for New Invoice]],Map!$G$12:$H$32,2,FALSE), IF(quantInv[[#This Row],[Metal]] = "925 Silver", "7113.11.10.00", "7113.19.29.00"))</f>
        <v>7113.11.10.00</v>
      </c>
      <c r="M51" t="str">
        <f>quantInv[[#This Row],[ASIN]] &amp; " " &amp; quantInv[[#This Row],[Short Description]]</f>
        <v>B071GYZZV3 Heart Chain</v>
      </c>
      <c r="N51" s="33">
        <f>quantInv[[#This Row],[UNIT
VALUE]] / EURtoGBP</f>
        <v>6.1346364498022057</v>
      </c>
      <c r="O51" s="33">
        <f>quantInv[[#This Row],[UNIT
VALUE]]/USDtoGBP</f>
        <v>7.4085345374738001</v>
      </c>
      <c r="P51" s="33">
        <f>quantInv[[#This Row],[UNIT
VALUE]] / CADtoGBP</f>
        <v>9.4833500911590622</v>
      </c>
      <c r="Q51" s="33">
        <f>quantInv[[#This Row],[UNIT
VALUE]]/AUDtoGBP</f>
        <v>9.7068754939291608</v>
      </c>
      <c r="R51">
        <f>IFERROR(VLOOKUP(quantInv[[#This Row],[Assigned Item SKU]],skuQuantity[#All],2,FALSE),0)</f>
        <v>0</v>
      </c>
      <c r="S51" t="str">
        <f>PROPER(quantInv[[#This Row],[Metal]] &amp; " " &amp; quantInv[[#This Row],[Item Type]])</f>
        <v>925 Silver Chain</v>
      </c>
      <c r="T51" s="33">
        <f>quantInv[[#This Row],[Quantity]]*quantInv[[#This Row],[WEIGHT]]</f>
        <v>0</v>
      </c>
      <c r="U51" s="33">
        <f>quantInv[[#This Row],[UNIT
VALUE]]*quantInv[[#This Row],[Quantity]]</f>
        <v>0</v>
      </c>
      <c r="V51" s="33">
        <f>quantInv[[#This Row],[Total Cost GBP]]/EURtoGBP</f>
        <v>0</v>
      </c>
      <c r="W51" s="33">
        <f>quantInv[[#This Row],[Total Cost GBP]]/USDtoGBP</f>
        <v>0</v>
      </c>
      <c r="X51" s="33">
        <f>quantInv[[#This Row],[Total Cost GBP]]/CADtoGBP</f>
        <v>0</v>
      </c>
      <c r="Y51" s="33">
        <f>quantInv[[#This Row],[Quantity]]*quantInv[[#This Row],[UNIT
VALUE AUD]]</f>
        <v>0</v>
      </c>
      <c r="Z51" s="33"/>
    </row>
    <row r="52" spans="1:26" x14ac:dyDescent="0.25">
      <c r="A52" t="s">
        <v>255</v>
      </c>
      <c r="B52" t="s">
        <v>256</v>
      </c>
      <c r="C52" t="s">
        <v>114</v>
      </c>
      <c r="D52" t="s">
        <v>257</v>
      </c>
      <c r="E52">
        <v>3.5</v>
      </c>
      <c r="F52" s="33">
        <v>5.7442000000000002</v>
      </c>
      <c r="G52" s="33" t="s">
        <v>117</v>
      </c>
      <c r="H52" t="s">
        <v>1426</v>
      </c>
      <c r="I52" t="str">
        <f>IF(quantInv[[#This Row],[Metal]] = "925 Silver",  "7113.11.00"," 7113.19.00")</f>
        <v>7113.11.00</v>
      </c>
      <c r="J52" t="str">
        <f>IF(quantInv[[#This Row],[Metal]] = "925 Silver", "7113.11.10.00"," 7113.19.10.00")</f>
        <v>7113.11.10.00</v>
      </c>
      <c r="K52" t="str">
        <f>IF(quantInv[[#This Row],[Metal]] = "925 Silver",  "7113.11.00"," 7113.19.00")</f>
        <v>7113.11.00</v>
      </c>
      <c r="L52" t="str">
        <f>IFERROR(VLOOKUP(quantInv[[#This Row],[Description for New Invoice]],Map!$G$12:$H$32,2,FALSE), IF(quantInv[[#This Row],[Metal]] = "925 Silver", "7113.11.10.00", "7113.19.29.00"))</f>
        <v>7113.11.10.00</v>
      </c>
      <c r="M52" t="str">
        <f>quantInv[[#This Row],[ASIN]] &amp; " " &amp; quantInv[[#This Row],[Short Description]]</f>
        <v>B077MN5KDQ Cube and Oval Link Chain</v>
      </c>
      <c r="N52" s="33">
        <f>quantInv[[#This Row],[UNIT
VALUE]] / EURtoGBP</f>
        <v>6.5203498436373755</v>
      </c>
      <c r="O52" s="33">
        <f>quantInv[[#This Row],[UNIT
VALUE]]/USDtoGBP</f>
        <v>7.874343884641589</v>
      </c>
      <c r="P52" s="33">
        <f>quantInv[[#This Row],[UNIT
VALUE]] / CADtoGBP</f>
        <v>10.079612832809541</v>
      </c>
      <c r="Q52" s="33">
        <f>quantInv[[#This Row],[UNIT
VALUE]]/AUDtoGBP</f>
        <v>10.317192327034988</v>
      </c>
      <c r="R52">
        <f>IFERROR(VLOOKUP(quantInv[[#This Row],[Assigned Item SKU]],skuQuantity[#All],2,FALSE),0)</f>
        <v>0</v>
      </c>
      <c r="S52" t="str">
        <f>PROPER(quantInv[[#This Row],[Metal]] &amp; " " &amp; quantInv[[#This Row],[Item Type]])</f>
        <v>925 Silver Anklet</v>
      </c>
      <c r="T52" s="33">
        <f>quantInv[[#This Row],[Quantity]]*quantInv[[#This Row],[WEIGHT]]</f>
        <v>0</v>
      </c>
      <c r="U52" s="33">
        <f>quantInv[[#This Row],[UNIT
VALUE]]*quantInv[[#This Row],[Quantity]]</f>
        <v>0</v>
      </c>
      <c r="V52" s="33">
        <f>quantInv[[#This Row],[Total Cost GBP]]/EURtoGBP</f>
        <v>0</v>
      </c>
      <c r="W52" s="33">
        <f>quantInv[[#This Row],[Total Cost GBP]]/USDtoGBP</f>
        <v>0</v>
      </c>
      <c r="X52" s="33">
        <f>quantInv[[#This Row],[Total Cost GBP]]/CADtoGBP</f>
        <v>0</v>
      </c>
      <c r="Y52" s="33">
        <f>quantInv[[#This Row],[Quantity]]*quantInv[[#This Row],[UNIT
VALUE AUD]]</f>
        <v>0</v>
      </c>
      <c r="Z52" s="33"/>
    </row>
    <row r="53" spans="1:26" x14ac:dyDescent="0.25">
      <c r="A53" t="s">
        <v>258</v>
      </c>
      <c r="B53" t="s">
        <v>259</v>
      </c>
      <c r="C53" t="s">
        <v>114</v>
      </c>
      <c r="D53" t="s">
        <v>260</v>
      </c>
      <c r="E53">
        <v>1.8420000000000001</v>
      </c>
      <c r="F53" s="33">
        <v>2.6526000000000001</v>
      </c>
      <c r="G53" s="33" t="s">
        <v>117</v>
      </c>
      <c r="H53" t="s">
        <v>1414</v>
      </c>
      <c r="I53" t="str">
        <f>IF(quantInv[[#This Row],[Metal]] = "925 Silver",  "7113.11.00"," 7113.19.00")</f>
        <v>7113.11.00</v>
      </c>
      <c r="J53" t="str">
        <f>IF(quantInv[[#This Row],[Metal]] = "925 Silver", "7113.11.10.00"," 7113.19.10.00")</f>
        <v>7113.11.10.00</v>
      </c>
      <c r="K53" t="str">
        <f>IF(quantInv[[#This Row],[Metal]] = "925 Silver",  "7113.11.00"," 7113.19.00")</f>
        <v>7113.11.00</v>
      </c>
      <c r="L53" t="str">
        <f>IFERROR(VLOOKUP(quantInv[[#This Row],[Description for New Invoice]],Map!$G$12:$H$32,2,FALSE), IF(quantInv[[#This Row],[Metal]] = "925 Silver", "7113.11.10.00", "7113.19.29.00"))</f>
        <v>7113.11.10.00</v>
      </c>
      <c r="M53" t="str">
        <f>quantInv[[#This Row],[ASIN]] &amp; " " &amp; quantInv[[#This Row],[Short Description]]</f>
        <v>B073V3Z6FW Bismark Chain</v>
      </c>
      <c r="N53" s="33">
        <f>quantInv[[#This Row],[UNIT
VALUE]] / EURtoGBP</f>
        <v>3.0110163286850216</v>
      </c>
      <c r="O53" s="33">
        <f>quantInv[[#This Row],[UNIT
VALUE]]/USDtoGBP</f>
        <v>3.6362739090561398</v>
      </c>
      <c r="P53" s="33">
        <f>quantInv[[#This Row],[UNIT
VALUE]] / CADtoGBP</f>
        <v>4.6546396365569773</v>
      </c>
      <c r="Q53" s="33">
        <f>quantInv[[#This Row],[UNIT
VALUE]]/AUDtoGBP</f>
        <v>4.7643508872763842</v>
      </c>
      <c r="R53">
        <f>IFERROR(VLOOKUP(quantInv[[#This Row],[Assigned Item SKU]],skuQuantity[#All],2,FALSE),0)</f>
        <v>0</v>
      </c>
      <c r="S53" t="str">
        <f>PROPER(quantInv[[#This Row],[Metal]] &amp; " " &amp; quantInv[[#This Row],[Item Type]])</f>
        <v>925 Silver Bracelet</v>
      </c>
      <c r="T53" s="33">
        <f>quantInv[[#This Row],[Quantity]]*quantInv[[#This Row],[WEIGHT]]</f>
        <v>0</v>
      </c>
      <c r="U53" s="33">
        <f>quantInv[[#This Row],[UNIT
VALUE]]*quantInv[[#This Row],[Quantity]]</f>
        <v>0</v>
      </c>
      <c r="V53" s="33">
        <f>quantInv[[#This Row],[Total Cost GBP]]/EURtoGBP</f>
        <v>0</v>
      </c>
      <c r="W53" s="33">
        <f>quantInv[[#This Row],[Total Cost GBP]]/USDtoGBP</f>
        <v>0</v>
      </c>
      <c r="X53" s="33">
        <f>quantInv[[#This Row],[Total Cost GBP]]/CADtoGBP</f>
        <v>0</v>
      </c>
      <c r="Y53" s="33">
        <f>quantInv[[#This Row],[Quantity]]*quantInv[[#This Row],[UNIT
VALUE AUD]]</f>
        <v>0</v>
      </c>
      <c r="Z53" s="33"/>
    </row>
    <row r="54" spans="1:26" x14ac:dyDescent="0.25">
      <c r="A54" t="s">
        <v>261</v>
      </c>
      <c r="B54" t="s">
        <v>262</v>
      </c>
      <c r="C54" t="s">
        <v>114</v>
      </c>
      <c r="D54" t="s">
        <v>260</v>
      </c>
      <c r="E54">
        <v>1.9319999999999999</v>
      </c>
      <c r="F54" s="33">
        <v>2.7652000000000001</v>
      </c>
      <c r="G54" s="33" t="s">
        <v>117</v>
      </c>
      <c r="H54" t="s">
        <v>1414</v>
      </c>
      <c r="I54" t="str">
        <f>IF(quantInv[[#This Row],[Metal]] = "925 Silver",  "7113.11.00"," 7113.19.00")</f>
        <v>7113.11.00</v>
      </c>
      <c r="J54" t="str">
        <f>IF(quantInv[[#This Row],[Metal]] = "925 Silver", "7113.11.10.00"," 7113.19.10.00")</f>
        <v>7113.11.10.00</v>
      </c>
      <c r="K54" t="str">
        <f>IF(quantInv[[#This Row],[Metal]] = "925 Silver",  "7113.11.00"," 7113.19.00")</f>
        <v>7113.11.00</v>
      </c>
      <c r="L54" t="str">
        <f>IFERROR(VLOOKUP(quantInv[[#This Row],[Description for New Invoice]],Map!$G$12:$H$32,2,FALSE), IF(quantInv[[#This Row],[Metal]] = "925 Silver", "7113.11.10.00", "7113.19.29.00"))</f>
        <v>7113.11.10.00</v>
      </c>
      <c r="M54" t="str">
        <f>quantInv[[#This Row],[ASIN]] &amp; " " &amp; quantInv[[#This Row],[Short Description]]</f>
        <v>B073V3RRL7 Bismark Chain</v>
      </c>
      <c r="N54" s="33">
        <f>quantInv[[#This Row],[UNIT
VALUE]] / EURtoGBP</f>
        <v>3.1388307140465286</v>
      </c>
      <c r="O54" s="33">
        <f>quantInv[[#This Row],[UNIT
VALUE]]/USDtoGBP</f>
        <v>3.7906298022023819</v>
      </c>
      <c r="P54" s="33">
        <f>quantInv[[#This Row],[UNIT
VALUE]] / CADtoGBP</f>
        <v>4.8522240530073715</v>
      </c>
      <c r="Q54" s="33">
        <f>quantInv[[#This Row],[UNIT
VALUE]]/AUDtoGBP</f>
        <v>4.9665924276169262</v>
      </c>
      <c r="R54">
        <f>IFERROR(VLOOKUP(quantInv[[#This Row],[Assigned Item SKU]],skuQuantity[#All],2,FALSE),0)</f>
        <v>0</v>
      </c>
      <c r="S54" t="str">
        <f>PROPER(quantInv[[#This Row],[Metal]] &amp; " " &amp; quantInv[[#This Row],[Item Type]])</f>
        <v>925 Silver Bracelet</v>
      </c>
      <c r="T54" s="33">
        <f>quantInv[[#This Row],[Quantity]]*quantInv[[#This Row],[WEIGHT]]</f>
        <v>0</v>
      </c>
      <c r="U54" s="33">
        <f>quantInv[[#This Row],[UNIT
VALUE]]*quantInv[[#This Row],[Quantity]]</f>
        <v>0</v>
      </c>
      <c r="V54" s="33">
        <f>quantInv[[#This Row],[Total Cost GBP]]/EURtoGBP</f>
        <v>0</v>
      </c>
      <c r="W54" s="33">
        <f>quantInv[[#This Row],[Total Cost GBP]]/USDtoGBP</f>
        <v>0</v>
      </c>
      <c r="X54" s="33">
        <f>quantInv[[#This Row],[Total Cost GBP]]/CADtoGBP</f>
        <v>0</v>
      </c>
      <c r="Y54" s="33">
        <f>quantInv[[#This Row],[Quantity]]*quantInv[[#This Row],[UNIT
VALUE AUD]]</f>
        <v>0</v>
      </c>
      <c r="Z54" s="33"/>
    </row>
    <row r="55" spans="1:26" x14ac:dyDescent="0.25">
      <c r="A55" t="s">
        <v>263</v>
      </c>
      <c r="B55" t="s">
        <v>264</v>
      </c>
      <c r="C55" t="s">
        <v>114</v>
      </c>
      <c r="D55" t="s">
        <v>260</v>
      </c>
      <c r="E55">
        <v>2.024</v>
      </c>
      <c r="F55" s="33">
        <v>2.8803000000000001</v>
      </c>
      <c r="G55" s="33" t="s">
        <v>117</v>
      </c>
      <c r="H55" t="s">
        <v>1414</v>
      </c>
      <c r="I55" t="str">
        <f>IF(quantInv[[#This Row],[Metal]] = "925 Silver",  "7113.11.00"," 7113.19.00")</f>
        <v>7113.11.00</v>
      </c>
      <c r="J55" t="str">
        <f>IF(quantInv[[#This Row],[Metal]] = "925 Silver", "7113.11.10.00"," 7113.19.10.00")</f>
        <v>7113.11.10.00</v>
      </c>
      <c r="K55" t="str">
        <f>IF(quantInv[[#This Row],[Metal]] = "925 Silver",  "7113.11.00"," 7113.19.00")</f>
        <v>7113.11.00</v>
      </c>
      <c r="L55" t="str">
        <f>IFERROR(VLOOKUP(quantInv[[#This Row],[Description for New Invoice]],Map!$G$12:$H$32,2,FALSE), IF(quantInv[[#This Row],[Metal]] = "925 Silver", "7113.11.10.00", "7113.19.29.00"))</f>
        <v>7113.11.10.00</v>
      </c>
      <c r="M55" t="str">
        <f>quantInv[[#This Row],[ASIN]] &amp; " " &amp; quantInv[[#This Row],[Short Description]]</f>
        <v>B073V437DQ Bismark Chain</v>
      </c>
      <c r="N55" s="33">
        <f>quantInv[[#This Row],[UNIT
VALUE]] / EURtoGBP</f>
        <v>3.2694828965963461</v>
      </c>
      <c r="O55" s="33">
        <f>quantInv[[#This Row],[UNIT
VALUE]]/USDtoGBP</f>
        <v>3.9484127800099524</v>
      </c>
      <c r="P55" s="33">
        <f>quantInv[[#This Row],[UNIT
VALUE]] / CADtoGBP</f>
        <v>5.0541953348318867</v>
      </c>
      <c r="Q55" s="33">
        <f>quantInv[[#This Row],[UNIT
VALUE]]/AUDtoGBP</f>
        <v>5.1733242330627203</v>
      </c>
      <c r="R55">
        <f>IFERROR(VLOOKUP(quantInv[[#This Row],[Assigned Item SKU]],skuQuantity[#All],2,FALSE),0)</f>
        <v>0</v>
      </c>
      <c r="S55" t="str">
        <f>PROPER(quantInv[[#This Row],[Metal]] &amp; " " &amp; quantInv[[#This Row],[Item Type]])</f>
        <v>925 Silver Bracelet</v>
      </c>
      <c r="T55" s="33">
        <f>quantInv[[#This Row],[Quantity]]*quantInv[[#This Row],[WEIGHT]]</f>
        <v>0</v>
      </c>
      <c r="U55" s="33">
        <f>quantInv[[#This Row],[UNIT
VALUE]]*quantInv[[#This Row],[Quantity]]</f>
        <v>0</v>
      </c>
      <c r="V55" s="33">
        <f>quantInv[[#This Row],[Total Cost GBP]]/EURtoGBP</f>
        <v>0</v>
      </c>
      <c r="W55" s="33">
        <f>quantInv[[#This Row],[Total Cost GBP]]/USDtoGBP</f>
        <v>0</v>
      </c>
      <c r="X55" s="33">
        <f>quantInv[[#This Row],[Total Cost GBP]]/CADtoGBP</f>
        <v>0</v>
      </c>
      <c r="Y55" s="33">
        <f>quantInv[[#This Row],[Quantity]]*quantInv[[#This Row],[UNIT
VALUE AUD]]</f>
        <v>0</v>
      </c>
      <c r="Z55" s="33"/>
    </row>
    <row r="56" spans="1:26" x14ac:dyDescent="0.25">
      <c r="A56" t="s">
        <v>94</v>
      </c>
      <c r="B56" t="s">
        <v>265</v>
      </c>
      <c r="C56" t="s">
        <v>114</v>
      </c>
      <c r="D56" t="s">
        <v>260</v>
      </c>
      <c r="E56">
        <v>2.58</v>
      </c>
      <c r="F56" s="33">
        <v>3.9622000000000002</v>
      </c>
      <c r="G56" s="33" t="s">
        <v>117</v>
      </c>
      <c r="H56" t="s">
        <v>1426</v>
      </c>
      <c r="I56" t="str">
        <f>IF(quantInv[[#This Row],[Metal]] = "925 Silver",  "7113.11.00"," 7113.19.00")</f>
        <v>7113.11.00</v>
      </c>
      <c r="J56" t="str">
        <f>IF(quantInv[[#This Row],[Metal]] = "925 Silver", "7113.11.10.00"," 7113.19.10.00")</f>
        <v>7113.11.10.00</v>
      </c>
      <c r="K56" t="str">
        <f>IF(quantInv[[#This Row],[Metal]] = "925 Silver",  "7113.11.00"," 7113.19.00")</f>
        <v>7113.11.00</v>
      </c>
      <c r="L56" t="str">
        <f>IFERROR(VLOOKUP(quantInv[[#This Row],[Description for New Invoice]],Map!$G$12:$H$32,2,FALSE), IF(quantInv[[#This Row],[Metal]] = "925 Silver", "7113.11.10.00", "7113.19.29.00"))</f>
        <v>7113.11.10.00</v>
      </c>
      <c r="M56" t="str">
        <f>quantInv[[#This Row],[ASIN]] &amp; " " &amp; quantInv[[#This Row],[Short Description]]</f>
        <v>B0783Q52H9 Bismark Chain</v>
      </c>
      <c r="N56" s="33">
        <f>quantInv[[#This Row],[UNIT
VALUE]] / EURtoGBP</f>
        <v>4.4975680078096181</v>
      </c>
      <c r="O56" s="33">
        <f>quantInv[[#This Row],[UNIT
VALUE]]/USDtoGBP</f>
        <v>5.431517938046535</v>
      </c>
      <c r="P56" s="33">
        <f>quantInv[[#This Row],[UNIT
VALUE]] / CADtoGBP</f>
        <v>6.9526551941363399</v>
      </c>
      <c r="Q56" s="33">
        <f>quantInv[[#This Row],[UNIT
VALUE]]/AUDtoGBP</f>
        <v>7.1165313600114946</v>
      </c>
      <c r="R56">
        <f>IFERROR(VLOOKUP(quantInv[[#This Row],[Assigned Item SKU]],skuQuantity[#All],2,FALSE),0)</f>
        <v>0</v>
      </c>
      <c r="S56" t="str">
        <f>PROPER(quantInv[[#This Row],[Metal]] &amp; " " &amp; quantInv[[#This Row],[Item Type]])</f>
        <v>925 Silver Anklet</v>
      </c>
      <c r="T56" s="33">
        <f>quantInv[[#This Row],[Quantity]]*quantInv[[#This Row],[WEIGHT]]</f>
        <v>0</v>
      </c>
      <c r="U56" s="33">
        <f>quantInv[[#This Row],[UNIT
VALUE]]*quantInv[[#This Row],[Quantity]]</f>
        <v>0</v>
      </c>
      <c r="V56" s="33">
        <f>quantInv[[#This Row],[Total Cost GBP]]/EURtoGBP</f>
        <v>0</v>
      </c>
      <c r="W56" s="33">
        <f>quantInv[[#This Row],[Total Cost GBP]]/USDtoGBP</f>
        <v>0</v>
      </c>
      <c r="X56" s="33">
        <f>quantInv[[#This Row],[Total Cost GBP]]/CADtoGBP</f>
        <v>0</v>
      </c>
      <c r="Y56" s="33">
        <f>quantInv[[#This Row],[Quantity]]*quantInv[[#This Row],[UNIT
VALUE AUD]]</f>
        <v>0</v>
      </c>
      <c r="Z56" s="33"/>
    </row>
    <row r="57" spans="1:26" x14ac:dyDescent="0.25">
      <c r="A57" t="s">
        <v>266</v>
      </c>
      <c r="B57" t="s">
        <v>267</v>
      </c>
      <c r="C57" t="s">
        <v>114</v>
      </c>
      <c r="D57" t="s">
        <v>260</v>
      </c>
      <c r="E57">
        <v>4.2712871287128698</v>
      </c>
      <c r="F57" s="33">
        <v>5.7291999999999996</v>
      </c>
      <c r="G57" s="33" t="s">
        <v>117</v>
      </c>
      <c r="H57" t="s">
        <v>103</v>
      </c>
      <c r="I57" t="str">
        <f>IF(quantInv[[#This Row],[Metal]] = "925 Silver",  "7113.11.00"," 7113.19.00")</f>
        <v>7113.11.00</v>
      </c>
      <c r="J57" t="str">
        <f>IF(quantInv[[#This Row],[Metal]] = "925 Silver", "7113.11.10.00"," 7113.19.10.00")</f>
        <v>7113.11.10.00</v>
      </c>
      <c r="K57" t="str">
        <f>IF(quantInv[[#This Row],[Metal]] = "925 Silver",  "7113.11.00"," 7113.19.00")</f>
        <v>7113.11.00</v>
      </c>
      <c r="L57" t="str">
        <f>IFERROR(VLOOKUP(quantInv[[#This Row],[Description for New Invoice]],Map!$G$12:$H$32,2,FALSE), IF(quantInv[[#This Row],[Metal]] = "925 Silver", "7113.11.10.00", "7113.19.29.00"))</f>
        <v>7113.11.10.00</v>
      </c>
      <c r="M57" t="str">
        <f>quantInv[[#This Row],[ASIN]] &amp; " " &amp; quantInv[[#This Row],[Short Description]]</f>
        <v>B073G88P91 Bismark Chain</v>
      </c>
      <c r="N57" s="33">
        <f>quantInv[[#This Row],[UNIT
VALUE]] / EURtoGBP</f>
        <v>6.503323060507511</v>
      </c>
      <c r="O57" s="33">
        <f>quantInv[[#This Row],[UNIT
VALUE]]/USDtoGBP</f>
        <v>7.8537813766736164</v>
      </c>
      <c r="P57" s="33">
        <f>quantInv[[#This Row],[UNIT
VALUE]] / CADtoGBP</f>
        <v>10.053291640564817</v>
      </c>
      <c r="Q57" s="33">
        <f>quantInv[[#This Row],[UNIT
VALUE]]/AUDtoGBP</f>
        <v>10.290250736403475</v>
      </c>
      <c r="R57">
        <f>IFERROR(VLOOKUP(quantInv[[#This Row],[Assigned Item SKU]],skuQuantity[#All],2,FALSE),0)</f>
        <v>0</v>
      </c>
      <c r="S57" t="str">
        <f>PROPER(quantInv[[#This Row],[Metal]] &amp; " " &amp; quantInv[[#This Row],[Item Type]])</f>
        <v>925 Silver Chain</v>
      </c>
      <c r="T57" s="33">
        <f>quantInv[[#This Row],[Quantity]]*quantInv[[#This Row],[WEIGHT]]</f>
        <v>0</v>
      </c>
      <c r="U57" s="33">
        <f>quantInv[[#This Row],[UNIT
VALUE]]*quantInv[[#This Row],[Quantity]]</f>
        <v>0</v>
      </c>
      <c r="V57" s="33">
        <f>quantInv[[#This Row],[Total Cost GBP]]/EURtoGBP</f>
        <v>0</v>
      </c>
      <c r="W57" s="33">
        <f>quantInv[[#This Row],[Total Cost GBP]]/USDtoGBP</f>
        <v>0</v>
      </c>
      <c r="X57" s="33">
        <f>quantInv[[#This Row],[Total Cost GBP]]/CADtoGBP</f>
        <v>0</v>
      </c>
      <c r="Y57" s="33">
        <f>quantInv[[#This Row],[Quantity]]*quantInv[[#This Row],[UNIT
VALUE AUD]]</f>
        <v>0</v>
      </c>
      <c r="Z57" s="33"/>
    </row>
    <row r="58" spans="1:26" x14ac:dyDescent="0.25">
      <c r="A58" t="s">
        <v>268</v>
      </c>
      <c r="B58" t="s">
        <v>269</v>
      </c>
      <c r="C58" t="s">
        <v>114</v>
      </c>
      <c r="D58" t="s">
        <v>260</v>
      </c>
      <c r="E58">
        <v>4.7475247524752504</v>
      </c>
      <c r="F58" s="33">
        <v>6.3292000000000002</v>
      </c>
      <c r="G58" s="33" t="s">
        <v>117</v>
      </c>
      <c r="H58" t="s">
        <v>103</v>
      </c>
      <c r="I58" t="str">
        <f>IF(quantInv[[#This Row],[Metal]] = "925 Silver",  "7113.11.00"," 7113.19.00")</f>
        <v>7113.11.00</v>
      </c>
      <c r="J58" t="str">
        <f>IF(quantInv[[#This Row],[Metal]] = "925 Silver", "7113.11.10.00"," 7113.19.10.00")</f>
        <v>7113.11.10.00</v>
      </c>
      <c r="K58" t="str">
        <f>IF(quantInv[[#This Row],[Metal]] = "925 Silver",  "7113.11.00"," 7113.19.00")</f>
        <v>7113.11.00</v>
      </c>
      <c r="L58" t="str">
        <f>IFERROR(VLOOKUP(quantInv[[#This Row],[Description for New Invoice]],Map!$G$12:$H$32,2,FALSE), IF(quantInv[[#This Row],[Metal]] = "925 Silver", "7113.11.10.00", "7113.19.29.00"))</f>
        <v>7113.11.10.00</v>
      </c>
      <c r="M58" t="str">
        <f>quantInv[[#This Row],[ASIN]] &amp; " " &amp; quantInv[[#This Row],[Short Description]]</f>
        <v>B073GBCXDL Bismark Chain</v>
      </c>
      <c r="N58" s="33">
        <f>quantInv[[#This Row],[UNIT
VALUE]] / EURtoGBP</f>
        <v>7.1843943857020429</v>
      </c>
      <c r="O58" s="33">
        <f>quantInv[[#This Row],[UNIT
VALUE]]/USDtoGBP</f>
        <v>8.6762816953924897</v>
      </c>
      <c r="P58" s="33">
        <f>quantInv[[#This Row],[UNIT
VALUE]] / CADtoGBP</f>
        <v>11.106139330353773</v>
      </c>
      <c r="Q58" s="33">
        <f>quantInv[[#This Row],[UNIT
VALUE]]/AUDtoGBP</f>
        <v>11.367914361663912</v>
      </c>
      <c r="R58">
        <f>IFERROR(VLOOKUP(quantInv[[#This Row],[Assigned Item SKU]],skuQuantity[#All],2,FALSE),0)</f>
        <v>0</v>
      </c>
      <c r="S58" t="str">
        <f>PROPER(quantInv[[#This Row],[Metal]] &amp; " " &amp; quantInv[[#This Row],[Item Type]])</f>
        <v>925 Silver Chain</v>
      </c>
      <c r="T58" s="33">
        <f>quantInv[[#This Row],[Quantity]]*quantInv[[#This Row],[WEIGHT]]</f>
        <v>0</v>
      </c>
      <c r="U58" s="33">
        <f>quantInv[[#This Row],[UNIT
VALUE]]*quantInv[[#This Row],[Quantity]]</f>
        <v>0</v>
      </c>
      <c r="V58" s="33">
        <f>quantInv[[#This Row],[Total Cost GBP]]/EURtoGBP</f>
        <v>0</v>
      </c>
      <c r="W58" s="33">
        <f>quantInv[[#This Row],[Total Cost GBP]]/USDtoGBP</f>
        <v>0</v>
      </c>
      <c r="X58" s="33">
        <f>quantInv[[#This Row],[Total Cost GBP]]/CADtoGBP</f>
        <v>0</v>
      </c>
      <c r="Y58" s="33">
        <f>quantInv[[#This Row],[Quantity]]*quantInv[[#This Row],[UNIT
VALUE AUD]]</f>
        <v>0</v>
      </c>
      <c r="Z58" s="33"/>
    </row>
    <row r="59" spans="1:26" x14ac:dyDescent="0.25">
      <c r="A59" t="s">
        <v>270</v>
      </c>
      <c r="B59" t="s">
        <v>271</v>
      </c>
      <c r="C59" t="s">
        <v>114</v>
      </c>
      <c r="D59" t="s">
        <v>260</v>
      </c>
      <c r="E59">
        <v>5.5554455445544599</v>
      </c>
      <c r="F59" s="33">
        <v>7.3470000000000004</v>
      </c>
      <c r="G59" s="33" t="s">
        <v>117</v>
      </c>
      <c r="H59" t="s">
        <v>103</v>
      </c>
      <c r="I59" t="str">
        <f>IF(quantInv[[#This Row],[Metal]] = "925 Silver",  "7113.11.00"," 7113.19.00")</f>
        <v>7113.11.00</v>
      </c>
      <c r="J59" t="str">
        <f>IF(quantInv[[#This Row],[Metal]] = "925 Silver", "7113.11.10.00"," 7113.19.10.00")</f>
        <v>7113.11.10.00</v>
      </c>
      <c r="K59" t="str">
        <f>IF(quantInv[[#This Row],[Metal]] = "925 Silver",  "7113.11.00"," 7113.19.00")</f>
        <v>7113.11.00</v>
      </c>
      <c r="L59" t="str">
        <f>IFERROR(VLOOKUP(quantInv[[#This Row],[Description for New Invoice]],Map!$G$12:$H$32,2,FALSE), IF(quantInv[[#This Row],[Metal]] = "925 Silver", "7113.11.10.00", "7113.19.29.00"))</f>
        <v>7113.11.10.00</v>
      </c>
      <c r="M59" t="str">
        <f>quantInv[[#This Row],[ASIN]] &amp; " " &amp; quantInv[[#This Row],[Short Description]]</f>
        <v>B073GB5FK4 Bismark Chain</v>
      </c>
      <c r="N59" s="33">
        <f>quantInv[[#This Row],[UNIT
VALUE]] / EURtoGBP</f>
        <v>8.3397183770070331</v>
      </c>
      <c r="O59" s="33">
        <f>quantInv[[#This Row],[UNIT
VALUE]]/USDtoGBP</f>
        <v>10.071516402712607</v>
      </c>
      <c r="P59" s="33">
        <f>quantInv[[#This Row],[UNIT
VALUE]] / CADtoGBP</f>
        <v>12.892119961465774</v>
      </c>
      <c r="Q59" s="33">
        <f>quantInv[[#This Row],[UNIT
VALUE]]/AUDtoGBP</f>
        <v>13.195991091314031</v>
      </c>
      <c r="R59">
        <f>IFERROR(VLOOKUP(quantInv[[#This Row],[Assigned Item SKU]],skuQuantity[#All],2,FALSE),0)</f>
        <v>0</v>
      </c>
      <c r="S59" t="str">
        <f>PROPER(quantInv[[#This Row],[Metal]] &amp; " " &amp; quantInv[[#This Row],[Item Type]])</f>
        <v>925 Silver Chain</v>
      </c>
      <c r="T59" s="33">
        <f>quantInv[[#This Row],[Quantity]]*quantInv[[#This Row],[WEIGHT]]</f>
        <v>0</v>
      </c>
      <c r="U59" s="33">
        <f>quantInv[[#This Row],[UNIT
VALUE]]*quantInv[[#This Row],[Quantity]]</f>
        <v>0</v>
      </c>
      <c r="V59" s="33">
        <f>quantInv[[#This Row],[Total Cost GBP]]/EURtoGBP</f>
        <v>0</v>
      </c>
      <c r="W59" s="33">
        <f>quantInv[[#This Row],[Total Cost GBP]]/USDtoGBP</f>
        <v>0</v>
      </c>
      <c r="X59" s="33">
        <f>quantInv[[#This Row],[Total Cost GBP]]/CADtoGBP</f>
        <v>0</v>
      </c>
      <c r="Y59" s="33">
        <f>quantInv[[#This Row],[Quantity]]*quantInv[[#This Row],[UNIT
VALUE AUD]]</f>
        <v>0</v>
      </c>
      <c r="Z59" s="33"/>
    </row>
    <row r="60" spans="1:26" x14ac:dyDescent="0.25">
      <c r="A60" t="s">
        <v>272</v>
      </c>
      <c r="B60" t="s">
        <v>273</v>
      </c>
      <c r="C60" t="s">
        <v>114</v>
      </c>
      <c r="D60" t="s">
        <v>274</v>
      </c>
      <c r="E60">
        <v>2.82</v>
      </c>
      <c r="F60" s="33">
        <v>4.6959</v>
      </c>
      <c r="G60" s="33" t="s">
        <v>117</v>
      </c>
      <c r="H60" t="s">
        <v>1426</v>
      </c>
      <c r="I60" t="str">
        <f>IF(quantInv[[#This Row],[Metal]] = "925 Silver",  "7113.11.00"," 7113.19.00")</f>
        <v>7113.11.00</v>
      </c>
      <c r="J60" t="str">
        <f>IF(quantInv[[#This Row],[Metal]] = "925 Silver", "7113.11.10.00"," 7113.19.10.00")</f>
        <v>7113.11.10.00</v>
      </c>
      <c r="K60" t="str">
        <f>IF(quantInv[[#This Row],[Metal]] = "925 Silver",  "7113.11.00"," 7113.19.00")</f>
        <v>7113.11.00</v>
      </c>
      <c r="L60" t="str">
        <f>IFERROR(VLOOKUP(quantInv[[#This Row],[Description for New Invoice]],Map!$G$12:$H$32,2,FALSE), IF(quantInv[[#This Row],[Metal]] = "925 Silver", "7113.11.10.00", "7113.19.29.00"))</f>
        <v>7113.11.10.00</v>
      </c>
      <c r="M60" t="str">
        <f>quantInv[[#This Row],[ASIN]] &amp; " " &amp; quantInv[[#This Row],[Short Description]]</f>
        <v>B0783RDF5M Singapore with Beads Chain</v>
      </c>
      <c r="N60" s="33">
        <f>quantInv[[#This Row],[UNIT
VALUE]] / EURtoGBP</f>
        <v>5.3304047266349972</v>
      </c>
      <c r="O60" s="33">
        <f>quantInv[[#This Row],[UNIT
VALUE]]/USDtoGBP</f>
        <v>6.4372987444532637</v>
      </c>
      <c r="P60" s="33">
        <f>quantInv[[#This Row],[UNIT
VALUE]] / CADtoGBP</f>
        <v>8.2401124441332687</v>
      </c>
      <c r="Q60" s="33">
        <f>quantInv[[#This Row],[UNIT
VALUE]]/AUDtoGBP</f>
        <v>8.4343343631007972</v>
      </c>
      <c r="R60">
        <f>IFERROR(VLOOKUP(quantInv[[#This Row],[Assigned Item SKU]],skuQuantity[#All],2,FALSE),0)</f>
        <v>0</v>
      </c>
      <c r="S60" t="str">
        <f>PROPER(quantInv[[#This Row],[Metal]] &amp; " " &amp; quantInv[[#This Row],[Item Type]])</f>
        <v>925 Silver Anklet</v>
      </c>
      <c r="T60" s="33">
        <f>quantInv[[#This Row],[Quantity]]*quantInv[[#This Row],[WEIGHT]]</f>
        <v>0</v>
      </c>
      <c r="U60" s="33">
        <f>quantInv[[#This Row],[UNIT
VALUE]]*quantInv[[#This Row],[Quantity]]</f>
        <v>0</v>
      </c>
      <c r="V60" s="33">
        <f>quantInv[[#This Row],[Total Cost GBP]]/EURtoGBP</f>
        <v>0</v>
      </c>
      <c r="W60" s="33">
        <f>quantInv[[#This Row],[Total Cost GBP]]/USDtoGBP</f>
        <v>0</v>
      </c>
      <c r="X60" s="33">
        <f>quantInv[[#This Row],[Total Cost GBP]]/CADtoGBP</f>
        <v>0</v>
      </c>
      <c r="Y60" s="33">
        <f>quantInv[[#This Row],[Quantity]]*quantInv[[#This Row],[UNIT
VALUE AUD]]</f>
        <v>0</v>
      </c>
      <c r="Z60" s="33"/>
    </row>
    <row r="61" spans="1:26" x14ac:dyDescent="0.25">
      <c r="A61" t="s">
        <v>275</v>
      </c>
      <c r="B61" t="s">
        <v>276</v>
      </c>
      <c r="C61" t="s">
        <v>113</v>
      </c>
      <c r="D61" t="s">
        <v>160</v>
      </c>
      <c r="E61">
        <v>1.4921568627451001</v>
      </c>
      <c r="F61" s="33">
        <v>2.0966999999999998</v>
      </c>
      <c r="G61" s="33" t="s">
        <v>117</v>
      </c>
      <c r="H61" t="s">
        <v>103</v>
      </c>
      <c r="I61" t="str">
        <f>IF(quantInv[[#This Row],[Metal]] = "925 Silver",  "7113.11.00"," 7113.19.00")</f>
        <v>7113.11.00</v>
      </c>
      <c r="J61" t="str">
        <f>IF(quantInv[[#This Row],[Metal]] = "925 Silver", "7113.11.10.00"," 7113.19.10.00")</f>
        <v>7113.11.10.00</v>
      </c>
      <c r="K61" t="str">
        <f>IF(quantInv[[#This Row],[Metal]] = "925 Silver",  "7113.11.00"," 7113.19.00")</f>
        <v>7113.11.00</v>
      </c>
      <c r="L61" t="str">
        <f>IFERROR(VLOOKUP(quantInv[[#This Row],[Description for New Invoice]],Map!$G$12:$H$32,2,FALSE), IF(quantInv[[#This Row],[Metal]] = "925 Silver", "7113.11.10.00", "7113.19.29.00"))</f>
        <v>7113.11.10.00</v>
      </c>
      <c r="M61" t="str">
        <f>quantInv[[#This Row],[ASIN]] &amp; " " &amp; quantInv[[#This Row],[Short Description]]</f>
        <v>B073G9J6QS Curb Chain</v>
      </c>
      <c r="N61" s="33">
        <f>quantInv[[#This Row],[UNIT
VALUE]] / EURtoGBP</f>
        <v>2.3800037458922882</v>
      </c>
      <c r="O61" s="33">
        <f>quantInv[[#This Row],[UNIT
VALUE]]/USDtoGBP</f>
        <v>2.8742273637631031</v>
      </c>
      <c r="P61" s="33">
        <f>quantInv[[#This Row],[UNIT
VALUE]] / CADtoGBP</f>
        <v>3.6791762519675086</v>
      </c>
      <c r="Q61" s="33">
        <f>quantInv[[#This Row],[UNIT
VALUE]]/AUDtoGBP</f>
        <v>3.765895538472591</v>
      </c>
      <c r="R61">
        <f>IFERROR(VLOOKUP(quantInv[[#This Row],[Assigned Item SKU]],skuQuantity[#All],2,FALSE),0)</f>
        <v>0</v>
      </c>
      <c r="S61" t="str">
        <f>PROPER(quantInv[[#This Row],[Metal]] &amp; " " &amp; quantInv[[#This Row],[Item Type]])</f>
        <v>925 Silver Chain</v>
      </c>
      <c r="T61" s="33">
        <f>quantInv[[#This Row],[Quantity]]*quantInv[[#This Row],[WEIGHT]]</f>
        <v>0</v>
      </c>
      <c r="U61" s="33">
        <f>quantInv[[#This Row],[UNIT
VALUE]]*quantInv[[#This Row],[Quantity]]</f>
        <v>0</v>
      </c>
      <c r="V61" s="33">
        <f>quantInv[[#This Row],[Total Cost GBP]]/EURtoGBP</f>
        <v>0</v>
      </c>
      <c r="W61" s="33">
        <f>quantInv[[#This Row],[Total Cost GBP]]/USDtoGBP</f>
        <v>0</v>
      </c>
      <c r="X61" s="33">
        <f>quantInv[[#This Row],[Total Cost GBP]]/CADtoGBP</f>
        <v>0</v>
      </c>
      <c r="Y61" s="33">
        <f>quantInv[[#This Row],[Quantity]]*quantInv[[#This Row],[UNIT
VALUE AUD]]</f>
        <v>0</v>
      </c>
      <c r="Z61" s="33"/>
    </row>
    <row r="62" spans="1:26" x14ac:dyDescent="0.25">
      <c r="A62" t="s">
        <v>41</v>
      </c>
      <c r="B62" t="s">
        <v>489</v>
      </c>
      <c r="C62" t="s">
        <v>114</v>
      </c>
      <c r="D62" t="s">
        <v>213</v>
      </c>
      <c r="E62">
        <v>2.2137254901960799</v>
      </c>
      <c r="F62" s="33">
        <v>2.3961000000000001</v>
      </c>
      <c r="G62" s="33" t="s">
        <v>117</v>
      </c>
      <c r="H62" t="s">
        <v>103</v>
      </c>
      <c r="I62" t="str">
        <f>IF(quantInv[[#This Row],[Metal]] = "925 Silver",  "7113.11.00"," 7113.19.00")</f>
        <v>7113.11.00</v>
      </c>
      <c r="J62" t="str">
        <f>IF(quantInv[[#This Row],[Metal]] = "925 Silver", "7113.11.10.00"," 7113.19.10.00")</f>
        <v>7113.11.10.00</v>
      </c>
      <c r="K62" t="str">
        <f>IF(quantInv[[#This Row],[Metal]] = "925 Silver",  "7113.11.00"," 7113.19.00")</f>
        <v>7113.11.00</v>
      </c>
      <c r="L62" t="str">
        <f>IFERROR(VLOOKUP(quantInv[[#This Row],[Description for New Invoice]],Map!$G$12:$H$32,2,FALSE), IF(quantInv[[#This Row],[Metal]] = "925 Silver", "7113.11.10.00", "7113.19.29.00"))</f>
        <v>7113.11.10.00</v>
      </c>
      <c r="M62" t="str">
        <f>quantInv[[#This Row],[ASIN]] &amp; " " &amp; quantInv[[#This Row],[Short Description]]</f>
        <v>B00DKD08U6 Ball Chain</v>
      </c>
      <c r="N62" s="33">
        <f>quantInv[[#This Row],[UNIT
VALUE]] / EURtoGBP</f>
        <v>2.7198583371643599</v>
      </c>
      <c r="O62" s="33">
        <f>quantInv[[#This Row],[UNIT
VALUE]]/USDtoGBP</f>
        <v>3.2846550228038214</v>
      </c>
      <c r="P62" s="33">
        <f>quantInv[[#This Row],[UNIT
VALUE]] / CADtoGBP</f>
        <v>4.2045472491721982</v>
      </c>
      <c r="Q62" s="33">
        <f>quantInv[[#This Row],[UNIT
VALUE]]/AUDtoGBP</f>
        <v>4.3036496874775487</v>
      </c>
      <c r="R62">
        <f>IFERROR(VLOOKUP(quantInv[[#This Row],[Assigned Item SKU]],skuQuantity[#All],2,FALSE),0)</f>
        <v>0</v>
      </c>
      <c r="S62" t="str">
        <f>PROPER(quantInv[[#This Row],[Metal]] &amp; " " &amp; quantInv[[#This Row],[Item Type]])</f>
        <v>925 Silver Chain</v>
      </c>
      <c r="T62" s="33">
        <f>quantInv[[#This Row],[Quantity]]*quantInv[[#This Row],[WEIGHT]]</f>
        <v>0</v>
      </c>
      <c r="U62" s="33">
        <f>quantInv[[#This Row],[UNIT
VALUE]]*quantInv[[#This Row],[Quantity]]</f>
        <v>0</v>
      </c>
      <c r="V62" s="33">
        <f>quantInv[[#This Row],[Total Cost GBP]]/EURtoGBP</f>
        <v>0</v>
      </c>
      <c r="W62" s="33">
        <f>quantInv[[#This Row],[Total Cost GBP]]/USDtoGBP</f>
        <v>0</v>
      </c>
      <c r="X62" s="33">
        <f>quantInv[[#This Row],[Total Cost GBP]]/CADtoGBP</f>
        <v>0</v>
      </c>
      <c r="Y62" s="33">
        <f>quantInv[[#This Row],[Quantity]]*quantInv[[#This Row],[UNIT
VALUE AUD]]</f>
        <v>0</v>
      </c>
      <c r="Z62" s="33"/>
    </row>
    <row r="63" spans="1:26" x14ac:dyDescent="0.25">
      <c r="A63" t="s">
        <v>25</v>
      </c>
      <c r="B63" t="s">
        <v>593</v>
      </c>
      <c r="C63" t="s">
        <v>114</v>
      </c>
      <c r="D63" t="s">
        <v>242</v>
      </c>
      <c r="E63">
        <v>3.2606232294617601</v>
      </c>
      <c r="F63" s="33">
        <v>3.5081000000000002</v>
      </c>
      <c r="G63" s="33" t="s">
        <v>117</v>
      </c>
      <c r="H63" t="s">
        <v>103</v>
      </c>
      <c r="I63" t="str">
        <f>IF(quantInv[[#This Row],[Metal]] = "925 Silver",  "7113.11.00"," 7113.19.00")</f>
        <v>7113.11.00</v>
      </c>
      <c r="J63" t="str">
        <f>IF(quantInv[[#This Row],[Metal]] = "925 Silver", "7113.11.10.00"," 7113.19.10.00")</f>
        <v>7113.11.10.00</v>
      </c>
      <c r="K63" t="str">
        <f>IF(quantInv[[#This Row],[Metal]] = "925 Silver",  "7113.11.00"," 7113.19.00")</f>
        <v>7113.11.00</v>
      </c>
      <c r="L63" t="str">
        <f>IFERROR(VLOOKUP(quantInv[[#This Row],[Description for New Invoice]],Map!$G$12:$H$32,2,FALSE), IF(quantInv[[#This Row],[Metal]] = "925 Silver", "7113.11.10.00", "7113.19.29.00"))</f>
        <v>7113.11.10.00</v>
      </c>
      <c r="M63" t="str">
        <f>quantInv[[#This Row],[ASIN]] &amp; " " &amp; quantInv[[#This Row],[Short Description]]</f>
        <v>B00DKCZKSC Heart Chain</v>
      </c>
      <c r="N63" s="33">
        <f>quantInv[[#This Row],[UNIT
VALUE]] / EURtoGBP</f>
        <v>3.9821105265248904</v>
      </c>
      <c r="O63" s="33">
        <f>quantInv[[#This Row],[UNIT
VALUE]]/USDtoGBP</f>
        <v>4.8090222801628002</v>
      </c>
      <c r="P63" s="33">
        <f>quantInv[[#This Row],[UNIT
VALUE]] / CADtoGBP</f>
        <v>6.155824967581065</v>
      </c>
      <c r="Q63" s="33">
        <f>quantInv[[#This Row],[UNIT
VALUE]]/AUDtoGBP</f>
        <v>6.3009196062935553</v>
      </c>
      <c r="R63">
        <f>IFERROR(VLOOKUP(quantInv[[#This Row],[Assigned Item SKU]],skuQuantity[#All],2,FALSE),0)</f>
        <v>100</v>
      </c>
      <c r="S63" t="str">
        <f>PROPER(quantInv[[#This Row],[Metal]] &amp; " " &amp; quantInv[[#This Row],[Item Type]])</f>
        <v>925 Silver Chain</v>
      </c>
      <c r="T63" s="33">
        <f>quantInv[[#This Row],[Quantity]]*quantInv[[#This Row],[WEIGHT]]</f>
        <v>326.06232294617598</v>
      </c>
      <c r="U63" s="33">
        <f>quantInv[[#This Row],[UNIT
VALUE]]*quantInv[[#This Row],[Quantity]]</f>
        <v>350.81</v>
      </c>
      <c r="V63" s="33">
        <f>quantInv[[#This Row],[Total Cost GBP]]/EURtoGBP</f>
        <v>398.21105265248906</v>
      </c>
      <c r="W63" s="33">
        <f>quantInv[[#This Row],[Total Cost GBP]]/USDtoGBP</f>
        <v>480.90222801628005</v>
      </c>
      <c r="X63" s="33">
        <f>quantInv[[#This Row],[Total Cost GBP]]/CADtoGBP</f>
        <v>615.58249675810646</v>
      </c>
      <c r="Y63" s="33">
        <f>quantInv[[#This Row],[Quantity]]*quantInv[[#This Row],[UNIT
VALUE AUD]]</f>
        <v>630.09196062935553</v>
      </c>
      <c r="Z63" s="33"/>
    </row>
    <row r="64" spans="1:26" x14ac:dyDescent="0.25">
      <c r="A64" t="s">
        <v>23</v>
      </c>
      <c r="B64" t="s">
        <v>595</v>
      </c>
      <c r="C64" t="s">
        <v>114</v>
      </c>
      <c r="D64" t="s">
        <v>242</v>
      </c>
      <c r="E64">
        <v>4.4050991501416403</v>
      </c>
      <c r="F64" s="33">
        <v>4.6170999999999998</v>
      </c>
      <c r="G64" s="33" t="s">
        <v>117</v>
      </c>
      <c r="H64" t="s">
        <v>103</v>
      </c>
      <c r="I64" t="str">
        <f>IF(quantInv[[#This Row],[Metal]] = "925 Silver",  "7113.11.00"," 7113.19.00")</f>
        <v>7113.11.00</v>
      </c>
      <c r="J64" t="str">
        <f>IF(quantInv[[#This Row],[Metal]] = "925 Silver", "7113.11.10.00"," 7113.19.10.00")</f>
        <v>7113.11.10.00</v>
      </c>
      <c r="K64" t="str">
        <f>IF(quantInv[[#This Row],[Metal]] = "925 Silver",  "7113.11.00"," 7113.19.00")</f>
        <v>7113.11.00</v>
      </c>
      <c r="L64" t="str">
        <f>IFERROR(VLOOKUP(quantInv[[#This Row],[Description for New Invoice]],Map!$G$12:$H$32,2,FALSE), IF(quantInv[[#This Row],[Metal]] = "925 Silver", "7113.11.10.00", "7113.19.29.00"))</f>
        <v>7113.11.10.00</v>
      </c>
      <c r="M64" t="str">
        <f>quantInv[[#This Row],[ASIN]] &amp; " " &amp; quantInv[[#This Row],[Short Description]]</f>
        <v>B00DKCZMFI Heart Chain</v>
      </c>
      <c r="N64" s="33">
        <f>quantInv[[#This Row],[UNIT
VALUE]] / EURtoGBP</f>
        <v>5.2409573592594478</v>
      </c>
      <c r="O64" s="33">
        <f>quantInv[[#This Row],[UNIT
VALUE]]/USDtoGBP</f>
        <v>6.3292770359281842</v>
      </c>
      <c r="P64" s="33">
        <f>quantInv[[#This Row],[UNIT
VALUE]] / CADtoGBP</f>
        <v>8.1018384475409864</v>
      </c>
      <c r="Q64" s="33">
        <f>quantInv[[#This Row],[UNIT
VALUE]]/AUDtoGBP</f>
        <v>8.2928012069832597</v>
      </c>
      <c r="R64">
        <f>IFERROR(VLOOKUP(quantInv[[#This Row],[Assigned Item SKU]],skuQuantity[#All],2,FALSE),0)</f>
        <v>0</v>
      </c>
      <c r="S64" t="str">
        <f>PROPER(quantInv[[#This Row],[Metal]] &amp; " " &amp; quantInv[[#This Row],[Item Type]])</f>
        <v>925 Silver Chain</v>
      </c>
      <c r="T64" s="33">
        <f>quantInv[[#This Row],[Quantity]]*quantInv[[#This Row],[WEIGHT]]</f>
        <v>0</v>
      </c>
      <c r="U64" s="33">
        <f>quantInv[[#This Row],[UNIT
VALUE]]*quantInv[[#This Row],[Quantity]]</f>
        <v>0</v>
      </c>
      <c r="V64" s="33">
        <f>quantInv[[#This Row],[Total Cost GBP]]/EURtoGBP</f>
        <v>0</v>
      </c>
      <c r="W64" s="33">
        <f>quantInv[[#This Row],[Total Cost GBP]]/USDtoGBP</f>
        <v>0</v>
      </c>
      <c r="X64" s="33">
        <f>quantInv[[#This Row],[Total Cost GBP]]/CADtoGBP</f>
        <v>0</v>
      </c>
      <c r="Y64" s="33">
        <f>quantInv[[#This Row],[Quantity]]*quantInv[[#This Row],[UNIT
VALUE AUD]]</f>
        <v>0</v>
      </c>
      <c r="Z64" s="33"/>
    </row>
    <row r="65" spans="1:26" x14ac:dyDescent="0.25">
      <c r="A65" t="s">
        <v>11</v>
      </c>
      <c r="B65" t="s">
        <v>665</v>
      </c>
      <c r="C65" t="s">
        <v>114</v>
      </c>
      <c r="D65" t="s">
        <v>626</v>
      </c>
      <c r="E65">
        <v>5.83</v>
      </c>
      <c r="F65" s="33">
        <v>5.5312000000000001</v>
      </c>
      <c r="G65" s="33" t="s">
        <v>117</v>
      </c>
      <c r="H65" t="s">
        <v>103</v>
      </c>
      <c r="I65" t="str">
        <f>IF(quantInv[[#This Row],[Metal]] = "925 Silver",  "7113.11.00"," 7113.19.00")</f>
        <v>7113.11.00</v>
      </c>
      <c r="J65" t="str">
        <f>IF(quantInv[[#This Row],[Metal]] = "925 Silver", "7113.11.10.00"," 7113.19.10.00")</f>
        <v>7113.11.10.00</v>
      </c>
      <c r="K65" t="str">
        <f>IF(quantInv[[#This Row],[Metal]] = "925 Silver",  "7113.11.00"," 7113.19.00")</f>
        <v>7113.11.00</v>
      </c>
      <c r="L65" t="str">
        <f>IFERROR(VLOOKUP(quantInv[[#This Row],[Description for New Invoice]],Map!$G$12:$H$32,2,FALSE), IF(quantInv[[#This Row],[Metal]] = "925 Silver", "7113.11.10.00", "7113.19.29.00"))</f>
        <v>7113.11.10.00</v>
      </c>
      <c r="M65" t="str">
        <f>quantInv[[#This Row],[ASIN]] &amp; " " &amp; quantInv[[#This Row],[Short Description]]</f>
        <v>B01N34Q2U0 Popcorn Chain</v>
      </c>
      <c r="N65" s="33">
        <f>quantInv[[#This Row],[UNIT
VALUE]] / EURtoGBP</f>
        <v>6.2785695231933163</v>
      </c>
      <c r="O65" s="33">
        <f>quantInv[[#This Row],[UNIT
VALUE]]/USDtoGBP</f>
        <v>7.5823562714963888</v>
      </c>
      <c r="P65" s="33">
        <f>quantInv[[#This Row],[UNIT
VALUE]] / CADtoGBP</f>
        <v>9.7058519029344623</v>
      </c>
      <c r="Q65" s="33">
        <f>quantInv[[#This Row],[UNIT
VALUE]]/AUDtoGBP</f>
        <v>9.9346217400675325</v>
      </c>
      <c r="R65">
        <f>IFERROR(VLOOKUP(quantInv[[#This Row],[Assigned Item SKU]],skuQuantity[#All],2,FALSE),0)</f>
        <v>0</v>
      </c>
      <c r="S65" t="str">
        <f>PROPER(quantInv[[#This Row],[Metal]] &amp; " " &amp; quantInv[[#This Row],[Item Type]])</f>
        <v>925 Silver Chain</v>
      </c>
      <c r="T65" s="33">
        <f>quantInv[[#This Row],[Quantity]]*quantInv[[#This Row],[WEIGHT]]</f>
        <v>0</v>
      </c>
      <c r="U65" s="33">
        <f>quantInv[[#This Row],[UNIT
VALUE]]*quantInv[[#This Row],[Quantity]]</f>
        <v>0</v>
      </c>
      <c r="V65" s="33">
        <f>quantInv[[#This Row],[Total Cost GBP]]/EURtoGBP</f>
        <v>0</v>
      </c>
      <c r="W65" s="33">
        <f>quantInv[[#This Row],[Total Cost GBP]]/USDtoGBP</f>
        <v>0</v>
      </c>
      <c r="X65" s="33">
        <f>quantInv[[#This Row],[Total Cost GBP]]/CADtoGBP</f>
        <v>0</v>
      </c>
      <c r="Y65" s="33">
        <f>quantInv[[#This Row],[Quantity]]*quantInv[[#This Row],[UNIT
VALUE AUD]]</f>
        <v>0</v>
      </c>
      <c r="Z65" s="33"/>
    </row>
    <row r="66" spans="1:26" x14ac:dyDescent="0.25">
      <c r="A66" t="s">
        <v>281</v>
      </c>
      <c r="B66" t="s">
        <v>282</v>
      </c>
      <c r="C66" t="s">
        <v>113</v>
      </c>
      <c r="D66" t="s">
        <v>160</v>
      </c>
      <c r="E66">
        <v>5.0901960784313696</v>
      </c>
      <c r="F66" s="33">
        <v>5.5949999999999998</v>
      </c>
      <c r="G66" s="33" t="s">
        <v>117</v>
      </c>
      <c r="H66" t="s">
        <v>103</v>
      </c>
      <c r="I66" t="str">
        <f>IF(quantInv[[#This Row],[Metal]] = "925 Silver",  "7113.11.00"," 7113.19.00")</f>
        <v>7113.11.00</v>
      </c>
      <c r="J66" t="str">
        <f>IF(quantInv[[#This Row],[Metal]] = "925 Silver", "7113.11.10.00"," 7113.19.10.00")</f>
        <v>7113.11.10.00</v>
      </c>
      <c r="K66" t="str">
        <f>IF(quantInv[[#This Row],[Metal]] = "925 Silver",  "7113.11.00"," 7113.19.00")</f>
        <v>7113.11.00</v>
      </c>
      <c r="L66" t="str">
        <f>IFERROR(VLOOKUP(quantInv[[#This Row],[Description for New Invoice]],Map!$G$12:$H$32,2,FALSE), IF(quantInv[[#This Row],[Metal]] = "925 Silver", "7113.11.10.00", "7113.19.29.00"))</f>
        <v>7113.11.10.00</v>
      </c>
      <c r="M66" t="str">
        <f>quantInv[[#This Row],[ASIN]] &amp; " " &amp; quantInv[[#This Row],[Short Description]]</f>
        <v>B073GBF888 Curb Chain</v>
      </c>
      <c r="N66" s="33">
        <f>quantInv[[#This Row],[UNIT
VALUE]] / EURtoGBP</f>
        <v>6.3509901074390012</v>
      </c>
      <c r="O66" s="33">
        <f>quantInv[[#This Row],[UNIT
VALUE]]/USDtoGBP</f>
        <v>7.6698154720534948</v>
      </c>
      <c r="P66" s="33">
        <f>quantInv[[#This Row],[UNIT
VALUE]] / CADtoGBP</f>
        <v>9.8178047072820203</v>
      </c>
      <c r="Q66" s="33">
        <f>quantInv[[#This Row],[UNIT
VALUE]]/AUDtoGBP</f>
        <v>10.049213305553559</v>
      </c>
      <c r="R66">
        <f>IFERROR(VLOOKUP(quantInv[[#This Row],[Assigned Item SKU]],skuQuantity[#All],2,FALSE),0)</f>
        <v>0</v>
      </c>
      <c r="S66" t="str">
        <f>PROPER(quantInv[[#This Row],[Metal]] &amp; " " &amp; quantInv[[#This Row],[Item Type]])</f>
        <v>925 Silver Chain</v>
      </c>
      <c r="T66" s="33">
        <f>quantInv[[#This Row],[Quantity]]*quantInv[[#This Row],[WEIGHT]]</f>
        <v>0</v>
      </c>
      <c r="U66" s="33">
        <f>quantInv[[#This Row],[UNIT
VALUE]]*quantInv[[#This Row],[Quantity]]</f>
        <v>0</v>
      </c>
      <c r="V66" s="33">
        <f>quantInv[[#This Row],[Total Cost GBP]]/EURtoGBP</f>
        <v>0</v>
      </c>
      <c r="W66" s="33">
        <f>quantInv[[#This Row],[Total Cost GBP]]/USDtoGBP</f>
        <v>0</v>
      </c>
      <c r="X66" s="33">
        <f>quantInv[[#This Row],[Total Cost GBP]]/CADtoGBP</f>
        <v>0</v>
      </c>
      <c r="Y66" s="33">
        <f>quantInv[[#This Row],[Quantity]]*quantInv[[#This Row],[UNIT
VALUE AUD]]</f>
        <v>0</v>
      </c>
      <c r="Z66" s="33"/>
    </row>
    <row r="67" spans="1:26" x14ac:dyDescent="0.25">
      <c r="A67" t="s">
        <v>283</v>
      </c>
      <c r="B67" t="s">
        <v>284</v>
      </c>
      <c r="C67" t="s">
        <v>113</v>
      </c>
      <c r="D67" t="s">
        <v>160</v>
      </c>
      <c r="E67">
        <v>5.6098039215686297</v>
      </c>
      <c r="F67" s="33">
        <v>6.1304999999999996</v>
      </c>
      <c r="G67" s="33" t="s">
        <v>117</v>
      </c>
      <c r="H67" t="s">
        <v>103</v>
      </c>
      <c r="I67" t="str">
        <f>IF(quantInv[[#This Row],[Metal]] = "925 Silver",  "7113.11.00"," 7113.19.00")</f>
        <v>7113.11.00</v>
      </c>
      <c r="J67" t="str">
        <f>IF(quantInv[[#This Row],[Metal]] = "925 Silver", "7113.11.10.00"," 7113.19.10.00")</f>
        <v>7113.11.10.00</v>
      </c>
      <c r="K67" t="str">
        <f>IF(quantInv[[#This Row],[Metal]] = "925 Silver",  "7113.11.00"," 7113.19.00")</f>
        <v>7113.11.00</v>
      </c>
      <c r="L67" t="str">
        <f>IFERROR(VLOOKUP(quantInv[[#This Row],[Description for New Invoice]],Map!$G$12:$H$32,2,FALSE), IF(quantInv[[#This Row],[Metal]] = "925 Silver", "7113.11.10.00", "7113.19.29.00"))</f>
        <v>7113.11.10.00</v>
      </c>
      <c r="M67" t="str">
        <f>quantInv[[#This Row],[ASIN]] &amp; " " &amp; quantInv[[#This Row],[Short Description]]</f>
        <v>B073G89MY6 Curb Chain</v>
      </c>
      <c r="N67" s="33">
        <f>quantInv[[#This Row],[UNIT
VALUE]] / EURtoGBP</f>
        <v>6.9588462651751204</v>
      </c>
      <c r="O67" s="33">
        <f>quantInv[[#This Row],[UNIT
VALUE]]/USDtoGBP</f>
        <v>8.4038970065100891</v>
      </c>
      <c r="P67" s="33">
        <f>quantInv[[#This Row],[UNIT
VALUE]] / CADtoGBP</f>
        <v>10.757471270418664</v>
      </c>
      <c r="Q67" s="33">
        <f>quantInv[[#This Row],[UNIT
VALUE]]/AUDtoGBP</f>
        <v>11.011028091098497</v>
      </c>
      <c r="R67">
        <f>IFERROR(VLOOKUP(quantInv[[#This Row],[Assigned Item SKU]],skuQuantity[#All],2,FALSE),0)</f>
        <v>0</v>
      </c>
      <c r="S67" t="str">
        <f>PROPER(quantInv[[#This Row],[Metal]] &amp; " " &amp; quantInv[[#This Row],[Item Type]])</f>
        <v>925 Silver Chain</v>
      </c>
      <c r="T67" s="33">
        <f>quantInv[[#This Row],[Quantity]]*quantInv[[#This Row],[WEIGHT]]</f>
        <v>0</v>
      </c>
      <c r="U67" s="33">
        <f>quantInv[[#This Row],[UNIT
VALUE]]*quantInv[[#This Row],[Quantity]]</f>
        <v>0</v>
      </c>
      <c r="V67" s="33">
        <f>quantInv[[#This Row],[Total Cost GBP]]/EURtoGBP</f>
        <v>0</v>
      </c>
      <c r="W67" s="33">
        <f>quantInv[[#This Row],[Total Cost GBP]]/USDtoGBP</f>
        <v>0</v>
      </c>
      <c r="X67" s="33">
        <f>quantInv[[#This Row],[Total Cost GBP]]/CADtoGBP</f>
        <v>0</v>
      </c>
      <c r="Y67" s="33">
        <f>quantInv[[#This Row],[Quantity]]*quantInv[[#This Row],[UNIT
VALUE AUD]]</f>
        <v>0</v>
      </c>
      <c r="Z67" s="33"/>
    </row>
    <row r="68" spans="1:26" x14ac:dyDescent="0.25">
      <c r="A68" t="s">
        <v>285</v>
      </c>
      <c r="B68" t="s">
        <v>286</v>
      </c>
      <c r="C68" t="s">
        <v>113</v>
      </c>
      <c r="D68" t="s">
        <v>160</v>
      </c>
      <c r="E68">
        <v>7.9039215686274504</v>
      </c>
      <c r="F68" s="33">
        <v>8.4951000000000008</v>
      </c>
      <c r="G68" s="33" t="s">
        <v>117</v>
      </c>
      <c r="H68" t="s">
        <v>103</v>
      </c>
      <c r="I68" t="str">
        <f>IF(quantInv[[#This Row],[Metal]] = "925 Silver",  "7113.11.00"," 7113.19.00")</f>
        <v>7113.11.00</v>
      </c>
      <c r="J68" t="str">
        <f>IF(quantInv[[#This Row],[Metal]] = "925 Silver", "7113.11.10.00"," 7113.19.10.00")</f>
        <v>7113.11.10.00</v>
      </c>
      <c r="K68" t="str">
        <f>IF(quantInv[[#This Row],[Metal]] = "925 Silver",  "7113.11.00"," 7113.19.00")</f>
        <v>7113.11.00</v>
      </c>
      <c r="L68" t="str">
        <f>IFERROR(VLOOKUP(quantInv[[#This Row],[Description for New Invoice]],Map!$G$12:$H$32,2,FALSE), IF(quantInv[[#This Row],[Metal]] = "925 Silver", "7113.11.10.00", "7113.19.29.00"))</f>
        <v>7113.11.10.00</v>
      </c>
      <c r="M68" t="str">
        <f>quantInv[[#This Row],[ASIN]] &amp; " " &amp; quantInv[[#This Row],[Short Description]]</f>
        <v>B073G9BRC4 Curb Chain</v>
      </c>
      <c r="N68" s="33">
        <f>quantInv[[#This Row],[UNIT
VALUE]] / EURtoGBP</f>
        <v>9.6429483577667678</v>
      </c>
      <c r="O68" s="33">
        <f>quantInv[[#This Row],[UNIT
VALUE]]/USDtoGBP</f>
        <v>11.645370762581171</v>
      </c>
      <c r="P68" s="33">
        <f>quantInv[[#This Row],[UNIT
VALUE]] / CADtoGBP</f>
        <v>14.906744015876944</v>
      </c>
      <c r="Q68" s="33">
        <f>quantInv[[#This Row],[UNIT
VALUE]]/AUDtoGBP</f>
        <v>15.258100438249874</v>
      </c>
      <c r="R68">
        <f>IFERROR(VLOOKUP(quantInv[[#This Row],[Assigned Item SKU]],skuQuantity[#All],2,FALSE),0)</f>
        <v>0</v>
      </c>
      <c r="S68" t="str">
        <f>PROPER(quantInv[[#This Row],[Metal]] &amp; " " &amp; quantInv[[#This Row],[Item Type]])</f>
        <v>925 Silver Chain</v>
      </c>
      <c r="T68" s="33">
        <f>quantInv[[#This Row],[Quantity]]*quantInv[[#This Row],[WEIGHT]]</f>
        <v>0</v>
      </c>
      <c r="U68" s="33">
        <f>quantInv[[#This Row],[UNIT
VALUE]]*quantInv[[#This Row],[Quantity]]</f>
        <v>0</v>
      </c>
      <c r="V68" s="33">
        <f>quantInv[[#This Row],[Total Cost GBP]]/EURtoGBP</f>
        <v>0</v>
      </c>
      <c r="W68" s="33">
        <f>quantInv[[#This Row],[Total Cost GBP]]/USDtoGBP</f>
        <v>0</v>
      </c>
      <c r="X68" s="33">
        <f>quantInv[[#This Row],[Total Cost GBP]]/CADtoGBP</f>
        <v>0</v>
      </c>
      <c r="Y68" s="33">
        <f>quantInv[[#This Row],[Quantity]]*quantInv[[#This Row],[UNIT
VALUE AUD]]</f>
        <v>0</v>
      </c>
      <c r="Z68" s="33"/>
    </row>
    <row r="69" spans="1:26" x14ac:dyDescent="0.25">
      <c r="A69" t="s">
        <v>287</v>
      </c>
      <c r="B69" t="s">
        <v>288</v>
      </c>
      <c r="C69" t="s">
        <v>113</v>
      </c>
      <c r="D69" t="s">
        <v>173</v>
      </c>
      <c r="E69">
        <v>1.86078431372549</v>
      </c>
      <c r="F69" s="33">
        <v>2.5941999999999998</v>
      </c>
      <c r="G69" s="33" t="s">
        <v>117</v>
      </c>
      <c r="H69" t="s">
        <v>103</v>
      </c>
      <c r="I69" t="str">
        <f>IF(quantInv[[#This Row],[Metal]] = "925 Silver",  "7113.11.00"," 7113.19.00")</f>
        <v>7113.11.00</v>
      </c>
      <c r="J69" t="str">
        <f>IF(quantInv[[#This Row],[Metal]] = "925 Silver", "7113.11.10.00"," 7113.19.10.00")</f>
        <v>7113.11.10.00</v>
      </c>
      <c r="K69" t="str">
        <f>IF(quantInv[[#This Row],[Metal]] = "925 Silver",  "7113.11.00"," 7113.19.00")</f>
        <v>7113.11.00</v>
      </c>
      <c r="L69" t="str">
        <f>IFERROR(VLOOKUP(quantInv[[#This Row],[Description for New Invoice]],Map!$G$12:$H$32,2,FALSE), IF(quantInv[[#This Row],[Metal]] = "925 Silver", "7113.11.10.00", "7113.19.29.00"))</f>
        <v>7113.11.10.00</v>
      </c>
      <c r="M69" t="str">
        <f>quantInv[[#This Row],[ASIN]] &amp; " " &amp; quantInv[[#This Row],[Short Description]]</f>
        <v>B073GBS6B1 Figaro Chain</v>
      </c>
      <c r="N69" s="33">
        <f>quantInv[[#This Row],[UNIT
VALUE]] / EURtoGBP</f>
        <v>2.9447253863660872</v>
      </c>
      <c r="O69" s="33">
        <f>quantInv[[#This Row],[UNIT
VALUE]]/USDtoGBP</f>
        <v>3.5562172113675024</v>
      </c>
      <c r="P69" s="33">
        <f>quantInv[[#This Row],[UNIT
VALUE]] / CADtoGBP</f>
        <v>4.5521624614175185</v>
      </c>
      <c r="Q69" s="33">
        <f>quantInv[[#This Row],[UNIT
VALUE]]/AUDtoGBP</f>
        <v>4.6594582944177017</v>
      </c>
      <c r="R69">
        <f>IFERROR(VLOOKUP(quantInv[[#This Row],[Assigned Item SKU]],skuQuantity[#All],2,FALSE),0)</f>
        <v>0</v>
      </c>
      <c r="S69" t="str">
        <f>PROPER(quantInv[[#This Row],[Metal]] &amp; " " &amp; quantInv[[#This Row],[Item Type]])</f>
        <v>925 Silver Chain</v>
      </c>
      <c r="T69" s="33">
        <f>quantInv[[#This Row],[Quantity]]*quantInv[[#This Row],[WEIGHT]]</f>
        <v>0</v>
      </c>
      <c r="U69" s="33">
        <f>quantInv[[#This Row],[UNIT
VALUE]]*quantInv[[#This Row],[Quantity]]</f>
        <v>0</v>
      </c>
      <c r="V69" s="33">
        <f>quantInv[[#This Row],[Total Cost GBP]]/EURtoGBP</f>
        <v>0</v>
      </c>
      <c r="W69" s="33">
        <f>quantInv[[#This Row],[Total Cost GBP]]/USDtoGBP</f>
        <v>0</v>
      </c>
      <c r="X69" s="33">
        <f>quantInv[[#This Row],[Total Cost GBP]]/CADtoGBP</f>
        <v>0</v>
      </c>
      <c r="Y69" s="33">
        <f>quantInv[[#This Row],[Quantity]]*quantInv[[#This Row],[UNIT
VALUE AUD]]</f>
        <v>0</v>
      </c>
      <c r="Z69" s="33"/>
    </row>
    <row r="70" spans="1:26" x14ac:dyDescent="0.25">
      <c r="A70" t="s">
        <v>289</v>
      </c>
      <c r="B70" t="s">
        <v>290</v>
      </c>
      <c r="C70" t="s">
        <v>113</v>
      </c>
      <c r="D70" t="s">
        <v>173</v>
      </c>
      <c r="E70">
        <v>2.04423076923077</v>
      </c>
      <c r="F70" s="33">
        <v>2.8155999999999999</v>
      </c>
      <c r="G70" s="33" t="s">
        <v>117</v>
      </c>
      <c r="H70" t="s">
        <v>103</v>
      </c>
      <c r="I70" t="str">
        <f>IF(quantInv[[#This Row],[Metal]] = "925 Silver",  "7113.11.00"," 7113.19.00")</f>
        <v>7113.11.00</v>
      </c>
      <c r="J70" t="str">
        <f>IF(quantInv[[#This Row],[Metal]] = "925 Silver", "7113.11.10.00"," 7113.19.10.00")</f>
        <v>7113.11.10.00</v>
      </c>
      <c r="K70" t="str">
        <f>IF(quantInv[[#This Row],[Metal]] = "925 Silver",  "7113.11.00"," 7113.19.00")</f>
        <v>7113.11.00</v>
      </c>
      <c r="L70" t="str">
        <f>IFERROR(VLOOKUP(quantInv[[#This Row],[Description for New Invoice]],Map!$G$12:$H$32,2,FALSE), IF(quantInv[[#This Row],[Metal]] = "925 Silver", "7113.11.10.00", "7113.19.29.00"))</f>
        <v>7113.11.10.00</v>
      </c>
      <c r="M70" t="str">
        <f>quantInv[[#This Row],[ASIN]] &amp; " " &amp; quantInv[[#This Row],[Short Description]]</f>
        <v>B073GBPP14 Figaro Chain</v>
      </c>
      <c r="N70" s="33">
        <f>quantInv[[#This Row],[UNIT
VALUE]] / EURtoGBP</f>
        <v>3.196040705362869</v>
      </c>
      <c r="O70" s="33">
        <f>quantInv[[#This Row],[UNIT
VALUE]]/USDtoGBP</f>
        <v>3.8597198289747667</v>
      </c>
      <c r="P70" s="33">
        <f>quantInv[[#This Row],[UNIT
VALUE]] / CADtoGBP</f>
        <v>4.9406632589496438</v>
      </c>
      <c r="Q70" s="33">
        <f>quantInv[[#This Row],[UNIT
VALUE]]/AUDtoGBP</f>
        <v>5.0571161721388025</v>
      </c>
      <c r="R70">
        <f>IFERROR(VLOOKUP(quantInv[[#This Row],[Assigned Item SKU]],skuQuantity[#All],2,FALSE),0)</f>
        <v>0</v>
      </c>
      <c r="S70" t="str">
        <f>PROPER(quantInv[[#This Row],[Metal]] &amp; " " &amp; quantInv[[#This Row],[Item Type]])</f>
        <v>925 Silver Chain</v>
      </c>
      <c r="T70" s="33">
        <f>quantInv[[#This Row],[Quantity]]*quantInv[[#This Row],[WEIGHT]]</f>
        <v>0</v>
      </c>
      <c r="U70" s="33">
        <f>quantInv[[#This Row],[UNIT
VALUE]]*quantInv[[#This Row],[Quantity]]</f>
        <v>0</v>
      </c>
      <c r="V70" s="33">
        <f>quantInv[[#This Row],[Total Cost GBP]]/EURtoGBP</f>
        <v>0</v>
      </c>
      <c r="W70" s="33">
        <f>quantInv[[#This Row],[Total Cost GBP]]/USDtoGBP</f>
        <v>0</v>
      </c>
      <c r="X70" s="33">
        <f>quantInv[[#This Row],[Total Cost GBP]]/CADtoGBP</f>
        <v>0</v>
      </c>
      <c r="Y70" s="33">
        <f>quantInv[[#This Row],[Quantity]]*quantInv[[#This Row],[UNIT
VALUE AUD]]</f>
        <v>0</v>
      </c>
      <c r="Z70" s="33"/>
    </row>
    <row r="71" spans="1:26" x14ac:dyDescent="0.25">
      <c r="A71" t="s">
        <v>291</v>
      </c>
      <c r="B71" t="s">
        <v>292</v>
      </c>
      <c r="C71" t="s">
        <v>113</v>
      </c>
      <c r="D71" t="s">
        <v>173</v>
      </c>
      <c r="E71">
        <v>2.42115384615385</v>
      </c>
      <c r="F71" s="33">
        <v>3.2705000000000002</v>
      </c>
      <c r="G71" s="33" t="s">
        <v>117</v>
      </c>
      <c r="H71" t="s">
        <v>103</v>
      </c>
      <c r="I71" t="str">
        <f>IF(quantInv[[#This Row],[Metal]] = "925 Silver",  "7113.11.00"," 7113.19.00")</f>
        <v>7113.11.00</v>
      </c>
      <c r="J71" t="str">
        <f>IF(quantInv[[#This Row],[Metal]] = "925 Silver", "7113.11.10.00"," 7113.19.10.00")</f>
        <v>7113.11.10.00</v>
      </c>
      <c r="K71" t="str">
        <f>IF(quantInv[[#This Row],[Metal]] = "925 Silver",  "7113.11.00"," 7113.19.00")</f>
        <v>7113.11.00</v>
      </c>
      <c r="L71" t="str">
        <f>IFERROR(VLOOKUP(quantInv[[#This Row],[Description for New Invoice]],Map!$G$12:$H$32,2,FALSE), IF(quantInv[[#This Row],[Metal]] = "925 Silver", "7113.11.10.00", "7113.19.29.00"))</f>
        <v>7113.11.10.00</v>
      </c>
      <c r="M71" t="str">
        <f>quantInv[[#This Row],[ASIN]] &amp; " " &amp; quantInv[[#This Row],[Short Description]]</f>
        <v>B073G7SXJ1 Figaro Chain</v>
      </c>
      <c r="N71" s="33">
        <f>quantInv[[#This Row],[UNIT
VALUE]] / EURtoGBP</f>
        <v>3.7124062817478563</v>
      </c>
      <c r="O71" s="33">
        <f>quantInv[[#This Row],[UNIT
VALUE]]/USDtoGBP</f>
        <v>4.4833121539501271</v>
      </c>
      <c r="P71" s="33">
        <f>quantInv[[#This Row],[UNIT
VALUE]] / CADtoGBP</f>
        <v>5.738897282424638</v>
      </c>
      <c r="Q71" s="33">
        <f>quantInv[[#This Row],[UNIT
VALUE]]/AUDtoGBP</f>
        <v>5.8741648106904227</v>
      </c>
      <c r="R71">
        <f>IFERROR(VLOOKUP(quantInv[[#This Row],[Assigned Item SKU]],skuQuantity[#All],2,FALSE),0)</f>
        <v>0</v>
      </c>
      <c r="S71" t="str">
        <f>PROPER(quantInv[[#This Row],[Metal]] &amp; " " &amp; quantInv[[#This Row],[Item Type]])</f>
        <v>925 Silver Chain</v>
      </c>
      <c r="T71" s="33">
        <f>quantInv[[#This Row],[Quantity]]*quantInv[[#This Row],[WEIGHT]]</f>
        <v>0</v>
      </c>
      <c r="U71" s="33">
        <f>quantInv[[#This Row],[UNIT
VALUE]]*quantInv[[#This Row],[Quantity]]</f>
        <v>0</v>
      </c>
      <c r="V71" s="33">
        <f>quantInv[[#This Row],[Total Cost GBP]]/EURtoGBP</f>
        <v>0</v>
      </c>
      <c r="W71" s="33">
        <f>quantInv[[#This Row],[Total Cost GBP]]/USDtoGBP</f>
        <v>0</v>
      </c>
      <c r="X71" s="33">
        <f>quantInv[[#This Row],[Total Cost GBP]]/CADtoGBP</f>
        <v>0</v>
      </c>
      <c r="Y71" s="33">
        <f>quantInv[[#This Row],[Quantity]]*quantInv[[#This Row],[UNIT
VALUE AUD]]</f>
        <v>0</v>
      </c>
      <c r="Z71" s="33"/>
    </row>
    <row r="72" spans="1:26" x14ac:dyDescent="0.25">
      <c r="A72" t="s">
        <v>293</v>
      </c>
      <c r="B72" t="s">
        <v>294</v>
      </c>
      <c r="C72" t="s">
        <v>113</v>
      </c>
      <c r="D72" t="s">
        <v>295</v>
      </c>
      <c r="E72">
        <v>1.7313725490196099</v>
      </c>
      <c r="F72" s="33">
        <v>2.4836999999999998</v>
      </c>
      <c r="G72" s="33" t="s">
        <v>117</v>
      </c>
      <c r="H72" t="s">
        <v>103</v>
      </c>
      <c r="I72" t="str">
        <f>IF(quantInv[[#This Row],[Metal]] = "925 Silver",  "7113.11.00"," 7113.19.00")</f>
        <v>7113.11.00</v>
      </c>
      <c r="J72" t="str">
        <f>IF(quantInv[[#This Row],[Metal]] = "925 Silver", "7113.11.10.00"," 7113.19.10.00")</f>
        <v>7113.11.10.00</v>
      </c>
      <c r="K72" t="str">
        <f>IF(quantInv[[#This Row],[Metal]] = "925 Silver",  "7113.11.00"," 7113.19.00")</f>
        <v>7113.11.00</v>
      </c>
      <c r="L72" t="str">
        <f>IFERROR(VLOOKUP(quantInv[[#This Row],[Description for New Invoice]],Map!$G$12:$H$32,2,FALSE), IF(quantInv[[#This Row],[Metal]] = "925 Silver", "7113.11.10.00", "7113.19.29.00"))</f>
        <v>7113.11.10.00</v>
      </c>
      <c r="M72" t="str">
        <f>quantInv[[#This Row],[ASIN]] &amp; " " &amp; quantInv[[#This Row],[Short Description]]</f>
        <v>B073G9YP28 Trace Chain</v>
      </c>
      <c r="N72" s="33">
        <f>quantInv[[#This Row],[UNIT
VALUE]] / EURtoGBP</f>
        <v>2.819294750642761</v>
      </c>
      <c r="O72" s="33">
        <f>quantInv[[#This Row],[UNIT
VALUE]]/USDtoGBP</f>
        <v>3.4047400693367766</v>
      </c>
      <c r="P72" s="33">
        <f>quantInv[[#This Row],[UNIT
VALUE]] / CADtoGBP</f>
        <v>4.3582630118813857</v>
      </c>
      <c r="Q72" s="33">
        <f>quantInv[[#This Row],[UNIT
VALUE]]/AUDtoGBP</f>
        <v>4.4609885767655717</v>
      </c>
      <c r="R72">
        <f>IFERROR(VLOOKUP(quantInv[[#This Row],[Assigned Item SKU]],skuQuantity[#All],2,FALSE),0)</f>
        <v>0</v>
      </c>
      <c r="S72" t="str">
        <f>PROPER(quantInv[[#This Row],[Metal]] &amp; " " &amp; quantInv[[#This Row],[Item Type]])</f>
        <v>925 Silver Chain</v>
      </c>
      <c r="T72" s="33">
        <f>quantInv[[#This Row],[Quantity]]*quantInv[[#This Row],[WEIGHT]]</f>
        <v>0</v>
      </c>
      <c r="U72" s="33">
        <f>quantInv[[#This Row],[UNIT
VALUE]]*quantInv[[#This Row],[Quantity]]</f>
        <v>0</v>
      </c>
      <c r="V72" s="33">
        <f>quantInv[[#This Row],[Total Cost GBP]]/EURtoGBP</f>
        <v>0</v>
      </c>
      <c r="W72" s="33">
        <f>quantInv[[#This Row],[Total Cost GBP]]/USDtoGBP</f>
        <v>0</v>
      </c>
      <c r="X72" s="33">
        <f>quantInv[[#This Row],[Total Cost GBP]]/CADtoGBP</f>
        <v>0</v>
      </c>
      <c r="Y72" s="33">
        <f>quantInv[[#This Row],[Quantity]]*quantInv[[#This Row],[UNIT
VALUE AUD]]</f>
        <v>0</v>
      </c>
      <c r="Z72" s="33"/>
    </row>
    <row r="73" spans="1:26" x14ac:dyDescent="0.25">
      <c r="A73" t="s">
        <v>296</v>
      </c>
      <c r="B73" t="s">
        <v>297</v>
      </c>
      <c r="C73" t="s">
        <v>113</v>
      </c>
      <c r="D73" t="s">
        <v>295</v>
      </c>
      <c r="E73">
        <v>2.1058823529411801</v>
      </c>
      <c r="F73" s="33">
        <v>2.9456000000000002</v>
      </c>
      <c r="G73" s="33" t="s">
        <v>117</v>
      </c>
      <c r="H73" t="s">
        <v>103</v>
      </c>
      <c r="I73" t="str">
        <f>IF(quantInv[[#This Row],[Metal]] = "925 Silver",  "7113.11.00"," 7113.19.00")</f>
        <v>7113.11.00</v>
      </c>
      <c r="J73" t="str">
        <f>IF(quantInv[[#This Row],[Metal]] = "925 Silver", "7113.11.10.00"," 7113.19.10.00")</f>
        <v>7113.11.10.00</v>
      </c>
      <c r="K73" t="str">
        <f>IF(quantInv[[#This Row],[Metal]] = "925 Silver",  "7113.11.00"," 7113.19.00")</f>
        <v>7113.11.00</v>
      </c>
      <c r="L73" t="str">
        <f>IFERROR(VLOOKUP(quantInv[[#This Row],[Description for New Invoice]],Map!$G$12:$H$32,2,FALSE), IF(quantInv[[#This Row],[Metal]] = "925 Silver", "7113.11.10.00", "7113.19.29.00"))</f>
        <v>7113.11.10.00</v>
      </c>
      <c r="M73" t="str">
        <f>quantInv[[#This Row],[ASIN]] &amp; " " &amp; quantInv[[#This Row],[Short Description]]</f>
        <v>B073GC16GF Trace Chain</v>
      </c>
      <c r="N73" s="33">
        <f>quantInv[[#This Row],[UNIT
VALUE]] / EURtoGBP</f>
        <v>3.3436061591550179</v>
      </c>
      <c r="O73" s="33">
        <f>quantInv[[#This Row],[UNIT
VALUE]]/USDtoGBP</f>
        <v>4.0379282313638569</v>
      </c>
      <c r="P73" s="33">
        <f>quantInv[[#This Row],[UNIT
VALUE]] / CADtoGBP</f>
        <v>5.1687802584039177</v>
      </c>
      <c r="Q73" s="33">
        <f>quantInv[[#This Row],[UNIT
VALUE]]/AUDtoGBP</f>
        <v>5.2906099576118972</v>
      </c>
      <c r="R73">
        <f>IFERROR(VLOOKUP(quantInv[[#This Row],[Assigned Item SKU]],skuQuantity[#All],2,FALSE),0)</f>
        <v>0</v>
      </c>
      <c r="S73" t="str">
        <f>PROPER(quantInv[[#This Row],[Metal]] &amp; " " &amp; quantInv[[#This Row],[Item Type]])</f>
        <v>925 Silver Chain</v>
      </c>
      <c r="T73" s="33">
        <f>quantInv[[#This Row],[Quantity]]*quantInv[[#This Row],[WEIGHT]]</f>
        <v>0</v>
      </c>
      <c r="U73" s="33">
        <f>quantInv[[#This Row],[UNIT
VALUE]]*quantInv[[#This Row],[Quantity]]</f>
        <v>0</v>
      </c>
      <c r="V73" s="33">
        <f>quantInv[[#This Row],[Total Cost GBP]]/EURtoGBP</f>
        <v>0</v>
      </c>
      <c r="W73" s="33">
        <f>quantInv[[#This Row],[Total Cost GBP]]/USDtoGBP</f>
        <v>0</v>
      </c>
      <c r="X73" s="33">
        <f>quantInv[[#This Row],[Total Cost GBP]]/CADtoGBP</f>
        <v>0</v>
      </c>
      <c r="Y73" s="33">
        <f>quantInv[[#This Row],[Quantity]]*quantInv[[#This Row],[UNIT
VALUE AUD]]</f>
        <v>0</v>
      </c>
      <c r="Z73" s="33"/>
    </row>
    <row r="74" spans="1:26" x14ac:dyDescent="0.25">
      <c r="A74" t="s">
        <v>298</v>
      </c>
      <c r="B74" t="s">
        <v>299</v>
      </c>
      <c r="C74" t="s">
        <v>113</v>
      </c>
      <c r="D74" t="s">
        <v>295</v>
      </c>
      <c r="E74">
        <v>2.3108910891089098</v>
      </c>
      <c r="F74" s="33">
        <v>3.1985000000000001</v>
      </c>
      <c r="G74" s="33" t="s">
        <v>117</v>
      </c>
      <c r="H74" t="s">
        <v>103</v>
      </c>
      <c r="I74" t="str">
        <f>IF(quantInv[[#This Row],[Metal]] = "925 Silver",  "7113.11.00"," 7113.19.00")</f>
        <v>7113.11.00</v>
      </c>
      <c r="J74" t="str">
        <f>IF(quantInv[[#This Row],[Metal]] = "925 Silver", "7113.11.10.00"," 7113.19.10.00")</f>
        <v>7113.11.10.00</v>
      </c>
      <c r="K74" t="str">
        <f>IF(quantInv[[#This Row],[Metal]] = "925 Silver",  "7113.11.00"," 7113.19.00")</f>
        <v>7113.11.00</v>
      </c>
      <c r="L74" t="str">
        <f>IFERROR(VLOOKUP(quantInv[[#This Row],[Description for New Invoice]],Map!$G$12:$H$32,2,FALSE), IF(quantInv[[#This Row],[Metal]] = "925 Silver", "7113.11.10.00", "7113.19.29.00"))</f>
        <v>7113.11.10.00</v>
      </c>
      <c r="M74" t="str">
        <f>quantInv[[#This Row],[ASIN]] &amp; " " &amp; quantInv[[#This Row],[Short Description]]</f>
        <v>B073G8YFF5 Trace Chain</v>
      </c>
      <c r="N74" s="33">
        <f>quantInv[[#This Row],[UNIT
VALUE]] / EURtoGBP</f>
        <v>3.6306777227245126</v>
      </c>
      <c r="O74" s="33">
        <f>quantInv[[#This Row],[UNIT
VALUE]]/USDtoGBP</f>
        <v>4.3846121157038613</v>
      </c>
      <c r="P74" s="33">
        <f>quantInv[[#This Row],[UNIT
VALUE]] / CADtoGBP</f>
        <v>5.6125555596499632</v>
      </c>
      <c r="Q74" s="33">
        <f>quantInv[[#This Row],[UNIT
VALUE]]/AUDtoGBP</f>
        <v>5.7448451756591705</v>
      </c>
      <c r="R74">
        <f>IFERROR(VLOOKUP(quantInv[[#This Row],[Assigned Item SKU]],skuQuantity[#All],2,FALSE),0)</f>
        <v>0</v>
      </c>
      <c r="S74" t="str">
        <f>PROPER(quantInv[[#This Row],[Metal]] &amp; " " &amp; quantInv[[#This Row],[Item Type]])</f>
        <v>925 Silver Chain</v>
      </c>
      <c r="T74" s="33">
        <f>quantInv[[#This Row],[Quantity]]*quantInv[[#This Row],[WEIGHT]]</f>
        <v>0</v>
      </c>
      <c r="U74" s="33">
        <f>quantInv[[#This Row],[UNIT
VALUE]]*quantInv[[#This Row],[Quantity]]</f>
        <v>0</v>
      </c>
      <c r="V74" s="33">
        <f>quantInv[[#This Row],[Total Cost GBP]]/EURtoGBP</f>
        <v>0</v>
      </c>
      <c r="W74" s="33">
        <f>quantInv[[#This Row],[Total Cost GBP]]/USDtoGBP</f>
        <v>0</v>
      </c>
      <c r="X74" s="33">
        <f>quantInv[[#This Row],[Total Cost GBP]]/CADtoGBP</f>
        <v>0</v>
      </c>
      <c r="Y74" s="33">
        <f>quantInv[[#This Row],[Quantity]]*quantInv[[#This Row],[UNIT
VALUE AUD]]</f>
        <v>0</v>
      </c>
      <c r="Z74" s="33"/>
    </row>
    <row r="75" spans="1:26" x14ac:dyDescent="0.25">
      <c r="A75" t="s">
        <v>300</v>
      </c>
      <c r="B75" t="s">
        <v>301</v>
      </c>
      <c r="C75" t="s">
        <v>113</v>
      </c>
      <c r="D75" t="s">
        <v>295</v>
      </c>
      <c r="E75">
        <v>3.28</v>
      </c>
      <c r="F75" s="33">
        <v>4.3936999999999999</v>
      </c>
      <c r="G75" s="33" t="s">
        <v>117</v>
      </c>
      <c r="H75" t="s">
        <v>103</v>
      </c>
      <c r="I75" t="str">
        <f>IF(quantInv[[#This Row],[Metal]] = "925 Silver",  "7113.11.00"," 7113.19.00")</f>
        <v>7113.11.00</v>
      </c>
      <c r="J75" t="str">
        <f>IF(quantInv[[#This Row],[Metal]] = "925 Silver", "7113.11.10.00"," 7113.19.10.00")</f>
        <v>7113.11.10.00</v>
      </c>
      <c r="K75" t="str">
        <f>IF(quantInv[[#This Row],[Metal]] = "925 Silver",  "7113.11.00"," 7113.19.00")</f>
        <v>7113.11.00</v>
      </c>
      <c r="L75" t="str">
        <f>IFERROR(VLOOKUP(quantInv[[#This Row],[Description for New Invoice]],Map!$G$12:$H$32,2,FALSE), IF(quantInv[[#This Row],[Metal]] = "925 Silver", "7113.11.10.00", "7113.19.29.00"))</f>
        <v>7113.11.10.00</v>
      </c>
      <c r="M75" t="str">
        <f>quantInv[[#This Row],[ASIN]] &amp; " " &amp; quantInv[[#This Row],[Short Description]]</f>
        <v>B073G8SNZ8 Trace Chain</v>
      </c>
      <c r="N75" s="33">
        <f>quantInv[[#This Row],[UNIT
VALUE]] / EURtoGBP</f>
        <v>4.9873718025120182</v>
      </c>
      <c r="O75" s="33">
        <f>quantInv[[#This Row],[UNIT
VALUE]]/USDtoGBP</f>
        <v>6.0230327505918577</v>
      </c>
      <c r="P75" s="33">
        <f>quantInv[[#This Row],[UNIT
VALUE]] / CADtoGBP</f>
        <v>7.7098281577095644</v>
      </c>
      <c r="Q75" s="33">
        <f>quantInv[[#This Row],[UNIT
VALUE]]/AUDtoGBP</f>
        <v>7.8915511171779578</v>
      </c>
      <c r="R75">
        <f>IFERROR(VLOOKUP(quantInv[[#This Row],[Assigned Item SKU]],skuQuantity[#All],2,FALSE),0)</f>
        <v>0</v>
      </c>
      <c r="S75" t="str">
        <f>PROPER(quantInv[[#This Row],[Metal]] &amp; " " &amp; quantInv[[#This Row],[Item Type]])</f>
        <v>925 Silver Chain</v>
      </c>
      <c r="T75" s="33">
        <f>quantInv[[#This Row],[Quantity]]*quantInv[[#This Row],[WEIGHT]]</f>
        <v>0</v>
      </c>
      <c r="U75" s="33">
        <f>quantInv[[#This Row],[UNIT
VALUE]]*quantInv[[#This Row],[Quantity]]</f>
        <v>0</v>
      </c>
      <c r="V75" s="33">
        <f>quantInv[[#This Row],[Total Cost GBP]]/EURtoGBP</f>
        <v>0</v>
      </c>
      <c r="W75" s="33">
        <f>quantInv[[#This Row],[Total Cost GBP]]/USDtoGBP</f>
        <v>0</v>
      </c>
      <c r="X75" s="33">
        <f>quantInv[[#This Row],[Total Cost GBP]]/CADtoGBP</f>
        <v>0</v>
      </c>
      <c r="Y75" s="33">
        <f>quantInv[[#This Row],[Quantity]]*quantInv[[#This Row],[UNIT
VALUE AUD]]</f>
        <v>0</v>
      </c>
      <c r="Z75" s="33"/>
    </row>
    <row r="76" spans="1:26" x14ac:dyDescent="0.25">
      <c r="A76" t="s">
        <v>302</v>
      </c>
      <c r="B76" t="s">
        <v>303</v>
      </c>
      <c r="C76" t="s">
        <v>113</v>
      </c>
      <c r="D76" t="s">
        <v>189</v>
      </c>
      <c r="E76">
        <v>1.62745098039216</v>
      </c>
      <c r="F76" s="33">
        <v>2.3841999999999999</v>
      </c>
      <c r="G76" s="33" t="s">
        <v>117</v>
      </c>
      <c r="H76" t="s">
        <v>103</v>
      </c>
      <c r="I76" t="str">
        <f>IF(quantInv[[#This Row],[Metal]] = "925 Silver",  "7113.11.00"," 7113.19.00")</f>
        <v>7113.11.00</v>
      </c>
      <c r="J76" t="str">
        <f>IF(quantInv[[#This Row],[Metal]] = "925 Silver", "7113.11.10.00"," 7113.19.10.00")</f>
        <v>7113.11.10.00</v>
      </c>
      <c r="K76" t="str">
        <f>IF(quantInv[[#This Row],[Metal]] = "925 Silver",  "7113.11.00"," 7113.19.00")</f>
        <v>7113.11.00</v>
      </c>
      <c r="L76" t="str">
        <f>IFERROR(VLOOKUP(quantInv[[#This Row],[Description for New Invoice]],Map!$G$12:$H$32,2,FALSE), IF(quantInv[[#This Row],[Metal]] = "925 Silver", "7113.11.10.00", "7113.19.29.00"))</f>
        <v>7113.11.10.00</v>
      </c>
      <c r="M76" t="str">
        <f>quantInv[[#This Row],[ASIN]] &amp; " " &amp; quantInv[[#This Row],[Short Description]]</f>
        <v>B073JGSYFH Singapore Chain</v>
      </c>
      <c r="N76" s="33">
        <f>quantInv[[#This Row],[UNIT
VALUE]] / EURtoGBP</f>
        <v>2.7063504225480011</v>
      </c>
      <c r="O76" s="33">
        <f>quantInv[[#This Row],[UNIT
VALUE]]/USDtoGBP</f>
        <v>3.268342099815897</v>
      </c>
      <c r="P76" s="33">
        <f>quantInv[[#This Row],[UNIT
VALUE]] / CADtoGBP</f>
        <v>4.183665769991384</v>
      </c>
      <c r="Q76" s="33">
        <f>quantInv[[#This Row],[UNIT
VALUE]]/AUDtoGBP</f>
        <v>4.2822760255765493</v>
      </c>
      <c r="R76">
        <f>IFERROR(VLOOKUP(quantInv[[#This Row],[Assigned Item SKU]],skuQuantity[#All],2,FALSE),0)</f>
        <v>0</v>
      </c>
      <c r="S76" t="str">
        <f>PROPER(quantInv[[#This Row],[Metal]] &amp; " " &amp; quantInv[[#This Row],[Item Type]])</f>
        <v>925 Silver Chain</v>
      </c>
      <c r="T76" s="33">
        <f>quantInv[[#This Row],[Quantity]]*quantInv[[#This Row],[WEIGHT]]</f>
        <v>0</v>
      </c>
      <c r="U76" s="33">
        <f>quantInv[[#This Row],[UNIT
VALUE]]*quantInv[[#This Row],[Quantity]]</f>
        <v>0</v>
      </c>
      <c r="V76" s="33">
        <f>quantInv[[#This Row],[Total Cost GBP]]/EURtoGBP</f>
        <v>0</v>
      </c>
      <c r="W76" s="33">
        <f>quantInv[[#This Row],[Total Cost GBP]]/USDtoGBP</f>
        <v>0</v>
      </c>
      <c r="X76" s="33">
        <f>quantInv[[#This Row],[Total Cost GBP]]/CADtoGBP</f>
        <v>0</v>
      </c>
      <c r="Y76" s="33">
        <f>quantInv[[#This Row],[Quantity]]*quantInv[[#This Row],[UNIT
VALUE AUD]]</f>
        <v>0</v>
      </c>
      <c r="Z76" s="33"/>
    </row>
    <row r="77" spans="1:26" x14ac:dyDescent="0.25">
      <c r="A77" t="s">
        <v>304</v>
      </c>
      <c r="B77" t="s">
        <v>305</v>
      </c>
      <c r="C77" t="s">
        <v>113</v>
      </c>
      <c r="D77" t="s">
        <v>189</v>
      </c>
      <c r="E77">
        <v>1.94705882352941</v>
      </c>
      <c r="F77" s="33">
        <v>2.7841</v>
      </c>
      <c r="G77" s="33" t="s">
        <v>117</v>
      </c>
      <c r="H77" t="s">
        <v>103</v>
      </c>
      <c r="I77" t="str">
        <f>IF(quantInv[[#This Row],[Metal]] = "925 Silver",  "7113.11.00"," 7113.19.00")</f>
        <v>7113.11.00</v>
      </c>
      <c r="J77" t="str">
        <f>IF(quantInv[[#This Row],[Metal]] = "925 Silver", "7113.11.10.00"," 7113.19.10.00")</f>
        <v>7113.11.10.00</v>
      </c>
      <c r="K77" t="str">
        <f>IF(quantInv[[#This Row],[Metal]] = "925 Silver",  "7113.11.00"," 7113.19.00")</f>
        <v>7113.11.00</v>
      </c>
      <c r="L77" t="str">
        <f>IFERROR(VLOOKUP(quantInv[[#This Row],[Description for New Invoice]],Map!$G$12:$H$32,2,FALSE), IF(quantInv[[#This Row],[Metal]] = "925 Silver", "7113.11.10.00", "7113.19.29.00"))</f>
        <v>7113.11.10.00</v>
      </c>
      <c r="M77" t="str">
        <f>quantInv[[#This Row],[ASIN]] &amp; " " &amp; quantInv[[#This Row],[Short Description]]</f>
        <v>B073JG8JLL Singapore Chain</v>
      </c>
      <c r="N77" s="33">
        <f>quantInv[[#This Row],[UNIT
VALUE]] / EURtoGBP</f>
        <v>3.1602844607901561</v>
      </c>
      <c r="O77" s="33">
        <f>quantInv[[#This Row],[UNIT
VALUE]]/USDtoGBP</f>
        <v>3.8165385622420263</v>
      </c>
      <c r="P77" s="33">
        <f>quantInv[[#This Row],[UNIT
VALUE]] / CADtoGBP</f>
        <v>4.8853887552357236</v>
      </c>
      <c r="Q77" s="33">
        <f>quantInv[[#This Row],[UNIT
VALUE]]/AUDtoGBP</f>
        <v>5.00053883181263</v>
      </c>
      <c r="R77">
        <f>IFERROR(VLOOKUP(quantInv[[#This Row],[Assigned Item SKU]],skuQuantity[#All],2,FALSE),0)</f>
        <v>0</v>
      </c>
      <c r="S77" t="str">
        <f>PROPER(quantInv[[#This Row],[Metal]] &amp; " " &amp; quantInv[[#This Row],[Item Type]])</f>
        <v>925 Silver Chain</v>
      </c>
      <c r="T77" s="33">
        <f>quantInv[[#This Row],[Quantity]]*quantInv[[#This Row],[WEIGHT]]</f>
        <v>0</v>
      </c>
      <c r="U77" s="33">
        <f>quantInv[[#This Row],[UNIT
VALUE]]*quantInv[[#This Row],[Quantity]]</f>
        <v>0</v>
      </c>
      <c r="V77" s="33">
        <f>quantInv[[#This Row],[Total Cost GBP]]/EURtoGBP</f>
        <v>0</v>
      </c>
      <c r="W77" s="33">
        <f>quantInv[[#This Row],[Total Cost GBP]]/USDtoGBP</f>
        <v>0</v>
      </c>
      <c r="X77" s="33">
        <f>quantInv[[#This Row],[Total Cost GBP]]/CADtoGBP</f>
        <v>0</v>
      </c>
      <c r="Y77" s="33">
        <f>quantInv[[#This Row],[Quantity]]*quantInv[[#This Row],[UNIT
VALUE AUD]]</f>
        <v>0</v>
      </c>
      <c r="Z77" s="33"/>
    </row>
    <row r="78" spans="1:26" x14ac:dyDescent="0.25">
      <c r="A78" t="s">
        <v>690</v>
      </c>
      <c r="B78" t="s">
        <v>691</v>
      </c>
      <c r="C78" t="s">
        <v>114</v>
      </c>
      <c r="D78" t="s">
        <v>692</v>
      </c>
      <c r="E78">
        <v>8.8000000000000007</v>
      </c>
      <c r="F78" s="33">
        <v>7.4846000000000004</v>
      </c>
      <c r="G78" s="33" t="s">
        <v>117</v>
      </c>
      <c r="H78" t="s">
        <v>103</v>
      </c>
      <c r="I78" t="str">
        <f>IF(quantInv[[#This Row],[Metal]] = "925 Silver",  "7113.11.00"," 7113.19.00")</f>
        <v>7113.11.00</v>
      </c>
      <c r="J78" t="str">
        <f>IF(quantInv[[#This Row],[Metal]] = "925 Silver", "7113.11.10.00"," 7113.19.10.00")</f>
        <v>7113.11.10.00</v>
      </c>
      <c r="K78" t="str">
        <f>IF(quantInv[[#This Row],[Metal]] = "925 Silver",  "7113.11.00"," 7113.19.00")</f>
        <v>7113.11.00</v>
      </c>
      <c r="L78" t="str">
        <f>IFERROR(VLOOKUP(quantInv[[#This Row],[Description for New Invoice]],Map!$G$12:$H$32,2,FALSE), IF(quantInv[[#This Row],[Metal]] = "925 Silver", "7113.11.10.00", "7113.19.29.00"))</f>
        <v>7113.11.10.00</v>
      </c>
      <c r="M78" t="str">
        <f>quantInv[[#This Row],[ASIN]] &amp; " " &amp; quantInv[[#This Row],[Short Description]]</f>
        <v>B06Y5SQLLT Flat Figaro Chain</v>
      </c>
      <c r="N78" s="33">
        <f>quantInv[[#This Row],[UNIT
VALUE]] / EURtoGBP</f>
        <v>8.4959107342516447</v>
      </c>
      <c r="O78" s="33">
        <f>quantInv[[#This Row],[UNIT
VALUE]]/USDtoGBP</f>
        <v>10.260143142472135</v>
      </c>
      <c r="P78" s="33">
        <f>quantInv[[#This Row],[UNIT
VALUE]] / CADtoGBP</f>
        <v>13.133573031657376</v>
      </c>
      <c r="Q78" s="33">
        <f>quantInv[[#This Row],[UNIT
VALUE]]/AUDtoGBP</f>
        <v>13.443135282707091</v>
      </c>
      <c r="R78">
        <f>IFERROR(VLOOKUP(quantInv[[#This Row],[Assigned Item SKU]],skuQuantity[#All],2,FALSE),0)</f>
        <v>20</v>
      </c>
      <c r="S78" t="str">
        <f>PROPER(quantInv[[#This Row],[Metal]] &amp; " " &amp; quantInv[[#This Row],[Item Type]])</f>
        <v>925 Silver Chain</v>
      </c>
      <c r="T78" s="33">
        <f>quantInv[[#This Row],[Quantity]]*quantInv[[#This Row],[WEIGHT]]</f>
        <v>176</v>
      </c>
      <c r="U78" s="33">
        <f>quantInv[[#This Row],[UNIT
VALUE]]*quantInv[[#This Row],[Quantity]]</f>
        <v>149.69200000000001</v>
      </c>
      <c r="V78" s="33">
        <f>quantInv[[#This Row],[Total Cost GBP]]/EURtoGBP</f>
        <v>169.91821468503289</v>
      </c>
      <c r="W78" s="33">
        <f>quantInv[[#This Row],[Total Cost GBP]]/USDtoGBP</f>
        <v>205.20286284944271</v>
      </c>
      <c r="X78" s="33">
        <f>quantInv[[#This Row],[Total Cost GBP]]/CADtoGBP</f>
        <v>262.67146063314749</v>
      </c>
      <c r="Y78" s="33">
        <f>quantInv[[#This Row],[Quantity]]*quantInv[[#This Row],[UNIT
VALUE AUD]]</f>
        <v>268.86270565414185</v>
      </c>
      <c r="Z78" s="33"/>
    </row>
    <row r="79" spans="1:26" x14ac:dyDescent="0.25">
      <c r="A79" t="s">
        <v>7</v>
      </c>
      <c r="B79" t="s">
        <v>700</v>
      </c>
      <c r="C79" t="s">
        <v>113</v>
      </c>
      <c r="D79" t="s">
        <v>701</v>
      </c>
      <c r="E79">
        <v>1.7851999999999999</v>
      </c>
      <c r="F79" s="33">
        <v>2.0613000000000001</v>
      </c>
      <c r="G79" s="33" t="s">
        <v>117</v>
      </c>
      <c r="H79" t="s">
        <v>1310</v>
      </c>
      <c r="I79" t="str">
        <f>IF(quantInv[[#This Row],[Metal]] = "925 Silver",  "7113.11.00"," 7113.19.00")</f>
        <v>7113.11.00</v>
      </c>
      <c r="J79" t="str">
        <f>IF(quantInv[[#This Row],[Metal]] = "925 Silver", "7113.11.10.00"," 7113.19.10.00")</f>
        <v>7113.11.10.00</v>
      </c>
      <c r="K79" t="str">
        <f>IF(quantInv[[#This Row],[Metal]] = "925 Silver",  "7113.11.00"," 7113.19.00")</f>
        <v>7113.11.00</v>
      </c>
      <c r="L79" t="str">
        <f>IFERROR(VLOOKUP(quantInv[[#This Row],[Description for New Invoice]],Map!$G$12:$H$32,2,FALSE), IF(quantInv[[#This Row],[Metal]] = "925 Silver", "7113.11.10.00", "7113.19.29.00"))</f>
        <v>7113.11.50.00</v>
      </c>
      <c r="M79" t="str">
        <f>quantInv[[#This Row],[ASIN]] &amp; " " &amp; quantInv[[#This Row],[Short Description]]</f>
        <v>B00D0TO3G0 Circle Hoop Earrings</v>
      </c>
      <c r="N79" s="33">
        <f>quantInv[[#This Row],[UNIT
VALUE]] / EURtoGBP</f>
        <v>2.3398205377058114</v>
      </c>
      <c r="O79" s="33">
        <f>quantInv[[#This Row],[UNIT
VALUE]]/USDtoGBP</f>
        <v>2.8256998449586903</v>
      </c>
      <c r="P79" s="33">
        <f>quantInv[[#This Row],[UNIT
VALUE]] / CADtoGBP</f>
        <v>3.6170582382699608</v>
      </c>
      <c r="Q79" s="33">
        <f>quantInv[[#This Row],[UNIT
VALUE]]/AUDtoGBP</f>
        <v>3.7023133845822258</v>
      </c>
      <c r="R79">
        <f>IFERROR(VLOOKUP(quantInv[[#This Row],[Assigned Item SKU]],skuQuantity[#All],2,FALSE),0)</f>
        <v>20</v>
      </c>
      <c r="S79" t="str">
        <f>PROPER(quantInv[[#This Row],[Metal]] &amp; " " &amp; quantInv[[#This Row],[Item Type]])</f>
        <v>925 Silver Earrings</v>
      </c>
      <c r="T79" s="33">
        <f>quantInv[[#This Row],[Quantity]]*quantInv[[#This Row],[WEIGHT]]</f>
        <v>35.704000000000001</v>
      </c>
      <c r="U79" s="33">
        <f>quantInv[[#This Row],[UNIT
VALUE]]*quantInv[[#This Row],[Quantity]]</f>
        <v>41.225999999999999</v>
      </c>
      <c r="V79" s="33">
        <f>quantInv[[#This Row],[Total Cost GBP]]/EURtoGBP</f>
        <v>46.796410754116224</v>
      </c>
      <c r="W79" s="33">
        <f>quantInv[[#This Row],[Total Cost GBP]]/USDtoGBP</f>
        <v>56.513996899173797</v>
      </c>
      <c r="X79" s="33">
        <f>quantInv[[#This Row],[Total Cost GBP]]/CADtoGBP</f>
        <v>72.341164765399213</v>
      </c>
      <c r="Y79" s="33">
        <f>quantInv[[#This Row],[Quantity]]*quantInv[[#This Row],[UNIT
VALUE AUD]]</f>
        <v>74.046267691644516</v>
      </c>
      <c r="Z79" s="33"/>
    </row>
    <row r="80" spans="1:26" x14ac:dyDescent="0.25">
      <c r="A80" t="s">
        <v>310</v>
      </c>
      <c r="B80" t="s">
        <v>311</v>
      </c>
      <c r="C80" t="s">
        <v>113</v>
      </c>
      <c r="D80" t="s">
        <v>189</v>
      </c>
      <c r="E80">
        <v>4.55</v>
      </c>
      <c r="F80" s="33">
        <v>6.1604999999999999</v>
      </c>
      <c r="G80" s="33" t="s">
        <v>117</v>
      </c>
      <c r="H80" t="s">
        <v>1426</v>
      </c>
      <c r="I80" t="str">
        <f>IF(quantInv[[#This Row],[Metal]] = "925 Silver",  "7113.11.00"," 7113.19.00")</f>
        <v>7113.11.00</v>
      </c>
      <c r="J80" t="str">
        <f>IF(quantInv[[#This Row],[Metal]] = "925 Silver", "7113.11.10.00"," 7113.19.10.00")</f>
        <v>7113.11.10.00</v>
      </c>
      <c r="K80" t="str">
        <f>IF(quantInv[[#This Row],[Metal]] = "925 Silver",  "7113.11.00"," 7113.19.00")</f>
        <v>7113.11.00</v>
      </c>
      <c r="L80" t="str">
        <f>IFERROR(VLOOKUP(quantInv[[#This Row],[Description for New Invoice]],Map!$G$12:$H$32,2,FALSE), IF(quantInv[[#This Row],[Metal]] = "925 Silver", "7113.11.10.00", "7113.19.29.00"))</f>
        <v>7113.11.10.00</v>
      </c>
      <c r="M80" t="str">
        <f>quantInv[[#This Row],[ASIN]] &amp; " " &amp; quantInv[[#This Row],[Short Description]]</f>
        <v>B077MRKPCW Singapore Chain</v>
      </c>
      <c r="N80" s="33">
        <f>quantInv[[#This Row],[UNIT
VALUE]] / EURtoGBP</f>
        <v>6.9928998314348467</v>
      </c>
      <c r="O80" s="33">
        <f>quantInv[[#This Row],[UNIT
VALUE]]/USDtoGBP</f>
        <v>8.4450220224460342</v>
      </c>
      <c r="P80" s="33">
        <f>quantInv[[#This Row],[UNIT
VALUE]] / CADtoGBP</f>
        <v>10.810113654908111</v>
      </c>
      <c r="Q80" s="33">
        <f>quantInv[[#This Row],[UNIT
VALUE]]/AUDtoGBP</f>
        <v>11.064911272361519</v>
      </c>
      <c r="R80">
        <f>IFERROR(VLOOKUP(quantInv[[#This Row],[Assigned Item SKU]],skuQuantity[#All],2,FALSE),0)</f>
        <v>0</v>
      </c>
      <c r="S80" t="str">
        <f>PROPER(quantInv[[#This Row],[Metal]] &amp; " " &amp; quantInv[[#This Row],[Item Type]])</f>
        <v>925 Silver Anklet</v>
      </c>
      <c r="T80" s="33">
        <f>quantInv[[#This Row],[Quantity]]*quantInv[[#This Row],[WEIGHT]]</f>
        <v>0</v>
      </c>
      <c r="U80" s="33">
        <f>quantInv[[#This Row],[UNIT
VALUE]]*quantInv[[#This Row],[Quantity]]</f>
        <v>0</v>
      </c>
      <c r="V80" s="33">
        <f>quantInv[[#This Row],[Total Cost GBP]]/EURtoGBP</f>
        <v>0</v>
      </c>
      <c r="W80" s="33">
        <f>quantInv[[#This Row],[Total Cost GBP]]/USDtoGBP</f>
        <v>0</v>
      </c>
      <c r="X80" s="33">
        <f>quantInv[[#This Row],[Total Cost GBP]]/CADtoGBP</f>
        <v>0</v>
      </c>
      <c r="Y80" s="33">
        <f>quantInv[[#This Row],[Quantity]]*quantInv[[#This Row],[UNIT
VALUE AUD]]</f>
        <v>0</v>
      </c>
      <c r="Z80" s="33"/>
    </row>
    <row r="81" spans="1:26" x14ac:dyDescent="0.25">
      <c r="A81" t="s">
        <v>312</v>
      </c>
      <c r="B81" t="s">
        <v>313</v>
      </c>
      <c r="C81" t="s">
        <v>113</v>
      </c>
      <c r="D81" t="s">
        <v>314</v>
      </c>
      <c r="E81">
        <v>1.8</v>
      </c>
      <c r="F81" s="33">
        <v>2.4891000000000001</v>
      </c>
      <c r="G81" s="33" t="s">
        <v>117</v>
      </c>
      <c r="H81" t="s">
        <v>103</v>
      </c>
      <c r="I81" t="str">
        <f>IF(quantInv[[#This Row],[Metal]] = "925 Silver",  "7113.11.00"," 7113.19.00")</f>
        <v>7113.11.00</v>
      </c>
      <c r="J81" t="str">
        <f>IF(quantInv[[#This Row],[Metal]] = "925 Silver", "7113.11.10.00"," 7113.19.10.00")</f>
        <v>7113.11.10.00</v>
      </c>
      <c r="K81" t="str">
        <f>IF(quantInv[[#This Row],[Metal]] = "925 Silver",  "7113.11.00"," 7113.19.00")</f>
        <v>7113.11.00</v>
      </c>
      <c r="L81" t="str">
        <f>IFERROR(VLOOKUP(quantInv[[#This Row],[Description for New Invoice]],Map!$G$12:$H$32,2,FALSE), IF(quantInv[[#This Row],[Metal]] = "925 Silver", "7113.11.10.00", "7113.19.29.00"))</f>
        <v>7113.11.10.00</v>
      </c>
      <c r="M81" t="str">
        <f>quantInv[[#This Row],[ASIN]] &amp; " " &amp; quantInv[[#This Row],[Short Description]]</f>
        <v>B073G8X64Y Box Chain</v>
      </c>
      <c r="N81" s="33">
        <f>quantInv[[#This Row],[UNIT
VALUE]] / EURtoGBP</f>
        <v>2.8254243925695119</v>
      </c>
      <c r="O81" s="33">
        <f>quantInv[[#This Row],[UNIT
VALUE]]/USDtoGBP</f>
        <v>3.412142572205247</v>
      </c>
      <c r="P81" s="33">
        <f>quantInv[[#This Row],[UNIT
VALUE]] / CADtoGBP</f>
        <v>4.3677386410894865</v>
      </c>
      <c r="Q81" s="33">
        <f>quantInv[[#This Row],[UNIT
VALUE]]/AUDtoGBP</f>
        <v>4.4706875493929159</v>
      </c>
      <c r="R81">
        <f>IFERROR(VLOOKUP(quantInv[[#This Row],[Assigned Item SKU]],skuQuantity[#All],2,FALSE),0)</f>
        <v>0</v>
      </c>
      <c r="S81" t="str">
        <f>PROPER(quantInv[[#This Row],[Metal]] &amp; " " &amp; quantInv[[#This Row],[Item Type]])</f>
        <v>925 Silver Chain</v>
      </c>
      <c r="T81" s="33">
        <f>quantInv[[#This Row],[Quantity]]*quantInv[[#This Row],[WEIGHT]]</f>
        <v>0</v>
      </c>
      <c r="U81" s="33">
        <f>quantInv[[#This Row],[UNIT
VALUE]]*quantInv[[#This Row],[Quantity]]</f>
        <v>0</v>
      </c>
      <c r="V81" s="33">
        <f>quantInv[[#This Row],[Total Cost GBP]]/EURtoGBP</f>
        <v>0</v>
      </c>
      <c r="W81" s="33">
        <f>quantInv[[#This Row],[Total Cost GBP]]/USDtoGBP</f>
        <v>0</v>
      </c>
      <c r="X81" s="33">
        <f>quantInv[[#This Row],[Total Cost GBP]]/CADtoGBP</f>
        <v>0</v>
      </c>
      <c r="Y81" s="33">
        <f>quantInv[[#This Row],[Quantity]]*quantInv[[#This Row],[UNIT
VALUE AUD]]</f>
        <v>0</v>
      </c>
      <c r="Z81" s="33"/>
    </row>
    <row r="82" spans="1:26" x14ac:dyDescent="0.25">
      <c r="A82" t="s">
        <v>3</v>
      </c>
      <c r="B82" t="s">
        <v>705</v>
      </c>
      <c r="C82" t="s">
        <v>113</v>
      </c>
      <c r="D82" t="s">
        <v>701</v>
      </c>
      <c r="E82">
        <v>6.8136666666666699</v>
      </c>
      <c r="F82" s="33">
        <v>7.4179000000000004</v>
      </c>
      <c r="G82" s="33" t="s">
        <v>117</v>
      </c>
      <c r="H82" t="s">
        <v>1310</v>
      </c>
      <c r="I82" t="str">
        <f>IF(quantInv[[#This Row],[Metal]] = "925 Silver",  "7113.11.00"," 7113.19.00")</f>
        <v>7113.11.00</v>
      </c>
      <c r="J82" t="str">
        <f>IF(quantInv[[#This Row],[Metal]] = "925 Silver", "7113.11.10.00"," 7113.19.10.00")</f>
        <v>7113.11.10.00</v>
      </c>
      <c r="K82" t="str">
        <f>IF(quantInv[[#This Row],[Metal]] = "925 Silver",  "7113.11.00"," 7113.19.00")</f>
        <v>7113.11.00</v>
      </c>
      <c r="L82" t="str">
        <f>IFERROR(VLOOKUP(quantInv[[#This Row],[Description for New Invoice]],Map!$G$12:$H$32,2,FALSE), IF(quantInv[[#This Row],[Metal]] = "925 Silver", "7113.11.10.00", "7113.19.29.00"))</f>
        <v>7113.11.50.00</v>
      </c>
      <c r="M82" t="str">
        <f>quantInv[[#This Row],[ASIN]] &amp; " " &amp; quantInv[[#This Row],[Short Description]]</f>
        <v>B00D0TO75M Circle Hoop Earrings</v>
      </c>
      <c r="N82" s="33">
        <f>quantInv[[#This Row],[UNIT
VALUE]] / EURtoGBP</f>
        <v>8.4201983052675189</v>
      </c>
      <c r="O82" s="33">
        <f>quantInv[[#This Row],[UNIT
VALUE]]/USDtoGBP</f>
        <v>10.168708523707886</v>
      </c>
      <c r="P82" s="33">
        <f>quantInv[[#This Row],[UNIT
VALUE]] / CADtoGBP</f>
        <v>13.016531463475836</v>
      </c>
      <c r="Q82" s="33">
        <f>quantInv[[#This Row],[UNIT
VALUE]]/AUDtoGBP</f>
        <v>13.323335009698972</v>
      </c>
      <c r="R82">
        <f>IFERROR(VLOOKUP(quantInv[[#This Row],[Assigned Item SKU]],skuQuantity[#All],2,FALSE),0)</f>
        <v>0</v>
      </c>
      <c r="S82" t="str">
        <f>PROPER(quantInv[[#This Row],[Metal]] &amp; " " &amp; quantInv[[#This Row],[Item Type]])</f>
        <v>925 Silver Earrings</v>
      </c>
      <c r="T82" s="33">
        <f>quantInv[[#This Row],[Quantity]]*quantInv[[#This Row],[WEIGHT]]</f>
        <v>0</v>
      </c>
      <c r="U82" s="33">
        <f>quantInv[[#This Row],[UNIT
VALUE]]*quantInv[[#This Row],[Quantity]]</f>
        <v>0</v>
      </c>
      <c r="V82" s="33">
        <f>quantInv[[#This Row],[Total Cost GBP]]/EURtoGBP</f>
        <v>0</v>
      </c>
      <c r="W82" s="33">
        <f>quantInv[[#This Row],[Total Cost GBP]]/USDtoGBP</f>
        <v>0</v>
      </c>
      <c r="X82" s="33">
        <f>quantInv[[#This Row],[Total Cost GBP]]/CADtoGBP</f>
        <v>0</v>
      </c>
      <c r="Y82" s="33">
        <f>quantInv[[#This Row],[Quantity]]*quantInv[[#This Row],[UNIT
VALUE AUD]]</f>
        <v>0</v>
      </c>
      <c r="Z82" s="33"/>
    </row>
    <row r="83" spans="1:26" x14ac:dyDescent="0.25">
      <c r="A83" t="s">
        <v>2</v>
      </c>
      <c r="B83" t="s">
        <v>751</v>
      </c>
      <c r="C83" t="s">
        <v>114</v>
      </c>
      <c r="D83" t="s">
        <v>707</v>
      </c>
      <c r="E83">
        <v>1.1599999999999999</v>
      </c>
      <c r="F83" s="33">
        <v>1.927</v>
      </c>
      <c r="G83" s="33" t="s">
        <v>117</v>
      </c>
      <c r="H83" t="s">
        <v>1310</v>
      </c>
      <c r="I83" t="str">
        <f>IF(quantInv[[#This Row],[Metal]] = "925 Silver",  "7113.11.00"," 7113.19.00")</f>
        <v>7113.11.00</v>
      </c>
      <c r="J83" t="str">
        <f>IF(quantInv[[#This Row],[Metal]] = "925 Silver", "7113.11.10.00"," 7113.19.10.00")</f>
        <v>7113.11.10.00</v>
      </c>
      <c r="K83" t="str">
        <f>IF(quantInv[[#This Row],[Metal]] = "925 Silver",  "7113.11.00"," 7113.19.00")</f>
        <v>7113.11.00</v>
      </c>
      <c r="L83" t="str">
        <f>IFERROR(VLOOKUP(quantInv[[#This Row],[Description for New Invoice]],Map!$G$12:$H$32,2,FALSE), IF(quantInv[[#This Row],[Metal]] = "925 Silver", "7113.11.10.00", "7113.19.29.00"))</f>
        <v>7113.11.50.00</v>
      </c>
      <c r="M83" t="str">
        <f>quantInv[[#This Row],[ASIN]] &amp; " " &amp; quantInv[[#This Row],[Short Description]]</f>
        <v>B06XYW4WQF Hinged Hoop Earrings</v>
      </c>
      <c r="N83" s="33">
        <f>quantInv[[#This Row],[UNIT
VALUE]] / EURtoGBP</f>
        <v>2.1873740727497686</v>
      </c>
      <c r="O83" s="33">
        <f>quantInv[[#This Row],[UNIT
VALUE]]/USDtoGBP</f>
        <v>2.6415968569521153</v>
      </c>
      <c r="P83" s="33">
        <f>quantInv[[#This Row],[UNIT
VALUE]] / CADtoGBP</f>
        <v>3.3813958303721989</v>
      </c>
      <c r="Q83" s="33">
        <f>quantInv[[#This Row],[UNIT
VALUE]]/AUDtoGBP</f>
        <v>3.4610963431280983</v>
      </c>
      <c r="R83">
        <f>IFERROR(VLOOKUP(quantInv[[#This Row],[Assigned Item SKU]],skuQuantity[#All],2,FALSE),0)</f>
        <v>0</v>
      </c>
      <c r="S83" t="str">
        <f>PROPER(quantInv[[#This Row],[Metal]] &amp; " " &amp; quantInv[[#This Row],[Item Type]])</f>
        <v>925 Silver Earrings</v>
      </c>
      <c r="T83" s="33">
        <f>quantInv[[#This Row],[Quantity]]*quantInv[[#This Row],[WEIGHT]]</f>
        <v>0</v>
      </c>
      <c r="U83" s="33">
        <f>quantInv[[#This Row],[UNIT
VALUE]]*quantInv[[#This Row],[Quantity]]</f>
        <v>0</v>
      </c>
      <c r="V83" s="33">
        <f>quantInv[[#This Row],[Total Cost GBP]]/EURtoGBP</f>
        <v>0</v>
      </c>
      <c r="W83" s="33">
        <f>quantInv[[#This Row],[Total Cost GBP]]/USDtoGBP</f>
        <v>0</v>
      </c>
      <c r="X83" s="33">
        <f>quantInv[[#This Row],[Total Cost GBP]]/CADtoGBP</f>
        <v>0</v>
      </c>
      <c r="Y83" s="33">
        <f>quantInv[[#This Row],[Quantity]]*quantInv[[#This Row],[UNIT
VALUE AUD]]</f>
        <v>0</v>
      </c>
      <c r="Z83" s="33"/>
    </row>
    <row r="84" spans="1:26" x14ac:dyDescent="0.25">
      <c r="A84" t="s">
        <v>888</v>
      </c>
      <c r="B84" t="s">
        <v>889</v>
      </c>
      <c r="C84" t="s">
        <v>113</v>
      </c>
      <c r="D84" t="s">
        <v>886</v>
      </c>
      <c r="E84">
        <v>2</v>
      </c>
      <c r="F84" s="33">
        <v>3.1057999999999999</v>
      </c>
      <c r="G84" s="33" t="s">
        <v>117</v>
      </c>
      <c r="H84" t="s">
        <v>1451</v>
      </c>
      <c r="I84" t="str">
        <f>IF(quantInv[[#This Row],[Metal]] = "925 Silver",  "7113.11.00"," 7113.19.00")</f>
        <v>7113.11.00</v>
      </c>
      <c r="J84" t="str">
        <f>IF(quantInv[[#This Row],[Metal]] = "925 Silver", "7113.11.10.00"," 7113.19.10.00")</f>
        <v>7113.11.10.00</v>
      </c>
      <c r="K84" t="str">
        <f>IF(quantInv[[#This Row],[Metal]] = "925 Silver",  "7113.11.00"," 7113.19.00")</f>
        <v>7113.11.00</v>
      </c>
      <c r="L84" t="str">
        <f>IFERROR(VLOOKUP(quantInv[[#This Row],[Description for New Invoice]],Map!$G$12:$H$32,2,FALSE), IF(quantInv[[#This Row],[Metal]] = "925 Silver", "7113.11.10.00", "7113.19.29.00"))</f>
        <v>7113.11.50.00</v>
      </c>
      <c r="M84" t="str">
        <f>quantInv[[#This Row],[ASIN]] &amp; " " &amp; quantInv[[#This Row],[Short Description]]</f>
        <v>B06ZZKTYLD Pendant - SUN</v>
      </c>
      <c r="N84" s="33">
        <f>quantInv[[#This Row],[UNIT
VALUE]] / EURtoGBP</f>
        <v>3.5254522029819571</v>
      </c>
      <c r="O84" s="33">
        <f>quantInv[[#This Row],[UNIT
VALUE]]/USDtoGBP</f>
        <v>4.2575358164617958</v>
      </c>
      <c r="P84" s="33">
        <f>quantInv[[#This Row],[UNIT
VALUE]] / CADtoGBP</f>
        <v>5.4498905915775691</v>
      </c>
      <c r="Q84" s="33">
        <f>quantInv[[#This Row],[UNIT
VALUE]]/AUDtoGBP</f>
        <v>5.5783461455564334</v>
      </c>
      <c r="R84">
        <f>IFERROR(VLOOKUP(quantInv[[#This Row],[Assigned Item SKU]],skuQuantity[#All],2,FALSE),0)</f>
        <v>20</v>
      </c>
      <c r="S84" t="str">
        <f>PROPER(quantInv[[#This Row],[Metal]] &amp; " " &amp; quantInv[[#This Row],[Item Type]])</f>
        <v>925 Silver Pendant</v>
      </c>
      <c r="T84" s="33">
        <f>quantInv[[#This Row],[Quantity]]*quantInv[[#This Row],[WEIGHT]]</f>
        <v>40</v>
      </c>
      <c r="U84" s="33">
        <f>quantInv[[#This Row],[UNIT
VALUE]]*quantInv[[#This Row],[Quantity]]</f>
        <v>62.116</v>
      </c>
      <c r="V84" s="33">
        <f>quantInv[[#This Row],[Total Cost GBP]]/EURtoGBP</f>
        <v>70.509044059639152</v>
      </c>
      <c r="W84" s="33">
        <f>quantInv[[#This Row],[Total Cost GBP]]/USDtoGBP</f>
        <v>85.150716329235905</v>
      </c>
      <c r="X84" s="33">
        <f>quantInv[[#This Row],[Total Cost GBP]]/CADtoGBP</f>
        <v>108.99781183155139</v>
      </c>
      <c r="Y84" s="33">
        <f>quantInv[[#This Row],[Quantity]]*quantInv[[#This Row],[UNIT
VALUE AUD]]</f>
        <v>111.56692291112867</v>
      </c>
      <c r="Z84" s="33"/>
    </row>
    <row r="85" spans="1:26" x14ac:dyDescent="0.25">
      <c r="A85" t="s">
        <v>321</v>
      </c>
      <c r="B85" t="s">
        <v>322</v>
      </c>
      <c r="C85" t="s">
        <v>114</v>
      </c>
      <c r="D85" t="s">
        <v>209</v>
      </c>
      <c r="E85">
        <v>10.26</v>
      </c>
      <c r="F85" s="33">
        <v>13.283899999999999</v>
      </c>
      <c r="G85" s="33" t="s">
        <v>117</v>
      </c>
      <c r="H85" t="s">
        <v>1414</v>
      </c>
      <c r="I85" t="str">
        <f>IF(quantInv[[#This Row],[Metal]] = "925 Silver",  "7113.11.00"," 7113.19.00")</f>
        <v>7113.11.00</v>
      </c>
      <c r="J85" t="str">
        <f>IF(quantInv[[#This Row],[Metal]] = "925 Silver", "7113.11.10.00"," 7113.19.10.00")</f>
        <v>7113.11.10.00</v>
      </c>
      <c r="K85" t="str">
        <f>IF(quantInv[[#This Row],[Metal]] = "925 Silver",  "7113.11.00"," 7113.19.00")</f>
        <v>7113.11.00</v>
      </c>
      <c r="L85" t="str">
        <f>IFERROR(VLOOKUP(quantInv[[#This Row],[Description for New Invoice]],Map!$G$12:$H$32,2,FALSE), IF(quantInv[[#This Row],[Metal]] = "925 Silver", "7113.11.10.00", "7113.19.29.00"))</f>
        <v>7113.11.10.00</v>
      </c>
      <c r="M85" t="str">
        <f>quantInv[[#This Row],[ASIN]] &amp; " " &amp; quantInv[[#This Row],[Short Description]]</f>
        <v>B073V3HM2F Byzantine Chain</v>
      </c>
      <c r="N85" s="33">
        <f>quantInv[[#This Row],[UNIT
VALUE]] / EURtoGBP</f>
        <v>15.078805627919383</v>
      </c>
      <c r="O85" s="33">
        <f>quantInv[[#This Row],[UNIT
VALUE]]/USDtoGBP</f>
        <v>18.210019973049405</v>
      </c>
      <c r="P85" s="33">
        <f>quantInv[[#This Row],[UNIT
VALUE]] / CADtoGBP</f>
        <v>23.309872377312534</v>
      </c>
      <c r="Q85" s="33">
        <f>quantInv[[#This Row],[UNIT
VALUE]]/AUDtoGBP</f>
        <v>23.859293052661826</v>
      </c>
      <c r="R85">
        <f>IFERROR(VLOOKUP(quantInv[[#This Row],[Assigned Item SKU]],skuQuantity[#All],2,FALSE),0)</f>
        <v>0</v>
      </c>
      <c r="S85" t="str">
        <f>PROPER(quantInv[[#This Row],[Metal]] &amp; " " &amp; quantInv[[#This Row],[Item Type]])</f>
        <v>925 Silver Bracelet</v>
      </c>
      <c r="T85" s="33">
        <f>quantInv[[#This Row],[Quantity]]*quantInv[[#This Row],[WEIGHT]]</f>
        <v>0</v>
      </c>
      <c r="U85" s="33">
        <f>quantInv[[#This Row],[UNIT
VALUE]]*quantInv[[#This Row],[Quantity]]</f>
        <v>0</v>
      </c>
      <c r="V85" s="33">
        <f>quantInv[[#This Row],[Total Cost GBP]]/EURtoGBP</f>
        <v>0</v>
      </c>
      <c r="W85" s="33">
        <f>quantInv[[#This Row],[Total Cost GBP]]/USDtoGBP</f>
        <v>0</v>
      </c>
      <c r="X85" s="33">
        <f>quantInv[[#This Row],[Total Cost GBP]]/CADtoGBP</f>
        <v>0</v>
      </c>
      <c r="Y85" s="33">
        <f>quantInv[[#This Row],[Quantity]]*quantInv[[#This Row],[UNIT
VALUE AUD]]</f>
        <v>0</v>
      </c>
      <c r="Z85" s="33"/>
    </row>
    <row r="86" spans="1:26" x14ac:dyDescent="0.25">
      <c r="A86" t="s">
        <v>323</v>
      </c>
      <c r="B86" t="s">
        <v>324</v>
      </c>
      <c r="C86" t="s">
        <v>114</v>
      </c>
      <c r="D86" t="s">
        <v>209</v>
      </c>
      <c r="E86">
        <v>11.06</v>
      </c>
      <c r="F86" s="33">
        <v>14.256500000000001</v>
      </c>
      <c r="G86" s="33" t="s">
        <v>117</v>
      </c>
      <c r="H86" t="s">
        <v>1414</v>
      </c>
      <c r="I86" t="str">
        <f>IF(quantInv[[#This Row],[Metal]] = "925 Silver",  "7113.11.00"," 7113.19.00")</f>
        <v>7113.11.00</v>
      </c>
      <c r="J86" t="str">
        <f>IF(quantInv[[#This Row],[Metal]] = "925 Silver", "7113.11.10.00"," 7113.19.10.00")</f>
        <v>7113.11.10.00</v>
      </c>
      <c r="K86" t="str">
        <f>IF(quantInv[[#This Row],[Metal]] = "925 Silver",  "7113.11.00"," 7113.19.00")</f>
        <v>7113.11.00</v>
      </c>
      <c r="L86" t="str">
        <f>IFERROR(VLOOKUP(quantInv[[#This Row],[Description for New Invoice]],Map!$G$12:$H$32,2,FALSE), IF(quantInv[[#This Row],[Metal]] = "925 Silver", "7113.11.10.00", "7113.19.29.00"))</f>
        <v>7113.11.10.00</v>
      </c>
      <c r="M86" t="str">
        <f>quantInv[[#This Row],[ASIN]] &amp; " " &amp; quantInv[[#This Row],[Short Description]]</f>
        <v>B073V4L6B8 Byzantine Chain</v>
      </c>
      <c r="N86" s="33">
        <f>quantInv[[#This Row],[UNIT
VALUE]] / EURtoGBP</f>
        <v>16.182822246059718</v>
      </c>
      <c r="O86" s="33">
        <f>quantInv[[#This Row],[UNIT
VALUE]]/USDtoGBP</f>
        <v>19.543292989692702</v>
      </c>
      <c r="P86" s="33">
        <f>quantInv[[#This Row],[UNIT
VALUE]] / CADtoGBP</f>
        <v>25.016538482460437</v>
      </c>
      <c r="Q86" s="33">
        <f>quantInv[[#This Row],[UNIT
VALUE]]/AUDtoGBP</f>
        <v>25.606185789208993</v>
      </c>
      <c r="R86">
        <f>IFERROR(VLOOKUP(quantInv[[#This Row],[Assigned Item SKU]],skuQuantity[#All],2,FALSE),0)</f>
        <v>0</v>
      </c>
      <c r="S86" t="str">
        <f>PROPER(quantInv[[#This Row],[Metal]] &amp; " " &amp; quantInv[[#This Row],[Item Type]])</f>
        <v>925 Silver Bracelet</v>
      </c>
      <c r="T86" s="33">
        <f>quantInv[[#This Row],[Quantity]]*quantInv[[#This Row],[WEIGHT]]</f>
        <v>0</v>
      </c>
      <c r="U86" s="33">
        <f>quantInv[[#This Row],[UNIT
VALUE]]*quantInv[[#This Row],[Quantity]]</f>
        <v>0</v>
      </c>
      <c r="V86" s="33">
        <f>quantInv[[#This Row],[Total Cost GBP]]/EURtoGBP</f>
        <v>0</v>
      </c>
      <c r="W86" s="33">
        <f>quantInv[[#This Row],[Total Cost GBP]]/USDtoGBP</f>
        <v>0</v>
      </c>
      <c r="X86" s="33">
        <f>quantInv[[#This Row],[Total Cost GBP]]/CADtoGBP</f>
        <v>0</v>
      </c>
      <c r="Y86" s="33">
        <f>quantInv[[#This Row],[Quantity]]*quantInv[[#This Row],[UNIT
VALUE AUD]]</f>
        <v>0</v>
      </c>
      <c r="Z86" s="33"/>
    </row>
    <row r="87" spans="1:26" x14ac:dyDescent="0.25">
      <c r="A87" t="s">
        <v>1293</v>
      </c>
      <c r="B87" t="s">
        <v>1294</v>
      </c>
      <c r="C87" t="s">
        <v>115</v>
      </c>
      <c r="D87" t="s">
        <v>1295</v>
      </c>
      <c r="E87">
        <v>2.71</v>
      </c>
      <c r="F87" s="33">
        <v>5.6313000000000004</v>
      </c>
      <c r="G87" s="33" t="s">
        <v>117</v>
      </c>
      <c r="H87" t="s">
        <v>1295</v>
      </c>
      <c r="I87" t="str">
        <f>IF(quantInv[[#This Row],[Metal]] = "925 Silver",  "7113.11.00"," 7113.19.00")</f>
        <v>7113.11.00</v>
      </c>
      <c r="J87" t="str">
        <f>IF(quantInv[[#This Row],[Metal]] = "925 Silver", "7113.11.10.00"," 7113.19.10.00")</f>
        <v>7113.11.10.00</v>
      </c>
      <c r="K87" t="str">
        <f>IF(quantInv[[#This Row],[Metal]] = "925 Silver",  "7113.11.00"," 7113.19.00")</f>
        <v>7113.11.00</v>
      </c>
      <c r="L87" t="str">
        <f>IFERROR(VLOOKUP(quantInv[[#This Row],[Description for New Invoice]],Map!$G$12:$H$32,2,FALSE), IF(quantInv[[#This Row],[Metal]] = "925 Silver", "7113.11.10.00", "7113.19.29.00"))</f>
        <v>7113.11.10.00</v>
      </c>
      <c r="M87" t="str">
        <f>quantInv[[#This Row],[ASIN]] &amp; " " &amp; quantInv[[#This Row],[Short Description]]</f>
        <v>B07NT32JTG Locket</v>
      </c>
      <c r="N87" s="33">
        <f>quantInv[[#This Row],[UNIT
VALUE]] / EURtoGBP</f>
        <v>6.392194922613271</v>
      </c>
      <c r="O87" s="33">
        <f>quantInv[[#This Row],[UNIT
VALUE]]/USDtoGBP</f>
        <v>7.7195767413359881</v>
      </c>
      <c r="P87" s="33">
        <f>quantInv[[#This Row],[UNIT
VALUE]] / CADtoGBP</f>
        <v>9.881501992514254</v>
      </c>
      <c r="Q87" s="33">
        <f>quantInv[[#This Row],[UNIT
VALUE]]/AUDtoGBP</f>
        <v>10.114411954881817</v>
      </c>
      <c r="R87">
        <f>IFERROR(VLOOKUP(quantInv[[#This Row],[Assigned Item SKU]],skuQuantity[#All],2,FALSE),0)</f>
        <v>0</v>
      </c>
      <c r="S87" t="str">
        <f>PROPER(quantInv[[#This Row],[Metal]] &amp; " " &amp; quantInv[[#This Row],[Item Type]])</f>
        <v>925 Silver Locket</v>
      </c>
      <c r="T87" s="33">
        <f>quantInv[[#This Row],[Quantity]]*quantInv[[#This Row],[WEIGHT]]</f>
        <v>0</v>
      </c>
      <c r="U87" s="33">
        <f>quantInv[[#This Row],[UNIT
VALUE]]*quantInv[[#This Row],[Quantity]]</f>
        <v>0</v>
      </c>
      <c r="V87" s="33">
        <f>quantInv[[#This Row],[Total Cost GBP]]/EURtoGBP</f>
        <v>0</v>
      </c>
      <c r="W87" s="33">
        <f>quantInv[[#This Row],[Total Cost GBP]]/USDtoGBP</f>
        <v>0</v>
      </c>
      <c r="X87" s="33">
        <f>quantInv[[#This Row],[Total Cost GBP]]/CADtoGBP</f>
        <v>0</v>
      </c>
      <c r="Y87" s="33">
        <f>quantInv[[#This Row],[Quantity]]*quantInv[[#This Row],[UNIT
VALUE AUD]]</f>
        <v>0</v>
      </c>
      <c r="Z87" s="33"/>
    </row>
    <row r="88" spans="1:26" x14ac:dyDescent="0.25">
      <c r="A88" t="s">
        <v>1367</v>
      </c>
      <c r="B88" t="s">
        <v>1368</v>
      </c>
      <c r="C88" t="s">
        <v>115</v>
      </c>
      <c r="D88" t="s">
        <v>1369</v>
      </c>
      <c r="E88">
        <v>1.86</v>
      </c>
      <c r="F88" s="33">
        <v>2.9137</v>
      </c>
      <c r="G88" s="33" t="s">
        <v>117</v>
      </c>
      <c r="H88" t="s">
        <v>1310</v>
      </c>
      <c r="I88" t="str">
        <f>IF(quantInv[[#This Row],[Metal]] = "925 Silver",  "7113.11.00"," 7113.19.00")</f>
        <v>7113.11.00</v>
      </c>
      <c r="J88" t="str">
        <f>IF(quantInv[[#This Row],[Metal]] = "925 Silver", "7113.11.10.00"," 7113.19.10.00")</f>
        <v>7113.11.10.00</v>
      </c>
      <c r="K88" t="str">
        <f>IF(quantInv[[#This Row],[Metal]] = "925 Silver",  "7113.11.00"," 7113.19.00")</f>
        <v>7113.11.00</v>
      </c>
      <c r="L88" t="str">
        <f>IFERROR(VLOOKUP(quantInv[[#This Row],[Description for New Invoice]],Map!$G$12:$H$32,2,FALSE), IF(quantInv[[#This Row],[Metal]] = "925 Silver", "7113.11.10.00", "7113.19.29.00"))</f>
        <v>7113.11.50.00</v>
      </c>
      <c r="M88" t="str">
        <f>quantInv[[#This Row],[ASIN]] &amp; " " &amp; quantInv[[#This Row],[Short Description]]</f>
        <v>B07QS82H3S Hoop Earrings - Bali - 15 mm</v>
      </c>
      <c r="N88" s="33">
        <f>quantInv[[#This Row],[UNIT
VALUE]] / EURtoGBP</f>
        <v>3.307395867032175</v>
      </c>
      <c r="O88" s="33">
        <f>quantInv[[#This Row],[UNIT
VALUE]]/USDtoGBP</f>
        <v>3.994198631085303</v>
      </c>
      <c r="P88" s="33">
        <f>quantInv[[#This Row],[UNIT
VALUE]] / CADtoGBP</f>
        <v>5.1128038562301379</v>
      </c>
      <c r="Q88" s="33">
        <f>quantInv[[#This Row],[UNIT
VALUE]]/AUDtoGBP</f>
        <v>5.2333141748688838</v>
      </c>
      <c r="R88">
        <f>IFERROR(VLOOKUP(quantInv[[#This Row],[Assigned Item SKU]],skuQuantity[#All],2,FALSE),0)</f>
        <v>15</v>
      </c>
      <c r="S88" t="str">
        <f>PROPER(quantInv[[#This Row],[Metal]] &amp; " " &amp; quantInv[[#This Row],[Item Type]])</f>
        <v>925 Silver Earrings</v>
      </c>
      <c r="T88" s="33">
        <f>quantInv[[#This Row],[Quantity]]*quantInv[[#This Row],[WEIGHT]]</f>
        <v>27.900000000000002</v>
      </c>
      <c r="U88" s="33">
        <f>quantInv[[#This Row],[UNIT
VALUE]]*quantInv[[#This Row],[Quantity]]</f>
        <v>43.705500000000001</v>
      </c>
      <c r="V88" s="33">
        <f>quantInv[[#This Row],[Total Cost GBP]]/EURtoGBP</f>
        <v>49.610938005482623</v>
      </c>
      <c r="W88" s="33">
        <f>quantInv[[#This Row],[Total Cost GBP]]/USDtoGBP</f>
        <v>59.912979466279545</v>
      </c>
      <c r="X88" s="33">
        <f>quantInv[[#This Row],[Total Cost GBP]]/CADtoGBP</f>
        <v>76.692057843452076</v>
      </c>
      <c r="Y88" s="33">
        <f>quantInv[[#This Row],[Quantity]]*quantInv[[#This Row],[UNIT
VALUE AUD]]</f>
        <v>78.499712623033261</v>
      </c>
      <c r="Z88" s="33"/>
    </row>
    <row r="89" spans="1:26" x14ac:dyDescent="0.25">
      <c r="A89" t="s">
        <v>1375</v>
      </c>
      <c r="B89" t="s">
        <v>1376</v>
      </c>
      <c r="C89" t="s">
        <v>115</v>
      </c>
      <c r="D89" t="s">
        <v>1377</v>
      </c>
      <c r="E89">
        <v>4</v>
      </c>
      <c r="F89" s="33">
        <v>5.7530000000000001</v>
      </c>
      <c r="G89" s="33" t="s">
        <v>117</v>
      </c>
      <c r="H89" t="s">
        <v>1310</v>
      </c>
      <c r="I89" t="str">
        <f>IF(quantInv[[#This Row],[Metal]] = "925 Silver",  "7113.11.00"," 7113.19.00")</f>
        <v>7113.11.00</v>
      </c>
      <c r="J89" t="str">
        <f>IF(quantInv[[#This Row],[Metal]] = "925 Silver", "7113.11.10.00"," 7113.19.10.00")</f>
        <v>7113.11.10.00</v>
      </c>
      <c r="K89" t="str">
        <f>IF(quantInv[[#This Row],[Metal]] = "925 Silver",  "7113.11.00"," 7113.19.00")</f>
        <v>7113.11.00</v>
      </c>
      <c r="L89" t="str">
        <f>IFERROR(VLOOKUP(quantInv[[#This Row],[Description for New Invoice]],Map!$G$12:$H$32,2,FALSE), IF(quantInv[[#This Row],[Metal]] = "925 Silver", "7113.11.10.00", "7113.19.29.00"))</f>
        <v>7113.11.50.00</v>
      </c>
      <c r="M89" t="str">
        <f>quantInv[[#This Row],[ASIN]] &amp; " " &amp; quantInv[[#This Row],[Short Description]]</f>
        <v>B07QT9RLZJ Hoop Earrings - Bali - 30 mm</v>
      </c>
      <c r="N89" s="33">
        <f>quantInv[[#This Row],[UNIT
VALUE]] / EURtoGBP</f>
        <v>6.5303388897402286</v>
      </c>
      <c r="O89" s="33">
        <f>quantInv[[#This Row],[UNIT
VALUE]]/USDtoGBP</f>
        <v>7.8864072226494653</v>
      </c>
      <c r="P89" s="33">
        <f>quantInv[[#This Row],[UNIT
VALUE]] / CADtoGBP</f>
        <v>10.095054598926446</v>
      </c>
      <c r="Q89" s="33">
        <f>quantInv[[#This Row],[UNIT
VALUE]]/AUDtoGBP</f>
        <v>10.332998060205474</v>
      </c>
      <c r="R89">
        <f>IFERROR(VLOOKUP(quantInv[[#This Row],[Assigned Item SKU]],skuQuantity[#All],2,FALSE),0)</f>
        <v>40</v>
      </c>
      <c r="S89" t="str">
        <f>PROPER(quantInv[[#This Row],[Metal]] &amp; " " &amp; quantInv[[#This Row],[Item Type]])</f>
        <v>925 Silver Earrings</v>
      </c>
      <c r="T89" s="33">
        <f>quantInv[[#This Row],[Quantity]]*quantInv[[#This Row],[WEIGHT]]</f>
        <v>160</v>
      </c>
      <c r="U89" s="33">
        <f>quantInv[[#This Row],[UNIT
VALUE]]*quantInv[[#This Row],[Quantity]]</f>
        <v>230.12</v>
      </c>
      <c r="V89" s="33">
        <f>quantInv[[#This Row],[Total Cost GBP]]/EURtoGBP</f>
        <v>261.21355558960914</v>
      </c>
      <c r="W89" s="33">
        <f>quantInv[[#This Row],[Total Cost GBP]]/USDtoGBP</f>
        <v>315.45628890597862</v>
      </c>
      <c r="X89" s="33">
        <f>quantInv[[#This Row],[Total Cost GBP]]/CADtoGBP</f>
        <v>403.80218395705782</v>
      </c>
      <c r="Y89" s="33">
        <f>quantInv[[#This Row],[Quantity]]*quantInv[[#This Row],[UNIT
VALUE AUD]]</f>
        <v>413.31992240821899</v>
      </c>
      <c r="Z89" s="33"/>
    </row>
    <row r="90" spans="1:26" x14ac:dyDescent="0.25">
      <c r="A90" t="s">
        <v>96</v>
      </c>
      <c r="B90" t="s">
        <v>331</v>
      </c>
      <c r="C90" t="s">
        <v>114</v>
      </c>
      <c r="D90" t="s">
        <v>213</v>
      </c>
      <c r="E90">
        <v>2.61</v>
      </c>
      <c r="F90" s="33">
        <v>4.2342000000000004</v>
      </c>
      <c r="G90" s="33" t="s">
        <v>117</v>
      </c>
      <c r="H90" t="s">
        <v>1426</v>
      </c>
      <c r="I90" t="str">
        <f>IF(quantInv[[#This Row],[Metal]] = "925 Silver",  "7113.11.00"," 7113.19.00")</f>
        <v>7113.11.00</v>
      </c>
      <c r="J90" t="str">
        <f>IF(quantInv[[#This Row],[Metal]] = "925 Silver", "7113.11.10.00"," 7113.19.10.00")</f>
        <v>7113.11.10.00</v>
      </c>
      <c r="K90" t="str">
        <f>IF(quantInv[[#This Row],[Metal]] = "925 Silver",  "7113.11.00"," 7113.19.00")</f>
        <v>7113.11.00</v>
      </c>
      <c r="L90" t="str">
        <f>IFERROR(VLOOKUP(quantInv[[#This Row],[Description for New Invoice]],Map!$G$12:$H$32,2,FALSE), IF(quantInv[[#This Row],[Metal]] = "925 Silver", "7113.11.10.00", "7113.19.29.00"))</f>
        <v>7113.11.10.00</v>
      </c>
      <c r="M90" t="str">
        <f>quantInv[[#This Row],[ASIN]] &amp; " " &amp; quantInv[[#This Row],[Short Description]]</f>
        <v>B077MN5QL7 Ball Chain</v>
      </c>
      <c r="N90" s="33">
        <f>quantInv[[#This Row],[UNIT
VALUE]] / EURtoGBP</f>
        <v>4.8063203418978055</v>
      </c>
      <c r="O90" s="33">
        <f>quantInv[[#This Row],[UNIT
VALUE]]/USDtoGBP</f>
        <v>5.804384749199091</v>
      </c>
      <c r="P90" s="33">
        <f>quantInv[[#This Row],[UNIT
VALUE]] / CADtoGBP</f>
        <v>7.4299461468406678</v>
      </c>
      <c r="Q90" s="33">
        <f>quantInv[[#This Row],[UNIT
VALUE]]/AUDtoGBP</f>
        <v>7.6050722034628926</v>
      </c>
      <c r="R90">
        <f>IFERROR(VLOOKUP(quantInv[[#This Row],[Assigned Item SKU]],skuQuantity[#All],2,FALSE),0)</f>
        <v>0</v>
      </c>
      <c r="S90" t="str">
        <f>PROPER(quantInv[[#This Row],[Metal]] &amp; " " &amp; quantInv[[#This Row],[Item Type]])</f>
        <v>925 Silver Anklet</v>
      </c>
      <c r="T90" s="33">
        <f>quantInv[[#This Row],[Quantity]]*quantInv[[#This Row],[WEIGHT]]</f>
        <v>0</v>
      </c>
      <c r="U90" s="33">
        <f>quantInv[[#This Row],[UNIT
VALUE]]*quantInv[[#This Row],[Quantity]]</f>
        <v>0</v>
      </c>
      <c r="V90" s="33">
        <f>quantInv[[#This Row],[Total Cost GBP]]/EURtoGBP</f>
        <v>0</v>
      </c>
      <c r="W90" s="33">
        <f>quantInv[[#This Row],[Total Cost GBP]]/USDtoGBP</f>
        <v>0</v>
      </c>
      <c r="X90" s="33">
        <f>quantInv[[#This Row],[Total Cost GBP]]/CADtoGBP</f>
        <v>0</v>
      </c>
      <c r="Y90" s="33">
        <f>quantInv[[#This Row],[Quantity]]*quantInv[[#This Row],[UNIT
VALUE AUD]]</f>
        <v>0</v>
      </c>
      <c r="Z90" s="33"/>
    </row>
    <row r="91" spans="1:26" x14ac:dyDescent="0.25">
      <c r="A91" t="s">
        <v>332</v>
      </c>
      <c r="B91" t="s">
        <v>333</v>
      </c>
      <c r="C91" t="s">
        <v>114</v>
      </c>
      <c r="D91" t="s">
        <v>213</v>
      </c>
      <c r="E91">
        <v>4.05</v>
      </c>
      <c r="F91" s="33">
        <v>5.2721</v>
      </c>
      <c r="G91" s="33" t="s">
        <v>117</v>
      </c>
      <c r="H91" t="s">
        <v>103</v>
      </c>
      <c r="I91" t="str">
        <f>IF(quantInv[[#This Row],[Metal]] = "925 Silver",  "7113.11.00"," 7113.19.00")</f>
        <v>7113.11.00</v>
      </c>
      <c r="J91" t="str">
        <f>IF(quantInv[[#This Row],[Metal]] = "925 Silver", "7113.11.10.00"," 7113.19.10.00")</f>
        <v>7113.11.10.00</v>
      </c>
      <c r="K91" t="str">
        <f>IF(quantInv[[#This Row],[Metal]] = "925 Silver",  "7113.11.00"," 7113.19.00")</f>
        <v>7113.11.00</v>
      </c>
      <c r="L91" t="str">
        <f>IFERROR(VLOOKUP(quantInv[[#This Row],[Description for New Invoice]],Map!$G$12:$H$32,2,FALSE), IF(quantInv[[#This Row],[Metal]] = "925 Silver", "7113.11.10.00", "7113.19.29.00"))</f>
        <v>7113.11.10.00</v>
      </c>
      <c r="M91" t="str">
        <f>quantInv[[#This Row],[ASIN]] &amp; " " &amp; quantInv[[#This Row],[Short Description]]</f>
        <v>B073G8F8KW Ball Chain</v>
      </c>
      <c r="N91" s="33">
        <f>quantInv[[#This Row],[UNIT
VALUE]] / EURtoGBP</f>
        <v>5.9844602225968115</v>
      </c>
      <c r="O91" s="33">
        <f>quantInv[[#This Row],[UNIT
VALUE]]/USDtoGBP</f>
        <v>7.2271732171962881</v>
      </c>
      <c r="P91" s="33">
        <f>quantInv[[#This Row],[UNIT
VALUE]] / CADtoGBP</f>
        <v>9.2511971755605966</v>
      </c>
      <c r="Q91" s="33">
        <f>quantInv[[#This Row],[UNIT
VALUE]]/AUDtoGBP</f>
        <v>9.4692506645592349</v>
      </c>
      <c r="R91">
        <f>IFERROR(VLOOKUP(quantInv[[#This Row],[Assigned Item SKU]],skuQuantity[#All],2,FALSE),0)</f>
        <v>0</v>
      </c>
      <c r="S91" t="str">
        <f>PROPER(quantInv[[#This Row],[Metal]] &amp; " " &amp; quantInv[[#This Row],[Item Type]])</f>
        <v>925 Silver Chain</v>
      </c>
      <c r="T91" s="33">
        <f>quantInv[[#This Row],[Quantity]]*quantInv[[#This Row],[WEIGHT]]</f>
        <v>0</v>
      </c>
      <c r="U91" s="33">
        <f>quantInv[[#This Row],[UNIT
VALUE]]*quantInv[[#This Row],[Quantity]]</f>
        <v>0</v>
      </c>
      <c r="V91" s="33">
        <f>quantInv[[#This Row],[Total Cost GBP]]/EURtoGBP</f>
        <v>0</v>
      </c>
      <c r="W91" s="33">
        <f>quantInv[[#This Row],[Total Cost GBP]]/USDtoGBP</f>
        <v>0</v>
      </c>
      <c r="X91" s="33">
        <f>quantInv[[#This Row],[Total Cost GBP]]/CADtoGBP</f>
        <v>0</v>
      </c>
      <c r="Y91" s="33">
        <f>quantInv[[#This Row],[Quantity]]*quantInv[[#This Row],[UNIT
VALUE AUD]]</f>
        <v>0</v>
      </c>
      <c r="Z91" s="33"/>
    </row>
    <row r="92" spans="1:26" x14ac:dyDescent="0.25">
      <c r="A92" t="s">
        <v>334</v>
      </c>
      <c r="B92" t="s">
        <v>335</v>
      </c>
      <c r="C92" t="s">
        <v>114</v>
      </c>
      <c r="D92" t="s">
        <v>213</v>
      </c>
      <c r="E92">
        <v>4.5161290322580596</v>
      </c>
      <c r="F92" s="33">
        <v>5.8387000000000002</v>
      </c>
      <c r="G92" s="33" t="s">
        <v>117</v>
      </c>
      <c r="H92" t="s">
        <v>103</v>
      </c>
      <c r="I92" t="str">
        <f>IF(quantInv[[#This Row],[Metal]] = "925 Silver",  "7113.11.00"," 7113.19.00")</f>
        <v>7113.11.00</v>
      </c>
      <c r="J92" t="str">
        <f>IF(quantInv[[#This Row],[Metal]] = "925 Silver", "7113.11.10.00"," 7113.19.10.00")</f>
        <v>7113.11.10.00</v>
      </c>
      <c r="K92" t="str">
        <f>IF(quantInv[[#This Row],[Metal]] = "925 Silver",  "7113.11.00"," 7113.19.00")</f>
        <v>7113.11.00</v>
      </c>
      <c r="L92" t="str">
        <f>IFERROR(VLOOKUP(quantInv[[#This Row],[Description for New Invoice]],Map!$G$12:$H$32,2,FALSE), IF(quantInv[[#This Row],[Metal]] = "925 Silver", "7113.11.10.00", "7113.19.29.00"))</f>
        <v>7113.11.10.00</v>
      </c>
      <c r="M92" t="str">
        <f>quantInv[[#This Row],[ASIN]] &amp; " " &amp; quantInv[[#This Row],[Short Description]]</f>
        <v>B073G7TNMK Ball Chain</v>
      </c>
      <c r="N92" s="33">
        <f>quantInv[[#This Row],[UNIT
VALUE]] / EURtoGBP</f>
        <v>6.6276185773555136</v>
      </c>
      <c r="O92" s="33">
        <f>quantInv[[#This Row],[UNIT
VALUE]]/USDtoGBP</f>
        <v>8.0038876848398122</v>
      </c>
      <c r="P92" s="33">
        <f>quantInv[[#This Row],[UNIT
VALUE]] / CADtoGBP</f>
        <v>10.245436343951303</v>
      </c>
      <c r="Q92" s="33">
        <f>quantInv[[#This Row],[UNIT
VALUE]]/AUDtoGBP</f>
        <v>10.486924348013506</v>
      </c>
      <c r="R92">
        <f>IFERROR(VLOOKUP(quantInv[[#This Row],[Assigned Item SKU]],skuQuantity[#All],2,FALSE),0)</f>
        <v>0</v>
      </c>
      <c r="S92" t="str">
        <f>PROPER(quantInv[[#This Row],[Metal]] &amp; " " &amp; quantInv[[#This Row],[Item Type]])</f>
        <v>925 Silver Chain</v>
      </c>
      <c r="T92" s="33">
        <f>quantInv[[#This Row],[Quantity]]*quantInv[[#This Row],[WEIGHT]]</f>
        <v>0</v>
      </c>
      <c r="U92" s="33">
        <f>quantInv[[#This Row],[UNIT
VALUE]]*quantInv[[#This Row],[Quantity]]</f>
        <v>0</v>
      </c>
      <c r="V92" s="33">
        <f>quantInv[[#This Row],[Total Cost GBP]]/EURtoGBP</f>
        <v>0</v>
      </c>
      <c r="W92" s="33">
        <f>quantInv[[#This Row],[Total Cost GBP]]/USDtoGBP</f>
        <v>0</v>
      </c>
      <c r="X92" s="33">
        <f>quantInv[[#This Row],[Total Cost GBP]]/CADtoGBP</f>
        <v>0</v>
      </c>
      <c r="Y92" s="33">
        <f>quantInv[[#This Row],[Quantity]]*quantInv[[#This Row],[UNIT
VALUE AUD]]</f>
        <v>0</v>
      </c>
      <c r="Z92" s="33"/>
    </row>
    <row r="93" spans="1:26" x14ac:dyDescent="0.25">
      <c r="A93" t="s">
        <v>336</v>
      </c>
      <c r="B93" t="s">
        <v>337</v>
      </c>
      <c r="C93" t="s">
        <v>114</v>
      </c>
      <c r="D93" t="s">
        <v>213</v>
      </c>
      <c r="E93">
        <v>5.37</v>
      </c>
      <c r="F93" s="33">
        <v>6.8768000000000002</v>
      </c>
      <c r="G93" s="33" t="s">
        <v>117</v>
      </c>
      <c r="H93" t="s">
        <v>103</v>
      </c>
      <c r="I93" t="str">
        <f>IF(quantInv[[#This Row],[Metal]] = "925 Silver",  "7113.11.00"," 7113.19.00")</f>
        <v>7113.11.00</v>
      </c>
      <c r="J93" t="str">
        <f>IF(quantInv[[#This Row],[Metal]] = "925 Silver", "7113.11.10.00"," 7113.19.10.00")</f>
        <v>7113.11.10.00</v>
      </c>
      <c r="K93" t="str">
        <f>IF(quantInv[[#This Row],[Metal]] = "925 Silver",  "7113.11.00"," 7113.19.00")</f>
        <v>7113.11.00</v>
      </c>
      <c r="L93" t="str">
        <f>IFERROR(VLOOKUP(quantInv[[#This Row],[Description for New Invoice]],Map!$G$12:$H$32,2,FALSE), IF(quantInv[[#This Row],[Metal]] = "925 Silver", "7113.11.10.00", "7113.19.29.00"))</f>
        <v>7113.11.10.00</v>
      </c>
      <c r="M93" t="str">
        <f>quantInv[[#This Row],[ASIN]] &amp; " " &amp; quantInv[[#This Row],[Short Description]]</f>
        <v>B073G8SYCQ Ball Chain</v>
      </c>
      <c r="N93" s="33">
        <f>quantInv[[#This Row],[UNIT
VALUE]] / EURtoGBP</f>
        <v>7.8059854818295848</v>
      </c>
      <c r="O93" s="33">
        <f>quantInv[[#This Row],[UNIT
VALUE]]/USDtoGBP</f>
        <v>9.4269503196099151</v>
      </c>
      <c r="P93" s="33">
        <f>quantInv[[#This Row],[UNIT
VALUE]] / CADtoGBP</f>
        <v>12.067038321901162</v>
      </c>
      <c r="Q93" s="33">
        <f>quantInv[[#This Row],[UNIT
VALUE]]/AUDtoGBP</f>
        <v>12.35146203031827</v>
      </c>
      <c r="R93">
        <f>IFERROR(VLOOKUP(quantInv[[#This Row],[Assigned Item SKU]],skuQuantity[#All],2,FALSE),0)</f>
        <v>0</v>
      </c>
      <c r="S93" t="str">
        <f>PROPER(quantInv[[#This Row],[Metal]] &amp; " " &amp; quantInv[[#This Row],[Item Type]])</f>
        <v>925 Silver Chain</v>
      </c>
      <c r="T93" s="33">
        <f>quantInv[[#This Row],[Quantity]]*quantInv[[#This Row],[WEIGHT]]</f>
        <v>0</v>
      </c>
      <c r="U93" s="33">
        <f>quantInv[[#This Row],[UNIT
VALUE]]*quantInv[[#This Row],[Quantity]]</f>
        <v>0</v>
      </c>
      <c r="V93" s="33">
        <f>quantInv[[#This Row],[Total Cost GBP]]/EURtoGBP</f>
        <v>0</v>
      </c>
      <c r="W93" s="33">
        <f>quantInv[[#This Row],[Total Cost GBP]]/USDtoGBP</f>
        <v>0</v>
      </c>
      <c r="X93" s="33">
        <f>quantInv[[#This Row],[Total Cost GBP]]/CADtoGBP</f>
        <v>0</v>
      </c>
      <c r="Y93" s="33">
        <f>quantInv[[#This Row],[Quantity]]*quantInv[[#This Row],[UNIT
VALUE AUD]]</f>
        <v>0</v>
      </c>
      <c r="Z93" s="33"/>
    </row>
    <row r="94" spans="1:26" x14ac:dyDescent="0.25">
      <c r="A94" t="s">
        <v>338</v>
      </c>
      <c r="B94" t="s">
        <v>339</v>
      </c>
      <c r="C94" t="s">
        <v>114</v>
      </c>
      <c r="D94" t="s">
        <v>213</v>
      </c>
      <c r="E94">
        <v>2.2627450980392201</v>
      </c>
      <c r="F94" s="33">
        <v>2.9398</v>
      </c>
      <c r="G94" s="33" t="s">
        <v>117</v>
      </c>
      <c r="H94" t="s">
        <v>1414</v>
      </c>
      <c r="I94" t="str">
        <f>IF(quantInv[[#This Row],[Metal]] = "925 Silver",  "7113.11.00"," 7113.19.00")</f>
        <v>7113.11.00</v>
      </c>
      <c r="J94" t="str">
        <f>IF(quantInv[[#This Row],[Metal]] = "925 Silver", "7113.11.10.00"," 7113.19.10.00")</f>
        <v>7113.11.10.00</v>
      </c>
      <c r="K94" t="str">
        <f>IF(quantInv[[#This Row],[Metal]] = "925 Silver",  "7113.11.00"," 7113.19.00")</f>
        <v>7113.11.00</v>
      </c>
      <c r="L94" t="str">
        <f>IFERROR(VLOOKUP(quantInv[[#This Row],[Description for New Invoice]],Map!$G$12:$H$32,2,FALSE), IF(quantInv[[#This Row],[Metal]] = "925 Silver", "7113.11.10.00", "7113.19.29.00"))</f>
        <v>7113.11.10.00</v>
      </c>
      <c r="M94" t="str">
        <f>quantInv[[#This Row],[ASIN]] &amp; " " &amp; quantInv[[#This Row],[Short Description]]</f>
        <v>B073V45Z21 Ball Chain</v>
      </c>
      <c r="N94" s="33">
        <f>quantInv[[#This Row],[UNIT
VALUE]] / EURtoGBP</f>
        <v>3.337022469678137</v>
      </c>
      <c r="O94" s="33">
        <f>quantInv[[#This Row],[UNIT
VALUE]]/USDtoGBP</f>
        <v>4.0299773949495741</v>
      </c>
      <c r="P94" s="33">
        <f>quantInv[[#This Row],[UNIT
VALUE]] / CADtoGBP</f>
        <v>5.1586027307359581</v>
      </c>
      <c r="Q94" s="33">
        <f>quantInv[[#This Row],[UNIT
VALUE]]/AUDtoGBP</f>
        <v>5.280192542567713</v>
      </c>
      <c r="R94">
        <f>IFERROR(VLOOKUP(quantInv[[#This Row],[Assigned Item SKU]],skuQuantity[#All],2,FALSE),0)</f>
        <v>0</v>
      </c>
      <c r="S94" t="str">
        <f>PROPER(quantInv[[#This Row],[Metal]] &amp; " " &amp; quantInv[[#This Row],[Item Type]])</f>
        <v>925 Silver Bracelet</v>
      </c>
      <c r="T94" s="33">
        <f>quantInv[[#This Row],[Quantity]]*quantInv[[#This Row],[WEIGHT]]</f>
        <v>0</v>
      </c>
      <c r="U94" s="33">
        <f>quantInv[[#This Row],[UNIT
VALUE]]*quantInv[[#This Row],[Quantity]]</f>
        <v>0</v>
      </c>
      <c r="V94" s="33">
        <f>quantInv[[#This Row],[Total Cost GBP]]/EURtoGBP</f>
        <v>0</v>
      </c>
      <c r="W94" s="33">
        <f>quantInv[[#This Row],[Total Cost GBP]]/USDtoGBP</f>
        <v>0</v>
      </c>
      <c r="X94" s="33">
        <f>quantInv[[#This Row],[Total Cost GBP]]/CADtoGBP</f>
        <v>0</v>
      </c>
      <c r="Y94" s="33">
        <f>quantInv[[#This Row],[Quantity]]*quantInv[[#This Row],[UNIT
VALUE AUD]]</f>
        <v>0</v>
      </c>
      <c r="Z94" s="33"/>
    </row>
    <row r="95" spans="1:26" x14ac:dyDescent="0.25">
      <c r="A95" t="s">
        <v>1442</v>
      </c>
      <c r="B95" t="s">
        <v>1443</v>
      </c>
      <c r="C95" t="s">
        <v>114</v>
      </c>
      <c r="D95" t="s">
        <v>1444</v>
      </c>
      <c r="E95">
        <v>1.1100000000000001</v>
      </c>
      <c r="F95" s="33">
        <v>2.3411</v>
      </c>
      <c r="G95" s="33" t="s">
        <v>117</v>
      </c>
      <c r="H95" t="s">
        <v>3301</v>
      </c>
      <c r="I95" t="str">
        <f>IF(quantInv[[#This Row],[Metal]] = "925 Silver",  "7113.11.00"," 7113.19.00")</f>
        <v>7113.11.00</v>
      </c>
      <c r="J95" t="str">
        <f>IF(quantInv[[#This Row],[Metal]] = "925 Silver", "7113.11.10.00"," 7113.19.10.00")</f>
        <v>7113.11.10.00</v>
      </c>
      <c r="K95" t="str">
        <f>IF(quantInv[[#This Row],[Metal]] = "925 Silver",  "7113.11.00"," 7113.19.00")</f>
        <v>7113.11.00</v>
      </c>
      <c r="L95" t="str">
        <f>IFERROR(VLOOKUP(quantInv[[#This Row],[Description for New Invoice]],Map!$G$12:$H$32,2,FALSE), IF(quantInv[[#This Row],[Metal]] = "925 Silver", "7113.11.10.00", "7113.19.29.00"))</f>
        <v>7113.11.10.00</v>
      </c>
      <c r="M95" t="str">
        <f>quantInv[[#This Row],[ASIN]] &amp; " " &amp; quantInv[[#This Row],[Short Description]]</f>
        <v>B07RZR27NP Chain Extender - 3 sizes together - gold plated</v>
      </c>
      <c r="N95" s="33">
        <f>quantInv[[#This Row],[UNIT
VALUE]] / EURtoGBP</f>
        <v>2.6574267990215277</v>
      </c>
      <c r="O95" s="33">
        <f>quantInv[[#This Row],[UNIT
VALUE]]/USDtoGBP</f>
        <v>3.2092591602545912</v>
      </c>
      <c r="P95" s="33">
        <f>quantInv[[#This Row],[UNIT
VALUE]] / CADtoGBP</f>
        <v>4.1080362109415436</v>
      </c>
      <c r="Q95" s="33">
        <f>quantInv[[#This Row],[UNIT
VALUE]]/AUDtoGBP</f>
        <v>4.2048638551620083</v>
      </c>
      <c r="R95">
        <f>IFERROR(VLOOKUP(quantInv[[#This Row],[Assigned Item SKU]],skuQuantity[#All],2,FALSE),0)</f>
        <v>50</v>
      </c>
      <c r="S95" t="str">
        <f>PROPER(quantInv[[#This Row],[Metal]] &amp; " " &amp; quantInv[[#This Row],[Item Type]])</f>
        <v>925 Silver Extender</v>
      </c>
      <c r="T95" s="33">
        <f>quantInv[[#This Row],[Quantity]]*quantInv[[#This Row],[WEIGHT]]</f>
        <v>55.500000000000007</v>
      </c>
      <c r="U95" s="33">
        <f>quantInv[[#This Row],[UNIT
VALUE]]*quantInv[[#This Row],[Quantity]]</f>
        <v>117.05499999999999</v>
      </c>
      <c r="V95" s="33">
        <f>quantInv[[#This Row],[Total Cost GBP]]/EURtoGBP</f>
        <v>132.87133995107638</v>
      </c>
      <c r="W95" s="33">
        <f>quantInv[[#This Row],[Total Cost GBP]]/USDtoGBP</f>
        <v>160.46295801272956</v>
      </c>
      <c r="X95" s="33">
        <f>quantInv[[#This Row],[Total Cost GBP]]/CADtoGBP</f>
        <v>205.40181054707719</v>
      </c>
      <c r="Y95" s="33">
        <f>quantInv[[#This Row],[Quantity]]*quantInv[[#This Row],[UNIT
VALUE AUD]]</f>
        <v>210.24319275810041</v>
      </c>
      <c r="Z95" s="33"/>
    </row>
    <row r="96" spans="1:26" x14ac:dyDescent="0.25">
      <c r="A96" t="s">
        <v>342</v>
      </c>
      <c r="B96" t="s">
        <v>343</v>
      </c>
      <c r="C96" t="s">
        <v>114</v>
      </c>
      <c r="D96" t="s">
        <v>213</v>
      </c>
      <c r="E96">
        <v>5.0941176470588196</v>
      </c>
      <c r="F96" s="33">
        <v>6.0477999999999996</v>
      </c>
      <c r="G96" s="33" t="s">
        <v>117</v>
      </c>
      <c r="H96" t="s">
        <v>103</v>
      </c>
      <c r="I96" t="str">
        <f>IF(quantInv[[#This Row],[Metal]] = "925 Silver",  "7113.11.00"," 7113.19.00")</f>
        <v>7113.11.00</v>
      </c>
      <c r="J96" t="str">
        <f>IF(quantInv[[#This Row],[Metal]] = "925 Silver", "7113.11.10.00"," 7113.19.10.00")</f>
        <v>7113.11.10.00</v>
      </c>
      <c r="K96" t="str">
        <f>IF(quantInv[[#This Row],[Metal]] = "925 Silver",  "7113.11.00"," 7113.19.00")</f>
        <v>7113.11.00</v>
      </c>
      <c r="L96" t="str">
        <f>IFERROR(VLOOKUP(quantInv[[#This Row],[Description for New Invoice]],Map!$G$12:$H$32,2,FALSE), IF(quantInv[[#This Row],[Metal]] = "925 Silver", "7113.11.10.00", "7113.19.29.00"))</f>
        <v>7113.11.10.00</v>
      </c>
      <c r="M96" t="str">
        <f>quantInv[[#This Row],[ASIN]] &amp; " " &amp; quantInv[[#This Row],[Short Description]]</f>
        <v>B073G86JDQ Ball Chain</v>
      </c>
      <c r="N96" s="33">
        <f>quantInv[[#This Row],[UNIT
VALUE]] / EURtoGBP</f>
        <v>6.8649719341858075</v>
      </c>
      <c r="O96" s="33">
        <f>quantInv[[#This Row],[UNIT
VALUE]]/USDtoGBP</f>
        <v>8.2905290459133383</v>
      </c>
      <c r="P96" s="33">
        <f>quantInv[[#This Row],[UNIT
VALUE]] / CADtoGBP</f>
        <v>10.612353763842753</v>
      </c>
      <c r="Q96" s="33">
        <f>quantInv[[#This Row],[UNIT
VALUE]]/AUDtoGBP</f>
        <v>10.862490121416768</v>
      </c>
      <c r="R96">
        <f>IFERROR(VLOOKUP(quantInv[[#This Row],[Assigned Item SKU]],skuQuantity[#All],2,FALSE),0)</f>
        <v>10</v>
      </c>
      <c r="S96" t="str">
        <f>PROPER(quantInv[[#This Row],[Metal]] &amp; " " &amp; quantInv[[#This Row],[Item Type]])</f>
        <v>925 Silver Chain</v>
      </c>
      <c r="T96" s="33">
        <f>quantInv[[#This Row],[Quantity]]*quantInv[[#This Row],[WEIGHT]]</f>
        <v>50.941176470588196</v>
      </c>
      <c r="U96" s="33">
        <f>quantInv[[#This Row],[UNIT
VALUE]]*quantInv[[#This Row],[Quantity]]</f>
        <v>60.477999999999994</v>
      </c>
      <c r="V96" s="33">
        <f>quantInv[[#This Row],[Total Cost GBP]]/EURtoGBP</f>
        <v>68.649719341858074</v>
      </c>
      <c r="W96" s="33">
        <f>quantInv[[#This Row],[Total Cost GBP]]/USDtoGBP</f>
        <v>82.905290459133383</v>
      </c>
      <c r="X96" s="33">
        <f>quantInv[[#This Row],[Total Cost GBP]]/CADtoGBP</f>
        <v>106.12353763842752</v>
      </c>
      <c r="Y96" s="33">
        <f>quantInv[[#This Row],[Quantity]]*quantInv[[#This Row],[UNIT
VALUE AUD]]</f>
        <v>108.62490121416768</v>
      </c>
      <c r="Z96" s="33"/>
    </row>
    <row r="97" spans="1:26" x14ac:dyDescent="0.25">
      <c r="A97" t="s">
        <v>344</v>
      </c>
      <c r="B97" t="s">
        <v>345</v>
      </c>
      <c r="C97" t="s">
        <v>114</v>
      </c>
      <c r="D97" t="s">
        <v>213</v>
      </c>
      <c r="E97">
        <v>5.6764705882352899</v>
      </c>
      <c r="F97" s="33">
        <v>6.6993</v>
      </c>
      <c r="G97" s="33" t="s">
        <v>117</v>
      </c>
      <c r="H97" t="s">
        <v>103</v>
      </c>
      <c r="I97" t="str">
        <f>IF(quantInv[[#This Row],[Metal]] = "925 Silver",  "7113.11.00"," 7113.19.00")</f>
        <v>7113.11.00</v>
      </c>
      <c r="J97" t="str">
        <f>IF(quantInv[[#This Row],[Metal]] = "925 Silver", "7113.11.10.00"," 7113.19.10.00")</f>
        <v>7113.11.10.00</v>
      </c>
      <c r="K97" t="str">
        <f>IF(quantInv[[#This Row],[Metal]] = "925 Silver",  "7113.11.00"," 7113.19.00")</f>
        <v>7113.11.00</v>
      </c>
      <c r="L97" t="str">
        <f>IFERROR(VLOOKUP(quantInv[[#This Row],[Description for New Invoice]],Map!$G$12:$H$32,2,FALSE), IF(quantInv[[#This Row],[Metal]] = "925 Silver", "7113.11.10.00", "7113.19.29.00"))</f>
        <v>7113.11.10.00</v>
      </c>
      <c r="M97" t="str">
        <f>quantInv[[#This Row],[ASIN]] &amp; " " &amp; quantInv[[#This Row],[Short Description]]</f>
        <v>B073GC44K1 Ball Chain</v>
      </c>
      <c r="N97" s="33">
        <f>quantInv[[#This Row],[UNIT
VALUE]] / EURtoGBP</f>
        <v>7.6045018814595355</v>
      </c>
      <c r="O97" s="33">
        <f>quantInv[[#This Row],[UNIT
VALUE]]/USDtoGBP</f>
        <v>9.1836273086555824</v>
      </c>
      <c r="P97" s="33">
        <f>quantInv[[#This Row],[UNIT
VALUE]] / CADtoGBP</f>
        <v>11.755570880338595</v>
      </c>
      <c r="Q97" s="33">
        <f>quantInv[[#This Row],[UNIT
VALUE]]/AUDtoGBP</f>
        <v>12.03265320784539</v>
      </c>
      <c r="R97">
        <f>IFERROR(VLOOKUP(quantInv[[#This Row],[Assigned Item SKU]],skuQuantity[#All],2,FALSE),0)</f>
        <v>5</v>
      </c>
      <c r="S97" t="str">
        <f>PROPER(quantInv[[#This Row],[Metal]] &amp; " " &amp; quantInv[[#This Row],[Item Type]])</f>
        <v>925 Silver Chain</v>
      </c>
      <c r="T97" s="33">
        <f>quantInv[[#This Row],[Quantity]]*quantInv[[#This Row],[WEIGHT]]</f>
        <v>28.38235294117645</v>
      </c>
      <c r="U97" s="33">
        <f>quantInv[[#This Row],[UNIT
VALUE]]*quantInv[[#This Row],[Quantity]]</f>
        <v>33.496499999999997</v>
      </c>
      <c r="V97" s="33">
        <f>quantInv[[#This Row],[Total Cost GBP]]/EURtoGBP</f>
        <v>38.022509407297676</v>
      </c>
      <c r="W97" s="33">
        <f>quantInv[[#This Row],[Total Cost GBP]]/USDtoGBP</f>
        <v>45.91813654327791</v>
      </c>
      <c r="X97" s="33">
        <f>quantInv[[#This Row],[Total Cost GBP]]/CADtoGBP</f>
        <v>58.77785440169297</v>
      </c>
      <c r="Y97" s="33">
        <f>quantInv[[#This Row],[Quantity]]*quantInv[[#This Row],[UNIT
VALUE AUD]]</f>
        <v>60.163266039226954</v>
      </c>
      <c r="Z97" s="33"/>
    </row>
    <row r="98" spans="1:26" x14ac:dyDescent="0.25">
      <c r="A98" t="s">
        <v>346</v>
      </c>
      <c r="B98" t="s">
        <v>347</v>
      </c>
      <c r="C98" t="s">
        <v>114</v>
      </c>
      <c r="D98" t="s">
        <v>213</v>
      </c>
      <c r="E98">
        <v>7.8392156862745104</v>
      </c>
      <c r="F98" s="33">
        <v>9.1190999999999995</v>
      </c>
      <c r="G98" s="33" t="s">
        <v>117</v>
      </c>
      <c r="H98" t="s">
        <v>103</v>
      </c>
      <c r="I98" t="str">
        <f>IF(quantInv[[#This Row],[Metal]] = "925 Silver",  "7113.11.00"," 7113.19.00")</f>
        <v>7113.11.00</v>
      </c>
      <c r="J98" t="str">
        <f>IF(quantInv[[#This Row],[Metal]] = "925 Silver", "7113.11.10.00"," 7113.19.10.00")</f>
        <v>7113.11.10.00</v>
      </c>
      <c r="K98" t="str">
        <f>IF(quantInv[[#This Row],[Metal]] = "925 Silver",  "7113.11.00"," 7113.19.00")</f>
        <v>7113.11.00</v>
      </c>
      <c r="L98" t="str">
        <f>IFERROR(VLOOKUP(quantInv[[#This Row],[Description for New Invoice]],Map!$G$12:$H$32,2,FALSE), IF(quantInv[[#This Row],[Metal]] = "925 Silver", "7113.11.10.00", "7113.19.29.00"))</f>
        <v>7113.11.10.00</v>
      </c>
      <c r="M98" t="str">
        <f>quantInv[[#This Row],[ASIN]] &amp; " " &amp; quantInv[[#This Row],[Short Description]]</f>
        <v>B073G9QLKH Ball Chain</v>
      </c>
      <c r="N98" s="33">
        <f>quantInv[[#This Row],[UNIT
VALUE]] / EURtoGBP</f>
        <v>10.351262535969079</v>
      </c>
      <c r="O98" s="33">
        <f>quantInv[[#This Row],[UNIT
VALUE]]/USDtoGBP</f>
        <v>12.500771094048799</v>
      </c>
      <c r="P98" s="33">
        <f>quantInv[[#This Row],[UNIT
VALUE]] / CADtoGBP</f>
        <v>16.001705613257457</v>
      </c>
      <c r="Q98" s="33">
        <f>quantInv[[#This Row],[UNIT
VALUE]]/AUDtoGBP</f>
        <v>16.378870608520725</v>
      </c>
      <c r="R98">
        <f>IFERROR(VLOOKUP(quantInv[[#This Row],[Assigned Item SKU]],skuQuantity[#All],2,FALSE),0)</f>
        <v>0</v>
      </c>
      <c r="S98" t="str">
        <f>PROPER(quantInv[[#This Row],[Metal]] &amp; " " &amp; quantInv[[#This Row],[Item Type]])</f>
        <v>925 Silver Chain</v>
      </c>
      <c r="T98" s="33">
        <f>quantInv[[#This Row],[Quantity]]*quantInv[[#This Row],[WEIGHT]]</f>
        <v>0</v>
      </c>
      <c r="U98" s="33">
        <f>quantInv[[#This Row],[UNIT
VALUE]]*quantInv[[#This Row],[Quantity]]</f>
        <v>0</v>
      </c>
      <c r="V98" s="33">
        <f>quantInv[[#This Row],[Total Cost GBP]]/EURtoGBP</f>
        <v>0</v>
      </c>
      <c r="W98" s="33">
        <f>quantInv[[#This Row],[Total Cost GBP]]/USDtoGBP</f>
        <v>0</v>
      </c>
      <c r="X98" s="33">
        <f>quantInv[[#This Row],[Total Cost GBP]]/CADtoGBP</f>
        <v>0</v>
      </c>
      <c r="Y98" s="33">
        <f>quantInv[[#This Row],[Quantity]]*quantInv[[#This Row],[UNIT
VALUE AUD]]</f>
        <v>0</v>
      </c>
      <c r="Z98" s="33"/>
    </row>
    <row r="99" spans="1:26" x14ac:dyDescent="0.25">
      <c r="A99" t="s">
        <v>1445</v>
      </c>
      <c r="B99" t="s">
        <v>1446</v>
      </c>
      <c r="C99" t="s">
        <v>114</v>
      </c>
      <c r="D99" t="s">
        <v>1447</v>
      </c>
      <c r="E99">
        <v>1.1100000000000001</v>
      </c>
      <c r="F99" s="33">
        <v>2.3411</v>
      </c>
      <c r="G99" s="33" t="s">
        <v>117</v>
      </c>
      <c r="H99" t="s">
        <v>3301</v>
      </c>
      <c r="I99" t="str">
        <f>IF(quantInv[[#This Row],[Metal]] = "925 Silver",  "7113.11.00"," 7113.19.00")</f>
        <v>7113.11.00</v>
      </c>
      <c r="J99" t="str">
        <f>IF(quantInv[[#This Row],[Metal]] = "925 Silver", "7113.11.10.00"," 7113.19.10.00")</f>
        <v>7113.11.10.00</v>
      </c>
      <c r="K99" t="str">
        <f>IF(quantInv[[#This Row],[Metal]] = "925 Silver",  "7113.11.00"," 7113.19.00")</f>
        <v>7113.11.00</v>
      </c>
      <c r="L99" t="str">
        <f>IFERROR(VLOOKUP(quantInv[[#This Row],[Description for New Invoice]],Map!$G$12:$H$32,2,FALSE), IF(quantInv[[#This Row],[Metal]] = "925 Silver", "7113.11.10.00", "7113.19.29.00"))</f>
        <v>7113.11.10.00</v>
      </c>
      <c r="M99" t="str">
        <f>quantInv[[#This Row],[ASIN]] &amp; " " &amp; quantInv[[#This Row],[Short Description]]</f>
        <v>B07S1SVY6L Chain Extender - 3 sizes together - rose plated</v>
      </c>
      <c r="N99" s="33">
        <f>quantInv[[#This Row],[UNIT
VALUE]] / EURtoGBP</f>
        <v>2.6574267990215277</v>
      </c>
      <c r="O99" s="33">
        <f>quantInv[[#This Row],[UNIT
VALUE]]/USDtoGBP</f>
        <v>3.2092591602545912</v>
      </c>
      <c r="P99" s="33">
        <f>quantInv[[#This Row],[UNIT
VALUE]] / CADtoGBP</f>
        <v>4.1080362109415436</v>
      </c>
      <c r="Q99" s="33">
        <f>quantInv[[#This Row],[UNIT
VALUE]]/AUDtoGBP</f>
        <v>4.2048638551620083</v>
      </c>
      <c r="R99">
        <f>IFERROR(VLOOKUP(quantInv[[#This Row],[Assigned Item SKU]],skuQuantity[#All],2,FALSE),0)</f>
        <v>40</v>
      </c>
      <c r="S99" t="str">
        <f>PROPER(quantInv[[#This Row],[Metal]] &amp; " " &amp; quantInv[[#This Row],[Item Type]])</f>
        <v>925 Silver Extender</v>
      </c>
      <c r="T99" s="33">
        <f>quantInv[[#This Row],[Quantity]]*quantInv[[#This Row],[WEIGHT]]</f>
        <v>44.400000000000006</v>
      </c>
      <c r="U99" s="33">
        <f>quantInv[[#This Row],[UNIT
VALUE]]*quantInv[[#This Row],[Quantity]]</f>
        <v>93.644000000000005</v>
      </c>
      <c r="V99" s="33">
        <f>quantInv[[#This Row],[Total Cost GBP]]/EURtoGBP</f>
        <v>106.2970719608611</v>
      </c>
      <c r="W99" s="33">
        <f>quantInv[[#This Row],[Total Cost GBP]]/USDtoGBP</f>
        <v>128.37036641018366</v>
      </c>
      <c r="X99" s="33">
        <f>quantInv[[#This Row],[Total Cost GBP]]/CADtoGBP</f>
        <v>164.32144843766176</v>
      </c>
      <c r="Y99" s="33">
        <f>quantInv[[#This Row],[Quantity]]*quantInv[[#This Row],[UNIT
VALUE AUD]]</f>
        <v>168.19455420648035</v>
      </c>
      <c r="Z99" s="33"/>
    </row>
    <row r="100" spans="1:26" x14ac:dyDescent="0.25">
      <c r="A100" t="s">
        <v>350</v>
      </c>
      <c r="B100" t="s">
        <v>351</v>
      </c>
      <c r="C100" t="s">
        <v>114</v>
      </c>
      <c r="D100" t="s">
        <v>230</v>
      </c>
      <c r="E100">
        <v>1.78823529411765</v>
      </c>
      <c r="F100" s="33">
        <v>2.5066000000000002</v>
      </c>
      <c r="G100" s="33" t="s">
        <v>117</v>
      </c>
      <c r="H100" t="s">
        <v>1414</v>
      </c>
      <c r="I100" t="str">
        <f>IF(quantInv[[#This Row],[Metal]] = "925 Silver",  "7113.11.00"," 7113.19.00")</f>
        <v>7113.11.00</v>
      </c>
      <c r="J100" t="str">
        <f>IF(quantInv[[#This Row],[Metal]] = "925 Silver", "7113.11.10.00"," 7113.19.10.00")</f>
        <v>7113.11.10.00</v>
      </c>
      <c r="K100" t="str">
        <f>IF(quantInv[[#This Row],[Metal]] = "925 Silver",  "7113.11.00"," 7113.19.00")</f>
        <v>7113.11.00</v>
      </c>
      <c r="L100" t="str">
        <f>IFERROR(VLOOKUP(quantInv[[#This Row],[Description for New Invoice]],Map!$G$12:$H$32,2,FALSE), IF(quantInv[[#This Row],[Metal]] = "925 Silver", "7113.11.10.00", "7113.19.29.00"))</f>
        <v>7113.11.10.00</v>
      </c>
      <c r="M100" t="str">
        <f>quantInv[[#This Row],[ASIN]] &amp; " " &amp; quantInv[[#This Row],[Short Description]]</f>
        <v>B073V39GF8 French Rope Chain</v>
      </c>
      <c r="N100" s="33">
        <f>quantInv[[#This Row],[UNIT
VALUE]] / EURtoGBP</f>
        <v>2.845288972887686</v>
      </c>
      <c r="O100" s="33">
        <f>quantInv[[#This Row],[UNIT
VALUE]]/USDtoGBP</f>
        <v>3.4361321648345475</v>
      </c>
      <c r="P100" s="33">
        <f>quantInv[[#This Row],[UNIT
VALUE]] / CADtoGBP</f>
        <v>4.398446698708331</v>
      </c>
      <c r="Q100" s="33">
        <f>quantInv[[#This Row],[UNIT
VALUE]]/AUDtoGBP</f>
        <v>4.5021194051296787</v>
      </c>
      <c r="R100">
        <f>IFERROR(VLOOKUP(quantInv[[#This Row],[Assigned Item SKU]],skuQuantity[#All],2,FALSE),0)</f>
        <v>0</v>
      </c>
      <c r="S100" t="str">
        <f>PROPER(quantInv[[#This Row],[Metal]] &amp; " " &amp; quantInv[[#This Row],[Item Type]])</f>
        <v>925 Silver Bracelet</v>
      </c>
      <c r="T100" s="33">
        <f>quantInv[[#This Row],[Quantity]]*quantInv[[#This Row],[WEIGHT]]</f>
        <v>0</v>
      </c>
      <c r="U100" s="33">
        <f>quantInv[[#This Row],[UNIT
VALUE]]*quantInv[[#This Row],[Quantity]]</f>
        <v>0</v>
      </c>
      <c r="V100" s="33">
        <f>quantInv[[#This Row],[Total Cost GBP]]/EURtoGBP</f>
        <v>0</v>
      </c>
      <c r="W100" s="33">
        <f>quantInv[[#This Row],[Total Cost GBP]]/USDtoGBP</f>
        <v>0</v>
      </c>
      <c r="X100" s="33">
        <f>quantInv[[#This Row],[Total Cost GBP]]/CADtoGBP</f>
        <v>0</v>
      </c>
      <c r="Y100" s="33">
        <f>quantInv[[#This Row],[Quantity]]*quantInv[[#This Row],[UNIT
VALUE AUD]]</f>
        <v>0</v>
      </c>
      <c r="Z100" s="33"/>
    </row>
    <row r="101" spans="1:26" x14ac:dyDescent="0.25">
      <c r="A101" t="s">
        <v>1493</v>
      </c>
      <c r="B101" t="s">
        <v>1494</v>
      </c>
      <c r="C101" t="s">
        <v>115</v>
      </c>
      <c r="D101" t="s">
        <v>1495</v>
      </c>
      <c r="E101">
        <v>0.78</v>
      </c>
      <c r="F101" s="33">
        <v>1.6561999999999999</v>
      </c>
      <c r="G101" s="33" t="s">
        <v>117</v>
      </c>
      <c r="H101" t="s">
        <v>1310</v>
      </c>
      <c r="I101" t="str">
        <f>IF(quantInv[[#This Row],[Metal]] = "925 Silver",  "7113.11.00"," 7113.19.00")</f>
        <v>7113.11.00</v>
      </c>
      <c r="J101" t="str">
        <f>IF(quantInv[[#This Row],[Metal]] = "925 Silver", "7113.11.10.00"," 7113.19.10.00")</f>
        <v>7113.11.10.00</v>
      </c>
      <c r="K101" t="str">
        <f>IF(quantInv[[#This Row],[Metal]] = "925 Silver",  "7113.11.00"," 7113.19.00")</f>
        <v>7113.11.00</v>
      </c>
      <c r="L101" t="str">
        <f>IFERROR(VLOOKUP(quantInv[[#This Row],[Description for New Invoice]],Map!$G$12:$H$32,2,FALSE), IF(quantInv[[#This Row],[Metal]] = "925 Silver", "7113.11.10.00", "7113.19.29.00"))</f>
        <v>7113.11.50.00</v>
      </c>
      <c r="M101" t="str">
        <f>quantInv[[#This Row],[ASIN]] &amp; " " &amp; quantInv[[#This Row],[Short Description]]</f>
        <v>B081VK8FXV Earrings - Silver Ball studs 2 mm - 2 pair</v>
      </c>
      <c r="N101" s="33">
        <f>quantInv[[#This Row],[UNIT
VALUE]] / EURtoGBP</f>
        <v>1.8799838813119703</v>
      </c>
      <c r="O101" s="33">
        <f>quantInv[[#This Row],[UNIT
VALUE]]/USDtoGBP</f>
        <v>2.2703750464369969</v>
      </c>
      <c r="P101" s="33">
        <f>quantInv[[#This Row],[UNIT
VALUE]] / CADtoGBP</f>
        <v>2.9062105730474497</v>
      </c>
      <c r="Q101" s="33">
        <f>quantInv[[#This Row],[UNIT
VALUE]]/AUDtoGBP</f>
        <v>2.9747108269272213</v>
      </c>
      <c r="R101">
        <f>IFERROR(VLOOKUP(quantInv[[#This Row],[Assigned Item SKU]],skuQuantity[#All],2,FALSE),0)</f>
        <v>0</v>
      </c>
      <c r="S101" t="str">
        <f>PROPER(quantInv[[#This Row],[Metal]] &amp; " " &amp; quantInv[[#This Row],[Item Type]])</f>
        <v>925 Silver Earrings</v>
      </c>
      <c r="T101" s="33">
        <f>quantInv[[#This Row],[Quantity]]*quantInv[[#This Row],[WEIGHT]]</f>
        <v>0</v>
      </c>
      <c r="U101" s="33">
        <f>quantInv[[#This Row],[UNIT
VALUE]]*quantInv[[#This Row],[Quantity]]</f>
        <v>0</v>
      </c>
      <c r="V101" s="33">
        <f>quantInv[[#This Row],[Total Cost GBP]]/EURtoGBP</f>
        <v>0</v>
      </c>
      <c r="W101" s="33">
        <f>quantInv[[#This Row],[Total Cost GBP]]/USDtoGBP</f>
        <v>0</v>
      </c>
      <c r="X101" s="33">
        <f>quantInv[[#This Row],[Total Cost GBP]]/CADtoGBP</f>
        <v>0</v>
      </c>
      <c r="Y101" s="33">
        <f>quantInv[[#This Row],[Quantity]]*quantInv[[#This Row],[UNIT
VALUE AUD]]</f>
        <v>0</v>
      </c>
      <c r="Z101" s="33"/>
    </row>
    <row r="102" spans="1:26" x14ac:dyDescent="0.25">
      <c r="A102" t="s">
        <v>40</v>
      </c>
      <c r="B102" t="s">
        <v>490</v>
      </c>
      <c r="C102" t="s">
        <v>114</v>
      </c>
      <c r="D102" t="s">
        <v>213</v>
      </c>
      <c r="E102">
        <v>2.8969999999999998</v>
      </c>
      <c r="F102" s="33">
        <v>3.0280999999999998</v>
      </c>
      <c r="G102" s="33" t="s">
        <v>117</v>
      </c>
      <c r="H102" t="s">
        <v>103</v>
      </c>
      <c r="I102" t="str">
        <f>IF(quantInv[[#This Row],[Metal]] = "925 Silver",  "7113.11.00"," 7113.19.00")</f>
        <v>7113.11.00</v>
      </c>
      <c r="J102" t="str">
        <f>IF(quantInv[[#This Row],[Metal]] = "925 Silver", "7113.11.10.00"," 7113.19.10.00")</f>
        <v>7113.11.10.00</v>
      </c>
      <c r="K102" t="str">
        <f>IF(quantInv[[#This Row],[Metal]] = "925 Silver",  "7113.11.00"," 7113.19.00")</f>
        <v>7113.11.00</v>
      </c>
      <c r="L102" t="str">
        <f>IFERROR(VLOOKUP(quantInv[[#This Row],[Description for New Invoice]],Map!$G$12:$H$32,2,FALSE), IF(quantInv[[#This Row],[Metal]] = "925 Silver", "7113.11.10.00", "7113.19.29.00"))</f>
        <v>7113.11.10.00</v>
      </c>
      <c r="M102" t="str">
        <f>quantInv[[#This Row],[ASIN]] &amp; " " &amp; quantInv[[#This Row],[Short Description]]</f>
        <v>B00JCW1GI2 Ball Chain</v>
      </c>
      <c r="N102" s="33">
        <f>quantInv[[#This Row],[UNIT
VALUE]] / EURtoGBP</f>
        <v>3.4372534663692651</v>
      </c>
      <c r="O102" s="33">
        <f>quantInv[[#This Row],[UNIT
VALUE]]/USDtoGBP</f>
        <v>4.151022025187701</v>
      </c>
      <c r="P102" s="33">
        <f>quantInv[[#This Row],[UNIT
VALUE]] / CADtoGBP</f>
        <v>5.3135468157498993</v>
      </c>
      <c r="Q102" s="33">
        <f>quantInv[[#This Row],[UNIT
VALUE]]/AUDtoGBP</f>
        <v>5.4387887060852069</v>
      </c>
      <c r="R102">
        <f>IFERROR(VLOOKUP(quantInv[[#This Row],[Assigned Item SKU]],skuQuantity[#All],2,FALSE),0)</f>
        <v>5</v>
      </c>
      <c r="S102" t="str">
        <f>PROPER(quantInv[[#This Row],[Metal]] &amp; " " &amp; quantInv[[#This Row],[Item Type]])</f>
        <v>925 Silver Chain</v>
      </c>
      <c r="T102" s="33">
        <f>quantInv[[#This Row],[Quantity]]*quantInv[[#This Row],[WEIGHT]]</f>
        <v>14.484999999999999</v>
      </c>
      <c r="U102" s="33">
        <f>quantInv[[#This Row],[UNIT
VALUE]]*quantInv[[#This Row],[Quantity]]</f>
        <v>15.140499999999999</v>
      </c>
      <c r="V102" s="33">
        <f>quantInv[[#This Row],[Total Cost GBP]]/EURtoGBP</f>
        <v>17.186267331846327</v>
      </c>
      <c r="W102" s="33">
        <f>quantInv[[#This Row],[Total Cost GBP]]/USDtoGBP</f>
        <v>20.755110125938508</v>
      </c>
      <c r="X102" s="33">
        <f>quantInv[[#This Row],[Total Cost GBP]]/CADtoGBP</f>
        <v>26.567734078749496</v>
      </c>
      <c r="Y102" s="33">
        <f>quantInv[[#This Row],[Quantity]]*quantInv[[#This Row],[UNIT
VALUE AUD]]</f>
        <v>27.193943530426033</v>
      </c>
      <c r="Z102" s="33"/>
    </row>
    <row r="103" spans="1:26" x14ac:dyDescent="0.25">
      <c r="A103" t="s">
        <v>33</v>
      </c>
      <c r="B103" t="s">
        <v>519</v>
      </c>
      <c r="C103" t="s">
        <v>114</v>
      </c>
      <c r="D103" t="s">
        <v>213</v>
      </c>
      <c r="E103">
        <v>2.33</v>
      </c>
      <c r="F103" s="33">
        <v>2.4215</v>
      </c>
      <c r="G103" s="33" t="s">
        <v>117</v>
      </c>
      <c r="H103" t="s">
        <v>1414</v>
      </c>
      <c r="I103" t="str">
        <f>IF(quantInv[[#This Row],[Metal]] = "925 Silver",  "7113.11.00"," 7113.19.00")</f>
        <v>7113.11.00</v>
      </c>
      <c r="J103" t="str">
        <f>IF(quantInv[[#This Row],[Metal]] = "925 Silver", "7113.11.10.00"," 7113.19.10.00")</f>
        <v>7113.11.10.00</v>
      </c>
      <c r="K103" t="str">
        <f>IF(quantInv[[#This Row],[Metal]] = "925 Silver",  "7113.11.00"," 7113.19.00")</f>
        <v>7113.11.00</v>
      </c>
      <c r="L103" t="str">
        <f>IFERROR(VLOOKUP(quantInv[[#This Row],[Description for New Invoice]],Map!$G$12:$H$32,2,FALSE), IF(quantInv[[#This Row],[Metal]] = "925 Silver", "7113.11.10.00", "7113.19.29.00"))</f>
        <v>7113.11.10.00</v>
      </c>
      <c r="M103" t="str">
        <f>quantInv[[#This Row],[ASIN]] &amp; " " &amp; quantInv[[#This Row],[Short Description]]</f>
        <v>B00JCW1XMQ Ball Chain</v>
      </c>
      <c r="N103" s="33">
        <f>quantInv[[#This Row],[UNIT
VALUE]] / EURtoGBP</f>
        <v>2.7486903565975949</v>
      </c>
      <c r="O103" s="33">
        <f>quantInv[[#This Row],[UNIT
VALUE]]/USDtoGBP</f>
        <v>3.3194742029629203</v>
      </c>
      <c r="P103" s="33">
        <f>quantInv[[#This Row],[UNIT
VALUE]] / CADtoGBP</f>
        <v>4.2491178013732638</v>
      </c>
      <c r="Q103" s="33">
        <f>quantInv[[#This Row],[UNIT
VALUE]]/AUDtoGBP</f>
        <v>4.3492707809469069</v>
      </c>
      <c r="R103">
        <f>IFERROR(VLOOKUP(quantInv[[#This Row],[Assigned Item SKU]],skuQuantity[#All],2,FALSE),0)</f>
        <v>15</v>
      </c>
      <c r="S103" t="str">
        <f>PROPER(quantInv[[#This Row],[Metal]] &amp; " " &amp; quantInv[[#This Row],[Item Type]])</f>
        <v>925 Silver Bracelet</v>
      </c>
      <c r="T103" s="33">
        <f>quantInv[[#This Row],[Quantity]]*quantInv[[#This Row],[WEIGHT]]</f>
        <v>34.950000000000003</v>
      </c>
      <c r="U103" s="33">
        <f>quantInv[[#This Row],[UNIT
VALUE]]*quantInv[[#This Row],[Quantity]]</f>
        <v>36.322499999999998</v>
      </c>
      <c r="V103" s="33">
        <f>quantInv[[#This Row],[Total Cost GBP]]/EURtoGBP</f>
        <v>41.230355348963919</v>
      </c>
      <c r="W103" s="33">
        <f>quantInv[[#This Row],[Total Cost GBP]]/USDtoGBP</f>
        <v>49.792113044443802</v>
      </c>
      <c r="X103" s="33">
        <f>quantInv[[#This Row],[Total Cost GBP]]/CADtoGBP</f>
        <v>63.736767020598961</v>
      </c>
      <c r="Y103" s="33">
        <f>quantInv[[#This Row],[Quantity]]*quantInv[[#This Row],[UNIT
VALUE AUD]]</f>
        <v>65.239061714203601</v>
      </c>
      <c r="Z103" s="33"/>
    </row>
    <row r="104" spans="1:26" x14ac:dyDescent="0.25">
      <c r="A104" t="s">
        <v>358</v>
      </c>
      <c r="B104" t="s">
        <v>359</v>
      </c>
      <c r="C104" t="s">
        <v>114</v>
      </c>
      <c r="D104" t="s">
        <v>242</v>
      </c>
      <c r="E104">
        <v>1.36666666666667</v>
      </c>
      <c r="F104" s="33">
        <v>2.0941000000000001</v>
      </c>
      <c r="G104" s="33" t="s">
        <v>117</v>
      </c>
      <c r="H104" t="s">
        <v>1414</v>
      </c>
      <c r="I104" t="str">
        <f>IF(quantInv[[#This Row],[Metal]] = "925 Silver",  "7113.11.00"," 7113.19.00")</f>
        <v>7113.11.00</v>
      </c>
      <c r="J104" t="str">
        <f>IF(quantInv[[#This Row],[Metal]] = "925 Silver", "7113.11.10.00"," 7113.19.10.00")</f>
        <v>7113.11.10.00</v>
      </c>
      <c r="K104" t="str">
        <f>IF(quantInv[[#This Row],[Metal]] = "925 Silver",  "7113.11.00"," 7113.19.00")</f>
        <v>7113.11.00</v>
      </c>
      <c r="L104" t="str">
        <f>IFERROR(VLOOKUP(quantInv[[#This Row],[Description for New Invoice]],Map!$G$12:$H$32,2,FALSE), IF(quantInv[[#This Row],[Metal]] = "925 Silver", "7113.11.10.00", "7113.19.29.00"))</f>
        <v>7113.11.10.00</v>
      </c>
      <c r="M104" t="str">
        <f>quantInv[[#This Row],[ASIN]] &amp; " " &amp; quantInv[[#This Row],[Short Description]]</f>
        <v>B073V3LQMF Heart Chain</v>
      </c>
      <c r="N104" s="33">
        <f>quantInv[[#This Row],[UNIT
VALUE]] / EURtoGBP</f>
        <v>2.3770524368164456</v>
      </c>
      <c r="O104" s="33">
        <f>quantInv[[#This Row],[UNIT
VALUE]]/USDtoGBP</f>
        <v>2.8706631957153217</v>
      </c>
      <c r="P104" s="33">
        <f>quantInv[[#This Row],[UNIT
VALUE]] / CADtoGBP</f>
        <v>3.6746139119784238</v>
      </c>
      <c r="Q104" s="33">
        <f>quantInv[[#This Row],[UNIT
VALUE]]/AUDtoGBP</f>
        <v>3.7612256627631293</v>
      </c>
      <c r="R104">
        <f>IFERROR(VLOOKUP(quantInv[[#This Row],[Assigned Item SKU]],skuQuantity[#All],2,FALSE),0)</f>
        <v>0</v>
      </c>
      <c r="S104" t="str">
        <f>PROPER(quantInv[[#This Row],[Metal]] &amp; " " &amp; quantInv[[#This Row],[Item Type]])</f>
        <v>925 Silver Bracelet</v>
      </c>
      <c r="T104" s="33">
        <f>quantInv[[#This Row],[Quantity]]*quantInv[[#This Row],[WEIGHT]]</f>
        <v>0</v>
      </c>
      <c r="U104" s="33">
        <f>quantInv[[#This Row],[UNIT
VALUE]]*quantInv[[#This Row],[Quantity]]</f>
        <v>0</v>
      </c>
      <c r="V104" s="33">
        <f>quantInv[[#This Row],[Total Cost GBP]]/EURtoGBP</f>
        <v>0</v>
      </c>
      <c r="W104" s="33">
        <f>quantInv[[#This Row],[Total Cost GBP]]/USDtoGBP</f>
        <v>0</v>
      </c>
      <c r="X104" s="33">
        <f>quantInv[[#This Row],[Total Cost GBP]]/CADtoGBP</f>
        <v>0</v>
      </c>
      <c r="Y104" s="33">
        <f>quantInv[[#This Row],[Quantity]]*quantInv[[#This Row],[UNIT
VALUE AUD]]</f>
        <v>0</v>
      </c>
      <c r="Z104" s="33"/>
    </row>
    <row r="105" spans="1:26" x14ac:dyDescent="0.25">
      <c r="A105" t="s">
        <v>360</v>
      </c>
      <c r="B105" t="s">
        <v>361</v>
      </c>
      <c r="C105" t="s">
        <v>114</v>
      </c>
      <c r="D105" t="s">
        <v>242</v>
      </c>
      <c r="E105">
        <v>1.43225806451613</v>
      </c>
      <c r="F105" s="33">
        <v>2.1779000000000002</v>
      </c>
      <c r="G105" s="33" t="s">
        <v>117</v>
      </c>
      <c r="H105" t="s">
        <v>1414</v>
      </c>
      <c r="I105" t="str">
        <f>IF(quantInv[[#This Row],[Metal]] = "925 Silver",  "7113.11.00"," 7113.19.00")</f>
        <v>7113.11.00</v>
      </c>
      <c r="J105" t="str">
        <f>IF(quantInv[[#This Row],[Metal]] = "925 Silver", "7113.11.10.00"," 7113.19.10.00")</f>
        <v>7113.11.10.00</v>
      </c>
      <c r="K105" t="str">
        <f>IF(quantInv[[#This Row],[Metal]] = "925 Silver",  "7113.11.00"," 7113.19.00")</f>
        <v>7113.11.00</v>
      </c>
      <c r="L105" t="str">
        <f>IFERROR(VLOOKUP(quantInv[[#This Row],[Description for New Invoice]],Map!$G$12:$H$32,2,FALSE), IF(quantInv[[#This Row],[Metal]] = "925 Silver", "7113.11.10.00", "7113.19.29.00"))</f>
        <v>7113.11.10.00</v>
      </c>
      <c r="M105" t="str">
        <f>quantInv[[#This Row],[ASIN]] &amp; " " &amp; quantInv[[#This Row],[Short Description]]</f>
        <v>B073V39W6Q Heart Chain</v>
      </c>
      <c r="N105" s="33">
        <f>quantInv[[#This Row],[UNIT
VALUE]] / EURtoGBP</f>
        <v>2.4721753985686155</v>
      </c>
      <c r="O105" s="33">
        <f>quantInv[[#This Row],[UNIT
VALUE]]/USDtoGBP</f>
        <v>2.985539073563058</v>
      </c>
      <c r="P105" s="33">
        <f>quantInv[[#This Row],[UNIT
VALUE]] / CADtoGBP</f>
        <v>3.8216616393189482</v>
      </c>
      <c r="Q105" s="33">
        <f>quantInv[[#This Row],[UNIT
VALUE]]/AUDtoGBP</f>
        <v>3.9117393490911705</v>
      </c>
      <c r="R105">
        <f>IFERROR(VLOOKUP(quantInv[[#This Row],[Assigned Item SKU]],skuQuantity[#All],2,FALSE),0)</f>
        <v>0</v>
      </c>
      <c r="S105" t="str">
        <f>PROPER(quantInv[[#This Row],[Metal]] &amp; " " &amp; quantInv[[#This Row],[Item Type]])</f>
        <v>925 Silver Bracelet</v>
      </c>
      <c r="T105" s="33">
        <f>quantInv[[#This Row],[Quantity]]*quantInv[[#This Row],[WEIGHT]]</f>
        <v>0</v>
      </c>
      <c r="U105" s="33">
        <f>quantInv[[#This Row],[UNIT
VALUE]]*quantInv[[#This Row],[Quantity]]</f>
        <v>0</v>
      </c>
      <c r="V105" s="33">
        <f>quantInv[[#This Row],[Total Cost GBP]]/EURtoGBP</f>
        <v>0</v>
      </c>
      <c r="W105" s="33">
        <f>quantInv[[#This Row],[Total Cost GBP]]/USDtoGBP</f>
        <v>0</v>
      </c>
      <c r="X105" s="33">
        <f>quantInv[[#This Row],[Total Cost GBP]]/CADtoGBP</f>
        <v>0</v>
      </c>
      <c r="Y105" s="33">
        <f>quantInv[[#This Row],[Quantity]]*quantInv[[#This Row],[UNIT
VALUE AUD]]</f>
        <v>0</v>
      </c>
      <c r="Z105" s="33"/>
    </row>
    <row r="106" spans="1:26" x14ac:dyDescent="0.25">
      <c r="A106" t="s">
        <v>362</v>
      </c>
      <c r="B106" t="s">
        <v>363</v>
      </c>
      <c r="C106" t="s">
        <v>114</v>
      </c>
      <c r="D106" t="s">
        <v>242</v>
      </c>
      <c r="E106">
        <v>1.42</v>
      </c>
      <c r="F106" s="33">
        <v>2.1621999999999999</v>
      </c>
      <c r="G106" s="33" t="s">
        <v>117</v>
      </c>
      <c r="H106" t="s">
        <v>1414</v>
      </c>
      <c r="I106" t="str">
        <f>IF(quantInv[[#This Row],[Metal]] = "925 Silver",  "7113.11.00"," 7113.19.00")</f>
        <v>7113.11.00</v>
      </c>
      <c r="J106" t="str">
        <f>IF(quantInv[[#This Row],[Metal]] = "925 Silver", "7113.11.10.00"," 7113.19.10.00")</f>
        <v>7113.11.10.00</v>
      </c>
      <c r="K106" t="str">
        <f>IF(quantInv[[#This Row],[Metal]] = "925 Silver",  "7113.11.00"," 7113.19.00")</f>
        <v>7113.11.00</v>
      </c>
      <c r="L106" t="str">
        <f>IFERROR(VLOOKUP(quantInv[[#This Row],[Description for New Invoice]],Map!$G$12:$H$32,2,FALSE), IF(quantInv[[#This Row],[Metal]] = "925 Silver", "7113.11.10.00", "7113.19.29.00"))</f>
        <v>7113.11.10.00</v>
      </c>
      <c r="M106" t="str">
        <f>quantInv[[#This Row],[ASIN]] &amp; " " &amp; quantInv[[#This Row],[Short Description]]</f>
        <v>B073V3W1QD Heart Chain</v>
      </c>
      <c r="N106" s="33">
        <f>quantInv[[#This Row],[UNIT
VALUE]] / EURtoGBP</f>
        <v>2.4543540322260249</v>
      </c>
      <c r="O106" s="33">
        <f>quantInv[[#This Row],[UNIT
VALUE]]/USDtoGBP</f>
        <v>2.9640169818899138</v>
      </c>
      <c r="P106" s="33">
        <f>quantInv[[#This Row],[UNIT
VALUE]] / CADtoGBP</f>
        <v>3.79411212476947</v>
      </c>
      <c r="Q106" s="33">
        <f>quantInv[[#This Row],[UNIT
VALUE]]/AUDtoGBP</f>
        <v>3.8835404842301884</v>
      </c>
      <c r="R106">
        <f>IFERROR(VLOOKUP(quantInv[[#This Row],[Assigned Item SKU]],skuQuantity[#All],2,FALSE),0)</f>
        <v>0</v>
      </c>
      <c r="S106" t="str">
        <f>PROPER(quantInv[[#This Row],[Metal]] &amp; " " &amp; quantInv[[#This Row],[Item Type]])</f>
        <v>925 Silver Bracelet</v>
      </c>
      <c r="T106" s="33">
        <f>quantInv[[#This Row],[Quantity]]*quantInv[[#This Row],[WEIGHT]]</f>
        <v>0</v>
      </c>
      <c r="U106" s="33">
        <f>quantInv[[#This Row],[UNIT
VALUE]]*quantInv[[#This Row],[Quantity]]</f>
        <v>0</v>
      </c>
      <c r="V106" s="33">
        <f>quantInv[[#This Row],[Total Cost GBP]]/EURtoGBP</f>
        <v>0</v>
      </c>
      <c r="W106" s="33">
        <f>quantInv[[#This Row],[Total Cost GBP]]/USDtoGBP</f>
        <v>0</v>
      </c>
      <c r="X106" s="33">
        <f>quantInv[[#This Row],[Total Cost GBP]]/CADtoGBP</f>
        <v>0</v>
      </c>
      <c r="Y106" s="33">
        <f>quantInv[[#This Row],[Quantity]]*quantInv[[#This Row],[UNIT
VALUE AUD]]</f>
        <v>0</v>
      </c>
      <c r="Z106" s="33"/>
    </row>
    <row r="107" spans="1:26" x14ac:dyDescent="0.25">
      <c r="A107" t="s">
        <v>364</v>
      </c>
      <c r="B107" t="s">
        <v>365</v>
      </c>
      <c r="C107" t="s">
        <v>114</v>
      </c>
      <c r="D107" t="s">
        <v>242</v>
      </c>
      <c r="E107">
        <v>2.5588235294117601</v>
      </c>
      <c r="F107" s="33">
        <v>3.4817</v>
      </c>
      <c r="G107" s="33" t="s">
        <v>117</v>
      </c>
      <c r="H107" t="s">
        <v>103</v>
      </c>
      <c r="I107" t="str">
        <f>IF(quantInv[[#This Row],[Metal]] = "925 Silver",  "7113.11.00"," 7113.19.00")</f>
        <v>7113.11.00</v>
      </c>
      <c r="J107" t="str">
        <f>IF(quantInv[[#This Row],[Metal]] = "925 Silver", "7113.11.10.00"," 7113.19.10.00")</f>
        <v>7113.11.10.00</v>
      </c>
      <c r="K107" t="str">
        <f>IF(quantInv[[#This Row],[Metal]] = "925 Silver",  "7113.11.00"," 7113.19.00")</f>
        <v>7113.11.00</v>
      </c>
      <c r="L107" t="str">
        <f>IFERROR(VLOOKUP(quantInv[[#This Row],[Description for New Invoice]],Map!$G$12:$H$32,2,FALSE), IF(quantInv[[#This Row],[Metal]] = "925 Silver", "7113.11.10.00", "7113.19.29.00"))</f>
        <v>7113.11.10.00</v>
      </c>
      <c r="M107" t="str">
        <f>quantInv[[#This Row],[ASIN]] &amp; " " &amp; quantInv[[#This Row],[Short Description]]</f>
        <v>B072NCX43X Heart Chain</v>
      </c>
      <c r="N107" s="33">
        <f>quantInv[[#This Row],[UNIT
VALUE]] / EURtoGBP</f>
        <v>3.952143388216331</v>
      </c>
      <c r="O107" s="33">
        <f>quantInv[[#This Row],[UNIT
VALUE]]/USDtoGBP</f>
        <v>4.7728322661391696</v>
      </c>
      <c r="P107" s="33">
        <f>quantInv[[#This Row],[UNIT
VALUE]] / CADtoGBP</f>
        <v>6.1094996692303507</v>
      </c>
      <c r="Q107" s="33">
        <f>quantInv[[#This Row],[UNIT
VALUE]]/AUDtoGBP</f>
        <v>6.2535024067820961</v>
      </c>
      <c r="R107">
        <f>IFERROR(VLOOKUP(quantInv[[#This Row],[Assigned Item SKU]],skuQuantity[#All],2,FALSE),0)</f>
        <v>0</v>
      </c>
      <c r="S107" t="str">
        <f>PROPER(quantInv[[#This Row],[Metal]] &amp; " " &amp; quantInv[[#This Row],[Item Type]])</f>
        <v>925 Silver Chain</v>
      </c>
      <c r="T107" s="33">
        <f>quantInv[[#This Row],[Quantity]]*quantInv[[#This Row],[WEIGHT]]</f>
        <v>0</v>
      </c>
      <c r="U107" s="33">
        <f>quantInv[[#This Row],[UNIT
VALUE]]*quantInv[[#This Row],[Quantity]]</f>
        <v>0</v>
      </c>
      <c r="V107" s="33">
        <f>quantInv[[#This Row],[Total Cost GBP]]/EURtoGBP</f>
        <v>0</v>
      </c>
      <c r="W107" s="33">
        <f>quantInv[[#This Row],[Total Cost GBP]]/USDtoGBP</f>
        <v>0</v>
      </c>
      <c r="X107" s="33">
        <f>quantInv[[#This Row],[Total Cost GBP]]/CADtoGBP</f>
        <v>0</v>
      </c>
      <c r="Y107" s="33">
        <f>quantInv[[#This Row],[Quantity]]*quantInv[[#This Row],[UNIT
VALUE AUD]]</f>
        <v>0</v>
      </c>
      <c r="Z107" s="33"/>
    </row>
    <row r="108" spans="1:26" x14ac:dyDescent="0.25">
      <c r="A108" t="s">
        <v>17</v>
      </c>
      <c r="B108" t="s">
        <v>628</v>
      </c>
      <c r="C108" t="s">
        <v>114</v>
      </c>
      <c r="D108" t="s">
        <v>626</v>
      </c>
      <c r="E108">
        <v>5.0936170212766001</v>
      </c>
      <c r="F108" s="33">
        <v>5.1257999999999999</v>
      </c>
      <c r="G108" s="33" t="s">
        <v>117</v>
      </c>
      <c r="H108" t="s">
        <v>103</v>
      </c>
      <c r="I108" t="str">
        <f>IF(quantInv[[#This Row],[Metal]] = "925 Silver",  "7113.11.00"," 7113.19.00")</f>
        <v>7113.11.00</v>
      </c>
      <c r="J108" t="str">
        <f>IF(quantInv[[#This Row],[Metal]] = "925 Silver", "7113.11.10.00"," 7113.19.10.00")</f>
        <v>7113.11.10.00</v>
      </c>
      <c r="K108" t="str">
        <f>IF(quantInv[[#This Row],[Metal]] = "925 Silver",  "7113.11.00"," 7113.19.00")</f>
        <v>7113.11.00</v>
      </c>
      <c r="L108" t="str">
        <f>IFERROR(VLOOKUP(quantInv[[#This Row],[Description for New Invoice]],Map!$G$12:$H$32,2,FALSE), IF(quantInv[[#This Row],[Metal]] = "925 Silver", "7113.11.10.00", "7113.19.29.00"))</f>
        <v>7113.11.10.00</v>
      </c>
      <c r="M108" t="str">
        <f>quantInv[[#This Row],[ASIN]] &amp; " " &amp; quantInv[[#This Row],[Short Description]]</f>
        <v>B01IBQX9EI Popcorn Chain</v>
      </c>
      <c r="N108" s="33">
        <f>quantInv[[#This Row],[UNIT
VALUE]] / EURtoGBP</f>
        <v>5.8183923311368781</v>
      </c>
      <c r="O108" s="33">
        <f>quantInv[[#This Row],[UNIT
VALUE]]/USDtoGBP</f>
        <v>7.0266202228153363</v>
      </c>
      <c r="P108" s="33">
        <f>quantInv[[#This Row],[UNIT
VALUE]] / CADtoGBP</f>
        <v>8.9944778138670571</v>
      </c>
      <c r="Q108" s="33">
        <f>quantInv[[#This Row],[UNIT
VALUE]]/AUDtoGBP</f>
        <v>9.2064803505998984</v>
      </c>
      <c r="R108">
        <f>IFERROR(VLOOKUP(quantInv[[#This Row],[Assigned Item SKU]],skuQuantity[#All],2,FALSE),0)</f>
        <v>20</v>
      </c>
      <c r="S108" t="str">
        <f>PROPER(quantInv[[#This Row],[Metal]] &amp; " " &amp; quantInv[[#This Row],[Item Type]])</f>
        <v>925 Silver Chain</v>
      </c>
      <c r="T108" s="33">
        <f>quantInv[[#This Row],[Quantity]]*quantInv[[#This Row],[WEIGHT]]</f>
        <v>101.872340425532</v>
      </c>
      <c r="U108" s="33">
        <f>quantInv[[#This Row],[UNIT
VALUE]]*quantInv[[#This Row],[Quantity]]</f>
        <v>102.51599999999999</v>
      </c>
      <c r="V108" s="33">
        <f>quantInv[[#This Row],[Total Cost GBP]]/EURtoGBP</f>
        <v>116.36784662273756</v>
      </c>
      <c r="W108" s="33">
        <f>quantInv[[#This Row],[Total Cost GBP]]/USDtoGBP</f>
        <v>140.53240445630672</v>
      </c>
      <c r="X108" s="33">
        <f>quantInv[[#This Row],[Total Cost GBP]]/CADtoGBP</f>
        <v>179.88955627734111</v>
      </c>
      <c r="Y108" s="33">
        <f>quantInv[[#This Row],[Quantity]]*quantInv[[#This Row],[UNIT
VALUE AUD]]</f>
        <v>184.12960701199796</v>
      </c>
      <c r="Z108" s="33"/>
    </row>
    <row r="109" spans="1:26" x14ac:dyDescent="0.25">
      <c r="A109" t="s">
        <v>1436</v>
      </c>
      <c r="B109" t="s">
        <v>1437</v>
      </c>
      <c r="C109" t="s">
        <v>114</v>
      </c>
      <c r="D109" t="s">
        <v>1438</v>
      </c>
      <c r="E109">
        <v>1.1100000000000001</v>
      </c>
      <c r="F109" s="33">
        <v>2.0476999999999999</v>
      </c>
      <c r="G109" s="33" t="s">
        <v>117</v>
      </c>
      <c r="H109" t="s">
        <v>3301</v>
      </c>
      <c r="I109" t="str">
        <f>IF(quantInv[[#This Row],[Metal]] = "925 Silver",  "7113.11.00"," 7113.19.00")</f>
        <v>7113.11.00</v>
      </c>
      <c r="J109" t="str">
        <f>IF(quantInv[[#This Row],[Metal]] = "925 Silver", "7113.11.10.00"," 7113.19.10.00")</f>
        <v>7113.11.10.00</v>
      </c>
      <c r="K109" t="str">
        <f>IF(quantInv[[#This Row],[Metal]] = "925 Silver",  "7113.11.00"," 7113.19.00")</f>
        <v>7113.11.00</v>
      </c>
      <c r="L109" t="str">
        <f>IFERROR(VLOOKUP(quantInv[[#This Row],[Description for New Invoice]],Map!$G$12:$H$32,2,FALSE), IF(quantInv[[#This Row],[Metal]] = "925 Silver", "7113.11.10.00", "7113.19.29.00"))</f>
        <v>7113.11.10.00</v>
      </c>
      <c r="M109" t="str">
        <f>quantInv[[#This Row],[ASIN]] &amp; " " &amp; quantInv[[#This Row],[Short Description]]</f>
        <v>B07RZRK41J Chain Extender - 3 sizes together - silver</v>
      </c>
      <c r="N109" s="33">
        <f>quantInv[[#This Row],[UNIT
VALUE]] / EURtoGBP</f>
        <v>2.3243829210014018</v>
      </c>
      <c r="O109" s="33">
        <f>quantInv[[#This Row],[UNIT
VALUE]]/USDtoGBP</f>
        <v>2.807056504401062</v>
      </c>
      <c r="P109" s="33">
        <f>quantInv[[#This Row],[UNIT
VALUE]] / CADtoGBP</f>
        <v>3.5931936906347439</v>
      </c>
      <c r="Q109" s="33">
        <f>quantInv[[#This Row],[UNIT
VALUE]]/AUDtoGBP</f>
        <v>3.6778863424096553</v>
      </c>
      <c r="R109">
        <f>IFERROR(VLOOKUP(quantInv[[#This Row],[Assigned Item SKU]],skuQuantity[#All],2,FALSE),0)</f>
        <v>500</v>
      </c>
      <c r="S109" t="str">
        <f>PROPER(quantInv[[#This Row],[Metal]] &amp; " " &amp; quantInv[[#This Row],[Item Type]])</f>
        <v>925 Silver Extender</v>
      </c>
      <c r="T109" s="33">
        <f>quantInv[[#This Row],[Quantity]]*quantInv[[#This Row],[WEIGHT]]</f>
        <v>555</v>
      </c>
      <c r="U109" s="33">
        <f>quantInv[[#This Row],[UNIT
VALUE]]*quantInv[[#This Row],[Quantity]]</f>
        <v>1023.8499999999999</v>
      </c>
      <c r="V109" s="33">
        <f>quantInv[[#This Row],[Total Cost GBP]]/EURtoGBP</f>
        <v>1162.1914605007009</v>
      </c>
      <c r="W109" s="33">
        <f>quantInv[[#This Row],[Total Cost GBP]]/USDtoGBP</f>
        <v>1403.5282522005309</v>
      </c>
      <c r="X109" s="33">
        <f>quantInv[[#This Row],[Total Cost GBP]]/CADtoGBP</f>
        <v>1796.5968453173718</v>
      </c>
      <c r="Y109" s="33">
        <f>quantInv[[#This Row],[Quantity]]*quantInv[[#This Row],[UNIT
VALUE AUD]]</f>
        <v>1838.9431712048276</v>
      </c>
      <c r="Z109" s="33"/>
    </row>
    <row r="110" spans="1:26" x14ac:dyDescent="0.25">
      <c r="A110" t="s">
        <v>81</v>
      </c>
      <c r="B110" t="s">
        <v>278</v>
      </c>
      <c r="C110" t="s">
        <v>113</v>
      </c>
      <c r="D110" t="s">
        <v>160</v>
      </c>
      <c r="E110">
        <v>1.96</v>
      </c>
      <c r="F110" s="33">
        <v>2.6448</v>
      </c>
      <c r="G110" s="33" t="s">
        <v>117</v>
      </c>
      <c r="H110" t="s">
        <v>103</v>
      </c>
      <c r="I110" t="str">
        <f>IF(quantInv[[#This Row],[Metal]] = "925 Silver",  "7113.11.00"," 7113.19.00")</f>
        <v>7113.11.00</v>
      </c>
      <c r="J110" t="str">
        <f>IF(quantInv[[#This Row],[Metal]] = "925 Silver", "7113.11.10.00"," 7113.19.10.00")</f>
        <v>7113.11.10.00</v>
      </c>
      <c r="K110" t="str">
        <f>IF(quantInv[[#This Row],[Metal]] = "925 Silver",  "7113.11.00"," 7113.19.00")</f>
        <v>7113.11.00</v>
      </c>
      <c r="L110" t="str">
        <f>IFERROR(VLOOKUP(quantInv[[#This Row],[Description for New Invoice]],Map!$G$12:$H$32,2,FALSE), IF(quantInv[[#This Row],[Metal]] = "925 Silver", "7113.11.10.00", "7113.19.29.00"))</f>
        <v>7113.11.10.00</v>
      </c>
      <c r="M110" t="str">
        <f>quantInv[[#This Row],[ASIN]] &amp; " " &amp; quantInv[[#This Row],[Short Description]]</f>
        <v>B073G73T3D Curb Chain</v>
      </c>
      <c r="N110" s="33">
        <f>quantInv[[#This Row],[UNIT
VALUE]] / EURtoGBP</f>
        <v>3.0021624014574928</v>
      </c>
      <c r="O110" s="33">
        <f>quantInv[[#This Row],[UNIT
VALUE]]/USDtoGBP</f>
        <v>3.6255814049127943</v>
      </c>
      <c r="P110" s="33">
        <f>quantInv[[#This Row],[UNIT
VALUE]] / CADtoGBP</f>
        <v>4.640952616589721</v>
      </c>
      <c r="Q110" s="33">
        <f>quantInv[[#This Row],[UNIT
VALUE]]/AUDtoGBP</f>
        <v>4.7503412601479988</v>
      </c>
      <c r="R110">
        <f>IFERROR(VLOOKUP(quantInv[[#This Row],[Assigned Item SKU]],skuQuantity[#All],2,FALSE),0)</f>
        <v>10</v>
      </c>
      <c r="S110" t="str">
        <f>PROPER(quantInv[[#This Row],[Metal]] &amp; " " &amp; quantInv[[#This Row],[Item Type]])</f>
        <v>925 Silver Chain</v>
      </c>
      <c r="T110" s="33">
        <f>quantInv[[#This Row],[Quantity]]*quantInv[[#This Row],[WEIGHT]]</f>
        <v>19.600000000000001</v>
      </c>
      <c r="U110" s="33">
        <f>quantInv[[#This Row],[UNIT
VALUE]]*quantInv[[#This Row],[Quantity]]</f>
        <v>26.448</v>
      </c>
      <c r="V110" s="33">
        <f>quantInv[[#This Row],[Total Cost GBP]]/EURtoGBP</f>
        <v>30.021624014574925</v>
      </c>
      <c r="W110" s="33">
        <f>quantInv[[#This Row],[Total Cost GBP]]/USDtoGBP</f>
        <v>36.255814049127942</v>
      </c>
      <c r="X110" s="33">
        <f>quantInv[[#This Row],[Total Cost GBP]]/CADtoGBP</f>
        <v>46.409526165897212</v>
      </c>
      <c r="Y110" s="33">
        <f>quantInv[[#This Row],[Quantity]]*quantInv[[#This Row],[UNIT
VALUE AUD]]</f>
        <v>47.503412601479987</v>
      </c>
      <c r="Z110" s="33"/>
    </row>
    <row r="111" spans="1:26" x14ac:dyDescent="0.25">
      <c r="A111" t="s">
        <v>372</v>
      </c>
      <c r="B111" t="s">
        <v>373</v>
      </c>
      <c r="C111" t="s">
        <v>114</v>
      </c>
      <c r="D111" t="s">
        <v>257</v>
      </c>
      <c r="E111">
        <v>3.5</v>
      </c>
      <c r="F111" s="33">
        <v>5.7751000000000001</v>
      </c>
      <c r="G111" s="33" t="s">
        <v>117</v>
      </c>
      <c r="H111" t="s">
        <v>1426</v>
      </c>
      <c r="I111" t="str">
        <f>IF(quantInv[[#This Row],[Metal]] = "925 Silver",  "7113.11.00"," 7113.19.00")</f>
        <v>7113.11.00</v>
      </c>
      <c r="J111" t="str">
        <f>IF(quantInv[[#This Row],[Metal]] = "925 Silver", "7113.11.10.00"," 7113.19.10.00")</f>
        <v>7113.11.10.00</v>
      </c>
      <c r="K111" t="str">
        <f>IF(quantInv[[#This Row],[Metal]] = "925 Silver",  "7113.11.00"," 7113.19.00")</f>
        <v>7113.11.00</v>
      </c>
      <c r="L111" t="str">
        <f>IFERROR(VLOOKUP(quantInv[[#This Row],[Description for New Invoice]],Map!$G$12:$H$32,2,FALSE), IF(quantInv[[#This Row],[Metal]] = "925 Silver", "7113.11.10.00", "7113.19.29.00"))</f>
        <v>7113.11.10.00</v>
      </c>
      <c r="M111" t="str">
        <f>quantInv[[#This Row],[ASIN]] &amp; " " &amp; quantInv[[#This Row],[Short Description]]</f>
        <v>B077MN3FMF Cube and Oval Link Chain</v>
      </c>
      <c r="N111" s="33">
        <f>quantInv[[#This Row],[UNIT
VALUE]] / EURtoGBP</f>
        <v>6.5554250168848931</v>
      </c>
      <c r="O111" s="33">
        <f>quantInv[[#This Row],[UNIT
VALUE]]/USDtoGBP</f>
        <v>7.9167026510556111</v>
      </c>
      <c r="P111" s="33">
        <f>quantInv[[#This Row],[UNIT
VALUE]] / CADtoGBP</f>
        <v>10.133834488833672</v>
      </c>
      <c r="Q111" s="33">
        <f>quantInv[[#This Row],[UNIT
VALUE]]/AUDtoGBP</f>
        <v>10.372692003735899</v>
      </c>
      <c r="R111">
        <f>IFERROR(VLOOKUP(quantInv[[#This Row],[Assigned Item SKU]],skuQuantity[#All],2,FALSE),0)</f>
        <v>0</v>
      </c>
      <c r="S111" t="str">
        <f>PROPER(quantInv[[#This Row],[Metal]] &amp; " " &amp; quantInv[[#This Row],[Item Type]])</f>
        <v>925 Silver Anklet</v>
      </c>
      <c r="T111" s="33">
        <f>quantInv[[#This Row],[Quantity]]*quantInv[[#This Row],[WEIGHT]]</f>
        <v>0</v>
      </c>
      <c r="U111" s="33">
        <f>quantInv[[#This Row],[UNIT
VALUE]]*quantInv[[#This Row],[Quantity]]</f>
        <v>0</v>
      </c>
      <c r="V111" s="33">
        <f>quantInv[[#This Row],[Total Cost GBP]]/EURtoGBP</f>
        <v>0</v>
      </c>
      <c r="W111" s="33">
        <f>quantInv[[#This Row],[Total Cost GBP]]/USDtoGBP</f>
        <v>0</v>
      </c>
      <c r="X111" s="33">
        <f>quantInv[[#This Row],[Total Cost GBP]]/CADtoGBP</f>
        <v>0</v>
      </c>
      <c r="Y111" s="33">
        <f>quantInv[[#This Row],[Quantity]]*quantInv[[#This Row],[UNIT
VALUE AUD]]</f>
        <v>0</v>
      </c>
      <c r="Z111" s="33"/>
    </row>
    <row r="112" spans="1:26" x14ac:dyDescent="0.25">
      <c r="A112" t="s">
        <v>374</v>
      </c>
      <c r="B112" t="s">
        <v>375</v>
      </c>
      <c r="C112" t="s">
        <v>114</v>
      </c>
      <c r="D112" t="s">
        <v>260</v>
      </c>
      <c r="E112">
        <v>1.8420000000000001</v>
      </c>
      <c r="F112" s="33">
        <v>2.6688999999999998</v>
      </c>
      <c r="G112" s="33" t="s">
        <v>117</v>
      </c>
      <c r="H112" t="s">
        <v>1414</v>
      </c>
      <c r="I112" t="str">
        <f>IF(quantInv[[#This Row],[Metal]] = "925 Silver",  "7113.11.00"," 7113.19.00")</f>
        <v>7113.11.00</v>
      </c>
      <c r="J112" t="str">
        <f>IF(quantInv[[#This Row],[Metal]] = "925 Silver", "7113.11.10.00"," 7113.19.10.00")</f>
        <v>7113.11.10.00</v>
      </c>
      <c r="K112" t="str">
        <f>IF(quantInv[[#This Row],[Metal]] = "925 Silver",  "7113.11.00"," 7113.19.00")</f>
        <v>7113.11.00</v>
      </c>
      <c r="L112" t="str">
        <f>IFERROR(VLOOKUP(quantInv[[#This Row],[Description for New Invoice]],Map!$G$12:$H$32,2,FALSE), IF(quantInv[[#This Row],[Metal]] = "925 Silver", "7113.11.10.00", "7113.19.29.00"))</f>
        <v>7113.11.10.00</v>
      </c>
      <c r="M112" t="str">
        <f>quantInv[[#This Row],[ASIN]] &amp; " " &amp; quantInv[[#This Row],[Short Description]]</f>
        <v>B073V3CL2H Bismark Chain</v>
      </c>
      <c r="N112" s="33">
        <f>quantInv[[#This Row],[UNIT
VALUE]] / EURtoGBP</f>
        <v>3.029518766352806</v>
      </c>
      <c r="O112" s="33">
        <f>quantInv[[#This Row],[UNIT
VALUE]]/USDtoGBP</f>
        <v>3.6586185010480023</v>
      </c>
      <c r="P112" s="33">
        <f>quantInv[[#This Row],[UNIT
VALUE]] / CADtoGBP</f>
        <v>4.6832419987962437</v>
      </c>
      <c r="Q112" s="33">
        <f>quantInv[[#This Row],[UNIT
VALUE]]/AUDtoGBP</f>
        <v>4.793627415762626</v>
      </c>
      <c r="R112">
        <f>IFERROR(VLOOKUP(quantInv[[#This Row],[Assigned Item SKU]],skuQuantity[#All],2,FALSE),0)</f>
        <v>0</v>
      </c>
      <c r="S112" t="str">
        <f>PROPER(quantInv[[#This Row],[Metal]] &amp; " " &amp; quantInv[[#This Row],[Item Type]])</f>
        <v>925 Silver Bracelet</v>
      </c>
      <c r="T112" s="33">
        <f>quantInv[[#This Row],[Quantity]]*quantInv[[#This Row],[WEIGHT]]</f>
        <v>0</v>
      </c>
      <c r="U112" s="33">
        <f>quantInv[[#This Row],[UNIT
VALUE]]*quantInv[[#This Row],[Quantity]]</f>
        <v>0</v>
      </c>
      <c r="V112" s="33">
        <f>quantInv[[#This Row],[Total Cost GBP]]/EURtoGBP</f>
        <v>0</v>
      </c>
      <c r="W112" s="33">
        <f>quantInv[[#This Row],[Total Cost GBP]]/USDtoGBP</f>
        <v>0</v>
      </c>
      <c r="X112" s="33">
        <f>quantInv[[#This Row],[Total Cost GBP]]/CADtoGBP</f>
        <v>0</v>
      </c>
      <c r="Y112" s="33">
        <f>quantInv[[#This Row],[Quantity]]*quantInv[[#This Row],[UNIT
VALUE AUD]]</f>
        <v>0</v>
      </c>
      <c r="Z112" s="33"/>
    </row>
    <row r="113" spans="1:26" x14ac:dyDescent="0.25">
      <c r="A113" t="s">
        <v>376</v>
      </c>
      <c r="B113" t="s">
        <v>377</v>
      </c>
      <c r="C113" t="s">
        <v>114</v>
      </c>
      <c r="D113" t="s">
        <v>260</v>
      </c>
      <c r="E113">
        <v>1.9319999999999999</v>
      </c>
      <c r="F113" s="33">
        <v>2.7822</v>
      </c>
      <c r="G113" s="33" t="s">
        <v>117</v>
      </c>
      <c r="H113" t="s">
        <v>1414</v>
      </c>
      <c r="I113" t="str">
        <f>IF(quantInv[[#This Row],[Metal]] = "925 Silver",  "7113.11.00"," 7113.19.00")</f>
        <v>7113.11.00</v>
      </c>
      <c r="J113" t="str">
        <f>IF(quantInv[[#This Row],[Metal]] = "925 Silver", "7113.11.10.00"," 7113.19.10.00")</f>
        <v>7113.11.10.00</v>
      </c>
      <c r="K113" t="str">
        <f>IF(quantInv[[#This Row],[Metal]] = "925 Silver",  "7113.11.00"," 7113.19.00")</f>
        <v>7113.11.00</v>
      </c>
      <c r="L113" t="str">
        <f>IFERROR(VLOOKUP(quantInv[[#This Row],[Description for New Invoice]],Map!$G$12:$H$32,2,FALSE), IF(quantInv[[#This Row],[Metal]] = "925 Silver", "7113.11.10.00", "7113.19.29.00"))</f>
        <v>7113.11.10.00</v>
      </c>
      <c r="M113" t="str">
        <f>quantInv[[#This Row],[ASIN]] &amp; " " &amp; quantInv[[#This Row],[Short Description]]</f>
        <v>B073V3Q7XP Bismark Chain</v>
      </c>
      <c r="N113" s="33">
        <f>quantInv[[#This Row],[UNIT
VALUE]] / EURtoGBP</f>
        <v>3.1581277349270405</v>
      </c>
      <c r="O113" s="33">
        <f>quantInv[[#This Row],[UNIT
VALUE]]/USDtoGBP</f>
        <v>3.8139339778994166</v>
      </c>
      <c r="P113" s="33">
        <f>quantInv[[#This Row],[UNIT
VALUE]] / CADtoGBP</f>
        <v>4.8820547375513916</v>
      </c>
      <c r="Q113" s="33">
        <f>quantInv[[#This Row],[UNIT
VALUE]]/AUDtoGBP</f>
        <v>4.9971262303326389</v>
      </c>
      <c r="R113">
        <f>IFERROR(VLOOKUP(quantInv[[#This Row],[Assigned Item SKU]],skuQuantity[#All],2,FALSE),0)</f>
        <v>0</v>
      </c>
      <c r="S113" t="str">
        <f>PROPER(quantInv[[#This Row],[Metal]] &amp; " " &amp; quantInv[[#This Row],[Item Type]])</f>
        <v>925 Silver Bracelet</v>
      </c>
      <c r="T113" s="33">
        <f>quantInv[[#This Row],[Quantity]]*quantInv[[#This Row],[WEIGHT]]</f>
        <v>0</v>
      </c>
      <c r="U113" s="33">
        <f>quantInv[[#This Row],[UNIT
VALUE]]*quantInv[[#This Row],[Quantity]]</f>
        <v>0</v>
      </c>
      <c r="V113" s="33">
        <f>quantInv[[#This Row],[Total Cost GBP]]/EURtoGBP</f>
        <v>0</v>
      </c>
      <c r="W113" s="33">
        <f>quantInv[[#This Row],[Total Cost GBP]]/USDtoGBP</f>
        <v>0</v>
      </c>
      <c r="X113" s="33">
        <f>quantInv[[#This Row],[Total Cost GBP]]/CADtoGBP</f>
        <v>0</v>
      </c>
      <c r="Y113" s="33">
        <f>quantInv[[#This Row],[Quantity]]*quantInv[[#This Row],[UNIT
VALUE AUD]]</f>
        <v>0</v>
      </c>
      <c r="Z113" s="33"/>
    </row>
    <row r="114" spans="1:26" x14ac:dyDescent="0.25">
      <c r="A114" t="s">
        <v>378</v>
      </c>
      <c r="B114" t="s">
        <v>379</v>
      </c>
      <c r="C114" t="s">
        <v>114</v>
      </c>
      <c r="D114" t="s">
        <v>260</v>
      </c>
      <c r="E114">
        <v>2.024</v>
      </c>
      <c r="F114" s="33">
        <v>2.8980999999999999</v>
      </c>
      <c r="G114" s="33" t="s">
        <v>117</v>
      </c>
      <c r="H114" t="s">
        <v>1414</v>
      </c>
      <c r="I114" t="str">
        <f>IF(quantInv[[#This Row],[Metal]] = "925 Silver",  "7113.11.00"," 7113.19.00")</f>
        <v>7113.11.00</v>
      </c>
      <c r="J114" t="str">
        <f>IF(quantInv[[#This Row],[Metal]] = "925 Silver", "7113.11.10.00"," 7113.19.10.00")</f>
        <v>7113.11.10.00</v>
      </c>
      <c r="K114" t="str">
        <f>IF(quantInv[[#This Row],[Metal]] = "925 Silver",  "7113.11.00"," 7113.19.00")</f>
        <v>7113.11.00</v>
      </c>
      <c r="L114" t="str">
        <f>IFERROR(VLOOKUP(quantInv[[#This Row],[Description for New Invoice]],Map!$G$12:$H$32,2,FALSE), IF(quantInv[[#This Row],[Metal]] = "925 Silver", "7113.11.10.00", "7113.19.29.00"))</f>
        <v>7113.11.10.00</v>
      </c>
      <c r="M114" t="str">
        <f>quantInv[[#This Row],[ASIN]] &amp; " " &amp; quantInv[[#This Row],[Short Description]]</f>
        <v>B073V45DL8 Bismark Chain</v>
      </c>
      <c r="N114" s="33">
        <f>quantInv[[#This Row],[UNIT
VALUE]] / EURtoGBP</f>
        <v>3.2896880125771171</v>
      </c>
      <c r="O114" s="33">
        <f>quantInv[[#This Row],[UNIT
VALUE]]/USDtoGBP</f>
        <v>3.9728136227986122</v>
      </c>
      <c r="P114" s="33">
        <f>quantInv[[#This Row],[UNIT
VALUE]] / CADtoGBP</f>
        <v>5.0854298162956253</v>
      </c>
      <c r="Q114" s="33">
        <f>quantInv[[#This Row],[UNIT
VALUE]]/AUDtoGBP</f>
        <v>5.2052949206121122</v>
      </c>
      <c r="R114">
        <f>IFERROR(VLOOKUP(quantInv[[#This Row],[Assigned Item SKU]],skuQuantity[#All],2,FALSE),0)</f>
        <v>0</v>
      </c>
      <c r="S114" t="str">
        <f>PROPER(quantInv[[#This Row],[Metal]] &amp; " " &amp; quantInv[[#This Row],[Item Type]])</f>
        <v>925 Silver Bracelet</v>
      </c>
      <c r="T114" s="33">
        <f>quantInv[[#This Row],[Quantity]]*quantInv[[#This Row],[WEIGHT]]</f>
        <v>0</v>
      </c>
      <c r="U114" s="33">
        <f>quantInv[[#This Row],[UNIT
VALUE]]*quantInv[[#This Row],[Quantity]]</f>
        <v>0</v>
      </c>
      <c r="V114" s="33">
        <f>quantInv[[#This Row],[Total Cost GBP]]/EURtoGBP</f>
        <v>0</v>
      </c>
      <c r="W114" s="33">
        <f>quantInv[[#This Row],[Total Cost GBP]]/USDtoGBP</f>
        <v>0</v>
      </c>
      <c r="X114" s="33">
        <f>quantInv[[#This Row],[Total Cost GBP]]/CADtoGBP</f>
        <v>0</v>
      </c>
      <c r="Y114" s="33">
        <f>quantInv[[#This Row],[Quantity]]*quantInv[[#This Row],[UNIT
VALUE AUD]]</f>
        <v>0</v>
      </c>
      <c r="Z114" s="33"/>
    </row>
    <row r="115" spans="1:26" x14ac:dyDescent="0.25">
      <c r="A115" t="s">
        <v>457</v>
      </c>
      <c r="B115" t="s">
        <v>458</v>
      </c>
      <c r="C115" t="s">
        <v>113</v>
      </c>
      <c r="D115" t="s">
        <v>189</v>
      </c>
      <c r="E115">
        <v>3.45</v>
      </c>
      <c r="F115" s="33">
        <v>3.3573</v>
      </c>
      <c r="G115" s="33" t="s">
        <v>117</v>
      </c>
      <c r="H115" t="s">
        <v>1414</v>
      </c>
      <c r="I115" t="str">
        <f>IF(quantInv[[#This Row],[Metal]] = "925 Silver",  "7113.11.00"," 7113.19.00")</f>
        <v>7113.11.00</v>
      </c>
      <c r="J115" t="str">
        <f>IF(quantInv[[#This Row],[Metal]] = "925 Silver", "7113.11.10.00"," 7113.19.10.00")</f>
        <v>7113.11.10.00</v>
      </c>
      <c r="K115" t="str">
        <f>IF(quantInv[[#This Row],[Metal]] = "925 Silver",  "7113.11.00"," 7113.19.00")</f>
        <v>7113.11.00</v>
      </c>
      <c r="L115" t="str">
        <f>IFERROR(VLOOKUP(quantInv[[#This Row],[Description for New Invoice]],Map!$G$12:$H$32,2,FALSE), IF(quantInv[[#This Row],[Metal]] = "925 Silver", "7113.11.10.00", "7113.19.29.00"))</f>
        <v>7113.11.10.00</v>
      </c>
      <c r="M115" t="str">
        <f>quantInv[[#This Row],[ASIN]] &amp; " " &amp; quantInv[[#This Row],[Short Description]]</f>
        <v>B01N366D90 Singapore Chain</v>
      </c>
      <c r="N115" s="33">
        <f>quantInv[[#This Row],[UNIT
VALUE]] / EURtoGBP</f>
        <v>3.8109346001259983</v>
      </c>
      <c r="O115" s="33">
        <f>quantInv[[#This Row],[UNIT
VALUE]]/USDtoGBP</f>
        <v>4.6023005333914568</v>
      </c>
      <c r="P115" s="33">
        <f>quantInv[[#This Row],[UNIT
VALUE]] / CADtoGBP</f>
        <v>5.891209248214107</v>
      </c>
      <c r="Q115" s="33">
        <f>quantInv[[#This Row],[UNIT
VALUE]]/AUDtoGBP</f>
        <v>6.0300668151447656</v>
      </c>
      <c r="R115">
        <f>IFERROR(VLOOKUP(quantInv[[#This Row],[Assigned Item SKU]],skuQuantity[#All],2,FALSE),0)</f>
        <v>25</v>
      </c>
      <c r="S115" t="str">
        <f>PROPER(quantInv[[#This Row],[Metal]] &amp; " " &amp; quantInv[[#This Row],[Item Type]])</f>
        <v>925 Silver Bracelet</v>
      </c>
      <c r="T115" s="33">
        <f>quantInv[[#This Row],[Quantity]]*quantInv[[#This Row],[WEIGHT]]</f>
        <v>86.25</v>
      </c>
      <c r="U115" s="33">
        <f>quantInv[[#This Row],[UNIT
VALUE]]*quantInv[[#This Row],[Quantity]]</f>
        <v>83.932500000000005</v>
      </c>
      <c r="V115" s="33">
        <f>quantInv[[#This Row],[Total Cost GBP]]/EURtoGBP</f>
        <v>95.273365003149962</v>
      </c>
      <c r="W115" s="33">
        <f>quantInv[[#This Row],[Total Cost GBP]]/USDtoGBP</f>
        <v>115.05751333478642</v>
      </c>
      <c r="X115" s="33">
        <f>quantInv[[#This Row],[Total Cost GBP]]/CADtoGBP</f>
        <v>147.28023120535269</v>
      </c>
      <c r="Y115" s="33">
        <f>quantInv[[#This Row],[Quantity]]*quantInv[[#This Row],[UNIT
VALUE AUD]]</f>
        <v>150.75167037861914</v>
      </c>
      <c r="Z115" s="33"/>
    </row>
    <row r="116" spans="1:26" x14ac:dyDescent="0.25">
      <c r="A116" t="s">
        <v>381</v>
      </c>
      <c r="B116" t="s">
        <v>382</v>
      </c>
      <c r="C116" t="s">
        <v>114</v>
      </c>
      <c r="D116" t="s">
        <v>260</v>
      </c>
      <c r="E116">
        <v>4.2712871287128698</v>
      </c>
      <c r="F116" s="33">
        <v>5.5034000000000001</v>
      </c>
      <c r="G116" s="33" t="s">
        <v>117</v>
      </c>
      <c r="H116" t="s">
        <v>103</v>
      </c>
      <c r="I116" t="str">
        <f>IF(quantInv[[#This Row],[Metal]] = "925 Silver",  "7113.11.00"," 7113.19.00")</f>
        <v>7113.11.00</v>
      </c>
      <c r="J116" t="str">
        <f>IF(quantInv[[#This Row],[Metal]] = "925 Silver", "7113.11.10.00"," 7113.19.10.00")</f>
        <v>7113.11.10.00</v>
      </c>
      <c r="K116" t="str">
        <f>IF(quantInv[[#This Row],[Metal]] = "925 Silver",  "7113.11.00"," 7113.19.00")</f>
        <v>7113.11.00</v>
      </c>
      <c r="L116" t="str">
        <f>IFERROR(VLOOKUP(quantInv[[#This Row],[Description for New Invoice]],Map!$G$12:$H$32,2,FALSE), IF(quantInv[[#This Row],[Metal]] = "925 Silver", "7113.11.10.00", "7113.19.29.00"))</f>
        <v>7113.11.10.00</v>
      </c>
      <c r="M116" t="str">
        <f>quantInv[[#This Row],[ASIN]] &amp; " " &amp; quantInv[[#This Row],[Short Description]]</f>
        <v>B073G944DQ Bismark Chain</v>
      </c>
      <c r="N116" s="33">
        <f>quantInv[[#This Row],[UNIT
VALUE]] / EURtoGBP</f>
        <v>6.247013218459303</v>
      </c>
      <c r="O116" s="33">
        <f>quantInv[[#This Row],[UNIT
VALUE]]/USDtoGBP</f>
        <v>7.5442470900624139</v>
      </c>
      <c r="P116" s="33">
        <f>quantInv[[#This Row],[UNIT
VALUE]] / CADtoGBP</f>
        <v>9.6570699599742404</v>
      </c>
      <c r="Q116" s="33">
        <f>quantInv[[#This Row],[UNIT
VALUE]]/AUDtoGBP</f>
        <v>9.8846899920971332</v>
      </c>
      <c r="R116">
        <f>IFERROR(VLOOKUP(quantInv[[#This Row],[Assigned Item SKU]],skuQuantity[#All],2,FALSE),0)</f>
        <v>0</v>
      </c>
      <c r="S116" t="str">
        <f>PROPER(quantInv[[#This Row],[Metal]] &amp; " " &amp; quantInv[[#This Row],[Item Type]])</f>
        <v>925 Silver Chain</v>
      </c>
      <c r="T116" s="33">
        <f>quantInv[[#This Row],[Quantity]]*quantInv[[#This Row],[WEIGHT]]</f>
        <v>0</v>
      </c>
      <c r="U116" s="33">
        <f>quantInv[[#This Row],[UNIT
VALUE]]*quantInv[[#This Row],[Quantity]]</f>
        <v>0</v>
      </c>
      <c r="V116" s="33">
        <f>quantInv[[#This Row],[Total Cost GBP]]/EURtoGBP</f>
        <v>0</v>
      </c>
      <c r="W116" s="33">
        <f>quantInv[[#This Row],[Total Cost GBP]]/USDtoGBP</f>
        <v>0</v>
      </c>
      <c r="X116" s="33">
        <f>quantInv[[#This Row],[Total Cost GBP]]/CADtoGBP</f>
        <v>0</v>
      </c>
      <c r="Y116" s="33">
        <f>quantInv[[#This Row],[Quantity]]*quantInv[[#This Row],[UNIT
VALUE AUD]]</f>
        <v>0</v>
      </c>
      <c r="Z116" s="33"/>
    </row>
    <row r="117" spans="1:26" x14ac:dyDescent="0.25">
      <c r="A117" t="s">
        <v>383</v>
      </c>
      <c r="B117" t="s">
        <v>384</v>
      </c>
      <c r="C117" t="s">
        <v>114</v>
      </c>
      <c r="D117" t="s">
        <v>260</v>
      </c>
      <c r="E117">
        <v>4.7475247524752504</v>
      </c>
      <c r="F117" s="33">
        <v>6.0781999999999998</v>
      </c>
      <c r="G117" s="33" t="s">
        <v>117</v>
      </c>
      <c r="H117" t="s">
        <v>103</v>
      </c>
      <c r="I117" t="str">
        <f>IF(quantInv[[#This Row],[Metal]] = "925 Silver",  "7113.11.00"," 7113.19.00")</f>
        <v>7113.11.00</v>
      </c>
      <c r="J117" t="str">
        <f>IF(quantInv[[#This Row],[Metal]] = "925 Silver", "7113.11.10.00"," 7113.19.10.00")</f>
        <v>7113.11.10.00</v>
      </c>
      <c r="K117" t="str">
        <f>IF(quantInv[[#This Row],[Metal]] = "925 Silver",  "7113.11.00"," 7113.19.00")</f>
        <v>7113.11.00</v>
      </c>
      <c r="L117" t="str">
        <f>IFERROR(VLOOKUP(quantInv[[#This Row],[Description for New Invoice]],Map!$G$12:$H$32,2,FALSE), IF(quantInv[[#This Row],[Metal]] = "925 Silver", "7113.11.10.00", "7113.19.29.00"))</f>
        <v>7113.11.10.00</v>
      </c>
      <c r="M117" t="str">
        <f>quantInv[[#This Row],[ASIN]] &amp; " " &amp; quantInv[[#This Row],[Short Description]]</f>
        <v>B073G8W1SH Bismark Chain</v>
      </c>
      <c r="N117" s="33">
        <f>quantInv[[#This Row],[UNIT
VALUE]] / EURtoGBP</f>
        <v>6.8994795479956634</v>
      </c>
      <c r="O117" s="33">
        <f>quantInv[[#This Row],[UNIT
VALUE]]/USDtoGBP</f>
        <v>8.332202395395095</v>
      </c>
      <c r="P117" s="33">
        <f>quantInv[[#This Row],[UNIT
VALUE]] / CADtoGBP</f>
        <v>10.665698046792061</v>
      </c>
      <c r="Q117" s="33">
        <f>quantInv[[#This Row],[UNIT
VALUE]]/AUDtoGBP</f>
        <v>10.917091745096629</v>
      </c>
      <c r="R117">
        <f>IFERROR(VLOOKUP(quantInv[[#This Row],[Assigned Item SKU]],skuQuantity[#All],2,FALSE),0)</f>
        <v>0</v>
      </c>
      <c r="S117" t="str">
        <f>PROPER(quantInv[[#This Row],[Metal]] &amp; " " &amp; quantInv[[#This Row],[Item Type]])</f>
        <v>925 Silver Chain</v>
      </c>
      <c r="T117" s="33">
        <f>quantInv[[#This Row],[Quantity]]*quantInv[[#This Row],[WEIGHT]]</f>
        <v>0</v>
      </c>
      <c r="U117" s="33">
        <f>quantInv[[#This Row],[UNIT
VALUE]]*quantInv[[#This Row],[Quantity]]</f>
        <v>0</v>
      </c>
      <c r="V117" s="33">
        <f>quantInv[[#This Row],[Total Cost GBP]]/EURtoGBP</f>
        <v>0</v>
      </c>
      <c r="W117" s="33">
        <f>quantInv[[#This Row],[Total Cost GBP]]/USDtoGBP</f>
        <v>0</v>
      </c>
      <c r="X117" s="33">
        <f>quantInv[[#This Row],[Total Cost GBP]]/CADtoGBP</f>
        <v>0</v>
      </c>
      <c r="Y117" s="33">
        <f>quantInv[[#This Row],[Quantity]]*quantInv[[#This Row],[UNIT
VALUE AUD]]</f>
        <v>0</v>
      </c>
      <c r="Z117" s="33"/>
    </row>
    <row r="118" spans="1:26" x14ac:dyDescent="0.25">
      <c r="A118" t="s">
        <v>385</v>
      </c>
      <c r="B118" t="s">
        <v>386</v>
      </c>
      <c r="C118" t="s">
        <v>114</v>
      </c>
      <c r="D118" t="s">
        <v>260</v>
      </c>
      <c r="E118">
        <v>5.5554455445544599</v>
      </c>
      <c r="F118" s="33">
        <v>7.0533000000000001</v>
      </c>
      <c r="G118" s="33" t="s">
        <v>117</v>
      </c>
      <c r="H118" t="s">
        <v>103</v>
      </c>
      <c r="I118" t="str">
        <f>IF(quantInv[[#This Row],[Metal]] = "925 Silver",  "7113.11.00"," 7113.19.00")</f>
        <v>7113.11.00</v>
      </c>
      <c r="J118" t="str">
        <f>IF(quantInv[[#This Row],[Metal]] = "925 Silver", "7113.11.10.00"," 7113.19.10.00")</f>
        <v>7113.11.10.00</v>
      </c>
      <c r="K118" t="str">
        <f>IF(quantInv[[#This Row],[Metal]] = "925 Silver",  "7113.11.00"," 7113.19.00")</f>
        <v>7113.11.00</v>
      </c>
      <c r="L118" t="str">
        <f>IFERROR(VLOOKUP(quantInv[[#This Row],[Description for New Invoice]],Map!$G$12:$H$32,2,FALSE), IF(quantInv[[#This Row],[Metal]] = "925 Silver", "7113.11.10.00", "7113.19.29.00"))</f>
        <v>7113.11.10.00</v>
      </c>
      <c r="M118" t="str">
        <f>quantInv[[#This Row],[ASIN]] &amp; " " &amp; quantInv[[#This Row],[Short Description]]</f>
        <v>B073G969T6 Bismark Chain</v>
      </c>
      <c r="N118" s="33">
        <f>quantInv[[#This Row],[UNIT
VALUE]] / EURtoGBP</f>
        <v>8.0063339633243089</v>
      </c>
      <c r="O118" s="33">
        <f>quantInv[[#This Row],[UNIT
VALUE]]/USDtoGBP</f>
        <v>9.668902496699717</v>
      </c>
      <c r="P118" s="33">
        <f>quantInv[[#This Row],[UNIT
VALUE]] / CADtoGBP</f>
        <v>12.37675101731408</v>
      </c>
      <c r="Q118" s="33">
        <f>quantInv[[#This Row],[UNIT
VALUE]]/AUDtoGBP</f>
        <v>12.668474746749048</v>
      </c>
      <c r="R118">
        <f>IFERROR(VLOOKUP(quantInv[[#This Row],[Assigned Item SKU]],skuQuantity[#All],2,FALSE),0)</f>
        <v>0</v>
      </c>
      <c r="S118" t="str">
        <f>PROPER(quantInv[[#This Row],[Metal]] &amp; " " &amp; quantInv[[#This Row],[Item Type]])</f>
        <v>925 Silver Chain</v>
      </c>
      <c r="T118" s="33">
        <f>quantInv[[#This Row],[Quantity]]*quantInv[[#This Row],[WEIGHT]]</f>
        <v>0</v>
      </c>
      <c r="U118" s="33">
        <f>quantInv[[#This Row],[UNIT
VALUE]]*quantInv[[#This Row],[Quantity]]</f>
        <v>0</v>
      </c>
      <c r="V118" s="33">
        <f>quantInv[[#This Row],[Total Cost GBP]]/EURtoGBP</f>
        <v>0</v>
      </c>
      <c r="W118" s="33">
        <f>quantInv[[#This Row],[Total Cost GBP]]/USDtoGBP</f>
        <v>0</v>
      </c>
      <c r="X118" s="33">
        <f>quantInv[[#This Row],[Total Cost GBP]]/CADtoGBP</f>
        <v>0</v>
      </c>
      <c r="Y118" s="33">
        <f>quantInv[[#This Row],[Quantity]]*quantInv[[#This Row],[UNIT
VALUE AUD]]</f>
        <v>0</v>
      </c>
      <c r="Z118" s="33"/>
    </row>
    <row r="119" spans="1:26" x14ac:dyDescent="0.25">
      <c r="A119" t="s">
        <v>16</v>
      </c>
      <c r="B119" t="s">
        <v>629</v>
      </c>
      <c r="C119" t="s">
        <v>114</v>
      </c>
      <c r="D119" t="s">
        <v>626</v>
      </c>
      <c r="E119">
        <v>6.1576923076923098</v>
      </c>
      <c r="F119" s="33">
        <v>6.1569000000000003</v>
      </c>
      <c r="G119" s="33" t="s">
        <v>117</v>
      </c>
      <c r="H119" t="s">
        <v>103</v>
      </c>
      <c r="I119" t="str">
        <f>IF(quantInv[[#This Row],[Metal]] = "925 Silver",  "7113.11.00"," 7113.19.00")</f>
        <v>7113.11.00</v>
      </c>
      <c r="J119" t="str">
        <f>IF(quantInv[[#This Row],[Metal]] = "925 Silver", "7113.11.10.00"," 7113.19.10.00")</f>
        <v>7113.11.10.00</v>
      </c>
      <c r="K119" t="str">
        <f>IF(quantInv[[#This Row],[Metal]] = "925 Silver",  "7113.11.00"," 7113.19.00")</f>
        <v>7113.11.00</v>
      </c>
      <c r="L119" t="str">
        <f>IFERROR(VLOOKUP(quantInv[[#This Row],[Description for New Invoice]],Map!$G$12:$H$32,2,FALSE), IF(quantInv[[#This Row],[Metal]] = "925 Silver", "7113.11.10.00", "7113.19.29.00"))</f>
        <v>7113.11.10.00</v>
      </c>
      <c r="M119" t="str">
        <f>quantInv[[#This Row],[ASIN]] &amp; " " &amp; quantInv[[#This Row],[Short Description]]</f>
        <v>B01IBQXBDC Popcorn Chain</v>
      </c>
      <c r="N119" s="33">
        <f>quantInv[[#This Row],[UNIT
VALUE]] / EURtoGBP</f>
        <v>6.9888134034836797</v>
      </c>
      <c r="O119" s="33">
        <f>quantInv[[#This Row],[UNIT
VALUE]]/USDtoGBP</f>
        <v>8.4400870205337206</v>
      </c>
      <c r="P119" s="33">
        <f>quantInv[[#This Row],[UNIT
VALUE]] / CADtoGBP</f>
        <v>10.803796568769378</v>
      </c>
      <c r="Q119" s="33">
        <f>quantInv[[#This Row],[UNIT
VALUE]]/AUDtoGBP</f>
        <v>11.058445290609958</v>
      </c>
      <c r="R119">
        <f>IFERROR(VLOOKUP(quantInv[[#This Row],[Assigned Item SKU]],skuQuantity[#All],2,FALSE),0)</f>
        <v>15</v>
      </c>
      <c r="S119" t="str">
        <f>PROPER(quantInv[[#This Row],[Metal]] &amp; " " &amp; quantInv[[#This Row],[Item Type]])</f>
        <v>925 Silver Chain</v>
      </c>
      <c r="T119" s="33">
        <f>quantInv[[#This Row],[Quantity]]*quantInv[[#This Row],[WEIGHT]]</f>
        <v>92.365384615384642</v>
      </c>
      <c r="U119" s="33">
        <f>quantInv[[#This Row],[UNIT
VALUE]]*quantInv[[#This Row],[Quantity]]</f>
        <v>92.353499999999997</v>
      </c>
      <c r="V119" s="33">
        <f>quantInv[[#This Row],[Total Cost GBP]]/EURtoGBP</f>
        <v>104.8322010522552</v>
      </c>
      <c r="W119" s="33">
        <f>quantInv[[#This Row],[Total Cost GBP]]/USDtoGBP</f>
        <v>126.60130530800581</v>
      </c>
      <c r="X119" s="33">
        <f>quantInv[[#This Row],[Total Cost GBP]]/CADtoGBP</f>
        <v>162.05694853154068</v>
      </c>
      <c r="Y119" s="33">
        <f>quantInv[[#This Row],[Quantity]]*quantInv[[#This Row],[UNIT
VALUE AUD]]</f>
        <v>165.87667935914936</v>
      </c>
      <c r="Z119" s="33"/>
    </row>
    <row r="120" spans="1:26" x14ac:dyDescent="0.25">
      <c r="A120" t="s">
        <v>5</v>
      </c>
      <c r="B120" t="s">
        <v>703</v>
      </c>
      <c r="C120" t="s">
        <v>113</v>
      </c>
      <c r="D120" t="s">
        <v>701</v>
      </c>
      <c r="E120">
        <v>3.4666666666666699</v>
      </c>
      <c r="F120" s="33">
        <v>3.8239999999999998</v>
      </c>
      <c r="G120" s="33" t="s">
        <v>117</v>
      </c>
      <c r="H120" t="s">
        <v>1310</v>
      </c>
      <c r="I120" t="str">
        <f>IF(quantInv[[#This Row],[Metal]] = "925 Silver",  "7113.11.00"," 7113.19.00")</f>
        <v>7113.11.00</v>
      </c>
      <c r="J120" t="str">
        <f>IF(quantInv[[#This Row],[Metal]] = "925 Silver", "7113.11.10.00"," 7113.19.10.00")</f>
        <v>7113.11.10.00</v>
      </c>
      <c r="K120" t="str">
        <f>IF(quantInv[[#This Row],[Metal]] = "925 Silver",  "7113.11.00"," 7113.19.00")</f>
        <v>7113.11.00</v>
      </c>
      <c r="L120" t="str">
        <f>IFERROR(VLOOKUP(quantInv[[#This Row],[Description for New Invoice]],Map!$G$12:$H$32,2,FALSE), IF(quantInv[[#This Row],[Metal]] = "925 Silver", "7113.11.10.00", "7113.19.29.00"))</f>
        <v>7113.11.50.00</v>
      </c>
      <c r="M120" t="str">
        <f>quantInv[[#This Row],[ASIN]] &amp; " " &amp; quantInv[[#This Row],[Short Description]]</f>
        <v>B00D0TO5KY Circle Hoop Earrings</v>
      </c>
      <c r="N120" s="33">
        <f>quantInv[[#This Row],[UNIT
VALUE]] / EURtoGBP</f>
        <v>4.3406945792398108</v>
      </c>
      <c r="O120" s="33">
        <f>quantInv[[#This Row],[UNIT
VALUE]]/USDtoGBP</f>
        <v>5.2420686979682873</v>
      </c>
      <c r="P120" s="33">
        <f>quantInv[[#This Row],[UNIT
VALUE]] / CADtoGBP</f>
        <v>6.7101492762549499</v>
      </c>
      <c r="Q120" s="33">
        <f>quantInv[[#This Row],[UNIT
VALUE]]/AUDtoGBP</f>
        <v>6.8683095049931744</v>
      </c>
      <c r="R120">
        <f>IFERROR(VLOOKUP(quantInv[[#This Row],[Assigned Item SKU]],skuQuantity[#All],2,FALSE),0)</f>
        <v>10</v>
      </c>
      <c r="S120" t="str">
        <f>PROPER(quantInv[[#This Row],[Metal]] &amp; " " &amp; quantInv[[#This Row],[Item Type]])</f>
        <v>925 Silver Earrings</v>
      </c>
      <c r="T120" s="33">
        <f>quantInv[[#This Row],[Quantity]]*quantInv[[#This Row],[WEIGHT]]</f>
        <v>34.6666666666667</v>
      </c>
      <c r="U120" s="33">
        <f>quantInv[[#This Row],[UNIT
VALUE]]*quantInv[[#This Row],[Quantity]]</f>
        <v>38.239999999999995</v>
      </c>
      <c r="V120" s="33">
        <f>quantInv[[#This Row],[Total Cost GBP]]/EURtoGBP</f>
        <v>43.406945792398105</v>
      </c>
      <c r="W120" s="33">
        <f>quantInv[[#This Row],[Total Cost GBP]]/USDtoGBP</f>
        <v>52.420686979682863</v>
      </c>
      <c r="X120" s="33">
        <f>quantInv[[#This Row],[Total Cost GBP]]/CADtoGBP</f>
        <v>67.101492762549498</v>
      </c>
      <c r="Y120" s="33">
        <f>quantInv[[#This Row],[Quantity]]*quantInv[[#This Row],[UNIT
VALUE AUD]]</f>
        <v>68.683095049931751</v>
      </c>
      <c r="Z120" s="33"/>
    </row>
    <row r="121" spans="1:26" x14ac:dyDescent="0.25">
      <c r="A121" t="s">
        <v>1448</v>
      </c>
      <c r="B121" t="s">
        <v>1449</v>
      </c>
      <c r="C121" t="s">
        <v>114</v>
      </c>
      <c r="D121" t="s">
        <v>1450</v>
      </c>
      <c r="E121">
        <v>2.75</v>
      </c>
      <c r="F121" s="33">
        <v>4.3083</v>
      </c>
      <c r="G121" s="33" t="s">
        <v>117</v>
      </c>
      <c r="H121" t="s">
        <v>1451</v>
      </c>
      <c r="I121" t="str">
        <f>IF(quantInv[[#This Row],[Metal]] = "925 Silver",  "7113.11.00"," 7113.19.00")</f>
        <v>7113.11.00</v>
      </c>
      <c r="J121" t="str">
        <f>IF(quantInv[[#This Row],[Metal]] = "925 Silver", "7113.11.10.00"," 7113.19.10.00")</f>
        <v>7113.11.10.00</v>
      </c>
      <c r="K121" t="str">
        <f>IF(quantInv[[#This Row],[Metal]] = "925 Silver",  "7113.11.00"," 7113.19.00")</f>
        <v>7113.11.00</v>
      </c>
      <c r="L121" t="str">
        <f>IFERROR(VLOOKUP(quantInv[[#This Row],[Description for New Invoice]],Map!$G$12:$H$32,2,FALSE), IF(quantInv[[#This Row],[Metal]] = "925 Silver", "7113.11.10.00", "7113.19.29.00"))</f>
        <v>7113.11.50.00</v>
      </c>
      <c r="M121" t="str">
        <f>quantInv[[#This Row],[ASIN]] &amp; " " &amp; quantInv[[#This Row],[Short Description]]</f>
        <v>B07Z591N8W Coin Pendant - St Christopher - Silver</v>
      </c>
      <c r="N121" s="33">
        <f>quantInv[[#This Row],[UNIT
VALUE]] / EURtoGBP</f>
        <v>4.8904326505593296</v>
      </c>
      <c r="O121" s="33">
        <f>quantInv[[#This Row],[UNIT
VALUE]]/USDtoGBP</f>
        <v>5.9059635385608713</v>
      </c>
      <c r="P121" s="33">
        <f>quantInv[[#This Row],[UNIT
VALUE]] / CADtoGBP</f>
        <v>7.5599728365296031</v>
      </c>
      <c r="Q121" s="33">
        <f>quantInv[[#This Row],[UNIT
VALUE]]/AUDtoGBP</f>
        <v>7.7381636611825559</v>
      </c>
      <c r="R121">
        <f>IFERROR(VLOOKUP(quantInv[[#This Row],[Assigned Item SKU]],skuQuantity[#All],2,FALSE),0)</f>
        <v>15</v>
      </c>
      <c r="S121" t="str">
        <f>PROPER(quantInv[[#This Row],[Metal]] &amp; " " &amp; quantInv[[#This Row],[Item Type]])</f>
        <v>925 Silver Pendant</v>
      </c>
      <c r="T121" s="33">
        <f>quantInv[[#This Row],[Quantity]]*quantInv[[#This Row],[WEIGHT]]</f>
        <v>41.25</v>
      </c>
      <c r="U121" s="33">
        <f>quantInv[[#This Row],[UNIT
VALUE]]*quantInv[[#This Row],[Quantity]]</f>
        <v>64.624499999999998</v>
      </c>
      <c r="V121" s="33">
        <f>quantInv[[#This Row],[Total Cost GBP]]/EURtoGBP</f>
        <v>73.356489758389941</v>
      </c>
      <c r="W121" s="33">
        <f>quantInv[[#This Row],[Total Cost GBP]]/USDtoGBP</f>
        <v>88.589453078413072</v>
      </c>
      <c r="X121" s="33">
        <f>quantInv[[#This Row],[Total Cost GBP]]/CADtoGBP</f>
        <v>113.39959254794404</v>
      </c>
      <c r="Y121" s="33">
        <f>quantInv[[#This Row],[Quantity]]*quantInv[[#This Row],[UNIT
VALUE AUD]]</f>
        <v>116.07245491773834</v>
      </c>
      <c r="Z121" s="33"/>
    </row>
    <row r="122" spans="1:26" x14ac:dyDescent="0.25">
      <c r="A122" t="s">
        <v>396</v>
      </c>
      <c r="B122" t="s">
        <v>397</v>
      </c>
      <c r="C122" t="s">
        <v>113</v>
      </c>
      <c r="D122" t="s">
        <v>160</v>
      </c>
      <c r="E122">
        <v>2.6538461538461502</v>
      </c>
      <c r="F122" s="33">
        <v>2.6395</v>
      </c>
      <c r="G122" s="33" t="s">
        <v>117</v>
      </c>
      <c r="H122" t="s">
        <v>103</v>
      </c>
      <c r="I122" t="str">
        <f>IF(quantInv[[#This Row],[Metal]] = "925 Silver",  "7113.11.00"," 7113.19.00")</f>
        <v>7113.11.00</v>
      </c>
      <c r="J122" t="str">
        <f>IF(quantInv[[#This Row],[Metal]] = "925 Silver", "7113.11.10.00"," 7113.19.10.00")</f>
        <v>7113.11.10.00</v>
      </c>
      <c r="K122" t="str">
        <f>IF(quantInv[[#This Row],[Metal]] = "925 Silver",  "7113.11.00"," 7113.19.00")</f>
        <v>7113.11.00</v>
      </c>
      <c r="L122" t="str">
        <f>IFERROR(VLOOKUP(quantInv[[#This Row],[Description for New Invoice]],Map!$G$12:$H$32,2,FALSE), IF(quantInv[[#This Row],[Metal]] = "925 Silver", "7113.11.10.00", "7113.19.29.00"))</f>
        <v>7113.11.10.00</v>
      </c>
      <c r="M122" t="str">
        <f>quantInv[[#This Row],[ASIN]] &amp; " " &amp; quantInv[[#This Row],[Short Description]]</f>
        <v>B00D9BQ9AW Curb Chain</v>
      </c>
      <c r="N122" s="33">
        <f>quantInv[[#This Row],[UNIT
VALUE]] / EURtoGBP</f>
        <v>2.9961462714182741</v>
      </c>
      <c r="O122" s="33">
        <f>quantInv[[#This Row],[UNIT
VALUE]]/USDtoGBP</f>
        <v>3.6183159854307778</v>
      </c>
      <c r="P122" s="33">
        <f>quantInv[[#This Row],[UNIT
VALUE]] / CADtoGBP</f>
        <v>4.6316524619965849</v>
      </c>
      <c r="Q122" s="33">
        <f>quantInv[[#This Row],[UNIT
VALUE]]/AUDtoGBP</f>
        <v>4.7408218981248647</v>
      </c>
      <c r="R122">
        <f>IFERROR(VLOOKUP(quantInv[[#This Row],[Assigned Item SKU]],skuQuantity[#All],2,FALSE),0)</f>
        <v>20</v>
      </c>
      <c r="S122" t="str">
        <f>PROPER(quantInv[[#This Row],[Metal]] &amp; " " &amp; quantInv[[#This Row],[Item Type]])</f>
        <v>925 Silver Chain</v>
      </c>
      <c r="T122" s="33">
        <f>quantInv[[#This Row],[Quantity]]*quantInv[[#This Row],[WEIGHT]]</f>
        <v>53.076923076923002</v>
      </c>
      <c r="U122" s="33">
        <f>quantInv[[#This Row],[UNIT
VALUE]]*quantInv[[#This Row],[Quantity]]</f>
        <v>52.79</v>
      </c>
      <c r="V122" s="33">
        <f>quantInv[[#This Row],[Total Cost GBP]]/EURtoGBP</f>
        <v>59.922925428365488</v>
      </c>
      <c r="W122" s="33">
        <f>quantInv[[#This Row],[Total Cost GBP]]/USDtoGBP</f>
        <v>72.366319708615549</v>
      </c>
      <c r="X122" s="33">
        <f>quantInv[[#This Row],[Total Cost GBP]]/CADtoGBP</f>
        <v>92.633049239931694</v>
      </c>
      <c r="Y122" s="33">
        <f>quantInv[[#This Row],[Quantity]]*quantInv[[#This Row],[UNIT
VALUE AUD]]</f>
        <v>94.81643796249729</v>
      </c>
      <c r="Z122" s="33"/>
    </row>
    <row r="123" spans="1:26" x14ac:dyDescent="0.25">
      <c r="A123" t="s">
        <v>417</v>
      </c>
      <c r="B123" t="s">
        <v>418</v>
      </c>
      <c r="C123" t="s">
        <v>113</v>
      </c>
      <c r="D123" t="s">
        <v>419</v>
      </c>
      <c r="E123">
        <v>3.8239999999999998</v>
      </c>
      <c r="F123" s="33">
        <v>3.9866999999999999</v>
      </c>
      <c r="G123" s="33" t="s">
        <v>117</v>
      </c>
      <c r="H123" t="s">
        <v>1414</v>
      </c>
      <c r="I123" t="str">
        <f>IF(quantInv[[#This Row],[Metal]] = "925 Silver",  "7113.11.00"," 7113.19.00")</f>
        <v>7113.11.00</v>
      </c>
      <c r="J123" t="str">
        <f>IF(quantInv[[#This Row],[Metal]] = "925 Silver", "7113.11.10.00"," 7113.19.10.00")</f>
        <v>7113.11.10.00</v>
      </c>
      <c r="K123" t="str">
        <f>IF(quantInv[[#This Row],[Metal]] = "925 Silver",  "7113.11.00"," 7113.19.00")</f>
        <v>7113.11.00</v>
      </c>
      <c r="L123" t="str">
        <f>IFERROR(VLOOKUP(quantInv[[#This Row],[Description for New Invoice]],Map!$G$12:$H$32,2,FALSE), IF(quantInv[[#This Row],[Metal]] = "925 Silver", "7113.11.10.00", "7113.19.29.00"))</f>
        <v>7113.11.10.00</v>
      </c>
      <c r="M123" t="str">
        <f>quantInv[[#This Row],[ASIN]] &amp; " " &amp; quantInv[[#This Row],[Short Description]]</f>
        <v>B01N7UGF1G Garibaldi Chain</v>
      </c>
      <c r="N123" s="33">
        <f>quantInv[[#This Row],[UNIT
VALUE]] / EURtoGBP</f>
        <v>4.5253784202550609</v>
      </c>
      <c r="O123" s="33">
        <f>quantInv[[#This Row],[UNIT
VALUE]]/USDtoGBP</f>
        <v>5.4651033677275551</v>
      </c>
      <c r="P123" s="33">
        <f>quantInv[[#This Row],[UNIT
VALUE]] / CADtoGBP</f>
        <v>6.9956464748027223</v>
      </c>
      <c r="Q123" s="33">
        <f>quantInv[[#This Row],[UNIT
VALUE]]/AUDtoGBP</f>
        <v>7.1605359580429626</v>
      </c>
      <c r="R123">
        <f>IFERROR(VLOOKUP(quantInv[[#This Row],[Assigned Item SKU]],skuQuantity[#All],2,FALSE),0)</f>
        <v>0</v>
      </c>
      <c r="S123" t="str">
        <f>PROPER(quantInv[[#This Row],[Metal]] &amp; " " &amp; quantInv[[#This Row],[Item Type]])</f>
        <v>925 Silver Bracelet</v>
      </c>
      <c r="T123" s="33">
        <f>quantInv[[#This Row],[Quantity]]*quantInv[[#This Row],[WEIGHT]]</f>
        <v>0</v>
      </c>
      <c r="U123" s="33">
        <f>quantInv[[#This Row],[UNIT
VALUE]]*quantInv[[#This Row],[Quantity]]</f>
        <v>0</v>
      </c>
      <c r="V123" s="33">
        <f>quantInv[[#This Row],[Total Cost GBP]]/EURtoGBP</f>
        <v>0</v>
      </c>
      <c r="W123" s="33">
        <f>quantInv[[#This Row],[Total Cost GBP]]/USDtoGBP</f>
        <v>0</v>
      </c>
      <c r="X123" s="33">
        <f>quantInv[[#This Row],[Total Cost GBP]]/CADtoGBP</f>
        <v>0</v>
      </c>
      <c r="Y123" s="33">
        <f>quantInv[[#This Row],[Quantity]]*quantInv[[#This Row],[UNIT
VALUE AUD]]</f>
        <v>0</v>
      </c>
      <c r="Z123" s="33"/>
    </row>
    <row r="124" spans="1:26" x14ac:dyDescent="0.25">
      <c r="A124" t="s">
        <v>499</v>
      </c>
      <c r="B124" t="s">
        <v>500</v>
      </c>
      <c r="C124" t="s">
        <v>114</v>
      </c>
      <c r="D124" t="s">
        <v>494</v>
      </c>
      <c r="E124">
        <v>6.9294117647058799</v>
      </c>
      <c r="F124" s="33">
        <v>6.8802000000000003</v>
      </c>
      <c r="G124" s="33" t="s">
        <v>117</v>
      </c>
      <c r="H124" t="s">
        <v>103</v>
      </c>
      <c r="I124" t="str">
        <f>IF(quantInv[[#This Row],[Metal]] = "925 Silver",  "7113.11.00"," 7113.19.00")</f>
        <v>7113.11.00</v>
      </c>
      <c r="J124" t="str">
        <f>IF(quantInv[[#This Row],[Metal]] = "925 Silver", "7113.11.10.00"," 7113.19.10.00")</f>
        <v>7113.11.10.00</v>
      </c>
      <c r="K124" t="str">
        <f>IF(quantInv[[#This Row],[Metal]] = "925 Silver",  "7113.11.00"," 7113.19.00")</f>
        <v>7113.11.00</v>
      </c>
      <c r="L124" t="str">
        <f>IFERROR(VLOOKUP(quantInv[[#This Row],[Description for New Invoice]],Map!$G$12:$H$32,2,FALSE), IF(quantInv[[#This Row],[Metal]] = "925 Silver", "7113.11.10.00", "7113.19.29.00"))</f>
        <v>7113.11.10.00</v>
      </c>
      <c r="M124" t="str">
        <f>quantInv[[#This Row],[ASIN]] &amp; " " &amp; quantInv[[#This Row],[Short Description]]</f>
        <v>B00DKD0AGI Ball and Bar Chain</v>
      </c>
      <c r="N124" s="33">
        <f>quantInv[[#This Row],[UNIT
VALUE]] / EURtoGBP</f>
        <v>7.8098448860056875</v>
      </c>
      <c r="O124" s="33">
        <f>quantInv[[#This Row],[UNIT
VALUE]]/USDtoGBP</f>
        <v>9.4316111547493229</v>
      </c>
      <c r="P124" s="33">
        <f>quantInv[[#This Row],[UNIT
VALUE]] / CADtoGBP</f>
        <v>12.073004458809967</v>
      </c>
      <c r="Q124" s="33">
        <f>quantInv[[#This Row],[UNIT
VALUE]]/AUDtoGBP</f>
        <v>12.357568790861412</v>
      </c>
      <c r="R124">
        <f>IFERROR(VLOOKUP(quantInv[[#This Row],[Assigned Item SKU]],skuQuantity[#All],2,FALSE),0)</f>
        <v>0</v>
      </c>
      <c r="S124" t="str">
        <f>PROPER(quantInv[[#This Row],[Metal]] &amp; " " &amp; quantInv[[#This Row],[Item Type]])</f>
        <v>925 Silver Chain</v>
      </c>
      <c r="T124" s="33">
        <f>quantInv[[#This Row],[Quantity]]*quantInv[[#This Row],[WEIGHT]]</f>
        <v>0</v>
      </c>
      <c r="U124" s="33">
        <f>quantInv[[#This Row],[UNIT
VALUE]]*quantInv[[#This Row],[Quantity]]</f>
        <v>0</v>
      </c>
      <c r="V124" s="33">
        <f>quantInv[[#This Row],[Total Cost GBP]]/EURtoGBP</f>
        <v>0</v>
      </c>
      <c r="W124" s="33">
        <f>quantInv[[#This Row],[Total Cost GBP]]/USDtoGBP</f>
        <v>0</v>
      </c>
      <c r="X124" s="33">
        <f>quantInv[[#This Row],[Total Cost GBP]]/CADtoGBP</f>
        <v>0</v>
      </c>
      <c r="Y124" s="33">
        <f>quantInv[[#This Row],[Quantity]]*quantInv[[#This Row],[UNIT
VALUE AUD]]</f>
        <v>0</v>
      </c>
      <c r="Z124" s="33"/>
    </row>
    <row r="125" spans="1:26" x14ac:dyDescent="0.25">
      <c r="A125" t="s">
        <v>37</v>
      </c>
      <c r="B125" t="s">
        <v>508</v>
      </c>
      <c r="C125" t="s">
        <v>114</v>
      </c>
      <c r="D125" t="s">
        <v>213</v>
      </c>
      <c r="E125">
        <v>1.66</v>
      </c>
      <c r="F125" s="33">
        <v>1.9277</v>
      </c>
      <c r="G125" s="33" t="s">
        <v>117</v>
      </c>
      <c r="H125" t="s">
        <v>1414</v>
      </c>
      <c r="I125" t="str">
        <f>IF(quantInv[[#This Row],[Metal]] = "925 Silver",  "7113.11.00"," 7113.19.00")</f>
        <v>7113.11.00</v>
      </c>
      <c r="J125" t="str">
        <f>IF(quantInv[[#This Row],[Metal]] = "925 Silver", "7113.11.10.00"," 7113.19.10.00")</f>
        <v>7113.11.10.00</v>
      </c>
      <c r="K125" t="str">
        <f>IF(quantInv[[#This Row],[Metal]] = "925 Silver",  "7113.11.00"," 7113.19.00")</f>
        <v>7113.11.00</v>
      </c>
      <c r="L125" t="str">
        <f>IFERROR(VLOOKUP(quantInv[[#This Row],[Description for New Invoice]],Map!$G$12:$H$32,2,FALSE), IF(quantInv[[#This Row],[Metal]] = "925 Silver", "7113.11.10.00", "7113.19.29.00"))</f>
        <v>7113.11.10.00</v>
      </c>
      <c r="M125" t="str">
        <f>quantInv[[#This Row],[ASIN]] &amp; " " &amp; quantInv[[#This Row],[Short Description]]</f>
        <v>B01MYAH6T3 Ball Chain</v>
      </c>
      <c r="N125" s="33">
        <f>quantInv[[#This Row],[UNIT
VALUE]] / EURtoGBP</f>
        <v>2.1881686559624955</v>
      </c>
      <c r="O125" s="33">
        <f>quantInv[[#This Row],[UNIT
VALUE]]/USDtoGBP</f>
        <v>2.6425564406572875</v>
      </c>
      <c r="P125" s="33">
        <f>quantInv[[#This Row],[UNIT
VALUE]] / CADtoGBP</f>
        <v>3.3826241526769527</v>
      </c>
      <c r="Q125" s="33">
        <f>quantInv[[#This Row],[UNIT
VALUE]]/AUDtoGBP</f>
        <v>3.4623536173575684</v>
      </c>
      <c r="R125">
        <f>IFERROR(VLOOKUP(quantInv[[#This Row],[Assigned Item SKU]],skuQuantity[#All],2,FALSE),0)</f>
        <v>15</v>
      </c>
      <c r="S125" t="str">
        <f>PROPER(quantInv[[#This Row],[Metal]] &amp; " " &amp; quantInv[[#This Row],[Item Type]])</f>
        <v>925 Silver Bracelet</v>
      </c>
      <c r="T125" s="33">
        <f>quantInv[[#This Row],[Quantity]]*quantInv[[#This Row],[WEIGHT]]</f>
        <v>24.9</v>
      </c>
      <c r="U125" s="33">
        <f>quantInv[[#This Row],[UNIT
VALUE]]*quantInv[[#This Row],[Quantity]]</f>
        <v>28.915499999999998</v>
      </c>
      <c r="V125" s="33">
        <f>quantInv[[#This Row],[Total Cost GBP]]/EURtoGBP</f>
        <v>32.822529839437436</v>
      </c>
      <c r="W125" s="33">
        <f>quantInv[[#This Row],[Total Cost GBP]]/USDtoGBP</f>
        <v>39.638346609859312</v>
      </c>
      <c r="X125" s="33">
        <f>quantInv[[#This Row],[Total Cost GBP]]/CADtoGBP</f>
        <v>50.73936229015429</v>
      </c>
      <c r="Y125" s="33">
        <f>quantInv[[#This Row],[Quantity]]*quantInv[[#This Row],[UNIT
VALUE AUD]]</f>
        <v>51.935304260363523</v>
      </c>
      <c r="Z125" s="33"/>
    </row>
    <row r="126" spans="1:26" x14ac:dyDescent="0.25">
      <c r="A126" t="s">
        <v>28</v>
      </c>
      <c r="B126" t="s">
        <v>579</v>
      </c>
      <c r="C126" t="s">
        <v>114</v>
      </c>
      <c r="D126" t="s">
        <v>580</v>
      </c>
      <c r="E126">
        <v>4.4540540540540503</v>
      </c>
      <c r="F126" s="33">
        <v>4.1985999999999999</v>
      </c>
      <c r="G126" s="33" t="s">
        <v>117</v>
      </c>
      <c r="H126" t="s">
        <v>1414</v>
      </c>
      <c r="I126" t="str">
        <f>IF(quantInv[[#This Row],[Metal]] = "925 Silver",  "7113.11.00"," 7113.19.00")</f>
        <v>7113.11.00</v>
      </c>
      <c r="J126" t="str">
        <f>IF(quantInv[[#This Row],[Metal]] = "925 Silver", "7113.11.10.00"," 7113.19.10.00")</f>
        <v>7113.11.10.00</v>
      </c>
      <c r="K126" t="str">
        <f>IF(quantInv[[#This Row],[Metal]] = "925 Silver",  "7113.11.00"," 7113.19.00")</f>
        <v>7113.11.00</v>
      </c>
      <c r="L126" t="str">
        <f>IFERROR(VLOOKUP(quantInv[[#This Row],[Description for New Invoice]],Map!$G$12:$H$32,2,FALSE), IF(quantInv[[#This Row],[Metal]] = "925 Silver", "7113.11.10.00", "7113.19.29.00"))</f>
        <v>7113.11.10.00</v>
      </c>
      <c r="M126" t="str">
        <f>quantInv[[#This Row],[ASIN]] &amp; " " &amp; quantInv[[#This Row],[Short Description]]</f>
        <v>B00DKCZIS4 Herringbone Chain</v>
      </c>
      <c r="N126" s="33">
        <f>quantInv[[#This Row],[UNIT
VALUE]] / EURtoGBP</f>
        <v>4.7659101099362626</v>
      </c>
      <c r="O126" s="33">
        <f>quantInv[[#This Row],[UNIT
VALUE]]/USDtoGBP</f>
        <v>5.7555830636217706</v>
      </c>
      <c r="P126" s="33">
        <f>quantInv[[#This Row],[UNIT
VALUE]] / CADtoGBP</f>
        <v>7.3674771839131887</v>
      </c>
      <c r="Q126" s="33">
        <f>quantInv[[#This Row],[UNIT
VALUE]]/AUDtoGBP</f>
        <v>7.5411308283641061</v>
      </c>
      <c r="R126">
        <f>IFERROR(VLOOKUP(quantInv[[#This Row],[Assigned Item SKU]],skuQuantity[#All],2,FALSE),0)</f>
        <v>5</v>
      </c>
      <c r="S126" t="str">
        <f>PROPER(quantInv[[#This Row],[Metal]] &amp; " " &amp; quantInv[[#This Row],[Item Type]])</f>
        <v>925 Silver Bracelet</v>
      </c>
      <c r="T126" s="33">
        <f>quantInv[[#This Row],[Quantity]]*quantInv[[#This Row],[WEIGHT]]</f>
        <v>22.270270270270252</v>
      </c>
      <c r="U126" s="33">
        <f>quantInv[[#This Row],[UNIT
VALUE]]*quantInv[[#This Row],[Quantity]]</f>
        <v>20.992999999999999</v>
      </c>
      <c r="V126" s="33">
        <f>quantInv[[#This Row],[Total Cost GBP]]/EURtoGBP</f>
        <v>23.829550549681315</v>
      </c>
      <c r="W126" s="33">
        <f>quantInv[[#This Row],[Total Cost GBP]]/USDtoGBP</f>
        <v>28.77791531810885</v>
      </c>
      <c r="X126" s="33">
        <f>quantInv[[#This Row],[Total Cost GBP]]/CADtoGBP</f>
        <v>36.837385919565939</v>
      </c>
      <c r="Y126" s="33">
        <f>quantInv[[#This Row],[Quantity]]*quantInv[[#This Row],[UNIT
VALUE AUD]]</f>
        <v>37.705654141820531</v>
      </c>
      <c r="Z126" s="33"/>
    </row>
    <row r="127" spans="1:26" x14ac:dyDescent="0.25">
      <c r="A127" t="s">
        <v>59</v>
      </c>
      <c r="B127" t="s">
        <v>796</v>
      </c>
      <c r="C127" t="s">
        <v>113</v>
      </c>
      <c r="D127" t="s">
        <v>793</v>
      </c>
      <c r="E127">
        <v>1</v>
      </c>
      <c r="F127" s="33">
        <v>1.6081000000000001</v>
      </c>
      <c r="G127" s="33" t="s">
        <v>117</v>
      </c>
      <c r="H127" t="s">
        <v>1451</v>
      </c>
      <c r="I127" t="str">
        <f>IF(quantInv[[#This Row],[Metal]] = "925 Silver",  "7113.11.00"," 7113.19.00")</f>
        <v>7113.11.00</v>
      </c>
      <c r="J127" t="str">
        <f>IF(quantInv[[#This Row],[Metal]] = "925 Silver", "7113.11.10.00"," 7113.19.10.00")</f>
        <v>7113.11.10.00</v>
      </c>
      <c r="K127" t="str">
        <f>IF(quantInv[[#This Row],[Metal]] = "925 Silver",  "7113.11.00"," 7113.19.00")</f>
        <v>7113.11.00</v>
      </c>
      <c r="L127" t="str">
        <f>IFERROR(VLOOKUP(quantInv[[#This Row],[Description for New Invoice]],Map!$G$12:$H$32,2,FALSE), IF(quantInv[[#This Row],[Metal]] = "925 Silver", "7113.11.10.00", "7113.19.29.00"))</f>
        <v>7113.11.50.00</v>
      </c>
      <c r="M127" t="str">
        <f>quantInv[[#This Row],[ASIN]] &amp; " " &amp; quantInv[[#This Row],[Short Description]]</f>
        <v>B06ZYZSY83 Pen - Oval</v>
      </c>
      <c r="N127" s="33">
        <f>quantInv[[#This Row],[UNIT
VALUE]] / EURtoGBP</f>
        <v>1.8253846634088755</v>
      </c>
      <c r="O127" s="33">
        <f>quantInv[[#This Row],[UNIT
VALUE]]/USDtoGBP</f>
        <v>2.2044379375530343</v>
      </c>
      <c r="P127" s="33">
        <f>quantInv[[#This Row],[UNIT
VALUE]] / CADtoGBP</f>
        <v>2.8218072832493686</v>
      </c>
      <c r="Q127" s="33">
        <f>quantInv[[#This Row],[UNIT
VALUE]]/AUDtoGBP</f>
        <v>2.8883181263021767</v>
      </c>
      <c r="R127">
        <f>IFERROR(VLOOKUP(quantInv[[#This Row],[Assigned Item SKU]],skuQuantity[#All],2,FALSE),0)</f>
        <v>25</v>
      </c>
      <c r="S127" t="str">
        <f>PROPER(quantInv[[#This Row],[Metal]] &amp; " " &amp; quantInv[[#This Row],[Item Type]])</f>
        <v>925 Silver Pendant</v>
      </c>
      <c r="T127" s="33">
        <f>quantInv[[#This Row],[Quantity]]*quantInv[[#This Row],[WEIGHT]]</f>
        <v>25</v>
      </c>
      <c r="U127" s="33">
        <f>quantInv[[#This Row],[UNIT
VALUE]]*quantInv[[#This Row],[Quantity]]</f>
        <v>40.202500000000001</v>
      </c>
      <c r="V127" s="33">
        <f>quantInv[[#This Row],[Total Cost GBP]]/EURtoGBP</f>
        <v>45.634616585221885</v>
      </c>
      <c r="W127" s="33">
        <f>quantInv[[#This Row],[Total Cost GBP]]/USDtoGBP</f>
        <v>55.110948438825858</v>
      </c>
      <c r="X127" s="33">
        <f>quantInv[[#This Row],[Total Cost GBP]]/CADtoGBP</f>
        <v>70.545182081234216</v>
      </c>
      <c r="Y127" s="33">
        <f>quantInv[[#This Row],[Quantity]]*quantInv[[#This Row],[UNIT
VALUE AUD]]</f>
        <v>72.207953157554414</v>
      </c>
      <c r="Z127" s="33"/>
    </row>
    <row r="128" spans="1:26" x14ac:dyDescent="0.25">
      <c r="A128" t="s">
        <v>1355</v>
      </c>
      <c r="B128" t="s">
        <v>1356</v>
      </c>
      <c r="C128" t="s">
        <v>114</v>
      </c>
      <c r="D128" t="s">
        <v>1350</v>
      </c>
      <c r="E128">
        <v>17.54</v>
      </c>
      <c r="F128" s="33">
        <v>17.189699999999998</v>
      </c>
      <c r="G128" s="33" t="s">
        <v>117</v>
      </c>
      <c r="H128" t="s">
        <v>103</v>
      </c>
      <c r="I128" t="str">
        <f>IF(quantInv[[#This Row],[Metal]] = "925 Silver",  "7113.11.00"," 7113.19.00")</f>
        <v>7113.11.00</v>
      </c>
      <c r="J128" t="str">
        <f>IF(quantInv[[#This Row],[Metal]] = "925 Silver", "7113.11.10.00"," 7113.19.10.00")</f>
        <v>7113.11.10.00</v>
      </c>
      <c r="K128" t="str">
        <f>IF(quantInv[[#This Row],[Metal]] = "925 Silver",  "7113.11.00"," 7113.19.00")</f>
        <v>7113.11.00</v>
      </c>
      <c r="L128" t="str">
        <f>IFERROR(VLOOKUP(quantInv[[#This Row],[Description for New Invoice]],Map!$G$12:$H$32,2,FALSE), IF(quantInv[[#This Row],[Metal]] = "925 Silver", "7113.11.10.00", "7113.19.29.00"))</f>
        <v>7113.11.10.00</v>
      </c>
      <c r="M128" t="str">
        <f>quantInv[[#This Row],[ASIN]] &amp; " " &amp; quantInv[[#This Row],[Short Description]]</f>
        <v>B07RMXGTQJ Chain - Super Flat Curb - Gauge 150 - Width 5 mm</v>
      </c>
      <c r="N128" s="33">
        <f>quantInv[[#This Row],[UNIT
VALUE]] / EURtoGBP</f>
        <v>19.512352931160713</v>
      </c>
      <c r="O128" s="33">
        <f>quantInv[[#This Row],[UNIT
VALUE]]/USDtoGBP</f>
        <v>23.564222881136363</v>
      </c>
      <c r="P128" s="33">
        <f>quantInv[[#This Row],[UNIT
VALUE]] / CADtoGBP</f>
        <v>30.16355988860871</v>
      </c>
      <c r="Q128" s="33">
        <f>quantInv[[#This Row],[UNIT
VALUE]]/AUDtoGBP</f>
        <v>30.87452403189884</v>
      </c>
      <c r="R128">
        <f>IFERROR(VLOOKUP(quantInv[[#This Row],[Assigned Item SKU]],skuQuantity[#All],2,FALSE),0)</f>
        <v>0</v>
      </c>
      <c r="S128" t="str">
        <f>PROPER(quantInv[[#This Row],[Metal]] &amp; " " &amp; quantInv[[#This Row],[Item Type]])</f>
        <v>925 Silver Chain</v>
      </c>
      <c r="T128" s="33">
        <f>quantInv[[#This Row],[Quantity]]*quantInv[[#This Row],[WEIGHT]]</f>
        <v>0</v>
      </c>
      <c r="U128" s="33">
        <f>quantInv[[#This Row],[UNIT
VALUE]]*quantInv[[#This Row],[Quantity]]</f>
        <v>0</v>
      </c>
      <c r="V128" s="33">
        <f>quantInv[[#This Row],[Total Cost GBP]]/EURtoGBP</f>
        <v>0</v>
      </c>
      <c r="W128" s="33">
        <f>quantInv[[#This Row],[Total Cost GBP]]/USDtoGBP</f>
        <v>0</v>
      </c>
      <c r="X128" s="33">
        <f>quantInv[[#This Row],[Total Cost GBP]]/CADtoGBP</f>
        <v>0</v>
      </c>
      <c r="Y128" s="33">
        <f>quantInv[[#This Row],[Quantity]]*quantInv[[#This Row],[UNIT
VALUE AUD]]</f>
        <v>0</v>
      </c>
      <c r="Z128" s="33"/>
    </row>
    <row r="129" spans="1:26" x14ac:dyDescent="0.25">
      <c r="A129" t="s">
        <v>49</v>
      </c>
      <c r="B129" t="s">
        <v>400</v>
      </c>
      <c r="C129" t="s">
        <v>113</v>
      </c>
      <c r="D129" t="s">
        <v>160</v>
      </c>
      <c r="E129">
        <v>2.7608000000000001</v>
      </c>
      <c r="F129" s="33">
        <v>2.7075</v>
      </c>
      <c r="G129" s="33" t="s">
        <v>117</v>
      </c>
      <c r="H129" t="s">
        <v>103</v>
      </c>
      <c r="I129" t="str">
        <f>IF(quantInv[[#This Row],[Metal]] = "925 Silver",  "7113.11.00"," 7113.19.00")</f>
        <v>7113.11.00</v>
      </c>
      <c r="J129" t="str">
        <f>IF(quantInv[[#This Row],[Metal]] = "925 Silver", "7113.11.10.00"," 7113.19.10.00")</f>
        <v>7113.11.10.00</v>
      </c>
      <c r="K129" t="str">
        <f>IF(quantInv[[#This Row],[Metal]] = "925 Silver",  "7113.11.00"," 7113.19.00")</f>
        <v>7113.11.00</v>
      </c>
      <c r="L129" t="str">
        <f>IFERROR(VLOOKUP(quantInv[[#This Row],[Description for New Invoice]],Map!$G$12:$H$32,2,FALSE), IF(quantInv[[#This Row],[Metal]] = "925 Silver", "7113.11.10.00", "7113.19.29.00"))</f>
        <v>7113.11.10.00</v>
      </c>
      <c r="M129" t="str">
        <f>quantInv[[#This Row],[ASIN]] &amp; " " &amp; quantInv[[#This Row],[Short Description]]</f>
        <v>B00D9BQK60 Curb Chain</v>
      </c>
      <c r="N129" s="33">
        <f>quantInv[[#This Row],[UNIT
VALUE]] / EURtoGBP</f>
        <v>3.0733343549403211</v>
      </c>
      <c r="O129" s="33">
        <f>quantInv[[#This Row],[UNIT
VALUE]]/USDtoGBP</f>
        <v>3.7115326882189166</v>
      </c>
      <c r="P129" s="33">
        <f>quantInv[[#This Row],[UNIT
VALUE]] / CADtoGBP</f>
        <v>4.7509752001726664</v>
      </c>
      <c r="Q129" s="33">
        <f>quantInv[[#This Row],[UNIT
VALUE]]/AUDtoGBP</f>
        <v>4.8629571089877146</v>
      </c>
      <c r="R129">
        <f>IFERROR(VLOOKUP(quantInv[[#This Row],[Assigned Item SKU]],skuQuantity[#All],2,FALSE),0)</f>
        <v>20</v>
      </c>
      <c r="S129" t="str">
        <f>PROPER(quantInv[[#This Row],[Metal]] &amp; " " &amp; quantInv[[#This Row],[Item Type]])</f>
        <v>925 Silver Chain</v>
      </c>
      <c r="T129" s="33">
        <f>quantInv[[#This Row],[Quantity]]*quantInv[[#This Row],[WEIGHT]]</f>
        <v>55.216000000000001</v>
      </c>
      <c r="U129" s="33">
        <f>quantInv[[#This Row],[UNIT
VALUE]]*quantInv[[#This Row],[Quantity]]</f>
        <v>54.15</v>
      </c>
      <c r="V129" s="33">
        <f>quantInv[[#This Row],[Total Cost GBP]]/EURtoGBP</f>
        <v>61.466687098806418</v>
      </c>
      <c r="W129" s="33">
        <f>quantInv[[#This Row],[Total Cost GBP]]/USDtoGBP</f>
        <v>74.230653764378332</v>
      </c>
      <c r="X129" s="33">
        <f>quantInv[[#This Row],[Total Cost GBP]]/CADtoGBP</f>
        <v>95.019504003453335</v>
      </c>
      <c r="Y129" s="33">
        <f>quantInv[[#This Row],[Quantity]]*quantInv[[#This Row],[UNIT
VALUE AUD]]</f>
        <v>97.259142179754292</v>
      </c>
      <c r="Z129" s="33"/>
    </row>
    <row r="130" spans="1:26" x14ac:dyDescent="0.25">
      <c r="A130" t="s">
        <v>48</v>
      </c>
      <c r="B130" t="s">
        <v>401</v>
      </c>
      <c r="C130" t="s">
        <v>113</v>
      </c>
      <c r="D130" t="s">
        <v>160</v>
      </c>
      <c r="E130">
        <v>3.7783037475345198</v>
      </c>
      <c r="F130" s="33">
        <v>3.577</v>
      </c>
      <c r="G130" s="33" t="s">
        <v>117</v>
      </c>
      <c r="H130" t="s">
        <v>103</v>
      </c>
      <c r="I130" t="str">
        <f>IF(quantInv[[#This Row],[Metal]] = "925 Silver",  "7113.11.00"," 7113.19.00")</f>
        <v>7113.11.00</v>
      </c>
      <c r="J130" t="str">
        <f>IF(quantInv[[#This Row],[Metal]] = "925 Silver", "7113.11.10.00"," 7113.19.10.00")</f>
        <v>7113.11.10.00</v>
      </c>
      <c r="K130" t="str">
        <f>IF(quantInv[[#This Row],[Metal]] = "925 Silver",  "7113.11.00"," 7113.19.00")</f>
        <v>7113.11.00</v>
      </c>
      <c r="L130" t="str">
        <f>IFERROR(VLOOKUP(quantInv[[#This Row],[Description for New Invoice]],Map!$G$12:$H$32,2,FALSE), IF(quantInv[[#This Row],[Metal]] = "925 Silver", "7113.11.10.00", "7113.19.29.00"))</f>
        <v>7113.11.10.00</v>
      </c>
      <c r="M130" t="str">
        <f>quantInv[[#This Row],[ASIN]] &amp; " " &amp; quantInv[[#This Row],[Short Description]]</f>
        <v>B00D9BQPME Curb Chain</v>
      </c>
      <c r="N130" s="33">
        <f>quantInv[[#This Row],[UNIT
VALUE]] / EURtoGBP</f>
        <v>4.0603202170347288</v>
      </c>
      <c r="O130" s="33">
        <f>quantInv[[#This Row],[UNIT
VALUE]]/USDtoGBP</f>
        <v>4.9034727334290178</v>
      </c>
      <c r="P130" s="33">
        <f>quantInv[[#This Row],[UNIT
VALUE]] / CADtoGBP</f>
        <v>6.2767269772918297</v>
      </c>
      <c r="Q130" s="33">
        <f>quantInv[[#This Row],[UNIT
VALUE]]/AUDtoGBP</f>
        <v>6.4246713125942954</v>
      </c>
      <c r="R130">
        <f>IFERROR(VLOOKUP(quantInv[[#This Row],[Assigned Item SKU]],skuQuantity[#All],2,FALSE),0)</f>
        <v>15</v>
      </c>
      <c r="S130" t="str">
        <f>PROPER(quantInv[[#This Row],[Metal]] &amp; " " &amp; quantInv[[#This Row],[Item Type]])</f>
        <v>925 Silver Chain</v>
      </c>
      <c r="T130" s="33">
        <f>quantInv[[#This Row],[Quantity]]*quantInv[[#This Row],[WEIGHT]]</f>
        <v>56.674556213017794</v>
      </c>
      <c r="U130" s="33">
        <f>quantInv[[#This Row],[UNIT
VALUE]]*quantInv[[#This Row],[Quantity]]</f>
        <v>53.655000000000001</v>
      </c>
      <c r="V130" s="33">
        <f>quantInv[[#This Row],[Total Cost GBP]]/EURtoGBP</f>
        <v>60.904803255520939</v>
      </c>
      <c r="W130" s="33">
        <f>quantInv[[#This Row],[Total Cost GBP]]/USDtoGBP</f>
        <v>73.552091001435272</v>
      </c>
      <c r="X130" s="33">
        <f>quantInv[[#This Row],[Total Cost GBP]]/CADtoGBP</f>
        <v>94.150904659377446</v>
      </c>
      <c r="Y130" s="33">
        <f>quantInv[[#This Row],[Quantity]]*quantInv[[#This Row],[UNIT
VALUE AUD]]</f>
        <v>96.370069688914427</v>
      </c>
      <c r="Z130" s="33"/>
    </row>
    <row r="131" spans="1:26" x14ac:dyDescent="0.25">
      <c r="A131" t="s">
        <v>402</v>
      </c>
      <c r="B131" t="s">
        <v>403</v>
      </c>
      <c r="C131" t="s">
        <v>113</v>
      </c>
      <c r="D131" t="s">
        <v>160</v>
      </c>
      <c r="E131">
        <v>4.9435215946843902</v>
      </c>
      <c r="F131" s="33">
        <v>4.4420999999999999</v>
      </c>
      <c r="G131" s="33" t="s">
        <v>117</v>
      </c>
      <c r="H131" t="s">
        <v>103</v>
      </c>
      <c r="I131" t="str">
        <f>IF(quantInv[[#This Row],[Metal]] = "925 Silver",  "7113.11.00"," 7113.19.00")</f>
        <v>7113.11.00</v>
      </c>
      <c r="J131" t="str">
        <f>IF(quantInv[[#This Row],[Metal]] = "925 Silver", "7113.11.10.00"," 7113.19.10.00")</f>
        <v>7113.11.10.00</v>
      </c>
      <c r="K131" t="str">
        <f>IF(quantInv[[#This Row],[Metal]] = "925 Silver",  "7113.11.00"," 7113.19.00")</f>
        <v>7113.11.00</v>
      </c>
      <c r="L131" t="str">
        <f>IFERROR(VLOOKUP(quantInv[[#This Row],[Description for New Invoice]],Map!$G$12:$H$32,2,FALSE), IF(quantInv[[#This Row],[Metal]] = "925 Silver", "7113.11.10.00", "7113.19.29.00"))</f>
        <v>7113.11.10.00</v>
      </c>
      <c r="M131" t="str">
        <f>quantInv[[#This Row],[ASIN]] &amp; " " &amp; quantInv[[#This Row],[Short Description]]</f>
        <v>B00D9BSYQY Curb Chain</v>
      </c>
      <c r="N131" s="33">
        <f>quantInv[[#This Row],[UNIT
VALUE]] / EURtoGBP</f>
        <v>5.0423115560777099</v>
      </c>
      <c r="O131" s="33">
        <f>quantInv[[#This Row],[UNIT
VALUE]]/USDtoGBP</f>
        <v>6.0893811096351795</v>
      </c>
      <c r="P131" s="33">
        <f>quantInv[[#This Row],[UNIT
VALUE]] / CADtoGBP</f>
        <v>7.7947578713525401</v>
      </c>
      <c r="Q131" s="33">
        <f>quantInv[[#This Row],[UNIT
VALUE]]/AUDtoGBP</f>
        <v>7.9784826496156329</v>
      </c>
      <c r="R131">
        <f>IFERROR(VLOOKUP(quantInv[[#This Row],[Assigned Item SKU]],skuQuantity[#All],2,FALSE),0)</f>
        <v>0</v>
      </c>
      <c r="S131" t="str">
        <f>PROPER(quantInv[[#This Row],[Metal]] &amp; " " &amp; quantInv[[#This Row],[Item Type]])</f>
        <v>925 Silver Chain</v>
      </c>
      <c r="T131" s="33">
        <f>quantInv[[#This Row],[Quantity]]*quantInv[[#This Row],[WEIGHT]]</f>
        <v>0</v>
      </c>
      <c r="U131" s="33">
        <f>quantInv[[#This Row],[UNIT
VALUE]]*quantInv[[#This Row],[Quantity]]</f>
        <v>0</v>
      </c>
      <c r="V131" s="33">
        <f>quantInv[[#This Row],[Total Cost GBP]]/EURtoGBP</f>
        <v>0</v>
      </c>
      <c r="W131" s="33">
        <f>quantInv[[#This Row],[Total Cost GBP]]/USDtoGBP</f>
        <v>0</v>
      </c>
      <c r="X131" s="33">
        <f>quantInv[[#This Row],[Total Cost GBP]]/CADtoGBP</f>
        <v>0</v>
      </c>
      <c r="Y131" s="33">
        <f>quantInv[[#This Row],[Quantity]]*quantInv[[#This Row],[UNIT
VALUE AUD]]</f>
        <v>0</v>
      </c>
      <c r="Z131" s="33"/>
    </row>
    <row r="132" spans="1:26" x14ac:dyDescent="0.25">
      <c r="A132" t="s">
        <v>404</v>
      </c>
      <c r="B132" t="s">
        <v>405</v>
      </c>
      <c r="C132" t="s">
        <v>113</v>
      </c>
      <c r="D132" t="s">
        <v>160</v>
      </c>
      <c r="E132">
        <v>5.4607973421926896</v>
      </c>
      <c r="F132" s="33">
        <v>4.8704999999999998</v>
      </c>
      <c r="G132" s="33" t="s">
        <v>117</v>
      </c>
      <c r="H132" t="s">
        <v>103</v>
      </c>
      <c r="I132" t="str">
        <f>IF(quantInv[[#This Row],[Metal]] = "925 Silver",  "7113.11.00"," 7113.19.00")</f>
        <v>7113.11.00</v>
      </c>
      <c r="J132" t="str">
        <f>IF(quantInv[[#This Row],[Metal]] = "925 Silver", "7113.11.10.00"," 7113.19.10.00")</f>
        <v>7113.11.10.00</v>
      </c>
      <c r="K132" t="str">
        <f>IF(quantInv[[#This Row],[Metal]] = "925 Silver",  "7113.11.00"," 7113.19.00")</f>
        <v>7113.11.00</v>
      </c>
      <c r="L132" t="str">
        <f>IFERROR(VLOOKUP(quantInv[[#This Row],[Description for New Invoice]],Map!$G$12:$H$32,2,FALSE), IF(quantInv[[#This Row],[Metal]] = "925 Silver", "7113.11.10.00", "7113.19.29.00"))</f>
        <v>7113.11.10.00</v>
      </c>
      <c r="M132" t="str">
        <f>quantInv[[#This Row],[ASIN]] &amp; " " &amp; quantInv[[#This Row],[Short Description]]</f>
        <v>B00D9BT23I Curb Chain</v>
      </c>
      <c r="N132" s="33">
        <f>quantInv[[#This Row],[UNIT
VALUE]] / EURtoGBP</f>
        <v>5.5285964822666056</v>
      </c>
      <c r="O132" s="33">
        <f>quantInv[[#This Row],[UNIT
VALUE]]/USDtoGBP</f>
        <v>6.6766463372004559</v>
      </c>
      <c r="P132" s="33">
        <f>quantInv[[#This Row],[UNIT
VALUE]] / CADtoGBP</f>
        <v>8.5464911218618553</v>
      </c>
      <c r="Q132" s="33">
        <f>quantInv[[#This Row],[UNIT
VALUE]]/AUDtoGBP</f>
        <v>8.7479344780515831</v>
      </c>
      <c r="R132">
        <f>IFERROR(VLOOKUP(quantInv[[#This Row],[Assigned Item SKU]],skuQuantity[#All],2,FALSE),0)</f>
        <v>0</v>
      </c>
      <c r="S132" t="str">
        <f>PROPER(quantInv[[#This Row],[Metal]] &amp; " " &amp; quantInv[[#This Row],[Item Type]])</f>
        <v>925 Silver Chain</v>
      </c>
      <c r="T132" s="33">
        <f>quantInv[[#This Row],[Quantity]]*quantInv[[#This Row],[WEIGHT]]</f>
        <v>0</v>
      </c>
      <c r="U132" s="33">
        <f>quantInv[[#This Row],[UNIT
VALUE]]*quantInv[[#This Row],[Quantity]]</f>
        <v>0</v>
      </c>
      <c r="V132" s="33">
        <f>quantInv[[#This Row],[Total Cost GBP]]/EURtoGBP</f>
        <v>0</v>
      </c>
      <c r="W132" s="33">
        <f>quantInv[[#This Row],[Total Cost GBP]]/USDtoGBP</f>
        <v>0</v>
      </c>
      <c r="X132" s="33">
        <f>quantInv[[#This Row],[Total Cost GBP]]/CADtoGBP</f>
        <v>0</v>
      </c>
      <c r="Y132" s="33">
        <f>quantInv[[#This Row],[Quantity]]*quantInv[[#This Row],[UNIT
VALUE AUD]]</f>
        <v>0</v>
      </c>
      <c r="Z132" s="33"/>
    </row>
    <row r="133" spans="1:26" x14ac:dyDescent="0.25">
      <c r="A133" t="s">
        <v>406</v>
      </c>
      <c r="B133" t="s">
        <v>407</v>
      </c>
      <c r="C133" t="s">
        <v>113</v>
      </c>
      <c r="D133" t="s">
        <v>160</v>
      </c>
      <c r="E133">
        <v>7.8724252491694404</v>
      </c>
      <c r="F133" s="33">
        <v>6.8674999999999997</v>
      </c>
      <c r="G133" s="33" t="s">
        <v>117</v>
      </c>
      <c r="H133" t="s">
        <v>103</v>
      </c>
      <c r="I133" t="str">
        <f>IF(quantInv[[#This Row],[Metal]] = "925 Silver",  "7113.11.00"," 7113.19.00")</f>
        <v>7113.11.00</v>
      </c>
      <c r="J133" t="str">
        <f>IF(quantInv[[#This Row],[Metal]] = "925 Silver", "7113.11.10.00"," 7113.19.10.00")</f>
        <v>7113.11.10.00</v>
      </c>
      <c r="K133" t="str">
        <f>IF(quantInv[[#This Row],[Metal]] = "925 Silver",  "7113.11.00"," 7113.19.00")</f>
        <v>7113.11.00</v>
      </c>
      <c r="L133" t="str">
        <f>IFERROR(VLOOKUP(quantInv[[#This Row],[Description for New Invoice]],Map!$G$12:$H$32,2,FALSE), IF(quantInv[[#This Row],[Metal]] = "925 Silver", "7113.11.10.00", "7113.19.29.00"))</f>
        <v>7113.11.10.00</v>
      </c>
      <c r="M133" t="str">
        <f>quantInv[[#This Row],[ASIN]] &amp; " " &amp; quantInv[[#This Row],[Short Description]]</f>
        <v>B073D7GH98 Curb Chain</v>
      </c>
      <c r="N133" s="33">
        <f>quantInv[[#This Row],[UNIT
VALUE]] / EURtoGBP</f>
        <v>7.7954288762890691</v>
      </c>
      <c r="O133" s="33">
        <f>quantInv[[#This Row],[UNIT
VALUE]]/USDtoGBP</f>
        <v>9.4142015646697725</v>
      </c>
      <c r="P133" s="33">
        <f>quantInv[[#This Row],[UNIT
VALUE]] / CADtoGBP</f>
        <v>12.050719182709432</v>
      </c>
      <c r="Q133" s="33">
        <f>quantInv[[#This Row],[UNIT
VALUE]]/AUDtoGBP</f>
        <v>12.334758244126732</v>
      </c>
      <c r="R133">
        <f>IFERROR(VLOOKUP(quantInv[[#This Row],[Assigned Item SKU]],skuQuantity[#All],2,FALSE),0)</f>
        <v>0</v>
      </c>
      <c r="S133" t="str">
        <f>PROPER(quantInv[[#This Row],[Metal]] &amp; " " &amp; quantInv[[#This Row],[Item Type]])</f>
        <v>925 Silver Chain</v>
      </c>
      <c r="T133" s="33">
        <f>quantInv[[#This Row],[Quantity]]*quantInv[[#This Row],[WEIGHT]]</f>
        <v>0</v>
      </c>
      <c r="U133" s="33">
        <f>quantInv[[#This Row],[UNIT
VALUE]]*quantInv[[#This Row],[Quantity]]</f>
        <v>0</v>
      </c>
      <c r="V133" s="33">
        <f>quantInv[[#This Row],[Total Cost GBP]]/EURtoGBP</f>
        <v>0</v>
      </c>
      <c r="W133" s="33">
        <f>quantInv[[#This Row],[Total Cost GBP]]/USDtoGBP</f>
        <v>0</v>
      </c>
      <c r="X133" s="33">
        <f>quantInv[[#This Row],[Total Cost GBP]]/CADtoGBP</f>
        <v>0</v>
      </c>
      <c r="Y133" s="33">
        <f>quantInv[[#This Row],[Quantity]]*quantInv[[#This Row],[UNIT
VALUE AUD]]</f>
        <v>0</v>
      </c>
      <c r="Z133" s="33"/>
    </row>
    <row r="134" spans="1:26" x14ac:dyDescent="0.25">
      <c r="A134" t="s">
        <v>408</v>
      </c>
      <c r="B134" t="s">
        <v>409</v>
      </c>
      <c r="C134" t="s">
        <v>113</v>
      </c>
      <c r="D134" t="s">
        <v>410</v>
      </c>
      <c r="E134">
        <v>3.66190476190476</v>
      </c>
      <c r="F134" s="33">
        <v>3.4129999999999998</v>
      </c>
      <c r="G134" s="33" t="s">
        <v>117</v>
      </c>
      <c r="H134" t="s">
        <v>103</v>
      </c>
      <c r="I134" t="str">
        <f>IF(quantInv[[#This Row],[Metal]] = "925 Silver",  "7113.11.00"," 7113.19.00")</f>
        <v>7113.11.00</v>
      </c>
      <c r="J134" t="str">
        <f>IF(quantInv[[#This Row],[Metal]] = "925 Silver", "7113.11.10.00"," 7113.19.10.00")</f>
        <v>7113.11.10.00</v>
      </c>
      <c r="K134" t="str">
        <f>IF(quantInv[[#This Row],[Metal]] = "925 Silver",  "7113.11.00"," 7113.19.00")</f>
        <v>7113.11.00</v>
      </c>
      <c r="L134" t="str">
        <f>IFERROR(VLOOKUP(quantInv[[#This Row],[Description for New Invoice]],Map!$G$12:$H$32,2,FALSE), IF(quantInv[[#This Row],[Metal]] = "925 Silver", "7113.11.10.00", "7113.19.29.00"))</f>
        <v>7113.11.10.00</v>
      </c>
      <c r="M134" t="str">
        <f>quantInv[[#This Row],[ASIN]] &amp; " " &amp; quantInv[[#This Row],[Short Description]]</f>
        <v>B00DKCYOQG Square Snake</v>
      </c>
      <c r="N134" s="33">
        <f>quantInv[[#This Row],[UNIT
VALUE]] / EURtoGBP</f>
        <v>3.874160721481557</v>
      </c>
      <c r="O134" s="33">
        <f>quantInv[[#This Row],[UNIT
VALUE]]/USDtoGBP</f>
        <v>4.6786559796458587</v>
      </c>
      <c r="P134" s="33">
        <f>quantInv[[#This Row],[UNIT
VALUE]] / CADtoGBP</f>
        <v>5.9889486087495145</v>
      </c>
      <c r="Q134" s="33">
        <f>quantInv[[#This Row],[UNIT
VALUE]]/AUDtoGBP</f>
        <v>6.1301099216897761</v>
      </c>
      <c r="R134">
        <f>IFERROR(VLOOKUP(quantInv[[#This Row],[Assigned Item SKU]],skuQuantity[#All],2,FALSE),0)</f>
        <v>0</v>
      </c>
      <c r="S134" t="str">
        <f>PROPER(quantInv[[#This Row],[Metal]] &amp; " " &amp; quantInv[[#This Row],[Item Type]])</f>
        <v>925 Silver Chain</v>
      </c>
      <c r="T134" s="33">
        <f>quantInv[[#This Row],[Quantity]]*quantInv[[#This Row],[WEIGHT]]</f>
        <v>0</v>
      </c>
      <c r="U134" s="33">
        <f>quantInv[[#This Row],[UNIT
VALUE]]*quantInv[[#This Row],[Quantity]]</f>
        <v>0</v>
      </c>
      <c r="V134" s="33">
        <f>quantInv[[#This Row],[Total Cost GBP]]/EURtoGBP</f>
        <v>0</v>
      </c>
      <c r="W134" s="33">
        <f>quantInv[[#This Row],[Total Cost GBP]]/USDtoGBP</f>
        <v>0</v>
      </c>
      <c r="X134" s="33">
        <f>quantInv[[#This Row],[Total Cost GBP]]/CADtoGBP</f>
        <v>0</v>
      </c>
      <c r="Y134" s="33">
        <f>quantInv[[#This Row],[Quantity]]*quantInv[[#This Row],[UNIT
VALUE AUD]]</f>
        <v>0</v>
      </c>
      <c r="Z134" s="33"/>
    </row>
    <row r="135" spans="1:26" x14ac:dyDescent="0.25">
      <c r="A135" t="s">
        <v>34</v>
      </c>
      <c r="B135" t="s">
        <v>518</v>
      </c>
      <c r="C135" t="s">
        <v>114</v>
      </c>
      <c r="D135" t="s">
        <v>213</v>
      </c>
      <c r="E135">
        <v>2.2200000000000002</v>
      </c>
      <c r="F135" s="33">
        <v>2.3235999999999999</v>
      </c>
      <c r="G135" s="33" t="s">
        <v>117</v>
      </c>
      <c r="H135" t="s">
        <v>1414</v>
      </c>
      <c r="I135" t="str">
        <f>IF(quantInv[[#This Row],[Metal]] = "925 Silver",  "7113.11.00"," 7113.19.00")</f>
        <v>7113.11.00</v>
      </c>
      <c r="J135" t="str">
        <f>IF(quantInv[[#This Row],[Metal]] = "925 Silver", "7113.11.10.00"," 7113.19.10.00")</f>
        <v>7113.11.10.00</v>
      </c>
      <c r="K135" t="str">
        <f>IF(quantInv[[#This Row],[Metal]] = "925 Silver",  "7113.11.00"," 7113.19.00")</f>
        <v>7113.11.00</v>
      </c>
      <c r="L135" t="str">
        <f>IFERROR(VLOOKUP(quantInv[[#This Row],[Description for New Invoice]],Map!$G$12:$H$32,2,FALSE), IF(quantInv[[#This Row],[Metal]] = "925 Silver", "7113.11.10.00", "7113.19.29.00"))</f>
        <v>7113.11.10.00</v>
      </c>
      <c r="M135" t="str">
        <f>quantInv[[#This Row],[ASIN]] &amp; " " &amp; quantInv[[#This Row],[Short Description]]</f>
        <v>B00JCW1X12 Ball Chain</v>
      </c>
      <c r="N135" s="33">
        <f>quantInv[[#This Row],[UNIT
VALUE]] / EURtoGBP</f>
        <v>2.6375622187033536</v>
      </c>
      <c r="O135" s="33">
        <f>quantInv[[#This Row],[UNIT
VALUE]]/USDtoGBP</f>
        <v>3.1852695676252907</v>
      </c>
      <c r="P135" s="33">
        <f>quantInv[[#This Row],[UNIT
VALUE]] / CADtoGBP</f>
        <v>4.077328153322699</v>
      </c>
      <c r="Q135" s="33">
        <f>quantInv[[#This Row],[UNIT
VALUE]]/AUDtoGBP</f>
        <v>4.1734319994252456</v>
      </c>
      <c r="R135">
        <f>IFERROR(VLOOKUP(quantInv[[#This Row],[Assigned Item SKU]],skuQuantity[#All],2,FALSE),0)</f>
        <v>100</v>
      </c>
      <c r="S135" t="str">
        <f>PROPER(quantInv[[#This Row],[Metal]] &amp; " " &amp; quantInv[[#This Row],[Item Type]])</f>
        <v>925 Silver Bracelet</v>
      </c>
      <c r="T135" s="33">
        <f>quantInv[[#This Row],[Quantity]]*quantInv[[#This Row],[WEIGHT]]</f>
        <v>222.00000000000003</v>
      </c>
      <c r="U135" s="33">
        <f>quantInv[[#This Row],[UNIT
VALUE]]*quantInv[[#This Row],[Quantity]]</f>
        <v>232.35999999999999</v>
      </c>
      <c r="V135" s="33">
        <f>quantInv[[#This Row],[Total Cost GBP]]/EURtoGBP</f>
        <v>263.75622187033537</v>
      </c>
      <c r="W135" s="33">
        <f>quantInv[[#This Row],[Total Cost GBP]]/USDtoGBP</f>
        <v>318.52695676252904</v>
      </c>
      <c r="X135" s="33">
        <f>quantInv[[#This Row],[Total Cost GBP]]/CADtoGBP</f>
        <v>407.73281533226992</v>
      </c>
      <c r="Y135" s="33">
        <f>quantInv[[#This Row],[Quantity]]*quantInv[[#This Row],[UNIT
VALUE AUD]]</f>
        <v>417.34319994252456</v>
      </c>
      <c r="Z135" s="33"/>
    </row>
    <row r="136" spans="1:26" x14ac:dyDescent="0.25">
      <c r="A136" t="s">
        <v>413</v>
      </c>
      <c r="B136" t="s">
        <v>414</v>
      </c>
      <c r="C136" t="s">
        <v>113</v>
      </c>
      <c r="D136" t="s">
        <v>173</v>
      </c>
      <c r="E136">
        <v>2.38</v>
      </c>
      <c r="F136" s="33">
        <v>2.4870000000000001</v>
      </c>
      <c r="G136" s="33" t="s">
        <v>117</v>
      </c>
      <c r="H136" t="s">
        <v>103</v>
      </c>
      <c r="I136" t="str">
        <f>IF(quantInv[[#This Row],[Metal]] = "925 Silver",  "7113.11.00"," 7113.19.00")</f>
        <v>7113.11.00</v>
      </c>
      <c r="J136" t="str">
        <f>IF(quantInv[[#This Row],[Metal]] = "925 Silver", "7113.11.10.00"," 7113.19.10.00")</f>
        <v>7113.11.10.00</v>
      </c>
      <c r="K136" t="str">
        <f>IF(quantInv[[#This Row],[Metal]] = "925 Silver",  "7113.11.00"," 7113.19.00")</f>
        <v>7113.11.00</v>
      </c>
      <c r="L136" t="str">
        <f>IFERROR(VLOOKUP(quantInv[[#This Row],[Description for New Invoice]],Map!$G$12:$H$32,2,FALSE), IF(quantInv[[#This Row],[Metal]] = "925 Silver", "7113.11.10.00", "7113.19.29.00"))</f>
        <v>7113.11.10.00</v>
      </c>
      <c r="M136" t="str">
        <f>quantInv[[#This Row],[ASIN]] &amp; " " &amp; quantInv[[#This Row],[Short Description]]</f>
        <v>B00DKCYXQM Figaro Chain</v>
      </c>
      <c r="N136" s="33">
        <f>quantInv[[#This Row],[UNIT
VALUE]] / EURtoGBP</f>
        <v>2.8230406429313311</v>
      </c>
      <c r="O136" s="33">
        <f>quantInv[[#This Row],[UNIT
VALUE]]/USDtoGBP</f>
        <v>3.409263821089731</v>
      </c>
      <c r="P136" s="33">
        <f>quantInv[[#This Row],[UNIT
VALUE]] / CADtoGBP</f>
        <v>4.3640536741752252</v>
      </c>
      <c r="Q136" s="33">
        <f>quantInv[[#This Row],[UNIT
VALUE]]/AUDtoGBP</f>
        <v>4.4669157267045048</v>
      </c>
      <c r="R136">
        <f>IFERROR(VLOOKUP(quantInv[[#This Row],[Assigned Item SKU]],skuQuantity[#All],2,FALSE),0)</f>
        <v>0</v>
      </c>
      <c r="S136" t="str">
        <f>PROPER(quantInv[[#This Row],[Metal]] &amp; " " &amp; quantInv[[#This Row],[Item Type]])</f>
        <v>925 Silver Chain</v>
      </c>
      <c r="T136" s="33">
        <f>quantInv[[#This Row],[Quantity]]*quantInv[[#This Row],[WEIGHT]]</f>
        <v>0</v>
      </c>
      <c r="U136" s="33">
        <f>quantInv[[#This Row],[UNIT
VALUE]]*quantInv[[#This Row],[Quantity]]</f>
        <v>0</v>
      </c>
      <c r="V136" s="33">
        <f>quantInv[[#This Row],[Total Cost GBP]]/EURtoGBP</f>
        <v>0</v>
      </c>
      <c r="W136" s="33">
        <f>quantInv[[#This Row],[Total Cost GBP]]/USDtoGBP</f>
        <v>0</v>
      </c>
      <c r="X136" s="33">
        <f>quantInv[[#This Row],[Total Cost GBP]]/CADtoGBP</f>
        <v>0</v>
      </c>
      <c r="Y136" s="33">
        <f>quantInv[[#This Row],[Quantity]]*quantInv[[#This Row],[UNIT
VALUE AUD]]</f>
        <v>0</v>
      </c>
      <c r="Z136" s="33"/>
    </row>
    <row r="137" spans="1:26" x14ac:dyDescent="0.25">
      <c r="A137" t="s">
        <v>13</v>
      </c>
      <c r="B137" t="s">
        <v>663</v>
      </c>
      <c r="C137" t="s">
        <v>114</v>
      </c>
      <c r="D137" t="s">
        <v>626</v>
      </c>
      <c r="E137">
        <v>4.5599999999999996</v>
      </c>
      <c r="F137" s="33">
        <v>4.3677000000000001</v>
      </c>
      <c r="G137" s="33" t="s">
        <v>117</v>
      </c>
      <c r="H137" t="s">
        <v>103</v>
      </c>
      <c r="I137" t="str">
        <f>IF(quantInv[[#This Row],[Metal]] = "925 Silver",  "7113.11.00"," 7113.19.00")</f>
        <v>7113.11.00</v>
      </c>
      <c r="J137" t="str">
        <f>IF(quantInv[[#This Row],[Metal]] = "925 Silver", "7113.11.10.00"," 7113.19.10.00")</f>
        <v>7113.11.10.00</v>
      </c>
      <c r="K137" t="str">
        <f>IF(quantInv[[#This Row],[Metal]] = "925 Silver",  "7113.11.00"," 7113.19.00")</f>
        <v>7113.11.00</v>
      </c>
      <c r="L137" t="str">
        <f>IFERROR(VLOOKUP(quantInv[[#This Row],[Description for New Invoice]],Map!$G$12:$H$32,2,FALSE), IF(quantInv[[#This Row],[Metal]] = "925 Silver", "7113.11.10.00", "7113.19.29.00"))</f>
        <v>7113.11.10.00</v>
      </c>
      <c r="M137" t="str">
        <f>quantInv[[#This Row],[ASIN]] &amp; " " &amp; quantInv[[#This Row],[Short Description]]</f>
        <v>B01NAU1MJ3 Popcorn Chain</v>
      </c>
      <c r="N137" s="33">
        <f>quantInv[[#This Row],[UNIT
VALUE]] / EURtoGBP</f>
        <v>4.9578587117535884</v>
      </c>
      <c r="O137" s="33">
        <f>quantInv[[#This Row],[UNIT
VALUE]]/USDtoGBP</f>
        <v>5.9873910701140396</v>
      </c>
      <c r="P137" s="33">
        <f>quantInv[[#This Row],[UNIT
VALUE]] / CADtoGBP</f>
        <v>7.6642047578187098</v>
      </c>
      <c r="Q137" s="33">
        <f>quantInv[[#This Row],[UNIT
VALUE]]/AUDtoGBP</f>
        <v>7.8448523600833395</v>
      </c>
      <c r="R137">
        <f>IFERROR(VLOOKUP(quantInv[[#This Row],[Assigned Item SKU]],skuQuantity[#All],2,FALSE),0)</f>
        <v>25</v>
      </c>
      <c r="S137" t="str">
        <f>PROPER(quantInv[[#This Row],[Metal]] &amp; " " &amp; quantInv[[#This Row],[Item Type]])</f>
        <v>925 Silver Chain</v>
      </c>
      <c r="T137" s="33">
        <f>quantInv[[#This Row],[Quantity]]*quantInv[[#This Row],[WEIGHT]]</f>
        <v>113.99999999999999</v>
      </c>
      <c r="U137" s="33">
        <f>quantInv[[#This Row],[UNIT
VALUE]]*quantInv[[#This Row],[Quantity]]</f>
        <v>109.19250000000001</v>
      </c>
      <c r="V137" s="33">
        <f>quantInv[[#This Row],[Total Cost GBP]]/EURtoGBP</f>
        <v>123.94646779383972</v>
      </c>
      <c r="W137" s="33">
        <f>quantInv[[#This Row],[Total Cost GBP]]/USDtoGBP</f>
        <v>149.68477675285101</v>
      </c>
      <c r="X137" s="33">
        <f>quantInv[[#This Row],[Total Cost GBP]]/CADtoGBP</f>
        <v>191.60511894546775</v>
      </c>
      <c r="Y137" s="33">
        <f>quantInv[[#This Row],[Quantity]]*quantInv[[#This Row],[UNIT
VALUE AUD]]</f>
        <v>196.12130900208348</v>
      </c>
      <c r="Z137" s="33"/>
    </row>
    <row r="138" spans="1:26" x14ac:dyDescent="0.25">
      <c r="A138" t="s">
        <v>192</v>
      </c>
      <c r="B138" t="s">
        <v>193</v>
      </c>
      <c r="C138" t="s">
        <v>113</v>
      </c>
      <c r="D138" t="s">
        <v>189</v>
      </c>
      <c r="E138">
        <v>2.16</v>
      </c>
      <c r="F138" s="33">
        <v>3.0314000000000001</v>
      </c>
      <c r="G138" s="33" t="s">
        <v>117</v>
      </c>
      <c r="H138" t="s">
        <v>103</v>
      </c>
      <c r="I138" t="str">
        <f>IF(quantInv[[#This Row],[Metal]] = "925 Silver",  "7113.11.00"," 7113.19.00")</f>
        <v>7113.11.00</v>
      </c>
      <c r="J138" t="str">
        <f>IF(quantInv[[#This Row],[Metal]] = "925 Silver", "7113.11.10.00"," 7113.19.10.00")</f>
        <v>7113.11.10.00</v>
      </c>
      <c r="K138" t="str">
        <f>IF(quantInv[[#This Row],[Metal]] = "925 Silver",  "7113.11.00"," 7113.19.00")</f>
        <v>7113.11.00</v>
      </c>
      <c r="L138" t="str">
        <f>IFERROR(VLOOKUP(quantInv[[#This Row],[Description for New Invoice]],Map!$G$12:$H$32,2,FALSE), IF(quantInv[[#This Row],[Metal]] = "925 Silver", "7113.11.10.00", "7113.19.29.00"))</f>
        <v>7113.11.10.00</v>
      </c>
      <c r="M138" t="str">
        <f>quantInv[[#This Row],[ASIN]] &amp; " " &amp; quantInv[[#This Row],[Short Description]]</f>
        <v>B012HM95PO Singapore Chain</v>
      </c>
      <c r="N138" s="33">
        <f>quantInv[[#This Row],[UNIT
VALUE]] / EURtoGBP</f>
        <v>3.4409993586578356</v>
      </c>
      <c r="O138" s="33">
        <f>quantInv[[#This Row],[UNIT
VALUE]]/USDtoGBP</f>
        <v>4.155545776940655</v>
      </c>
      <c r="P138" s="33">
        <f>quantInv[[#This Row],[UNIT
VALUE]] / CADtoGBP</f>
        <v>5.3193374780437388</v>
      </c>
      <c r="Q138" s="33">
        <f>quantInv[[#This Row],[UNIT
VALUE]]/AUDtoGBP</f>
        <v>5.4447158560241391</v>
      </c>
      <c r="R138">
        <f>IFERROR(VLOOKUP(quantInv[[#This Row],[Assigned Item SKU]],skuQuantity[#All],2,FALSE),0)</f>
        <v>15</v>
      </c>
      <c r="S138" t="str">
        <f>PROPER(quantInv[[#This Row],[Metal]] &amp; " " &amp; quantInv[[#This Row],[Item Type]])</f>
        <v>925 Silver Chain</v>
      </c>
      <c r="T138" s="33">
        <f>quantInv[[#This Row],[Quantity]]*quantInv[[#This Row],[WEIGHT]]</f>
        <v>32.400000000000006</v>
      </c>
      <c r="U138" s="33">
        <f>quantInv[[#This Row],[UNIT
VALUE]]*quantInv[[#This Row],[Quantity]]</f>
        <v>45.471000000000004</v>
      </c>
      <c r="V138" s="33">
        <f>quantInv[[#This Row],[Total Cost GBP]]/EURtoGBP</f>
        <v>51.614990379867535</v>
      </c>
      <c r="W138" s="33">
        <f>quantInv[[#This Row],[Total Cost GBP]]/USDtoGBP</f>
        <v>62.333186654109831</v>
      </c>
      <c r="X138" s="33">
        <f>quantInv[[#This Row],[Total Cost GBP]]/CADtoGBP</f>
        <v>79.790062170656086</v>
      </c>
      <c r="Y138" s="33">
        <f>quantInv[[#This Row],[Quantity]]*quantInv[[#This Row],[UNIT
VALUE AUD]]</f>
        <v>81.670737840362079</v>
      </c>
      <c r="Z138" s="33"/>
    </row>
    <row r="139" spans="1:26" x14ac:dyDescent="0.25">
      <c r="A139" t="s">
        <v>459</v>
      </c>
      <c r="B139" t="s">
        <v>460</v>
      </c>
      <c r="C139" t="s">
        <v>113</v>
      </c>
      <c r="D139" t="s">
        <v>189</v>
      </c>
      <c r="E139">
        <v>3.6179999999999999</v>
      </c>
      <c r="F139" s="33">
        <v>3.5038</v>
      </c>
      <c r="G139" s="33" t="s">
        <v>117</v>
      </c>
      <c r="H139" t="s">
        <v>1414</v>
      </c>
      <c r="I139" t="str">
        <f>IF(quantInv[[#This Row],[Metal]] = "925 Silver",  "7113.11.00"," 7113.19.00")</f>
        <v>7113.11.00</v>
      </c>
      <c r="J139" t="str">
        <f>IF(quantInv[[#This Row],[Metal]] = "925 Silver", "7113.11.10.00"," 7113.19.10.00")</f>
        <v>7113.11.10.00</v>
      </c>
      <c r="K139" t="str">
        <f>IF(quantInv[[#This Row],[Metal]] = "925 Silver",  "7113.11.00"," 7113.19.00")</f>
        <v>7113.11.00</v>
      </c>
      <c r="L139" t="str">
        <f>IFERROR(VLOOKUP(quantInv[[#This Row],[Description for New Invoice]],Map!$G$12:$H$32,2,FALSE), IF(quantInv[[#This Row],[Metal]] = "925 Silver", "7113.11.10.00", "7113.19.29.00"))</f>
        <v>7113.11.10.00</v>
      </c>
      <c r="M139" t="str">
        <f>quantInv[[#This Row],[ASIN]] &amp; " " &amp; quantInv[[#This Row],[Short Description]]</f>
        <v>B01N5RK65Z Singapore Chain</v>
      </c>
      <c r="N139" s="33">
        <f>quantInv[[#This Row],[UNIT
VALUE]] / EURtoGBP</f>
        <v>3.977229515360996</v>
      </c>
      <c r="O139" s="33">
        <f>quantInv[[#This Row],[UNIT
VALUE]]/USDtoGBP</f>
        <v>4.8031276945453154</v>
      </c>
      <c r="P139" s="33">
        <f>quantInv[[#This Row],[UNIT
VALUE]] / CADtoGBP</f>
        <v>6.1482795591375767</v>
      </c>
      <c r="Q139" s="33">
        <f>quantInv[[#This Row],[UNIT
VALUE]]/AUDtoGBP</f>
        <v>6.2931963503125221</v>
      </c>
      <c r="R139">
        <f>IFERROR(VLOOKUP(quantInv[[#This Row],[Assigned Item SKU]],skuQuantity[#All],2,FALSE),0)</f>
        <v>10</v>
      </c>
      <c r="S139" t="str">
        <f>PROPER(quantInv[[#This Row],[Metal]] &amp; " " &amp; quantInv[[#This Row],[Item Type]])</f>
        <v>925 Silver Bracelet</v>
      </c>
      <c r="T139" s="33">
        <f>quantInv[[#This Row],[Quantity]]*quantInv[[#This Row],[WEIGHT]]</f>
        <v>36.18</v>
      </c>
      <c r="U139" s="33">
        <f>quantInv[[#This Row],[UNIT
VALUE]]*quantInv[[#This Row],[Quantity]]</f>
        <v>35.037999999999997</v>
      </c>
      <c r="V139" s="33">
        <f>quantInv[[#This Row],[Total Cost GBP]]/EURtoGBP</f>
        <v>39.77229515360996</v>
      </c>
      <c r="W139" s="33">
        <f>quantInv[[#This Row],[Total Cost GBP]]/USDtoGBP</f>
        <v>48.031276945453143</v>
      </c>
      <c r="X139" s="33">
        <f>quantInv[[#This Row],[Total Cost GBP]]/CADtoGBP</f>
        <v>61.482795591375762</v>
      </c>
      <c r="Y139" s="33">
        <f>quantInv[[#This Row],[Quantity]]*quantInv[[#This Row],[UNIT
VALUE AUD]]</f>
        <v>62.931963503125218</v>
      </c>
      <c r="Z139" s="33"/>
    </row>
    <row r="140" spans="1:26" x14ac:dyDescent="0.25">
      <c r="A140" t="s">
        <v>422</v>
      </c>
      <c r="B140" t="s">
        <v>423</v>
      </c>
      <c r="C140" t="s">
        <v>113</v>
      </c>
      <c r="D140" t="s">
        <v>419</v>
      </c>
      <c r="E140">
        <v>4.2220000000000004</v>
      </c>
      <c r="F140" s="33">
        <v>4.3653000000000004</v>
      </c>
      <c r="G140" s="33" t="s">
        <v>117</v>
      </c>
      <c r="H140" t="s">
        <v>1414</v>
      </c>
      <c r="I140" t="str">
        <f>IF(quantInv[[#This Row],[Metal]] = "925 Silver",  "7113.11.00"," 7113.19.00")</f>
        <v>7113.11.00</v>
      </c>
      <c r="J140" t="str">
        <f>IF(quantInv[[#This Row],[Metal]] = "925 Silver", "7113.11.10.00"," 7113.19.10.00")</f>
        <v>7113.11.10.00</v>
      </c>
      <c r="K140" t="str">
        <f>IF(quantInv[[#This Row],[Metal]] = "925 Silver",  "7113.11.00"," 7113.19.00")</f>
        <v>7113.11.00</v>
      </c>
      <c r="L140" t="str">
        <f>IFERROR(VLOOKUP(quantInv[[#This Row],[Description for New Invoice]],Map!$G$12:$H$32,2,FALSE), IF(quantInv[[#This Row],[Metal]] = "925 Silver", "7113.11.10.00", "7113.19.29.00"))</f>
        <v>7113.11.10.00</v>
      </c>
      <c r="M140" t="str">
        <f>quantInv[[#This Row],[ASIN]] &amp; " " &amp; quantInv[[#This Row],[Short Description]]</f>
        <v>B01MYAH5VX Garibaldi Chain</v>
      </c>
      <c r="N140" s="33">
        <f>quantInv[[#This Row],[UNIT
VALUE]] / EURtoGBP</f>
        <v>4.955134426452811</v>
      </c>
      <c r="O140" s="33">
        <f>quantInv[[#This Row],[UNIT
VALUE]]/USDtoGBP</f>
        <v>5.9841010688391645</v>
      </c>
      <c r="P140" s="33">
        <f>quantInv[[#This Row],[UNIT
VALUE]] / CADtoGBP</f>
        <v>7.6599933670595544</v>
      </c>
      <c r="Q140" s="33">
        <f>quantInv[[#This Row],[UNIT
VALUE]]/AUDtoGBP</f>
        <v>7.8405417055822975</v>
      </c>
      <c r="R140">
        <f>IFERROR(VLOOKUP(quantInv[[#This Row],[Assigned Item SKU]],skuQuantity[#All],2,FALSE),0)</f>
        <v>0</v>
      </c>
      <c r="S140" t="str">
        <f>PROPER(quantInv[[#This Row],[Metal]] &amp; " " &amp; quantInv[[#This Row],[Item Type]])</f>
        <v>925 Silver Bracelet</v>
      </c>
      <c r="T140" s="33">
        <f>quantInv[[#This Row],[Quantity]]*quantInv[[#This Row],[WEIGHT]]</f>
        <v>0</v>
      </c>
      <c r="U140" s="33">
        <f>quantInv[[#This Row],[UNIT
VALUE]]*quantInv[[#This Row],[Quantity]]</f>
        <v>0</v>
      </c>
      <c r="V140" s="33">
        <f>quantInv[[#This Row],[Total Cost GBP]]/EURtoGBP</f>
        <v>0</v>
      </c>
      <c r="W140" s="33">
        <f>quantInv[[#This Row],[Total Cost GBP]]/USDtoGBP</f>
        <v>0</v>
      </c>
      <c r="X140" s="33">
        <f>quantInv[[#This Row],[Total Cost GBP]]/CADtoGBP</f>
        <v>0</v>
      </c>
      <c r="Y140" s="33">
        <f>quantInv[[#This Row],[Quantity]]*quantInv[[#This Row],[UNIT
VALUE AUD]]</f>
        <v>0</v>
      </c>
      <c r="Z140" s="33"/>
    </row>
    <row r="141" spans="1:26" x14ac:dyDescent="0.25">
      <c r="A141" t="s">
        <v>424</v>
      </c>
      <c r="B141" t="s">
        <v>425</v>
      </c>
      <c r="C141" t="s">
        <v>113</v>
      </c>
      <c r="D141" t="s">
        <v>419</v>
      </c>
      <c r="E141">
        <v>8.9380000000000006</v>
      </c>
      <c r="F141" s="33">
        <v>8.4586000000000006</v>
      </c>
      <c r="G141" s="33" t="s">
        <v>117</v>
      </c>
      <c r="H141" t="s">
        <v>103</v>
      </c>
      <c r="I141" t="str">
        <f>IF(quantInv[[#This Row],[Metal]] = "925 Silver",  "7113.11.00"," 7113.19.00")</f>
        <v>7113.11.00</v>
      </c>
      <c r="J141" t="str">
        <f>IF(quantInv[[#This Row],[Metal]] = "925 Silver", "7113.11.10.00"," 7113.19.10.00")</f>
        <v>7113.11.10.00</v>
      </c>
      <c r="K141" t="str">
        <f>IF(quantInv[[#This Row],[Metal]] = "925 Silver",  "7113.11.00"," 7113.19.00")</f>
        <v>7113.11.00</v>
      </c>
      <c r="L141" t="str">
        <f>IFERROR(VLOOKUP(quantInv[[#This Row],[Description for New Invoice]],Map!$G$12:$H$32,2,FALSE), IF(quantInv[[#This Row],[Metal]] = "925 Silver", "7113.11.10.00", "7113.19.29.00"))</f>
        <v>7113.11.10.00</v>
      </c>
      <c r="M141" t="str">
        <f>quantInv[[#This Row],[ASIN]] &amp; " " &amp; quantInv[[#This Row],[Short Description]]</f>
        <v>B00DKCZ8GQ Garibaldi Chain</v>
      </c>
      <c r="N141" s="33">
        <f>quantInv[[#This Row],[UNIT
VALUE]] / EURtoGBP</f>
        <v>9.6015165188174336</v>
      </c>
      <c r="O141" s="33">
        <f>quantInv[[#This Row],[UNIT
VALUE]]/USDtoGBP</f>
        <v>11.595335326525774</v>
      </c>
      <c r="P141" s="33">
        <f>quantInv[[#This Row],[UNIT
VALUE]] / CADtoGBP</f>
        <v>14.842695781414783</v>
      </c>
      <c r="Q141" s="33">
        <f>quantInv[[#This Row],[UNIT
VALUE]]/AUDtoGBP</f>
        <v>15.192542567713199</v>
      </c>
      <c r="R141">
        <f>IFERROR(VLOOKUP(quantInv[[#This Row],[Assigned Item SKU]],skuQuantity[#All],2,FALSE),0)</f>
        <v>0</v>
      </c>
      <c r="S141" t="str">
        <f>PROPER(quantInv[[#This Row],[Metal]] &amp; " " &amp; quantInv[[#This Row],[Item Type]])</f>
        <v>925 Silver Chain</v>
      </c>
      <c r="T141" s="33">
        <f>quantInv[[#This Row],[Quantity]]*quantInv[[#This Row],[WEIGHT]]</f>
        <v>0</v>
      </c>
      <c r="U141" s="33">
        <f>quantInv[[#This Row],[UNIT
VALUE]]*quantInv[[#This Row],[Quantity]]</f>
        <v>0</v>
      </c>
      <c r="V141" s="33">
        <f>quantInv[[#This Row],[Total Cost GBP]]/EURtoGBP</f>
        <v>0</v>
      </c>
      <c r="W141" s="33">
        <f>quantInv[[#This Row],[Total Cost GBP]]/USDtoGBP</f>
        <v>0</v>
      </c>
      <c r="X141" s="33">
        <f>quantInv[[#This Row],[Total Cost GBP]]/CADtoGBP</f>
        <v>0</v>
      </c>
      <c r="Y141" s="33">
        <f>quantInv[[#This Row],[Quantity]]*quantInv[[#This Row],[UNIT
VALUE AUD]]</f>
        <v>0</v>
      </c>
      <c r="Z141" s="33"/>
    </row>
    <row r="142" spans="1:26" x14ac:dyDescent="0.25">
      <c r="A142" t="s">
        <v>426</v>
      </c>
      <c r="B142" t="s">
        <v>427</v>
      </c>
      <c r="C142" t="s">
        <v>113</v>
      </c>
      <c r="D142" t="s">
        <v>428</v>
      </c>
      <c r="E142">
        <v>1.19354838709677</v>
      </c>
      <c r="F142" s="33">
        <v>1.5049999999999999</v>
      </c>
      <c r="G142" s="33" t="s">
        <v>117</v>
      </c>
      <c r="H142" t="s">
        <v>1414</v>
      </c>
      <c r="I142" t="str">
        <f>IF(quantInv[[#This Row],[Metal]] = "925 Silver",  "7113.11.00"," 7113.19.00")</f>
        <v>7113.11.00</v>
      </c>
      <c r="J142" t="str">
        <f>IF(quantInv[[#This Row],[Metal]] = "925 Silver", "7113.11.10.00"," 7113.19.10.00")</f>
        <v>7113.11.10.00</v>
      </c>
      <c r="K142" t="str">
        <f>IF(quantInv[[#This Row],[Metal]] = "925 Silver",  "7113.11.00"," 7113.19.00")</f>
        <v>7113.11.00</v>
      </c>
      <c r="L142" t="str">
        <f>IFERROR(VLOOKUP(quantInv[[#This Row],[Description for New Invoice]],Map!$G$12:$H$32,2,FALSE), IF(quantInv[[#This Row],[Metal]] = "925 Silver", "7113.11.10.00", "7113.19.29.00"))</f>
        <v>7113.11.10.00</v>
      </c>
      <c r="M142" t="str">
        <f>quantInv[[#This Row],[ASIN]] &amp; " " &amp; quantInv[[#This Row],[Short Description]]</f>
        <v>B01N24LCKI Rhombus Chain</v>
      </c>
      <c r="N142" s="33">
        <f>quantInv[[#This Row],[UNIT
VALUE]] / EURtoGBP</f>
        <v>1.7083539073629486</v>
      </c>
      <c r="O142" s="33">
        <f>quantInv[[#This Row],[UNIT
VALUE]]/USDtoGBP</f>
        <v>2.0631049661198411</v>
      </c>
      <c r="P142" s="33">
        <f>quantInv[[#This Row],[UNIT
VALUE]] / CADtoGBP</f>
        <v>2.6408929552206328</v>
      </c>
      <c r="Q142" s="33">
        <f>quantInv[[#This Row],[UNIT
VALUE]]/AUDtoGBP</f>
        <v>2.7031395933615916</v>
      </c>
      <c r="R142">
        <f>IFERROR(VLOOKUP(quantInv[[#This Row],[Assigned Item SKU]],skuQuantity[#All],2,FALSE),0)</f>
        <v>0</v>
      </c>
      <c r="S142" t="str">
        <f>PROPER(quantInv[[#This Row],[Metal]] &amp; " " &amp; quantInv[[#This Row],[Item Type]])</f>
        <v>925 Silver Bracelet</v>
      </c>
      <c r="T142" s="33">
        <f>quantInv[[#This Row],[Quantity]]*quantInv[[#This Row],[WEIGHT]]</f>
        <v>0</v>
      </c>
      <c r="U142" s="33">
        <f>quantInv[[#This Row],[UNIT
VALUE]]*quantInv[[#This Row],[Quantity]]</f>
        <v>0</v>
      </c>
      <c r="V142" s="33">
        <f>quantInv[[#This Row],[Total Cost GBP]]/EURtoGBP</f>
        <v>0</v>
      </c>
      <c r="W142" s="33">
        <f>quantInv[[#This Row],[Total Cost GBP]]/USDtoGBP</f>
        <v>0</v>
      </c>
      <c r="X142" s="33">
        <f>quantInv[[#This Row],[Total Cost GBP]]/CADtoGBP</f>
        <v>0</v>
      </c>
      <c r="Y142" s="33">
        <f>quantInv[[#This Row],[Quantity]]*quantInv[[#This Row],[UNIT
VALUE AUD]]</f>
        <v>0</v>
      </c>
      <c r="Z142" s="33"/>
    </row>
    <row r="143" spans="1:26" x14ac:dyDescent="0.25">
      <c r="A143" t="s">
        <v>429</v>
      </c>
      <c r="B143" t="s">
        <v>430</v>
      </c>
      <c r="C143" t="s">
        <v>113</v>
      </c>
      <c r="D143" t="s">
        <v>428</v>
      </c>
      <c r="E143">
        <v>1.23548387096774</v>
      </c>
      <c r="F143" s="33">
        <v>1.5456000000000001</v>
      </c>
      <c r="G143" s="33" t="s">
        <v>117</v>
      </c>
      <c r="H143" t="s">
        <v>1414</v>
      </c>
      <c r="I143" t="str">
        <f>IF(quantInv[[#This Row],[Metal]] = "925 Silver",  "7113.11.00"," 7113.19.00")</f>
        <v>7113.11.00</v>
      </c>
      <c r="J143" t="str">
        <f>IF(quantInv[[#This Row],[Metal]] = "925 Silver", "7113.11.10.00"," 7113.19.10.00")</f>
        <v>7113.11.10.00</v>
      </c>
      <c r="K143" t="str">
        <f>IF(quantInv[[#This Row],[Metal]] = "925 Silver",  "7113.11.00"," 7113.19.00")</f>
        <v>7113.11.00</v>
      </c>
      <c r="L143" t="str">
        <f>IFERROR(VLOOKUP(quantInv[[#This Row],[Description for New Invoice]],Map!$G$12:$H$32,2,FALSE), IF(quantInv[[#This Row],[Metal]] = "925 Silver", "7113.11.10.00", "7113.19.29.00"))</f>
        <v>7113.11.10.00</v>
      </c>
      <c r="M143" t="str">
        <f>quantInv[[#This Row],[ASIN]] &amp; " " &amp; quantInv[[#This Row],[Short Description]]</f>
        <v>B01MUCWUT4 Rhombus Chain</v>
      </c>
      <c r="N143" s="33">
        <f>quantInv[[#This Row],[UNIT
VALUE]] / EURtoGBP</f>
        <v>1.7544397337011119</v>
      </c>
      <c r="O143" s="33">
        <f>quantInv[[#This Row],[UNIT
VALUE]]/USDtoGBP</f>
        <v>2.1187608210198183</v>
      </c>
      <c r="P143" s="33">
        <f>quantInv[[#This Row],[UNIT
VALUE]] / CADtoGBP</f>
        <v>2.7121356488963526</v>
      </c>
      <c r="Q143" s="33">
        <f>quantInv[[#This Row],[UNIT
VALUE]]/AUDtoGBP</f>
        <v>2.7760614986708814</v>
      </c>
      <c r="R143">
        <f>IFERROR(VLOOKUP(quantInv[[#This Row],[Assigned Item SKU]],skuQuantity[#All],2,FALSE),0)</f>
        <v>0</v>
      </c>
      <c r="S143" t="str">
        <f>PROPER(quantInv[[#This Row],[Metal]] &amp; " " &amp; quantInv[[#This Row],[Item Type]])</f>
        <v>925 Silver Bracelet</v>
      </c>
      <c r="T143" s="33">
        <f>quantInv[[#This Row],[Quantity]]*quantInv[[#This Row],[WEIGHT]]</f>
        <v>0</v>
      </c>
      <c r="U143" s="33">
        <f>quantInv[[#This Row],[UNIT
VALUE]]*quantInv[[#This Row],[Quantity]]</f>
        <v>0</v>
      </c>
      <c r="V143" s="33">
        <f>quantInv[[#This Row],[Total Cost GBP]]/EURtoGBP</f>
        <v>0</v>
      </c>
      <c r="W143" s="33">
        <f>quantInv[[#This Row],[Total Cost GBP]]/USDtoGBP</f>
        <v>0</v>
      </c>
      <c r="X143" s="33">
        <f>quantInv[[#This Row],[Total Cost GBP]]/CADtoGBP</f>
        <v>0</v>
      </c>
      <c r="Y143" s="33">
        <f>quantInv[[#This Row],[Quantity]]*quantInv[[#This Row],[UNIT
VALUE AUD]]</f>
        <v>0</v>
      </c>
      <c r="Z143" s="33"/>
    </row>
    <row r="144" spans="1:26" x14ac:dyDescent="0.25">
      <c r="A144" t="s">
        <v>431</v>
      </c>
      <c r="B144" t="s">
        <v>432</v>
      </c>
      <c r="C144" t="s">
        <v>113</v>
      </c>
      <c r="D144" t="s">
        <v>428</v>
      </c>
      <c r="E144">
        <v>1.3</v>
      </c>
      <c r="F144" s="33">
        <v>1.6081000000000001</v>
      </c>
      <c r="G144" s="33" t="s">
        <v>117</v>
      </c>
      <c r="H144" t="s">
        <v>1414</v>
      </c>
      <c r="I144" t="str">
        <f>IF(quantInv[[#This Row],[Metal]] = "925 Silver",  "7113.11.00"," 7113.19.00")</f>
        <v>7113.11.00</v>
      </c>
      <c r="J144" t="str">
        <f>IF(quantInv[[#This Row],[Metal]] = "925 Silver", "7113.11.10.00"," 7113.19.10.00")</f>
        <v>7113.11.10.00</v>
      </c>
      <c r="K144" t="str">
        <f>IF(quantInv[[#This Row],[Metal]] = "925 Silver",  "7113.11.00"," 7113.19.00")</f>
        <v>7113.11.00</v>
      </c>
      <c r="L144" t="str">
        <f>IFERROR(VLOOKUP(quantInv[[#This Row],[Description for New Invoice]],Map!$G$12:$H$32,2,FALSE), IF(quantInv[[#This Row],[Metal]] = "925 Silver", "7113.11.10.00", "7113.19.29.00"))</f>
        <v>7113.11.10.00</v>
      </c>
      <c r="M144" t="str">
        <f>quantInv[[#This Row],[ASIN]] &amp; " " &amp; quantInv[[#This Row],[Short Description]]</f>
        <v>B01MR89U2X Rhombus Chain</v>
      </c>
      <c r="N144" s="33">
        <f>quantInv[[#This Row],[UNIT
VALUE]] / EURtoGBP</f>
        <v>1.8253846634088755</v>
      </c>
      <c r="O144" s="33">
        <f>quantInv[[#This Row],[UNIT
VALUE]]/USDtoGBP</f>
        <v>2.2044379375530343</v>
      </c>
      <c r="P144" s="33">
        <f>quantInv[[#This Row],[UNIT
VALUE]] / CADtoGBP</f>
        <v>2.8218072832493686</v>
      </c>
      <c r="Q144" s="33">
        <f>quantInv[[#This Row],[UNIT
VALUE]]/AUDtoGBP</f>
        <v>2.8883181263021767</v>
      </c>
      <c r="R144">
        <f>IFERROR(VLOOKUP(quantInv[[#This Row],[Assigned Item SKU]],skuQuantity[#All],2,FALSE),0)</f>
        <v>0</v>
      </c>
      <c r="S144" t="str">
        <f>PROPER(quantInv[[#This Row],[Metal]] &amp; " " &amp; quantInv[[#This Row],[Item Type]])</f>
        <v>925 Silver Bracelet</v>
      </c>
      <c r="T144" s="33">
        <f>quantInv[[#This Row],[Quantity]]*quantInv[[#This Row],[WEIGHT]]</f>
        <v>0</v>
      </c>
      <c r="U144" s="33">
        <f>quantInv[[#This Row],[UNIT
VALUE]]*quantInv[[#This Row],[Quantity]]</f>
        <v>0</v>
      </c>
      <c r="V144" s="33">
        <f>quantInv[[#This Row],[Total Cost GBP]]/EURtoGBP</f>
        <v>0</v>
      </c>
      <c r="W144" s="33">
        <f>quantInv[[#This Row],[Total Cost GBP]]/USDtoGBP</f>
        <v>0</v>
      </c>
      <c r="X144" s="33">
        <f>quantInv[[#This Row],[Total Cost GBP]]/CADtoGBP</f>
        <v>0</v>
      </c>
      <c r="Y144" s="33">
        <f>quantInv[[#This Row],[Quantity]]*quantInv[[#This Row],[UNIT
VALUE AUD]]</f>
        <v>0</v>
      </c>
      <c r="Z144" s="33"/>
    </row>
    <row r="145" spans="1:26" x14ac:dyDescent="0.25">
      <c r="A145" t="s">
        <v>39</v>
      </c>
      <c r="B145" t="s">
        <v>491</v>
      </c>
      <c r="C145" t="s">
        <v>114</v>
      </c>
      <c r="D145" t="s">
        <v>213</v>
      </c>
      <c r="E145">
        <v>3.8263157894736799</v>
      </c>
      <c r="F145" s="33">
        <v>3.8877000000000002</v>
      </c>
      <c r="G145" s="33" t="s">
        <v>117</v>
      </c>
      <c r="H145" t="s">
        <v>103</v>
      </c>
      <c r="I145" t="str">
        <f>IF(quantInv[[#This Row],[Metal]] = "925 Silver",  "7113.11.00"," 7113.19.00")</f>
        <v>7113.11.00</v>
      </c>
      <c r="J145" t="str">
        <f>IF(quantInv[[#This Row],[Metal]] = "925 Silver", "7113.11.10.00"," 7113.19.10.00")</f>
        <v>7113.11.10.00</v>
      </c>
      <c r="K145" t="str">
        <f>IF(quantInv[[#This Row],[Metal]] = "925 Silver",  "7113.11.00"," 7113.19.00")</f>
        <v>7113.11.00</v>
      </c>
      <c r="L145" t="str">
        <f>IFERROR(VLOOKUP(quantInv[[#This Row],[Description for New Invoice]],Map!$G$12:$H$32,2,FALSE), IF(quantInv[[#This Row],[Metal]] = "925 Silver", "7113.11.10.00", "7113.19.29.00"))</f>
        <v>7113.11.10.00</v>
      </c>
      <c r="M145" t="str">
        <f>quantInv[[#This Row],[ASIN]] &amp; " " &amp; quantInv[[#This Row],[Short Description]]</f>
        <v>B01NBWIM7J Ball Chain</v>
      </c>
      <c r="N145" s="33">
        <f>quantInv[[#This Row],[UNIT
VALUE]] / EURtoGBP</f>
        <v>4.4130016515979635</v>
      </c>
      <c r="O145" s="33">
        <f>quantInv[[#This Row],[UNIT
VALUE]]/USDtoGBP</f>
        <v>5.3293908151389413</v>
      </c>
      <c r="P145" s="33">
        <f>quantInv[[#This Row],[UNIT
VALUE]] / CADtoGBP</f>
        <v>6.821926605987545</v>
      </c>
      <c r="Q145" s="33">
        <f>quantInv[[#This Row],[UNIT
VALUE]]/AUDtoGBP</f>
        <v>6.9827214598749912</v>
      </c>
      <c r="R145">
        <f>IFERROR(VLOOKUP(quantInv[[#This Row],[Assigned Item SKU]],skuQuantity[#All],2,FALSE),0)</f>
        <v>0</v>
      </c>
      <c r="S145" t="str">
        <f>PROPER(quantInv[[#This Row],[Metal]] &amp; " " &amp; quantInv[[#This Row],[Item Type]])</f>
        <v>925 Silver Chain</v>
      </c>
      <c r="T145" s="33">
        <f>quantInv[[#This Row],[Quantity]]*quantInv[[#This Row],[WEIGHT]]</f>
        <v>0</v>
      </c>
      <c r="U145" s="33">
        <f>quantInv[[#This Row],[UNIT
VALUE]]*quantInv[[#This Row],[Quantity]]</f>
        <v>0</v>
      </c>
      <c r="V145" s="33">
        <f>quantInv[[#This Row],[Total Cost GBP]]/EURtoGBP</f>
        <v>0</v>
      </c>
      <c r="W145" s="33">
        <f>quantInv[[#This Row],[Total Cost GBP]]/USDtoGBP</f>
        <v>0</v>
      </c>
      <c r="X145" s="33">
        <f>quantInv[[#This Row],[Total Cost GBP]]/CADtoGBP</f>
        <v>0</v>
      </c>
      <c r="Y145" s="33">
        <f>quantInv[[#This Row],[Quantity]]*quantInv[[#This Row],[UNIT
VALUE AUD]]</f>
        <v>0</v>
      </c>
      <c r="Z145" s="33"/>
    </row>
    <row r="146" spans="1:26" x14ac:dyDescent="0.25">
      <c r="A146" t="s">
        <v>36</v>
      </c>
      <c r="B146" t="s">
        <v>509</v>
      </c>
      <c r="C146" t="s">
        <v>114</v>
      </c>
      <c r="D146" t="s">
        <v>213</v>
      </c>
      <c r="E146">
        <v>1.78</v>
      </c>
      <c r="F146" s="33">
        <v>2.0419</v>
      </c>
      <c r="G146" s="33" t="s">
        <v>117</v>
      </c>
      <c r="H146" t="s">
        <v>1414</v>
      </c>
      <c r="I146" t="str">
        <f>IF(quantInv[[#This Row],[Metal]] = "925 Silver",  "7113.11.00"," 7113.19.00")</f>
        <v>7113.11.00</v>
      </c>
      <c r="J146" t="str">
        <f>IF(quantInv[[#This Row],[Metal]] = "925 Silver", "7113.11.10.00"," 7113.19.10.00")</f>
        <v>7113.11.10.00</v>
      </c>
      <c r="K146" t="str">
        <f>IF(quantInv[[#This Row],[Metal]] = "925 Silver",  "7113.11.00"," 7113.19.00")</f>
        <v>7113.11.00</v>
      </c>
      <c r="L146" t="str">
        <f>IFERROR(VLOOKUP(quantInv[[#This Row],[Description for New Invoice]],Map!$G$12:$H$32,2,FALSE), IF(quantInv[[#This Row],[Metal]] = "925 Silver", "7113.11.10.00", "7113.19.29.00"))</f>
        <v>7113.11.10.00</v>
      </c>
      <c r="M146" t="str">
        <f>quantInv[[#This Row],[ASIN]] &amp; " " &amp; quantInv[[#This Row],[Short Description]]</f>
        <v>B01N4Q9ZOM Ball Chain</v>
      </c>
      <c r="N146" s="33">
        <f>quantInv[[#This Row],[UNIT
VALUE]] / EURtoGBP</f>
        <v>2.3177992315245213</v>
      </c>
      <c r="O146" s="33">
        <f>quantInv[[#This Row],[UNIT
VALUE]]/USDtoGBP</f>
        <v>2.7991056679867796</v>
      </c>
      <c r="P146" s="33">
        <f>quantInv[[#This Row],[UNIT
VALUE]] / CADtoGBP</f>
        <v>3.5830161629667843</v>
      </c>
      <c r="Q146" s="33">
        <f>quantInv[[#This Row],[UNIT
VALUE]]/AUDtoGBP</f>
        <v>3.6674689273654715</v>
      </c>
      <c r="R146">
        <f>IFERROR(VLOOKUP(quantInv[[#This Row],[Assigned Item SKU]],skuQuantity[#All],2,FALSE),0)</f>
        <v>30</v>
      </c>
      <c r="S146" t="str">
        <f>PROPER(quantInv[[#This Row],[Metal]] &amp; " " &amp; quantInv[[#This Row],[Item Type]])</f>
        <v>925 Silver Bracelet</v>
      </c>
      <c r="T146" s="33">
        <f>quantInv[[#This Row],[Quantity]]*quantInv[[#This Row],[WEIGHT]]</f>
        <v>53.4</v>
      </c>
      <c r="U146" s="33">
        <f>quantInv[[#This Row],[UNIT
VALUE]]*quantInv[[#This Row],[Quantity]]</f>
        <v>61.257000000000005</v>
      </c>
      <c r="V146" s="33">
        <f>quantInv[[#This Row],[Total Cost GBP]]/EURtoGBP</f>
        <v>69.533976945735645</v>
      </c>
      <c r="W146" s="33">
        <f>quantInv[[#This Row],[Total Cost GBP]]/USDtoGBP</f>
        <v>83.973170039603403</v>
      </c>
      <c r="X146" s="33">
        <f>quantInv[[#This Row],[Total Cost GBP]]/CADtoGBP</f>
        <v>107.49048488900354</v>
      </c>
      <c r="Y146" s="33">
        <f>quantInv[[#This Row],[Quantity]]*quantInv[[#This Row],[UNIT
VALUE AUD]]</f>
        <v>110.02406782096415</v>
      </c>
      <c r="Z146" s="33"/>
    </row>
    <row r="147" spans="1:26" x14ac:dyDescent="0.25">
      <c r="A147" t="s">
        <v>4</v>
      </c>
      <c r="B147" t="s">
        <v>704</v>
      </c>
      <c r="C147" t="s">
        <v>113</v>
      </c>
      <c r="D147" t="s">
        <v>701</v>
      </c>
      <c r="E147">
        <v>5.2947368421052596</v>
      </c>
      <c r="F147" s="33">
        <v>5.8254999999999999</v>
      </c>
      <c r="G147" s="33" t="s">
        <v>117</v>
      </c>
      <c r="H147" t="s">
        <v>1310</v>
      </c>
      <c r="I147" t="str">
        <f>IF(quantInv[[#This Row],[Metal]] = "925 Silver",  "7113.11.00"," 7113.19.00")</f>
        <v>7113.11.00</v>
      </c>
      <c r="J147" t="str">
        <f>IF(quantInv[[#This Row],[Metal]] = "925 Silver", "7113.11.10.00"," 7113.19.10.00")</f>
        <v>7113.11.10.00</v>
      </c>
      <c r="K147" t="str">
        <f>IF(quantInv[[#This Row],[Metal]] = "925 Silver",  "7113.11.00"," 7113.19.00")</f>
        <v>7113.11.00</v>
      </c>
      <c r="L147" t="str">
        <f>IFERROR(VLOOKUP(quantInv[[#This Row],[Description for New Invoice]],Map!$G$12:$H$32,2,FALSE), IF(quantInv[[#This Row],[Metal]] = "925 Silver", "7113.11.10.00", "7113.19.29.00"))</f>
        <v>7113.11.50.00</v>
      </c>
      <c r="M147" t="str">
        <f>quantInv[[#This Row],[ASIN]] &amp; " " &amp; quantInv[[#This Row],[Short Description]]</f>
        <v>B00D0TO6G2 Circle Hoop Earrings</v>
      </c>
      <c r="N147" s="33">
        <f>quantInv[[#This Row],[UNIT
VALUE]] / EURtoGBP</f>
        <v>6.6126350082012335</v>
      </c>
      <c r="O147" s="33">
        <f>quantInv[[#This Row],[UNIT
VALUE]]/USDtoGBP</f>
        <v>7.9857926778279955</v>
      </c>
      <c r="P147" s="33">
        <f>quantInv[[#This Row],[UNIT
VALUE]] / CADtoGBP</f>
        <v>10.222273694775945</v>
      </c>
      <c r="Q147" s="33">
        <f>quantInv[[#This Row],[UNIT
VALUE]]/AUDtoGBP</f>
        <v>10.463215748257776</v>
      </c>
      <c r="R147">
        <f>IFERROR(VLOOKUP(quantInv[[#This Row],[Assigned Item SKU]],skuQuantity[#All],2,FALSE),0)</f>
        <v>20</v>
      </c>
      <c r="S147" t="str">
        <f>PROPER(quantInv[[#This Row],[Metal]] &amp; " " &amp; quantInv[[#This Row],[Item Type]])</f>
        <v>925 Silver Earrings</v>
      </c>
      <c r="T147" s="33">
        <f>quantInv[[#This Row],[Quantity]]*quantInv[[#This Row],[WEIGHT]]</f>
        <v>105.89473684210519</v>
      </c>
      <c r="U147" s="33">
        <f>quantInv[[#This Row],[UNIT
VALUE]]*quantInv[[#This Row],[Quantity]]</f>
        <v>116.50999999999999</v>
      </c>
      <c r="V147" s="33">
        <f>quantInv[[#This Row],[Total Cost GBP]]/EURtoGBP</f>
        <v>132.25270016402467</v>
      </c>
      <c r="W147" s="33">
        <f>quantInv[[#This Row],[Total Cost GBP]]/USDtoGBP</f>
        <v>159.71585355655992</v>
      </c>
      <c r="X147" s="33">
        <f>quantInv[[#This Row],[Total Cost GBP]]/CADtoGBP</f>
        <v>204.44547389551889</v>
      </c>
      <c r="Y147" s="33">
        <f>quantInv[[#This Row],[Quantity]]*quantInv[[#This Row],[UNIT
VALUE AUD]]</f>
        <v>209.26431496515551</v>
      </c>
      <c r="Z147" s="33"/>
    </row>
    <row r="148" spans="1:26" x14ac:dyDescent="0.25">
      <c r="A148" t="s">
        <v>439</v>
      </c>
      <c r="B148" t="s">
        <v>440</v>
      </c>
      <c r="C148" t="s">
        <v>113</v>
      </c>
      <c r="D148" t="s">
        <v>180</v>
      </c>
      <c r="E148">
        <v>1.7148514851485099</v>
      </c>
      <c r="F148" s="33">
        <v>1.9346000000000001</v>
      </c>
      <c r="G148" s="33" t="s">
        <v>117</v>
      </c>
      <c r="H148" t="s">
        <v>103</v>
      </c>
      <c r="I148" t="str">
        <f>IF(quantInv[[#This Row],[Metal]] = "925 Silver",  "7113.11.00"," 7113.19.00")</f>
        <v>7113.11.00</v>
      </c>
      <c r="J148" t="str">
        <f>IF(quantInv[[#This Row],[Metal]] = "925 Silver", "7113.11.10.00"," 7113.19.10.00")</f>
        <v>7113.11.10.00</v>
      </c>
      <c r="K148" t="str">
        <f>IF(quantInv[[#This Row],[Metal]] = "925 Silver",  "7113.11.00"," 7113.19.00")</f>
        <v>7113.11.00</v>
      </c>
      <c r="L148" t="str">
        <f>IFERROR(VLOOKUP(quantInv[[#This Row],[Description for New Invoice]],Map!$G$12:$H$32,2,FALSE), IF(quantInv[[#This Row],[Metal]] = "925 Silver", "7113.11.10.00", "7113.19.29.00"))</f>
        <v>7113.11.10.00</v>
      </c>
      <c r="M148" t="str">
        <f>quantInv[[#This Row],[ASIN]] &amp; " " &amp; quantInv[[#This Row],[Short Description]]</f>
        <v>B00JCW2KC8 Belcher Chain</v>
      </c>
      <c r="N148" s="33">
        <f>quantInv[[#This Row],[UNIT
VALUE]] / EURtoGBP</f>
        <v>2.196000976202233</v>
      </c>
      <c r="O148" s="33">
        <f>quantInv[[#This Row],[UNIT
VALUE]]/USDtoGBP</f>
        <v>2.6520151943225545</v>
      </c>
      <c r="P148" s="33">
        <f>quantInv[[#This Row],[UNIT
VALUE]] / CADtoGBP</f>
        <v>3.3947319011095258</v>
      </c>
      <c r="Q148" s="33">
        <f>quantInv[[#This Row],[UNIT
VALUE]]/AUDtoGBP</f>
        <v>3.4747467490480637</v>
      </c>
      <c r="R148">
        <f>IFERROR(VLOOKUP(quantInv[[#This Row],[Assigned Item SKU]],skuQuantity[#All],2,FALSE),0)</f>
        <v>0</v>
      </c>
      <c r="S148" t="str">
        <f>PROPER(quantInv[[#This Row],[Metal]] &amp; " " &amp; quantInv[[#This Row],[Item Type]])</f>
        <v>925 Silver Chain</v>
      </c>
      <c r="T148" s="33">
        <f>quantInv[[#This Row],[Quantity]]*quantInv[[#This Row],[WEIGHT]]</f>
        <v>0</v>
      </c>
      <c r="U148" s="33">
        <f>quantInv[[#This Row],[UNIT
VALUE]]*quantInv[[#This Row],[Quantity]]</f>
        <v>0</v>
      </c>
      <c r="V148" s="33">
        <f>quantInv[[#This Row],[Total Cost GBP]]/EURtoGBP</f>
        <v>0</v>
      </c>
      <c r="W148" s="33">
        <f>quantInv[[#This Row],[Total Cost GBP]]/USDtoGBP</f>
        <v>0</v>
      </c>
      <c r="X148" s="33">
        <f>quantInv[[#This Row],[Total Cost GBP]]/CADtoGBP</f>
        <v>0</v>
      </c>
      <c r="Y148" s="33">
        <f>quantInv[[#This Row],[Quantity]]*quantInv[[#This Row],[UNIT
VALUE AUD]]</f>
        <v>0</v>
      </c>
      <c r="Z148" s="33"/>
    </row>
    <row r="149" spans="1:26" x14ac:dyDescent="0.25">
      <c r="A149" t="s">
        <v>441</v>
      </c>
      <c r="B149" t="s">
        <v>442</v>
      </c>
      <c r="C149" t="s">
        <v>113</v>
      </c>
      <c r="D149" t="s">
        <v>180</v>
      </c>
      <c r="E149">
        <v>2.0811881188118799</v>
      </c>
      <c r="F149" s="33">
        <v>2.2734999999999999</v>
      </c>
      <c r="G149" s="33" t="s">
        <v>117</v>
      </c>
      <c r="H149" t="s">
        <v>103</v>
      </c>
      <c r="I149" t="str">
        <f>IF(quantInv[[#This Row],[Metal]] = "925 Silver",  "7113.11.00"," 7113.19.00")</f>
        <v>7113.11.00</v>
      </c>
      <c r="J149" t="str">
        <f>IF(quantInv[[#This Row],[Metal]] = "925 Silver", "7113.11.10.00"," 7113.19.10.00")</f>
        <v>7113.11.10.00</v>
      </c>
      <c r="K149" t="str">
        <f>IF(quantInv[[#This Row],[Metal]] = "925 Silver",  "7113.11.00"," 7113.19.00")</f>
        <v>7113.11.00</v>
      </c>
      <c r="L149" t="str">
        <f>IFERROR(VLOOKUP(quantInv[[#This Row],[Description for New Invoice]],Map!$G$12:$H$32,2,FALSE), IF(quantInv[[#This Row],[Metal]] = "925 Silver", "7113.11.10.00", "7113.19.29.00"))</f>
        <v>7113.11.10.00</v>
      </c>
      <c r="M149" t="str">
        <f>quantInv[[#This Row],[ASIN]] &amp; " " &amp; quantInv[[#This Row],[Short Description]]</f>
        <v>B00DKCZH5I Belcher Chain</v>
      </c>
      <c r="N149" s="33">
        <f>quantInv[[#This Row],[UNIT
VALUE]] / EURtoGBP</f>
        <v>2.5806927630496102</v>
      </c>
      <c r="O149" s="33">
        <f>quantInv[[#This Row],[UNIT
VALUE]]/USDtoGBP</f>
        <v>3.1165907910122645</v>
      </c>
      <c r="P149" s="33">
        <f>quantInv[[#This Row],[UNIT
VALUE]] / CADtoGBP</f>
        <v>3.9894153712253213</v>
      </c>
      <c r="Q149" s="33">
        <f>quantInv[[#This Row],[UNIT
VALUE]]/AUDtoGBP</f>
        <v>4.0834470867159993</v>
      </c>
      <c r="R149">
        <f>IFERROR(VLOOKUP(quantInv[[#This Row],[Assigned Item SKU]],skuQuantity[#All],2,FALSE),0)</f>
        <v>0</v>
      </c>
      <c r="S149" t="str">
        <f>PROPER(quantInv[[#This Row],[Metal]] &amp; " " &amp; quantInv[[#This Row],[Item Type]])</f>
        <v>925 Silver Chain</v>
      </c>
      <c r="T149" s="33">
        <f>quantInv[[#This Row],[Quantity]]*quantInv[[#This Row],[WEIGHT]]</f>
        <v>0</v>
      </c>
      <c r="U149" s="33">
        <f>quantInv[[#This Row],[UNIT
VALUE]]*quantInv[[#This Row],[Quantity]]</f>
        <v>0</v>
      </c>
      <c r="V149" s="33">
        <f>quantInv[[#This Row],[Total Cost GBP]]/EURtoGBP</f>
        <v>0</v>
      </c>
      <c r="W149" s="33">
        <f>quantInv[[#This Row],[Total Cost GBP]]/USDtoGBP</f>
        <v>0</v>
      </c>
      <c r="X149" s="33">
        <f>quantInv[[#This Row],[Total Cost GBP]]/CADtoGBP</f>
        <v>0</v>
      </c>
      <c r="Y149" s="33">
        <f>quantInv[[#This Row],[Quantity]]*quantInv[[#This Row],[UNIT
VALUE AUD]]</f>
        <v>0</v>
      </c>
      <c r="Z149" s="33"/>
    </row>
    <row r="150" spans="1:26" x14ac:dyDescent="0.25">
      <c r="A150" t="s">
        <v>443</v>
      </c>
      <c r="B150" t="s">
        <v>444</v>
      </c>
      <c r="C150" t="s">
        <v>113</v>
      </c>
      <c r="D150" t="s">
        <v>180</v>
      </c>
      <c r="E150">
        <v>2.33217821782178</v>
      </c>
      <c r="F150" s="33">
        <v>2.5055999999999998</v>
      </c>
      <c r="G150" s="33" t="s">
        <v>117</v>
      </c>
      <c r="H150" t="s">
        <v>103</v>
      </c>
      <c r="I150" t="str">
        <f>IF(quantInv[[#This Row],[Metal]] = "925 Silver",  "7113.11.00"," 7113.19.00")</f>
        <v>7113.11.00</v>
      </c>
      <c r="J150" t="str">
        <f>IF(quantInv[[#This Row],[Metal]] = "925 Silver", "7113.11.10.00"," 7113.19.10.00")</f>
        <v>7113.11.10.00</v>
      </c>
      <c r="K150" t="str">
        <f>IF(quantInv[[#This Row],[Metal]] = "925 Silver",  "7113.11.00"," 7113.19.00")</f>
        <v>7113.11.00</v>
      </c>
      <c r="L150" t="str">
        <f>IFERROR(VLOOKUP(quantInv[[#This Row],[Description for New Invoice]],Map!$G$12:$H$32,2,FALSE), IF(quantInv[[#This Row],[Metal]] = "925 Silver", "7113.11.10.00", "7113.19.29.00"))</f>
        <v>7113.11.10.00</v>
      </c>
      <c r="M150" t="str">
        <f>quantInv[[#This Row],[ASIN]] &amp; " " &amp; quantInv[[#This Row],[Short Description]]</f>
        <v>B00DKCZHX0 Belcher Chain</v>
      </c>
      <c r="N150" s="33">
        <f>quantInv[[#This Row],[UNIT
VALUE]] / EURtoGBP</f>
        <v>2.8441538540123612</v>
      </c>
      <c r="O150" s="33">
        <f>quantInv[[#This Row],[UNIT
VALUE]]/USDtoGBP</f>
        <v>3.4347613309700153</v>
      </c>
      <c r="P150" s="33">
        <f>quantInv[[#This Row],[UNIT
VALUE]] / CADtoGBP</f>
        <v>4.3966919525586823</v>
      </c>
      <c r="Q150" s="33">
        <f>quantInv[[#This Row],[UNIT
VALUE]]/AUDtoGBP</f>
        <v>4.5003232990875777</v>
      </c>
      <c r="R150">
        <f>IFERROR(VLOOKUP(quantInv[[#This Row],[Assigned Item SKU]],skuQuantity[#All],2,FALSE),0)</f>
        <v>5</v>
      </c>
      <c r="S150" t="str">
        <f>PROPER(quantInv[[#This Row],[Metal]] &amp; " " &amp; quantInv[[#This Row],[Item Type]])</f>
        <v>925 Silver Chain</v>
      </c>
      <c r="T150" s="33">
        <f>quantInv[[#This Row],[Quantity]]*quantInv[[#This Row],[WEIGHT]]</f>
        <v>11.660891089108901</v>
      </c>
      <c r="U150" s="33">
        <f>quantInv[[#This Row],[UNIT
VALUE]]*quantInv[[#This Row],[Quantity]]</f>
        <v>12.527999999999999</v>
      </c>
      <c r="V150" s="33">
        <f>quantInv[[#This Row],[Total Cost GBP]]/EURtoGBP</f>
        <v>14.220769270061806</v>
      </c>
      <c r="W150" s="33">
        <f>quantInv[[#This Row],[Total Cost GBP]]/USDtoGBP</f>
        <v>17.173806654850075</v>
      </c>
      <c r="X150" s="33">
        <f>quantInv[[#This Row],[Total Cost GBP]]/CADtoGBP</f>
        <v>21.983459762793412</v>
      </c>
      <c r="Y150" s="33">
        <f>quantInv[[#This Row],[Quantity]]*quantInv[[#This Row],[UNIT
VALUE AUD]]</f>
        <v>22.501616495437887</v>
      </c>
      <c r="Z150" s="33"/>
    </row>
    <row r="151" spans="1:26" x14ac:dyDescent="0.25">
      <c r="A151" t="s">
        <v>1240</v>
      </c>
      <c r="B151" t="s">
        <v>1241</v>
      </c>
      <c r="C151" t="s">
        <v>114</v>
      </c>
      <c r="D151" t="s">
        <v>1239</v>
      </c>
      <c r="E151">
        <v>0.7</v>
      </c>
      <c r="F151" s="33">
        <v>13.9895</v>
      </c>
      <c r="G151" s="33" t="s">
        <v>3304</v>
      </c>
      <c r="H151" t="s">
        <v>1310</v>
      </c>
      <c r="I151" t="str">
        <f>IF(quantInv[[#This Row],[Metal]] = "925 Silver",  "7113.11.00"," 7113.19.00")</f>
        <v xml:space="preserve"> 7113.19.00</v>
      </c>
      <c r="J151" t="str">
        <f>IF(quantInv[[#This Row],[Metal]] = "925 Silver", "7113.11.10.00"," 7113.19.10.00")</f>
        <v xml:space="preserve"> 7113.19.10.00</v>
      </c>
      <c r="K151" t="str">
        <f>IF(quantInv[[#This Row],[Metal]] = "925 Silver",  "7113.11.00"," 7113.19.00")</f>
        <v xml:space="preserve"> 7113.19.00</v>
      </c>
      <c r="L151" t="str">
        <f>IFERROR(VLOOKUP(quantInv[[#This Row],[Description for New Invoice]],Map!$G$12:$H$32,2,FALSE), IF(quantInv[[#This Row],[Metal]] = "925 Silver", "7113.11.10.00", "7113.19.29.00"))</f>
        <v>7113.19.29.00</v>
      </c>
      <c r="M151" t="str">
        <f>quantInv[[#This Row],[ASIN]] &amp; " " &amp; quantInv[[#This Row],[Short Description]]</f>
        <v>B07R7LVTVV 9K Circle Hoop Earrings</v>
      </c>
      <c r="N151" s="33">
        <f>quantInv[[#This Row],[UNIT
VALUE]] / EURtoGBP</f>
        <v>15.879745506348153</v>
      </c>
      <c r="O151" s="33">
        <f>quantInv[[#This Row],[UNIT
VALUE]]/USDtoGBP</f>
        <v>19.177280347862801</v>
      </c>
      <c r="P151" s="33">
        <f>quantInv[[#This Row],[UNIT
VALUE]] / CADtoGBP</f>
        <v>24.548021260504346</v>
      </c>
      <c r="Q151" s="33">
        <f>quantInv[[#This Row],[UNIT
VALUE]]/AUDtoGBP</f>
        <v>25.126625475968098</v>
      </c>
      <c r="R151">
        <f>IFERROR(VLOOKUP(quantInv[[#This Row],[Assigned Item SKU]],skuQuantity[#All],2,FALSE),0)</f>
        <v>0</v>
      </c>
      <c r="S151" t="str">
        <f>PROPER(quantInv[[#This Row],[Metal]] &amp; " " &amp; quantInv[[#This Row],[Item Type]])</f>
        <v>9K Gold Earrings</v>
      </c>
      <c r="T151" s="33">
        <f>quantInv[[#This Row],[Quantity]]*quantInv[[#This Row],[WEIGHT]]</f>
        <v>0</v>
      </c>
      <c r="U151" s="33">
        <f>quantInv[[#This Row],[UNIT
VALUE]]*quantInv[[#This Row],[Quantity]]</f>
        <v>0</v>
      </c>
      <c r="V151" s="33">
        <f>quantInv[[#This Row],[Total Cost GBP]]/EURtoGBP</f>
        <v>0</v>
      </c>
      <c r="W151" s="33">
        <f>quantInv[[#This Row],[Total Cost GBP]]/USDtoGBP</f>
        <v>0</v>
      </c>
      <c r="X151" s="33">
        <f>quantInv[[#This Row],[Total Cost GBP]]/CADtoGBP</f>
        <v>0</v>
      </c>
      <c r="Y151" s="33">
        <f>quantInv[[#This Row],[Quantity]]*quantInv[[#This Row],[UNIT
VALUE AUD]]</f>
        <v>0</v>
      </c>
      <c r="Z151" s="33"/>
    </row>
    <row r="152" spans="1:26" x14ac:dyDescent="0.25">
      <c r="A152" t="s">
        <v>1348</v>
      </c>
      <c r="B152" t="s">
        <v>1349</v>
      </c>
      <c r="C152" t="s">
        <v>114</v>
      </c>
      <c r="D152" t="s">
        <v>1350</v>
      </c>
      <c r="E152">
        <v>13.76</v>
      </c>
      <c r="F152" s="33">
        <v>13.7811</v>
      </c>
      <c r="G152" s="33" t="s">
        <v>117</v>
      </c>
      <c r="H152" t="s">
        <v>103</v>
      </c>
      <c r="I152" t="str">
        <f>IF(quantInv[[#This Row],[Metal]] = "925 Silver",  "7113.11.00"," 7113.19.00")</f>
        <v>7113.11.00</v>
      </c>
      <c r="J152" t="str">
        <f>IF(quantInv[[#This Row],[Metal]] = "925 Silver", "7113.11.10.00"," 7113.19.10.00")</f>
        <v>7113.11.10.00</v>
      </c>
      <c r="K152" t="str">
        <f>IF(quantInv[[#This Row],[Metal]] = "925 Silver",  "7113.11.00"," 7113.19.00")</f>
        <v>7113.11.00</v>
      </c>
      <c r="L152" t="str">
        <f>IFERROR(VLOOKUP(quantInv[[#This Row],[Description for New Invoice]],Map!$G$12:$H$32,2,FALSE), IF(quantInv[[#This Row],[Metal]] = "925 Silver", "7113.11.10.00", "7113.19.29.00"))</f>
        <v>7113.11.10.00</v>
      </c>
      <c r="M152" t="str">
        <f>quantInv[[#This Row],[ASIN]] &amp; " " &amp; quantInv[[#This Row],[Short Description]]</f>
        <v>B07RK8BTHX Chain - Super Flat Curb - Gauge 150 - Width 5 mm</v>
      </c>
      <c r="N152" s="33">
        <f>quantInv[[#This Row],[UNIT
VALUE]] / EURtoGBP</f>
        <v>15.643186732730586</v>
      </c>
      <c r="O152" s="33">
        <f>quantInv[[#This Row],[UNIT
VALUE]]/USDtoGBP</f>
        <v>18.891598570494448</v>
      </c>
      <c r="P152" s="33">
        <f>quantInv[[#This Row],[UNIT
VALUE]] / CADtoGBP</f>
        <v>24.18233216291765</v>
      </c>
      <c r="Q152" s="33">
        <f>quantInv[[#This Row],[UNIT
VALUE]]/AUDtoGBP</f>
        <v>24.752316976794308</v>
      </c>
      <c r="R152">
        <f>IFERROR(VLOOKUP(quantInv[[#This Row],[Assigned Item SKU]],skuQuantity[#All],2,FALSE),0)</f>
        <v>0</v>
      </c>
      <c r="S152" t="str">
        <f>PROPER(quantInv[[#This Row],[Metal]] &amp; " " &amp; quantInv[[#This Row],[Item Type]])</f>
        <v>925 Silver Chain</v>
      </c>
      <c r="T152" s="33">
        <f>quantInv[[#This Row],[Quantity]]*quantInv[[#This Row],[WEIGHT]]</f>
        <v>0</v>
      </c>
      <c r="U152" s="33">
        <f>quantInv[[#This Row],[UNIT
VALUE]]*quantInv[[#This Row],[Quantity]]</f>
        <v>0</v>
      </c>
      <c r="V152" s="33">
        <f>quantInv[[#This Row],[Total Cost GBP]]/EURtoGBP</f>
        <v>0</v>
      </c>
      <c r="W152" s="33">
        <f>quantInv[[#This Row],[Total Cost GBP]]/USDtoGBP</f>
        <v>0</v>
      </c>
      <c r="X152" s="33">
        <f>quantInv[[#This Row],[Total Cost GBP]]/CADtoGBP</f>
        <v>0</v>
      </c>
      <c r="Y152" s="33">
        <f>quantInv[[#This Row],[Quantity]]*quantInv[[#This Row],[UNIT
VALUE AUD]]</f>
        <v>0</v>
      </c>
      <c r="Z152" s="33"/>
    </row>
    <row r="153" spans="1:26" x14ac:dyDescent="0.25">
      <c r="A153" t="s">
        <v>1353</v>
      </c>
      <c r="B153" t="s">
        <v>1354</v>
      </c>
      <c r="C153" t="s">
        <v>114</v>
      </c>
      <c r="D153" t="s">
        <v>1350</v>
      </c>
      <c r="E153">
        <v>14.07</v>
      </c>
      <c r="F153" s="33">
        <v>13.949400000000001</v>
      </c>
      <c r="G153" s="33" t="s">
        <v>117</v>
      </c>
      <c r="H153" t="s">
        <v>103</v>
      </c>
      <c r="I153" t="str">
        <f>IF(quantInv[[#This Row],[Metal]] = "925 Silver",  "7113.11.00"," 7113.19.00")</f>
        <v>7113.11.00</v>
      </c>
      <c r="J153" t="str">
        <f>IF(quantInv[[#This Row],[Metal]] = "925 Silver", "7113.11.10.00"," 7113.19.10.00")</f>
        <v>7113.11.10.00</v>
      </c>
      <c r="K153" t="str">
        <f>IF(quantInv[[#This Row],[Metal]] = "925 Silver",  "7113.11.00"," 7113.19.00")</f>
        <v>7113.11.00</v>
      </c>
      <c r="L153" t="str">
        <f>IFERROR(VLOOKUP(quantInv[[#This Row],[Description for New Invoice]],Map!$G$12:$H$32,2,FALSE), IF(quantInv[[#This Row],[Metal]] = "925 Silver", "7113.11.10.00", "7113.19.29.00"))</f>
        <v>7113.11.10.00</v>
      </c>
      <c r="M153" t="str">
        <f>quantInv[[#This Row],[ASIN]] &amp; " " &amp; quantInv[[#This Row],[Short Description]]</f>
        <v>B07RNZ643Y Chain - Super Flat Curb - Gauge 150 - Width 5 mm</v>
      </c>
      <c r="N153" s="33">
        <f>quantInv[[#This Row],[UNIT
VALUE]] / EURtoGBP</f>
        <v>15.834227239447651</v>
      </c>
      <c r="O153" s="33">
        <f>quantInv[[#This Row],[UNIT
VALUE]]/USDtoGBP</f>
        <v>19.12230990989509</v>
      </c>
      <c r="P153" s="33">
        <f>quantInv[[#This Row],[UNIT
VALUE]] / CADtoGBP</f>
        <v>24.477655939903453</v>
      </c>
      <c r="Q153" s="33">
        <f>quantInv[[#This Row],[UNIT
VALUE]]/AUDtoGBP</f>
        <v>25.054601623679861</v>
      </c>
      <c r="R153">
        <f>IFERROR(VLOOKUP(quantInv[[#This Row],[Assigned Item SKU]],skuQuantity[#All],2,FALSE),0)</f>
        <v>0</v>
      </c>
      <c r="S153" t="str">
        <f>PROPER(quantInv[[#This Row],[Metal]] &amp; " " &amp; quantInv[[#This Row],[Item Type]])</f>
        <v>925 Silver Chain</v>
      </c>
      <c r="T153" s="33">
        <f>quantInv[[#This Row],[Quantity]]*quantInv[[#This Row],[WEIGHT]]</f>
        <v>0</v>
      </c>
      <c r="U153" s="33">
        <f>quantInv[[#This Row],[UNIT
VALUE]]*quantInv[[#This Row],[Quantity]]</f>
        <v>0</v>
      </c>
      <c r="V153" s="33">
        <f>quantInv[[#This Row],[Total Cost GBP]]/EURtoGBP</f>
        <v>0</v>
      </c>
      <c r="W153" s="33">
        <f>quantInv[[#This Row],[Total Cost GBP]]/USDtoGBP</f>
        <v>0</v>
      </c>
      <c r="X153" s="33">
        <f>quantInv[[#This Row],[Total Cost GBP]]/CADtoGBP</f>
        <v>0</v>
      </c>
      <c r="Y153" s="33">
        <f>quantInv[[#This Row],[Quantity]]*quantInv[[#This Row],[UNIT
VALUE AUD]]</f>
        <v>0</v>
      </c>
      <c r="Z153" s="33"/>
    </row>
    <row r="154" spans="1:26" x14ac:dyDescent="0.25">
      <c r="A154" t="s">
        <v>451</v>
      </c>
      <c r="B154" t="s">
        <v>452</v>
      </c>
      <c r="C154" t="s">
        <v>113</v>
      </c>
      <c r="D154" t="s">
        <v>189</v>
      </c>
      <c r="E154">
        <v>3.22</v>
      </c>
      <c r="F154" s="33">
        <v>3.3835999999999999</v>
      </c>
      <c r="G154" s="33" t="s">
        <v>117</v>
      </c>
      <c r="H154" t="s">
        <v>103</v>
      </c>
      <c r="I154" t="str">
        <f>IF(quantInv[[#This Row],[Metal]] = "925 Silver",  "7113.11.00"," 7113.19.00")</f>
        <v>7113.11.00</v>
      </c>
      <c r="J154" t="str">
        <f>IF(quantInv[[#This Row],[Metal]] = "925 Silver", "7113.11.10.00"," 7113.19.10.00")</f>
        <v>7113.11.10.00</v>
      </c>
      <c r="K154" t="str">
        <f>IF(quantInv[[#This Row],[Metal]] = "925 Silver",  "7113.11.00"," 7113.19.00")</f>
        <v>7113.11.00</v>
      </c>
      <c r="L154" t="str">
        <f>IFERROR(VLOOKUP(quantInv[[#This Row],[Description for New Invoice]],Map!$G$12:$H$32,2,FALSE), IF(quantInv[[#This Row],[Metal]] = "925 Silver", "7113.11.10.00", "7113.19.29.00"))</f>
        <v>7113.11.10.00</v>
      </c>
      <c r="M154" t="str">
        <f>quantInv[[#This Row],[ASIN]] &amp; " " &amp; quantInv[[#This Row],[Short Description]]</f>
        <v>B00DKCZLFE Singapore Chain</v>
      </c>
      <c r="N154" s="33">
        <f>quantInv[[#This Row],[UNIT
VALUE]] / EURtoGBP</f>
        <v>3.840788226547025</v>
      </c>
      <c r="O154" s="33">
        <f>quantInv[[#This Row],[UNIT
VALUE]]/USDtoGBP</f>
        <v>4.6383534640286337</v>
      </c>
      <c r="P154" s="33">
        <f>quantInv[[#This Row],[UNIT
VALUE]] / CADtoGBP</f>
        <v>5.9373590719498557</v>
      </c>
      <c r="Q154" s="33">
        <f>quantInv[[#This Row],[UNIT
VALUE]]/AUDtoGBP</f>
        <v>6.0773044040520148</v>
      </c>
      <c r="R154">
        <f>IFERROR(VLOOKUP(quantInv[[#This Row],[Assigned Item SKU]],skuQuantity[#All],2,FALSE),0)</f>
        <v>0</v>
      </c>
      <c r="S154" t="str">
        <f>PROPER(quantInv[[#This Row],[Metal]] &amp; " " &amp; quantInv[[#This Row],[Item Type]])</f>
        <v>925 Silver Chain</v>
      </c>
      <c r="T154" s="33">
        <f>quantInv[[#This Row],[Quantity]]*quantInv[[#This Row],[WEIGHT]]</f>
        <v>0</v>
      </c>
      <c r="U154" s="33">
        <f>quantInv[[#This Row],[UNIT
VALUE]]*quantInv[[#This Row],[Quantity]]</f>
        <v>0</v>
      </c>
      <c r="V154" s="33">
        <f>quantInv[[#This Row],[Total Cost GBP]]/EURtoGBP</f>
        <v>0</v>
      </c>
      <c r="W154" s="33">
        <f>quantInv[[#This Row],[Total Cost GBP]]/USDtoGBP</f>
        <v>0</v>
      </c>
      <c r="X154" s="33">
        <f>quantInv[[#This Row],[Total Cost GBP]]/CADtoGBP</f>
        <v>0</v>
      </c>
      <c r="Y154" s="33">
        <f>quantInv[[#This Row],[Quantity]]*quantInv[[#This Row],[UNIT
VALUE AUD]]</f>
        <v>0</v>
      </c>
      <c r="Z154" s="33"/>
    </row>
    <row r="155" spans="1:26" x14ac:dyDescent="0.25">
      <c r="A155" t="s">
        <v>190</v>
      </c>
      <c r="B155" t="s">
        <v>191</v>
      </c>
      <c r="C155" t="s">
        <v>113</v>
      </c>
      <c r="D155" t="s">
        <v>189</v>
      </c>
      <c r="E155">
        <v>1.94705882352941</v>
      </c>
      <c r="F155" s="33">
        <v>2.7669000000000001</v>
      </c>
      <c r="G155" s="33" t="s">
        <v>117</v>
      </c>
      <c r="H155" t="s">
        <v>103</v>
      </c>
      <c r="I155" t="str">
        <f>IF(quantInv[[#This Row],[Metal]] = "925 Silver",  "7113.11.00"," 7113.19.00")</f>
        <v>7113.11.00</v>
      </c>
      <c r="J155" t="str">
        <f>IF(quantInv[[#This Row],[Metal]] = "925 Silver", "7113.11.10.00"," 7113.19.10.00")</f>
        <v>7113.11.10.00</v>
      </c>
      <c r="K155" t="str">
        <f>IF(quantInv[[#This Row],[Metal]] = "925 Silver",  "7113.11.00"," 7113.19.00")</f>
        <v>7113.11.00</v>
      </c>
      <c r="L155" t="str">
        <f>IFERROR(VLOOKUP(quantInv[[#This Row],[Description for New Invoice]],Map!$G$12:$H$32,2,FALSE), IF(quantInv[[#This Row],[Metal]] = "925 Silver", "7113.11.10.00", "7113.19.29.00"))</f>
        <v>7113.11.10.00</v>
      </c>
      <c r="M155" t="str">
        <f>quantInv[[#This Row],[ASIN]] &amp; " " &amp; quantInv[[#This Row],[Short Description]]</f>
        <v>B012HM918U Singapore Chain</v>
      </c>
      <c r="N155" s="33">
        <f>quantInv[[#This Row],[UNIT
VALUE]] / EURtoGBP</f>
        <v>3.1407604161345799</v>
      </c>
      <c r="O155" s="33">
        <f>quantInv[[#This Row],[UNIT
VALUE]]/USDtoGBP</f>
        <v>3.7929602197720853</v>
      </c>
      <c r="P155" s="33">
        <f>quantInv[[#This Row],[UNIT
VALUE]] / CADtoGBP</f>
        <v>4.855207121461774</v>
      </c>
      <c r="Q155" s="33">
        <f>quantInv[[#This Row],[UNIT
VALUE]]/AUDtoGBP</f>
        <v>4.9696458078884973</v>
      </c>
      <c r="R155">
        <f>IFERROR(VLOOKUP(quantInv[[#This Row],[Assigned Item SKU]],skuQuantity[#All],2,FALSE),0)</f>
        <v>0</v>
      </c>
      <c r="S155" t="str">
        <f>PROPER(quantInv[[#This Row],[Metal]] &amp; " " &amp; quantInv[[#This Row],[Item Type]])</f>
        <v>925 Silver Chain</v>
      </c>
      <c r="T155" s="33">
        <f>quantInv[[#This Row],[Quantity]]*quantInv[[#This Row],[WEIGHT]]</f>
        <v>0</v>
      </c>
      <c r="U155" s="33">
        <f>quantInv[[#This Row],[UNIT
VALUE]]*quantInv[[#This Row],[Quantity]]</f>
        <v>0</v>
      </c>
      <c r="V155" s="33">
        <f>quantInv[[#This Row],[Total Cost GBP]]/EURtoGBP</f>
        <v>0</v>
      </c>
      <c r="W155" s="33">
        <f>quantInv[[#This Row],[Total Cost GBP]]/USDtoGBP</f>
        <v>0</v>
      </c>
      <c r="X155" s="33">
        <f>quantInv[[#This Row],[Total Cost GBP]]/CADtoGBP</f>
        <v>0</v>
      </c>
      <c r="Y155" s="33">
        <f>quantInv[[#This Row],[Quantity]]*quantInv[[#This Row],[UNIT
VALUE AUD]]</f>
        <v>0</v>
      </c>
      <c r="Z155" s="33"/>
    </row>
    <row r="156" spans="1:26" x14ac:dyDescent="0.25">
      <c r="A156" t="s">
        <v>471</v>
      </c>
      <c r="B156" t="s">
        <v>472</v>
      </c>
      <c r="C156" t="s">
        <v>113</v>
      </c>
      <c r="D156" t="s">
        <v>200</v>
      </c>
      <c r="E156">
        <v>1.9379999999999999</v>
      </c>
      <c r="F156" s="33">
        <v>2.0556000000000001</v>
      </c>
      <c r="G156" s="33" t="s">
        <v>117</v>
      </c>
      <c r="H156" t="s">
        <v>103</v>
      </c>
      <c r="I156" t="str">
        <f>IF(quantInv[[#This Row],[Metal]] = "925 Silver",  "7113.11.00"," 7113.19.00")</f>
        <v>7113.11.00</v>
      </c>
      <c r="J156" t="str">
        <f>IF(quantInv[[#This Row],[Metal]] = "925 Silver", "7113.11.10.00"," 7113.19.10.00")</f>
        <v>7113.11.10.00</v>
      </c>
      <c r="K156" t="str">
        <f>IF(quantInv[[#This Row],[Metal]] = "925 Silver",  "7113.11.00"," 7113.19.00")</f>
        <v>7113.11.00</v>
      </c>
      <c r="L156" t="str">
        <f>IFERROR(VLOOKUP(quantInv[[#This Row],[Description for New Invoice]],Map!$G$12:$H$32,2,FALSE), IF(quantInv[[#This Row],[Metal]] = "925 Silver", "7113.11.10.00", "7113.19.29.00"))</f>
        <v>7113.11.10.00</v>
      </c>
      <c r="M156" t="str">
        <f>quantInv[[#This Row],[ASIN]] &amp; " " &amp; quantInv[[#This Row],[Short Description]]</f>
        <v>B012EOLGES Venice Box Chain</v>
      </c>
      <c r="N156" s="33">
        <f>quantInv[[#This Row],[UNIT
VALUE]] / EURtoGBP</f>
        <v>2.3333503601164631</v>
      </c>
      <c r="O156" s="33">
        <f>quantInv[[#This Row],[UNIT
VALUE]]/USDtoGBP</f>
        <v>2.8178860919308608</v>
      </c>
      <c r="P156" s="33">
        <f>quantInv[[#This Row],[UNIT
VALUE]] / CADtoGBP</f>
        <v>3.6070561852169654</v>
      </c>
      <c r="Q156" s="33">
        <f>quantInv[[#This Row],[UNIT
VALUE]]/AUDtoGBP</f>
        <v>3.6920755801422516</v>
      </c>
      <c r="R156">
        <f>IFERROR(VLOOKUP(quantInv[[#This Row],[Assigned Item SKU]],skuQuantity[#All],2,FALSE),0)</f>
        <v>20</v>
      </c>
      <c r="S156" t="str">
        <f>PROPER(quantInv[[#This Row],[Metal]] &amp; " " &amp; quantInv[[#This Row],[Item Type]])</f>
        <v>925 Silver Chain</v>
      </c>
      <c r="T156" s="33">
        <f>quantInv[[#This Row],[Quantity]]*quantInv[[#This Row],[WEIGHT]]</f>
        <v>38.76</v>
      </c>
      <c r="U156" s="33">
        <f>quantInv[[#This Row],[UNIT
VALUE]]*quantInv[[#This Row],[Quantity]]</f>
        <v>41.112000000000002</v>
      </c>
      <c r="V156" s="33">
        <f>quantInv[[#This Row],[Total Cost GBP]]/EURtoGBP</f>
        <v>46.667007202329266</v>
      </c>
      <c r="W156" s="33">
        <f>quantInv[[#This Row],[Total Cost GBP]]/USDtoGBP</f>
        <v>56.357721838617216</v>
      </c>
      <c r="X156" s="33">
        <f>quantInv[[#This Row],[Total Cost GBP]]/CADtoGBP</f>
        <v>72.141123704339307</v>
      </c>
      <c r="Y156" s="33">
        <f>quantInv[[#This Row],[Quantity]]*quantInv[[#This Row],[UNIT
VALUE AUD]]</f>
        <v>73.841511602845031</v>
      </c>
      <c r="Z156" s="33"/>
    </row>
    <row r="157" spans="1:26" x14ac:dyDescent="0.25">
      <c r="A157" t="s">
        <v>32</v>
      </c>
      <c r="B157" t="s">
        <v>520</v>
      </c>
      <c r="C157" t="s">
        <v>114</v>
      </c>
      <c r="D157" t="s">
        <v>213</v>
      </c>
      <c r="E157">
        <v>5.117</v>
      </c>
      <c r="F157" s="33">
        <v>4.7660999999999998</v>
      </c>
      <c r="G157" s="33" t="s">
        <v>117</v>
      </c>
      <c r="H157" t="s">
        <v>103</v>
      </c>
      <c r="I157" t="str">
        <f>IF(quantInv[[#This Row],[Metal]] = "925 Silver",  "7113.11.00"," 7113.19.00")</f>
        <v>7113.11.00</v>
      </c>
      <c r="J157" t="str">
        <f>IF(quantInv[[#This Row],[Metal]] = "925 Silver", "7113.11.10.00"," 7113.19.10.00")</f>
        <v>7113.11.10.00</v>
      </c>
      <c r="K157" t="str">
        <f>IF(quantInv[[#This Row],[Metal]] = "925 Silver",  "7113.11.00"," 7113.19.00")</f>
        <v>7113.11.00</v>
      </c>
      <c r="L157" t="str">
        <f>IFERROR(VLOOKUP(quantInv[[#This Row],[Description for New Invoice]],Map!$G$12:$H$32,2,FALSE), IF(quantInv[[#This Row],[Metal]] = "925 Silver", "7113.11.10.00", "7113.19.29.00"))</f>
        <v>7113.11.10.00</v>
      </c>
      <c r="M157" t="str">
        <f>quantInv[[#This Row],[ASIN]] &amp; " " &amp; quantInv[[#This Row],[Short Description]]</f>
        <v>B00DKD0OZU Ball Chain</v>
      </c>
      <c r="N157" s="33">
        <f>quantInv[[#This Row],[UNIT
VALUE]] / EURtoGBP</f>
        <v>5.4100900716827569</v>
      </c>
      <c r="O157" s="33">
        <f>quantInv[[#This Row],[UNIT
VALUE]]/USDtoGBP</f>
        <v>6.5335312817433717</v>
      </c>
      <c r="P157" s="33">
        <f>quantInv[[#This Row],[UNIT
VALUE]] / CADtoGBP</f>
        <v>8.3632956238385763</v>
      </c>
      <c r="Q157" s="33">
        <f>quantInv[[#This Row],[UNIT
VALUE]]/AUDtoGBP</f>
        <v>8.5604210072562683</v>
      </c>
      <c r="R157">
        <f>IFERROR(VLOOKUP(quantInv[[#This Row],[Assigned Item SKU]],skuQuantity[#All],2,FALSE),0)</f>
        <v>20</v>
      </c>
      <c r="S157" t="str">
        <f>PROPER(quantInv[[#This Row],[Metal]] &amp; " " &amp; quantInv[[#This Row],[Item Type]])</f>
        <v>925 Silver Chain</v>
      </c>
      <c r="T157" s="33">
        <f>quantInv[[#This Row],[Quantity]]*quantInv[[#This Row],[WEIGHT]]</f>
        <v>102.34</v>
      </c>
      <c r="U157" s="33">
        <f>quantInv[[#This Row],[UNIT
VALUE]]*quantInv[[#This Row],[Quantity]]</f>
        <v>95.322000000000003</v>
      </c>
      <c r="V157" s="33">
        <f>quantInv[[#This Row],[Total Cost GBP]]/EURtoGBP</f>
        <v>108.20180143365515</v>
      </c>
      <c r="W157" s="33">
        <f>quantInv[[#This Row],[Total Cost GBP]]/USDtoGBP</f>
        <v>130.67062563486743</v>
      </c>
      <c r="X157" s="33">
        <f>quantInv[[#This Row],[Total Cost GBP]]/CADtoGBP</f>
        <v>167.26591247677155</v>
      </c>
      <c r="Y157" s="33">
        <f>quantInv[[#This Row],[Quantity]]*quantInv[[#This Row],[UNIT
VALUE AUD]]</f>
        <v>171.20842014512536</v>
      </c>
      <c r="Z157" s="33"/>
    </row>
    <row r="158" spans="1:26" x14ac:dyDescent="0.25">
      <c r="A158" t="s">
        <v>546</v>
      </c>
      <c r="B158" t="s">
        <v>547</v>
      </c>
      <c r="C158" t="s">
        <v>114</v>
      </c>
      <c r="D158" t="s">
        <v>544</v>
      </c>
      <c r="E158">
        <v>4.9742574257425698</v>
      </c>
      <c r="F158" s="33">
        <v>5.1687000000000003</v>
      </c>
      <c r="G158" s="33" t="s">
        <v>117</v>
      </c>
      <c r="H158" t="s">
        <v>103</v>
      </c>
      <c r="I158" t="str">
        <f>IF(quantInv[[#This Row],[Metal]] = "925 Silver",  "7113.11.00"," 7113.19.00")</f>
        <v>7113.11.00</v>
      </c>
      <c r="J158" t="str">
        <f>IF(quantInv[[#This Row],[Metal]] = "925 Silver", "7113.11.10.00"," 7113.19.10.00")</f>
        <v>7113.11.10.00</v>
      </c>
      <c r="K158" t="str">
        <f>IF(quantInv[[#This Row],[Metal]] = "925 Silver",  "7113.11.00"," 7113.19.00")</f>
        <v>7113.11.00</v>
      </c>
      <c r="L158" t="str">
        <f>IFERROR(VLOOKUP(quantInv[[#This Row],[Description for New Invoice]],Map!$G$12:$H$32,2,FALSE), IF(quantInv[[#This Row],[Metal]] = "925 Silver", "7113.11.10.00", "7113.19.29.00"))</f>
        <v>7113.11.10.00</v>
      </c>
      <c r="M158" t="str">
        <f>quantInv[[#This Row],[ASIN]] &amp; " " &amp; quantInv[[#This Row],[Short Description]]</f>
        <v>B012EOJDUC Rat Tail</v>
      </c>
      <c r="N158" s="33">
        <f>quantInv[[#This Row],[UNIT
VALUE]] / EURtoGBP</f>
        <v>5.8670889308882872</v>
      </c>
      <c r="O158" s="33">
        <f>quantInv[[#This Row],[UNIT
VALUE]]/USDtoGBP</f>
        <v>7.0854289956037366</v>
      </c>
      <c r="P158" s="33">
        <f>quantInv[[#This Row],[UNIT
VALUE]] / CADtoGBP</f>
        <v>9.0697564236869681</v>
      </c>
      <c r="Q158" s="33">
        <f>quantInv[[#This Row],[UNIT
VALUE]]/AUDtoGBP</f>
        <v>9.2835332998060203</v>
      </c>
      <c r="R158">
        <f>IFERROR(VLOOKUP(quantInv[[#This Row],[Assigned Item SKU]],skuQuantity[#All],2,FALSE),0)</f>
        <v>25</v>
      </c>
      <c r="S158" t="str">
        <f>PROPER(quantInv[[#This Row],[Metal]] &amp; " " &amp; quantInv[[#This Row],[Item Type]])</f>
        <v>925 Silver Chain</v>
      </c>
      <c r="T158" s="33">
        <f>quantInv[[#This Row],[Quantity]]*quantInv[[#This Row],[WEIGHT]]</f>
        <v>124.35643564356424</v>
      </c>
      <c r="U158" s="33">
        <f>quantInv[[#This Row],[UNIT
VALUE]]*quantInv[[#This Row],[Quantity]]</f>
        <v>129.2175</v>
      </c>
      <c r="V158" s="33">
        <f>quantInv[[#This Row],[Total Cost GBP]]/EURtoGBP</f>
        <v>146.67722327220719</v>
      </c>
      <c r="W158" s="33">
        <f>quantInv[[#This Row],[Total Cost GBP]]/USDtoGBP</f>
        <v>177.1357248900934</v>
      </c>
      <c r="X158" s="33">
        <f>quantInv[[#This Row],[Total Cost GBP]]/CADtoGBP</f>
        <v>226.74391059217416</v>
      </c>
      <c r="Y158" s="33">
        <f>quantInv[[#This Row],[Quantity]]*quantInv[[#This Row],[UNIT
VALUE AUD]]</f>
        <v>232.0883324951505</v>
      </c>
      <c r="Z158" s="33"/>
    </row>
    <row r="159" spans="1:26" x14ac:dyDescent="0.25">
      <c r="A159" t="s">
        <v>461</v>
      </c>
      <c r="B159" t="s">
        <v>462</v>
      </c>
      <c r="C159" t="s">
        <v>113</v>
      </c>
      <c r="D159" t="s">
        <v>189</v>
      </c>
      <c r="E159">
        <v>4.55</v>
      </c>
      <c r="F159" s="33">
        <v>5.0781999999999998</v>
      </c>
      <c r="G159" s="33" t="s">
        <v>117</v>
      </c>
      <c r="H159" t="s">
        <v>1426</v>
      </c>
      <c r="I159" t="str">
        <f>IF(quantInv[[#This Row],[Metal]] = "925 Silver",  "7113.11.00"," 7113.19.00")</f>
        <v>7113.11.00</v>
      </c>
      <c r="J159" t="str">
        <f>IF(quantInv[[#This Row],[Metal]] = "925 Silver", "7113.11.10.00"," 7113.19.10.00")</f>
        <v>7113.11.10.00</v>
      </c>
      <c r="K159" t="str">
        <f>IF(quantInv[[#This Row],[Metal]] = "925 Silver",  "7113.11.00"," 7113.19.00")</f>
        <v>7113.11.00</v>
      </c>
      <c r="L159" t="str">
        <f>IFERROR(VLOOKUP(quantInv[[#This Row],[Description for New Invoice]],Map!$G$12:$H$32,2,FALSE), IF(quantInv[[#This Row],[Metal]] = "925 Silver", "7113.11.10.00", "7113.19.29.00"))</f>
        <v>7113.11.10.00</v>
      </c>
      <c r="M159" t="str">
        <f>quantInv[[#This Row],[ASIN]] &amp; " " &amp; quantInv[[#This Row],[Short Description]]</f>
        <v>B071F7MDJP Singapore Chain</v>
      </c>
      <c r="N159" s="33">
        <f>quantInv[[#This Row],[UNIT
VALUE]] / EURtoGBP</f>
        <v>5.7643606726714456</v>
      </c>
      <c r="O159" s="33">
        <f>quantInv[[#This Row],[UNIT
VALUE]]/USDtoGBP</f>
        <v>6.9613685308636386</v>
      </c>
      <c r="P159" s="33">
        <f>quantInv[[#This Row],[UNIT
VALUE]] / CADtoGBP</f>
        <v>8.9109518971437982</v>
      </c>
      <c r="Q159" s="33">
        <f>quantInv[[#This Row],[UNIT
VALUE]]/AUDtoGBP</f>
        <v>9.1209857029959043</v>
      </c>
      <c r="R159">
        <f>IFERROR(VLOOKUP(quantInv[[#This Row],[Assigned Item SKU]],skuQuantity[#All],2,FALSE),0)</f>
        <v>0</v>
      </c>
      <c r="S159" t="str">
        <f>PROPER(quantInv[[#This Row],[Metal]] &amp; " " &amp; quantInv[[#This Row],[Item Type]])</f>
        <v>925 Silver Anklet</v>
      </c>
      <c r="T159" s="33">
        <f>quantInv[[#This Row],[Quantity]]*quantInv[[#This Row],[WEIGHT]]</f>
        <v>0</v>
      </c>
      <c r="U159" s="33">
        <f>quantInv[[#This Row],[UNIT
VALUE]]*quantInv[[#This Row],[Quantity]]</f>
        <v>0</v>
      </c>
      <c r="V159" s="33">
        <f>quantInv[[#This Row],[Total Cost GBP]]/EURtoGBP</f>
        <v>0</v>
      </c>
      <c r="W159" s="33">
        <f>quantInv[[#This Row],[Total Cost GBP]]/USDtoGBP</f>
        <v>0</v>
      </c>
      <c r="X159" s="33">
        <f>quantInv[[#This Row],[Total Cost GBP]]/CADtoGBP</f>
        <v>0</v>
      </c>
      <c r="Y159" s="33">
        <f>quantInv[[#This Row],[Quantity]]*quantInv[[#This Row],[UNIT
VALUE AUD]]</f>
        <v>0</v>
      </c>
      <c r="Z159" s="33"/>
    </row>
    <row r="160" spans="1:26" x14ac:dyDescent="0.25">
      <c r="A160" t="s">
        <v>463</v>
      </c>
      <c r="B160" t="s">
        <v>464</v>
      </c>
      <c r="C160" t="s">
        <v>113</v>
      </c>
      <c r="D160" t="s">
        <v>465</v>
      </c>
      <c r="E160">
        <v>4.07</v>
      </c>
      <c r="F160" s="33">
        <v>3.8262999999999998</v>
      </c>
      <c r="G160" s="33" t="s">
        <v>117</v>
      </c>
      <c r="H160" t="s">
        <v>103</v>
      </c>
      <c r="I160" t="str">
        <f>IF(quantInv[[#This Row],[Metal]] = "925 Silver",  "7113.11.00"," 7113.19.00")</f>
        <v>7113.11.00</v>
      </c>
      <c r="J160" t="str">
        <f>IF(quantInv[[#This Row],[Metal]] = "925 Silver", "7113.11.10.00"," 7113.19.10.00")</f>
        <v>7113.11.10.00</v>
      </c>
      <c r="K160" t="str">
        <f>IF(quantInv[[#This Row],[Metal]] = "925 Silver",  "7113.11.00"," 7113.19.00")</f>
        <v>7113.11.00</v>
      </c>
      <c r="L160" t="str">
        <f>IFERROR(VLOOKUP(quantInv[[#This Row],[Description for New Invoice]],Map!$G$12:$H$32,2,FALSE), IF(quantInv[[#This Row],[Metal]] = "925 Silver", "7113.11.10.00", "7113.19.29.00"))</f>
        <v>7113.11.10.00</v>
      </c>
      <c r="M160" t="str">
        <f>quantInv[[#This Row],[ASIN]] &amp; " " &amp; quantInv[[#This Row],[Short Description]]</f>
        <v>B00DKCZOUQ Wheat Chain</v>
      </c>
      <c r="N160" s="33">
        <f>quantInv[[#This Row],[UNIT
VALUE]] / EURtoGBP</f>
        <v>4.3433053526530561</v>
      </c>
      <c r="O160" s="33">
        <f>quantInv[[#This Row],[UNIT
VALUE]]/USDtoGBP</f>
        <v>5.2452216158567095</v>
      </c>
      <c r="P160" s="33">
        <f>quantInv[[#This Row],[UNIT
VALUE]] / CADtoGBP</f>
        <v>6.7141851923991407</v>
      </c>
      <c r="Q160" s="33">
        <f>quantInv[[#This Row],[UNIT
VALUE]]/AUDtoGBP</f>
        <v>6.8724405488900056</v>
      </c>
      <c r="R160">
        <f>IFERROR(VLOOKUP(quantInv[[#This Row],[Assigned Item SKU]],skuQuantity[#All],2,FALSE),0)</f>
        <v>0</v>
      </c>
      <c r="S160" t="str">
        <f>PROPER(quantInv[[#This Row],[Metal]] &amp; " " &amp; quantInv[[#This Row],[Item Type]])</f>
        <v>925 Silver Chain</v>
      </c>
      <c r="T160" s="33">
        <f>quantInv[[#This Row],[Quantity]]*quantInv[[#This Row],[WEIGHT]]</f>
        <v>0</v>
      </c>
      <c r="U160" s="33">
        <f>quantInv[[#This Row],[UNIT
VALUE]]*quantInv[[#This Row],[Quantity]]</f>
        <v>0</v>
      </c>
      <c r="V160" s="33">
        <f>quantInv[[#This Row],[Total Cost GBP]]/EURtoGBP</f>
        <v>0</v>
      </c>
      <c r="W160" s="33">
        <f>quantInv[[#This Row],[Total Cost GBP]]/USDtoGBP</f>
        <v>0</v>
      </c>
      <c r="X160" s="33">
        <f>quantInv[[#This Row],[Total Cost GBP]]/CADtoGBP</f>
        <v>0</v>
      </c>
      <c r="Y160" s="33">
        <f>quantInv[[#This Row],[Quantity]]*quantInv[[#This Row],[UNIT
VALUE AUD]]</f>
        <v>0</v>
      </c>
      <c r="Z160" s="33"/>
    </row>
    <row r="161" spans="1:26" x14ac:dyDescent="0.25">
      <c r="A161" t="s">
        <v>47</v>
      </c>
      <c r="B161" t="s">
        <v>466</v>
      </c>
      <c r="C161" t="s">
        <v>113</v>
      </c>
      <c r="D161" t="s">
        <v>467</v>
      </c>
      <c r="E161">
        <v>2.8559999999999999</v>
      </c>
      <c r="F161" s="33">
        <v>2.8140999999999998</v>
      </c>
      <c r="G161" s="33" t="s">
        <v>117</v>
      </c>
      <c r="H161" t="s">
        <v>1414</v>
      </c>
      <c r="I161" t="str">
        <f>IF(quantInv[[#This Row],[Metal]] = "925 Silver",  "7113.11.00"," 7113.19.00")</f>
        <v>7113.11.00</v>
      </c>
      <c r="J161" t="str">
        <f>IF(quantInv[[#This Row],[Metal]] = "925 Silver", "7113.11.10.00"," 7113.19.10.00")</f>
        <v>7113.11.10.00</v>
      </c>
      <c r="K161" t="str">
        <f>IF(quantInv[[#This Row],[Metal]] = "925 Silver",  "7113.11.00"," 7113.19.00")</f>
        <v>7113.11.00</v>
      </c>
      <c r="L161" t="str">
        <f>IFERROR(VLOOKUP(quantInv[[#This Row],[Description for New Invoice]],Map!$G$12:$H$32,2,FALSE), IF(quantInv[[#This Row],[Metal]] = "925 Silver", "7113.11.10.00", "7113.19.29.00"))</f>
        <v>7113.11.10.00</v>
      </c>
      <c r="M161" t="str">
        <f>quantInv[[#This Row],[ASIN]] &amp; " " &amp; quantInv[[#This Row],[Short Description]]</f>
        <v>B01N366CM3 Open Curb Chain</v>
      </c>
      <c r="N161" s="33">
        <f>quantInv[[#This Row],[UNIT
VALUE]] / EURtoGBP</f>
        <v>3.1943380270498825</v>
      </c>
      <c r="O161" s="33">
        <f>quantInv[[#This Row],[UNIT
VALUE]]/USDtoGBP</f>
        <v>3.8576635781779696</v>
      </c>
      <c r="P161" s="33">
        <f>quantInv[[#This Row],[UNIT
VALUE]] / CADtoGBP</f>
        <v>4.9380311397251715</v>
      </c>
      <c r="Q161" s="33">
        <f>quantInv[[#This Row],[UNIT
VALUE]]/AUDtoGBP</f>
        <v>5.0544220130756514</v>
      </c>
      <c r="R161">
        <f>IFERROR(VLOOKUP(quantInv[[#This Row],[Assigned Item SKU]],skuQuantity[#All],2,FALSE),0)</f>
        <v>10</v>
      </c>
      <c r="S161" t="str">
        <f>PROPER(quantInv[[#This Row],[Metal]] &amp; " " &amp; quantInv[[#This Row],[Item Type]])</f>
        <v>925 Silver Bracelet</v>
      </c>
      <c r="T161" s="33">
        <f>quantInv[[#This Row],[Quantity]]*quantInv[[#This Row],[WEIGHT]]</f>
        <v>28.56</v>
      </c>
      <c r="U161" s="33">
        <f>quantInv[[#This Row],[UNIT
VALUE]]*quantInv[[#This Row],[Quantity]]</f>
        <v>28.140999999999998</v>
      </c>
      <c r="V161" s="33">
        <f>quantInv[[#This Row],[Total Cost GBP]]/EURtoGBP</f>
        <v>31.943380270498825</v>
      </c>
      <c r="W161" s="33">
        <f>quantInv[[#This Row],[Total Cost GBP]]/USDtoGBP</f>
        <v>38.5766357817797</v>
      </c>
      <c r="X161" s="33">
        <f>quantInv[[#This Row],[Total Cost GBP]]/CADtoGBP</f>
        <v>49.38031139725171</v>
      </c>
      <c r="Y161" s="33">
        <f>quantInv[[#This Row],[Quantity]]*quantInv[[#This Row],[UNIT
VALUE AUD]]</f>
        <v>50.544220130756514</v>
      </c>
      <c r="Z161" s="33"/>
    </row>
    <row r="162" spans="1:26" x14ac:dyDescent="0.25">
      <c r="A162" t="s">
        <v>468</v>
      </c>
      <c r="B162" t="s">
        <v>469</v>
      </c>
      <c r="C162" t="s">
        <v>113</v>
      </c>
      <c r="D162" t="s">
        <v>470</v>
      </c>
      <c r="E162">
        <v>3.1225806451612899</v>
      </c>
      <c r="F162" s="33">
        <v>2.9617</v>
      </c>
      <c r="G162" s="33" t="s">
        <v>117</v>
      </c>
      <c r="H162" t="s">
        <v>103</v>
      </c>
      <c r="I162" t="str">
        <f>IF(quantInv[[#This Row],[Metal]] = "925 Silver",  "7113.11.00"," 7113.19.00")</f>
        <v>7113.11.00</v>
      </c>
      <c r="J162" t="str">
        <f>IF(quantInv[[#This Row],[Metal]] = "925 Silver", "7113.11.10.00"," 7113.19.10.00")</f>
        <v>7113.11.10.00</v>
      </c>
      <c r="K162" t="str">
        <f>IF(quantInv[[#This Row],[Metal]] = "925 Silver",  "7113.11.00"," 7113.19.00")</f>
        <v>7113.11.00</v>
      </c>
      <c r="L162" t="str">
        <f>IFERROR(VLOOKUP(quantInv[[#This Row],[Description for New Invoice]],Map!$G$12:$H$32,2,FALSE), IF(quantInv[[#This Row],[Metal]] = "925 Silver", "7113.11.10.00", "7113.19.29.00"))</f>
        <v>7113.11.10.00</v>
      </c>
      <c r="M162" t="str">
        <f>quantInv[[#This Row],[ASIN]] &amp; " " &amp; quantInv[[#This Row],[Short Description]]</f>
        <v>B00DKCZX0W Beading Chain</v>
      </c>
      <c r="N162" s="33">
        <f>quantInv[[#This Row],[UNIT
VALUE]] / EURtoGBP</f>
        <v>3.3618815730477376</v>
      </c>
      <c r="O162" s="33">
        <f>quantInv[[#This Row],[UNIT
VALUE]]/USDtoGBP</f>
        <v>4.0599986565828132</v>
      </c>
      <c r="P162" s="33">
        <f>quantInv[[#This Row],[UNIT
VALUE]] / CADtoGBP</f>
        <v>5.1970316714132547</v>
      </c>
      <c r="Q162" s="33">
        <f>quantInv[[#This Row],[UNIT
VALUE]]/AUDtoGBP</f>
        <v>5.3195272648897189</v>
      </c>
      <c r="R162">
        <f>IFERROR(VLOOKUP(quantInv[[#This Row],[Assigned Item SKU]],skuQuantity[#All],2,FALSE),0)</f>
        <v>0</v>
      </c>
      <c r="S162" t="str">
        <f>PROPER(quantInv[[#This Row],[Metal]] &amp; " " &amp; quantInv[[#This Row],[Item Type]])</f>
        <v>925 Silver Chain</v>
      </c>
      <c r="T162" s="33">
        <f>quantInv[[#This Row],[Quantity]]*quantInv[[#This Row],[WEIGHT]]</f>
        <v>0</v>
      </c>
      <c r="U162" s="33">
        <f>quantInv[[#This Row],[UNIT
VALUE]]*quantInv[[#This Row],[Quantity]]</f>
        <v>0</v>
      </c>
      <c r="V162" s="33">
        <f>quantInv[[#This Row],[Total Cost GBP]]/EURtoGBP</f>
        <v>0</v>
      </c>
      <c r="W162" s="33">
        <f>quantInv[[#This Row],[Total Cost GBP]]/USDtoGBP</f>
        <v>0</v>
      </c>
      <c r="X162" s="33">
        <f>quantInv[[#This Row],[Total Cost GBP]]/CADtoGBP</f>
        <v>0</v>
      </c>
      <c r="Y162" s="33">
        <f>quantInv[[#This Row],[Quantity]]*quantInv[[#This Row],[UNIT
VALUE AUD]]</f>
        <v>0</v>
      </c>
      <c r="Z162" s="33"/>
    </row>
    <row r="163" spans="1:26" x14ac:dyDescent="0.25">
      <c r="A163" t="s">
        <v>989</v>
      </c>
      <c r="B163" t="s">
        <v>990</v>
      </c>
      <c r="C163" t="s">
        <v>113</v>
      </c>
      <c r="D163" t="s">
        <v>2917</v>
      </c>
      <c r="E163">
        <v>1.8</v>
      </c>
      <c r="F163" s="33">
        <v>2.8062</v>
      </c>
      <c r="G163" s="33" t="s">
        <v>117</v>
      </c>
      <c r="H163" t="s">
        <v>1310</v>
      </c>
      <c r="I163" t="str">
        <f>IF(quantInv[[#This Row],[Metal]] = "925 Silver",  "7113.11.00"," 7113.19.00")</f>
        <v>7113.11.00</v>
      </c>
      <c r="J163" t="str">
        <f>IF(quantInv[[#This Row],[Metal]] = "925 Silver", "7113.11.10.00"," 7113.19.10.00")</f>
        <v>7113.11.10.00</v>
      </c>
      <c r="K163" t="str">
        <f>IF(quantInv[[#This Row],[Metal]] = "925 Silver",  "7113.11.00"," 7113.19.00")</f>
        <v>7113.11.00</v>
      </c>
      <c r="L163" t="str">
        <f>IFERROR(VLOOKUP(quantInv[[#This Row],[Description for New Invoice]],Map!$G$12:$H$32,2,FALSE), IF(quantInv[[#This Row],[Metal]] = "925 Silver", "7113.11.10.00", "7113.19.29.00"))</f>
        <v>7113.11.50.00</v>
      </c>
      <c r="M163" t="str">
        <f>quantInv[[#This Row],[ASIN]] &amp; " " &amp; quantInv[[#This Row],[Short Description]]</f>
        <v>B071R9GF2X Earrings - Round Stud  petals</v>
      </c>
      <c r="N163" s="33">
        <f>quantInv[[#This Row],[UNIT
VALUE]] / EURtoGBP</f>
        <v>3.1853705879348215</v>
      </c>
      <c r="O163" s="33">
        <f>quantInv[[#This Row],[UNIT
VALUE]]/USDtoGBP</f>
        <v>3.8468339906481717</v>
      </c>
      <c r="P163" s="33">
        <f>quantInv[[#This Row],[UNIT
VALUE]] / CADtoGBP</f>
        <v>4.9241686451429505</v>
      </c>
      <c r="Q163" s="33">
        <f>quantInv[[#This Row],[UNIT
VALUE]]/AUDtoGBP</f>
        <v>5.040232775343056</v>
      </c>
      <c r="R163" s="106">
        <f>IFERROR(VLOOKUP(quantInv[[#This Row],[Assigned Item SKU]],skuQuantity[#All],2,FALSE),0)</f>
        <v>0</v>
      </c>
      <c r="S163" t="str">
        <f>PROPER(quantInv[[#This Row],[Metal]] &amp; " " &amp; quantInv[[#This Row],[Item Type]])</f>
        <v>925 Silver Earrings</v>
      </c>
      <c r="T163" s="33">
        <f>quantInv[[#This Row],[Quantity]]*quantInv[[#This Row],[WEIGHT]]</f>
        <v>0</v>
      </c>
      <c r="U163" s="33">
        <f>quantInv[[#This Row],[UNIT
VALUE]]*quantInv[[#This Row],[Quantity]]</f>
        <v>0</v>
      </c>
      <c r="V163" s="33">
        <f>quantInv[[#This Row],[Total Cost GBP]]/EURtoGBP</f>
        <v>0</v>
      </c>
      <c r="W163" s="33">
        <f>quantInv[[#This Row],[Total Cost GBP]]/USDtoGBP</f>
        <v>0</v>
      </c>
      <c r="X163" s="33">
        <f>quantInv[[#This Row],[Total Cost GBP]]/CADtoGBP</f>
        <v>0</v>
      </c>
      <c r="Y163" s="33">
        <f>quantInv[[#This Row],[Quantity]]*quantInv[[#This Row],[UNIT
VALUE AUD]]</f>
        <v>0</v>
      </c>
      <c r="Z163" s="33"/>
    </row>
    <row r="164" spans="1:26" x14ac:dyDescent="0.25">
      <c r="A164" t="s">
        <v>183</v>
      </c>
      <c r="B164" t="s">
        <v>184</v>
      </c>
      <c r="C164" t="s">
        <v>113</v>
      </c>
      <c r="D164" t="s">
        <v>180</v>
      </c>
      <c r="E164">
        <v>2.3108910891089098</v>
      </c>
      <c r="F164" s="33">
        <v>3.1781000000000001</v>
      </c>
      <c r="G164" s="33" t="s">
        <v>117</v>
      </c>
      <c r="H164" t="s">
        <v>103</v>
      </c>
      <c r="I164" t="str">
        <f>IF(quantInv[[#This Row],[Metal]] = "925 Silver",  "7113.11.00"," 7113.19.00")</f>
        <v>7113.11.00</v>
      </c>
      <c r="J164" t="str">
        <f>IF(quantInv[[#This Row],[Metal]] = "925 Silver", "7113.11.10.00"," 7113.19.10.00")</f>
        <v>7113.11.10.00</v>
      </c>
      <c r="K164" t="str">
        <f>IF(quantInv[[#This Row],[Metal]] = "925 Silver",  "7113.11.00"," 7113.19.00")</f>
        <v>7113.11.00</v>
      </c>
      <c r="L164" t="str">
        <f>IFERROR(VLOOKUP(quantInv[[#This Row],[Description for New Invoice]],Map!$G$12:$H$32,2,FALSE), IF(quantInv[[#This Row],[Metal]] = "925 Silver", "7113.11.10.00", "7113.19.29.00"))</f>
        <v>7113.11.10.00</v>
      </c>
      <c r="M164" t="str">
        <f>quantInv[[#This Row],[ASIN]] &amp; " " &amp; quantInv[[#This Row],[Short Description]]</f>
        <v>B012HM8JBA Belcher Chain</v>
      </c>
      <c r="N164" s="33">
        <f>quantInv[[#This Row],[UNIT
VALUE]] / EURtoGBP</f>
        <v>3.6075212976678985</v>
      </c>
      <c r="O164" s="33">
        <f>quantInv[[#This Row],[UNIT
VALUE]]/USDtoGBP</f>
        <v>4.3566471048674202</v>
      </c>
      <c r="P164" s="33">
        <f>quantInv[[#This Row],[UNIT
VALUE]] / CADtoGBP</f>
        <v>5.5767587381971389</v>
      </c>
      <c r="Q164" s="33">
        <f>quantInv[[#This Row],[UNIT
VALUE]]/AUDtoGBP</f>
        <v>5.7082046124003156</v>
      </c>
      <c r="R164">
        <f>IFERROR(VLOOKUP(quantInv[[#This Row],[Assigned Item SKU]],skuQuantity[#All],2,FALSE),0)</f>
        <v>5</v>
      </c>
      <c r="S164" t="str">
        <f>PROPER(quantInv[[#This Row],[Metal]] &amp; " " &amp; quantInv[[#This Row],[Item Type]])</f>
        <v>925 Silver Chain</v>
      </c>
      <c r="T164" s="33">
        <f>quantInv[[#This Row],[Quantity]]*quantInv[[#This Row],[WEIGHT]]</f>
        <v>11.55445544554455</v>
      </c>
      <c r="U164" s="33">
        <f>quantInv[[#This Row],[UNIT
VALUE]]*quantInv[[#This Row],[Quantity]]</f>
        <v>15.890500000000001</v>
      </c>
      <c r="V164" s="33">
        <f>quantInv[[#This Row],[Total Cost GBP]]/EURtoGBP</f>
        <v>18.037606488339492</v>
      </c>
      <c r="W164" s="33">
        <f>quantInv[[#This Row],[Total Cost GBP]]/USDtoGBP</f>
        <v>21.783235524337101</v>
      </c>
      <c r="X164" s="33">
        <f>quantInv[[#This Row],[Total Cost GBP]]/CADtoGBP</f>
        <v>27.883793690985694</v>
      </c>
      <c r="Y164" s="33">
        <f>quantInv[[#This Row],[Quantity]]*quantInv[[#This Row],[UNIT
VALUE AUD]]</f>
        <v>28.541023062001578</v>
      </c>
      <c r="Z164" s="33"/>
    </row>
    <row r="165" spans="1:26" x14ac:dyDescent="0.25">
      <c r="A165" t="s">
        <v>415</v>
      </c>
      <c r="B165" t="s">
        <v>416</v>
      </c>
      <c r="C165" t="s">
        <v>113</v>
      </c>
      <c r="D165" t="s">
        <v>173</v>
      </c>
      <c r="E165">
        <v>2.83</v>
      </c>
      <c r="F165" s="33">
        <v>2.8913000000000002</v>
      </c>
      <c r="G165" s="33" t="s">
        <v>117</v>
      </c>
      <c r="H165" t="s">
        <v>103</v>
      </c>
      <c r="I165" t="str">
        <f>IF(quantInv[[#This Row],[Metal]] = "925 Silver",  "7113.11.00"," 7113.19.00")</f>
        <v>7113.11.00</v>
      </c>
      <c r="J165" t="str">
        <f>IF(quantInv[[#This Row],[Metal]] = "925 Silver", "7113.11.10.00"," 7113.19.10.00")</f>
        <v>7113.11.10.00</v>
      </c>
      <c r="K165" t="str">
        <f>IF(quantInv[[#This Row],[Metal]] = "925 Silver",  "7113.11.00"," 7113.19.00")</f>
        <v>7113.11.00</v>
      </c>
      <c r="L165" t="str">
        <f>IFERROR(VLOOKUP(quantInv[[#This Row],[Description for New Invoice]],Map!$G$12:$H$32,2,FALSE), IF(quantInv[[#This Row],[Metal]] = "925 Silver", "7113.11.10.00", "7113.19.29.00"))</f>
        <v>7113.11.10.00</v>
      </c>
      <c r="M165" t="str">
        <f>quantInv[[#This Row],[ASIN]] &amp; " " &amp; quantInv[[#This Row],[Short Description]]</f>
        <v>B00DKCYZOW Figaro Chain</v>
      </c>
      <c r="N165" s="33">
        <f>quantInv[[#This Row],[UNIT
VALUE]] / EURtoGBP</f>
        <v>3.2819692042249127</v>
      </c>
      <c r="O165" s="33">
        <f>quantInv[[#This Row],[UNIT
VALUE]]/USDtoGBP</f>
        <v>3.9634919525197985</v>
      </c>
      <c r="P165" s="33">
        <f>quantInv[[#This Row],[UNIT
VALUE]] / CADtoGBP</f>
        <v>5.0734975424780178</v>
      </c>
      <c r="Q165" s="33">
        <f>quantInv[[#This Row],[UNIT
VALUE]]/AUDtoGBP</f>
        <v>5.1930813995258278</v>
      </c>
      <c r="R165">
        <f>IFERROR(VLOOKUP(quantInv[[#This Row],[Assigned Item SKU]],skuQuantity[#All],2,FALSE),0)</f>
        <v>0</v>
      </c>
      <c r="S165" t="str">
        <f>PROPER(quantInv[[#This Row],[Metal]] &amp; " " &amp; quantInv[[#This Row],[Item Type]])</f>
        <v>925 Silver Chain</v>
      </c>
      <c r="T165" s="33">
        <f>quantInv[[#This Row],[Quantity]]*quantInv[[#This Row],[WEIGHT]]</f>
        <v>0</v>
      </c>
      <c r="U165" s="33">
        <f>quantInv[[#This Row],[UNIT
VALUE]]*quantInv[[#This Row],[Quantity]]</f>
        <v>0</v>
      </c>
      <c r="V165" s="33">
        <f>quantInv[[#This Row],[Total Cost GBP]]/EURtoGBP</f>
        <v>0</v>
      </c>
      <c r="W165" s="33">
        <f>quantInv[[#This Row],[Total Cost GBP]]/USDtoGBP</f>
        <v>0</v>
      </c>
      <c r="X165" s="33">
        <f>quantInv[[#This Row],[Total Cost GBP]]/CADtoGBP</f>
        <v>0</v>
      </c>
      <c r="Y165" s="33">
        <f>quantInv[[#This Row],[Quantity]]*quantInv[[#This Row],[UNIT
VALUE AUD]]</f>
        <v>0</v>
      </c>
      <c r="Z165" s="33"/>
    </row>
    <row r="166" spans="1:26" x14ac:dyDescent="0.25">
      <c r="A166" t="s">
        <v>38</v>
      </c>
      <c r="B166" t="s">
        <v>501</v>
      </c>
      <c r="C166" t="s">
        <v>114</v>
      </c>
      <c r="D166" t="s">
        <v>494</v>
      </c>
      <c r="E166">
        <v>8.6196078431372491</v>
      </c>
      <c r="F166" s="33">
        <v>8.4734999999999996</v>
      </c>
      <c r="G166" s="33" t="s">
        <v>117</v>
      </c>
      <c r="H166" t="s">
        <v>103</v>
      </c>
      <c r="I166" t="str">
        <f>IF(quantInv[[#This Row],[Metal]] = "925 Silver",  "7113.11.00"," 7113.19.00")</f>
        <v>7113.11.00</v>
      </c>
      <c r="J166" t="str">
        <f>IF(quantInv[[#This Row],[Metal]] = "925 Silver", "7113.11.10.00"," 7113.19.10.00")</f>
        <v>7113.11.10.00</v>
      </c>
      <c r="K166" t="str">
        <f>IF(quantInv[[#This Row],[Metal]] = "925 Silver",  "7113.11.00"," 7113.19.00")</f>
        <v>7113.11.00</v>
      </c>
      <c r="L166" t="str">
        <f>IFERROR(VLOOKUP(quantInv[[#This Row],[Description for New Invoice]],Map!$G$12:$H$32,2,FALSE), IF(quantInv[[#This Row],[Metal]] = "925 Silver", "7113.11.10.00", "7113.19.29.00"))</f>
        <v>7113.11.10.00</v>
      </c>
      <c r="M166" t="str">
        <f>quantInv[[#This Row],[ASIN]] &amp; " " &amp; quantInv[[#This Row],[Short Description]]</f>
        <v>B00DKD0C66 Ball and Bar Chain</v>
      </c>
      <c r="N166" s="33">
        <f>quantInv[[#This Row],[UNIT
VALUE]] / EURtoGBP</f>
        <v>9.6184297900597642</v>
      </c>
      <c r="O166" s="33">
        <f>quantInv[[#This Row],[UNIT
VALUE]]/USDtoGBP</f>
        <v>11.61576075110729</v>
      </c>
      <c r="P166" s="33">
        <f>quantInv[[#This Row],[UNIT
VALUE]] / CADtoGBP</f>
        <v>14.868841499044539</v>
      </c>
      <c r="Q166" s="33">
        <f>quantInv[[#This Row],[UNIT
VALUE]]/AUDtoGBP</f>
        <v>15.219304547740498</v>
      </c>
      <c r="R166">
        <f>IFERROR(VLOOKUP(quantInv[[#This Row],[Assigned Item SKU]],skuQuantity[#All],2,FALSE),0)</f>
        <v>0</v>
      </c>
      <c r="S166" t="str">
        <f>PROPER(quantInv[[#This Row],[Metal]] &amp; " " &amp; quantInv[[#This Row],[Item Type]])</f>
        <v>925 Silver Chain</v>
      </c>
      <c r="T166" s="33">
        <f>quantInv[[#This Row],[Quantity]]*quantInv[[#This Row],[WEIGHT]]</f>
        <v>0</v>
      </c>
      <c r="U166" s="33">
        <f>quantInv[[#This Row],[UNIT
VALUE]]*quantInv[[#This Row],[Quantity]]</f>
        <v>0</v>
      </c>
      <c r="V166" s="33">
        <f>quantInv[[#This Row],[Total Cost GBP]]/EURtoGBP</f>
        <v>0</v>
      </c>
      <c r="W166" s="33">
        <f>quantInv[[#This Row],[Total Cost GBP]]/USDtoGBP</f>
        <v>0</v>
      </c>
      <c r="X166" s="33">
        <f>quantInv[[#This Row],[Total Cost GBP]]/CADtoGBP</f>
        <v>0</v>
      </c>
      <c r="Y166" s="33">
        <f>quantInv[[#This Row],[Quantity]]*quantInv[[#This Row],[UNIT
VALUE AUD]]</f>
        <v>0</v>
      </c>
      <c r="Z166" s="33"/>
    </row>
    <row r="167" spans="1:26" x14ac:dyDescent="0.25">
      <c r="A167" t="s">
        <v>698</v>
      </c>
      <c r="B167" t="s">
        <v>699</v>
      </c>
      <c r="C167" t="s">
        <v>114</v>
      </c>
      <c r="D167" t="s">
        <v>697</v>
      </c>
      <c r="E167">
        <v>16.28</v>
      </c>
      <c r="F167" s="33">
        <v>14.456300000000001</v>
      </c>
      <c r="G167" s="33" t="s">
        <v>117</v>
      </c>
      <c r="H167" t="s">
        <v>103</v>
      </c>
      <c r="I167" t="str">
        <f>IF(quantInv[[#This Row],[Metal]] = "925 Silver",  "7113.11.00"," 7113.19.00")</f>
        <v>7113.11.00</v>
      </c>
      <c r="J167" t="str">
        <f>IF(quantInv[[#This Row],[Metal]] = "925 Silver", "7113.11.10.00"," 7113.19.10.00")</f>
        <v>7113.11.10.00</v>
      </c>
      <c r="K167" t="str">
        <f>IF(quantInv[[#This Row],[Metal]] = "925 Silver",  "7113.11.00"," 7113.19.00")</f>
        <v>7113.11.00</v>
      </c>
      <c r="L167" t="str">
        <f>IFERROR(VLOOKUP(quantInv[[#This Row],[Description for New Invoice]],Map!$G$12:$H$32,2,FALSE), IF(quantInv[[#This Row],[Metal]] = "925 Silver", "7113.11.10.00", "7113.19.29.00"))</f>
        <v>7113.11.10.00</v>
      </c>
      <c r="M167" t="str">
        <f>quantInv[[#This Row],[ASIN]] &amp; " " &amp; quantInv[[#This Row],[Short Description]]</f>
        <v>B06Y5TBM6K Flat Curb Chain</v>
      </c>
      <c r="N167" s="33">
        <f>quantInv[[#This Row],[UNIT
VALUE]] / EURtoGBP</f>
        <v>16.409618997349497</v>
      </c>
      <c r="O167" s="33">
        <f>quantInv[[#This Row],[UNIT
VALUE]]/USDtoGBP</f>
        <v>19.817185595826086</v>
      </c>
      <c r="P167" s="33">
        <f>quantInv[[#This Row],[UNIT
VALUE]] / CADtoGBP</f>
        <v>25.367136763160158</v>
      </c>
      <c r="Q167" s="33">
        <f>quantInv[[#This Row],[UNIT
VALUE]]/AUDtoGBP</f>
        <v>25.965047776420718</v>
      </c>
      <c r="R167">
        <f>IFERROR(VLOOKUP(quantInv[[#This Row],[Assigned Item SKU]],skuQuantity[#All],2,FALSE),0)</f>
        <v>0</v>
      </c>
      <c r="S167" t="str">
        <f>PROPER(quantInv[[#This Row],[Metal]] &amp; " " &amp; quantInv[[#This Row],[Item Type]])</f>
        <v>925 Silver Chain</v>
      </c>
      <c r="T167" s="33">
        <f>quantInv[[#This Row],[Quantity]]*quantInv[[#This Row],[WEIGHT]]</f>
        <v>0</v>
      </c>
      <c r="U167" s="33">
        <f>quantInv[[#This Row],[UNIT
VALUE]]*quantInv[[#This Row],[Quantity]]</f>
        <v>0</v>
      </c>
      <c r="V167" s="33">
        <f>quantInv[[#This Row],[Total Cost GBP]]/EURtoGBP</f>
        <v>0</v>
      </c>
      <c r="W167" s="33">
        <f>quantInv[[#This Row],[Total Cost GBP]]/USDtoGBP</f>
        <v>0</v>
      </c>
      <c r="X167" s="33">
        <f>quantInv[[#This Row],[Total Cost GBP]]/CADtoGBP</f>
        <v>0</v>
      </c>
      <c r="Y167" s="33">
        <f>quantInv[[#This Row],[Quantity]]*quantInv[[#This Row],[UNIT
VALUE AUD]]</f>
        <v>0</v>
      </c>
      <c r="Z167" s="33"/>
    </row>
    <row r="168" spans="1:26" x14ac:dyDescent="0.25">
      <c r="A168" t="s">
        <v>752</v>
      </c>
      <c r="B168" t="s">
        <v>753</v>
      </c>
      <c r="C168" t="s">
        <v>114</v>
      </c>
      <c r="D168" t="s">
        <v>707</v>
      </c>
      <c r="E168">
        <v>1.65</v>
      </c>
      <c r="F168" s="33">
        <v>2.4573999999999998</v>
      </c>
      <c r="G168" s="33" t="s">
        <v>117</v>
      </c>
      <c r="H168" t="s">
        <v>1310</v>
      </c>
      <c r="I168" t="str">
        <f>IF(quantInv[[#This Row],[Metal]] = "925 Silver",  "7113.11.00"," 7113.19.00")</f>
        <v>7113.11.00</v>
      </c>
      <c r="J168" t="str">
        <f>IF(quantInv[[#This Row],[Metal]] = "925 Silver", "7113.11.10.00"," 7113.19.10.00")</f>
        <v>7113.11.10.00</v>
      </c>
      <c r="K168" t="str">
        <f>IF(quantInv[[#This Row],[Metal]] = "925 Silver",  "7113.11.00"," 7113.19.00")</f>
        <v>7113.11.00</v>
      </c>
      <c r="L168" t="str">
        <f>IFERROR(VLOOKUP(quantInv[[#This Row],[Description for New Invoice]],Map!$G$12:$H$32,2,FALSE), IF(quantInv[[#This Row],[Metal]] = "925 Silver", "7113.11.10.00", "7113.19.29.00"))</f>
        <v>7113.11.50.00</v>
      </c>
      <c r="M168" t="str">
        <f>quantInv[[#This Row],[ASIN]] &amp; " " &amp; quantInv[[#This Row],[Short Description]]</f>
        <v>B06XYVM7F4 Hinged Hoop Earrings</v>
      </c>
      <c r="N168" s="33">
        <f>quantInv[[#This Row],[UNIT
VALUE]] / EURtoGBP</f>
        <v>2.7894411242217338</v>
      </c>
      <c r="O168" s="33">
        <f>quantInv[[#This Row],[UNIT
VALUE]]/USDtoGBP</f>
        <v>3.3686871386995993</v>
      </c>
      <c r="P168" s="33">
        <f>quantInv[[#This Row],[UNIT
VALUE]] / CADtoGBP</f>
        <v>4.312113188145636</v>
      </c>
      <c r="Q168" s="33">
        <f>quantInv[[#This Row],[UNIT
VALUE]]/AUDtoGBP</f>
        <v>4.4137509878583225</v>
      </c>
      <c r="R168">
        <f>IFERROR(VLOOKUP(quantInv[[#This Row],[Assigned Item SKU]],skuQuantity[#All],2,FALSE),0)</f>
        <v>80</v>
      </c>
      <c r="S168" t="str">
        <f>PROPER(quantInv[[#This Row],[Metal]] &amp; " " &amp; quantInv[[#This Row],[Item Type]])</f>
        <v>925 Silver Earrings</v>
      </c>
      <c r="T168" s="33">
        <f>quantInv[[#This Row],[Quantity]]*quantInv[[#This Row],[WEIGHT]]</f>
        <v>132</v>
      </c>
      <c r="U168" s="33">
        <f>quantInv[[#This Row],[UNIT
VALUE]]*quantInv[[#This Row],[Quantity]]</f>
        <v>196.59199999999998</v>
      </c>
      <c r="V168" s="33">
        <f>quantInv[[#This Row],[Total Cost GBP]]/EURtoGBP</f>
        <v>223.1552899377387</v>
      </c>
      <c r="W168" s="33">
        <f>quantInv[[#This Row],[Total Cost GBP]]/USDtoGBP</f>
        <v>269.49497109596797</v>
      </c>
      <c r="X168" s="33">
        <f>quantInv[[#This Row],[Total Cost GBP]]/CADtoGBP</f>
        <v>344.96905505165091</v>
      </c>
      <c r="Y168" s="33">
        <f>quantInv[[#This Row],[Quantity]]*quantInv[[#This Row],[UNIT
VALUE AUD]]</f>
        <v>353.10007902866579</v>
      </c>
      <c r="Z168" s="33"/>
    </row>
    <row r="169" spans="1:26" x14ac:dyDescent="0.25">
      <c r="A169" t="s">
        <v>1237</v>
      </c>
      <c r="B169" t="s">
        <v>1238</v>
      </c>
      <c r="C169" t="s">
        <v>114</v>
      </c>
      <c r="D169" t="s">
        <v>1239</v>
      </c>
      <c r="E169">
        <v>0.42</v>
      </c>
      <c r="F169" s="33">
        <v>8.4379000000000008</v>
      </c>
      <c r="G169" s="33" t="s">
        <v>3304</v>
      </c>
      <c r="H169" t="s">
        <v>1310</v>
      </c>
      <c r="I169" t="str">
        <f>IF(quantInv[[#This Row],[Metal]] = "925 Silver",  "7113.11.00"," 7113.19.00")</f>
        <v xml:space="preserve"> 7113.19.00</v>
      </c>
      <c r="J169" t="str">
        <f>IF(quantInv[[#This Row],[Metal]] = "925 Silver", "7113.11.10.00"," 7113.19.10.00")</f>
        <v xml:space="preserve"> 7113.19.10.00</v>
      </c>
      <c r="K169" t="str">
        <f>IF(quantInv[[#This Row],[Metal]] = "925 Silver",  "7113.11.00"," 7113.19.00")</f>
        <v xml:space="preserve"> 7113.19.00</v>
      </c>
      <c r="L169" t="str">
        <f>IFERROR(VLOOKUP(quantInv[[#This Row],[Description for New Invoice]],Map!$G$12:$H$32,2,FALSE), IF(quantInv[[#This Row],[Metal]] = "925 Silver", "7113.11.10.00", "7113.19.29.00"))</f>
        <v>7113.19.29.00</v>
      </c>
      <c r="M169" t="str">
        <f>quantInv[[#This Row],[ASIN]] &amp; " " &amp; quantInv[[#This Row],[Short Description]]</f>
        <v>B07R4JXTFS 9K Circle Hoop Earrings</v>
      </c>
      <c r="N169" s="33">
        <f>quantInv[[#This Row],[UNIT
VALUE]] / EURtoGBP</f>
        <v>9.578019558098223</v>
      </c>
      <c r="O169" s="33">
        <f>quantInv[[#This Row],[UNIT
VALUE]]/USDtoGBP</f>
        <v>11.566959065529973</v>
      </c>
      <c r="P169" s="33">
        <f>quantInv[[#This Row],[UNIT
VALUE]] / CADtoGBP</f>
        <v>14.806372536117063</v>
      </c>
      <c r="Q169" s="33">
        <f>quantInv[[#This Row],[UNIT
VALUE]]/AUDtoGBP</f>
        <v>15.155363172641714</v>
      </c>
      <c r="R169">
        <f>IFERROR(VLOOKUP(quantInv[[#This Row],[Assigned Item SKU]],skuQuantity[#All],2,FALSE),0)</f>
        <v>15</v>
      </c>
      <c r="S169" t="str">
        <f>PROPER(quantInv[[#This Row],[Metal]] &amp; " " &amp; quantInv[[#This Row],[Item Type]])</f>
        <v>9K Gold Earrings</v>
      </c>
      <c r="T169" s="33">
        <f>quantInv[[#This Row],[Quantity]]*quantInv[[#This Row],[WEIGHT]]</f>
        <v>6.3</v>
      </c>
      <c r="U169" s="33">
        <f>quantInv[[#This Row],[UNIT
VALUE]]*quantInv[[#This Row],[Quantity]]</f>
        <v>126.56850000000001</v>
      </c>
      <c r="V169" s="33">
        <f>quantInv[[#This Row],[Total Cost GBP]]/EURtoGBP</f>
        <v>143.67029337147335</v>
      </c>
      <c r="W169" s="33">
        <f>quantInv[[#This Row],[Total Cost GBP]]/USDtoGBP</f>
        <v>173.5043859829496</v>
      </c>
      <c r="X169" s="33">
        <f>quantInv[[#This Row],[Total Cost GBP]]/CADtoGBP</f>
        <v>222.09558804175595</v>
      </c>
      <c r="Y169" s="33">
        <f>quantInv[[#This Row],[Quantity]]*quantInv[[#This Row],[UNIT
VALUE AUD]]</f>
        <v>227.33044758962569</v>
      </c>
      <c r="Z169" s="33"/>
    </row>
    <row r="170" spans="1:26" x14ac:dyDescent="0.25">
      <c r="A170" t="s">
        <v>1461</v>
      </c>
      <c r="B170" t="s">
        <v>1462</v>
      </c>
      <c r="C170" t="s">
        <v>115</v>
      </c>
      <c r="D170" t="s">
        <v>1463</v>
      </c>
      <c r="E170">
        <v>1.6</v>
      </c>
      <c r="F170" s="33">
        <v>3.1976</v>
      </c>
      <c r="G170" s="33" t="s">
        <v>117</v>
      </c>
      <c r="H170" t="s">
        <v>1310</v>
      </c>
      <c r="I170" t="str">
        <f>IF(quantInv[[#This Row],[Metal]] = "925 Silver",  "7113.11.00"," 7113.19.00")</f>
        <v>7113.11.00</v>
      </c>
      <c r="J170" t="str">
        <f>IF(quantInv[[#This Row],[Metal]] = "925 Silver", "7113.11.10.00"," 7113.19.10.00")</f>
        <v>7113.11.10.00</v>
      </c>
      <c r="K170" t="str">
        <f>IF(quantInv[[#This Row],[Metal]] = "925 Silver",  "7113.11.00"," 7113.19.00")</f>
        <v>7113.11.00</v>
      </c>
      <c r="L170" t="str">
        <f>IFERROR(VLOOKUP(quantInv[[#This Row],[Description for New Invoice]],Map!$G$12:$H$32,2,FALSE), IF(quantInv[[#This Row],[Metal]] = "925 Silver", "7113.11.10.00", "7113.19.29.00"))</f>
        <v>7113.11.50.00</v>
      </c>
      <c r="M170" t="str">
        <f>quantInv[[#This Row],[ASIN]] &amp; " " &amp; quantInv[[#This Row],[Short Description]]</f>
        <v>B07Z57WC8L Earrings - Crawler - Sprig with cz</v>
      </c>
      <c r="N170" s="33">
        <f>quantInv[[#This Row],[UNIT
VALUE]] / EURtoGBP</f>
        <v>3.6296561157367204</v>
      </c>
      <c r="O170" s="33">
        <f>quantInv[[#This Row],[UNIT
VALUE]]/USDtoGBP</f>
        <v>4.3833783652257834</v>
      </c>
      <c r="P170" s="33">
        <f>quantInv[[#This Row],[UNIT
VALUE]] / CADtoGBP</f>
        <v>5.6109762881152792</v>
      </c>
      <c r="Q170" s="33">
        <f>quantInv[[#This Row],[UNIT
VALUE]]/AUDtoGBP</f>
        <v>5.7432286802212795</v>
      </c>
      <c r="R170">
        <f>IFERROR(VLOOKUP(quantInv[[#This Row],[Assigned Item SKU]],skuQuantity[#All],2,FALSE),0)</f>
        <v>10</v>
      </c>
      <c r="S170" t="str">
        <f>PROPER(quantInv[[#This Row],[Metal]] &amp; " " &amp; quantInv[[#This Row],[Item Type]])</f>
        <v>925 Silver Earrings</v>
      </c>
      <c r="T170" s="33">
        <f>quantInv[[#This Row],[Quantity]]*quantInv[[#This Row],[WEIGHT]]</f>
        <v>16</v>
      </c>
      <c r="U170" s="33">
        <f>quantInv[[#This Row],[UNIT
VALUE]]*quantInv[[#This Row],[Quantity]]</f>
        <v>31.975999999999999</v>
      </c>
      <c r="V170" s="33">
        <f>quantInv[[#This Row],[Total Cost GBP]]/EURtoGBP</f>
        <v>36.296561157367208</v>
      </c>
      <c r="W170" s="33">
        <f>quantInv[[#This Row],[Total Cost GBP]]/USDtoGBP</f>
        <v>43.833783652257829</v>
      </c>
      <c r="X170" s="33">
        <f>quantInv[[#This Row],[Total Cost GBP]]/CADtoGBP</f>
        <v>56.109762881152797</v>
      </c>
      <c r="Y170" s="33">
        <f>quantInv[[#This Row],[Quantity]]*quantInv[[#This Row],[UNIT
VALUE AUD]]</f>
        <v>57.432286802212793</v>
      </c>
      <c r="Z170" s="33"/>
    </row>
    <row r="171" spans="1:26" x14ac:dyDescent="0.25">
      <c r="A171" t="s">
        <v>482</v>
      </c>
      <c r="B171" t="s">
        <v>483</v>
      </c>
      <c r="C171" t="s">
        <v>114</v>
      </c>
      <c r="D171" t="s">
        <v>209</v>
      </c>
      <c r="E171">
        <v>13.59</v>
      </c>
      <c r="F171" s="33">
        <v>18.170300000000001</v>
      </c>
      <c r="G171" s="33" t="s">
        <v>117</v>
      </c>
      <c r="H171" t="s">
        <v>103</v>
      </c>
      <c r="I171" t="str">
        <f>IF(quantInv[[#This Row],[Metal]] = "925 Silver",  "7113.11.00"," 7113.19.00")</f>
        <v>7113.11.00</v>
      </c>
      <c r="J171" t="str">
        <f>IF(quantInv[[#This Row],[Metal]] = "925 Silver", "7113.11.10.00"," 7113.19.10.00")</f>
        <v>7113.11.10.00</v>
      </c>
      <c r="K171" t="str">
        <f>IF(quantInv[[#This Row],[Metal]] = "925 Silver",  "7113.11.00"," 7113.19.00")</f>
        <v>7113.11.00</v>
      </c>
      <c r="L171" t="str">
        <f>IFERROR(VLOOKUP(quantInv[[#This Row],[Description for New Invoice]],Map!$G$12:$H$32,2,FALSE), IF(quantInv[[#This Row],[Metal]] = "925 Silver", "7113.11.10.00", "7113.19.29.00"))</f>
        <v>7113.11.10.00</v>
      </c>
      <c r="M171" t="str">
        <f>quantInv[[#This Row],[ASIN]] &amp; " " &amp; quantInv[[#This Row],[Short Description]]</f>
        <v>B073D7ZZVJ Byzantine Chain</v>
      </c>
      <c r="N171" s="33">
        <f>quantInv[[#This Row],[UNIT
VALUE]] / EURtoGBP</f>
        <v>20.625450500303646</v>
      </c>
      <c r="O171" s="33">
        <f>quantInv[[#This Row],[UNIT
VALUE]]/USDtoGBP</f>
        <v>24.908462568695914</v>
      </c>
      <c r="P171" s="33">
        <f>quantInv[[#This Row],[UNIT
VALUE]] / CADtoGBP</f>
        <v>31.884263962953799</v>
      </c>
      <c r="Q171" s="33">
        <f>quantInv[[#This Row],[UNIT
VALUE]]/AUDtoGBP</f>
        <v>32.635785616782812</v>
      </c>
      <c r="R171">
        <f>IFERROR(VLOOKUP(quantInv[[#This Row],[Assigned Item SKU]],skuQuantity[#All],2,FALSE),0)</f>
        <v>0</v>
      </c>
      <c r="S171" t="str">
        <f>PROPER(quantInv[[#This Row],[Metal]] &amp; " " &amp; quantInv[[#This Row],[Item Type]])</f>
        <v>925 Silver Chain</v>
      </c>
      <c r="T171" s="33">
        <f>quantInv[[#This Row],[Quantity]]*quantInv[[#This Row],[WEIGHT]]</f>
        <v>0</v>
      </c>
      <c r="U171" s="33">
        <f>quantInv[[#This Row],[UNIT
VALUE]]*quantInv[[#This Row],[Quantity]]</f>
        <v>0</v>
      </c>
      <c r="V171" s="33">
        <f>quantInv[[#This Row],[Total Cost GBP]]/EURtoGBP</f>
        <v>0</v>
      </c>
      <c r="W171" s="33">
        <f>quantInv[[#This Row],[Total Cost GBP]]/USDtoGBP</f>
        <v>0</v>
      </c>
      <c r="X171" s="33">
        <f>quantInv[[#This Row],[Total Cost GBP]]/CADtoGBP</f>
        <v>0</v>
      </c>
      <c r="Y171" s="33">
        <f>quantInv[[#This Row],[Quantity]]*quantInv[[#This Row],[UNIT
VALUE AUD]]</f>
        <v>0</v>
      </c>
      <c r="Z171" s="33"/>
    </row>
    <row r="172" spans="1:26" x14ac:dyDescent="0.25">
      <c r="A172" t="s">
        <v>55</v>
      </c>
      <c r="B172" t="s">
        <v>163</v>
      </c>
      <c r="C172" t="s">
        <v>113</v>
      </c>
      <c r="D172" t="s">
        <v>160</v>
      </c>
      <c r="E172">
        <v>2.7197183098591502</v>
      </c>
      <c r="F172" s="33">
        <v>3.5110000000000001</v>
      </c>
      <c r="G172" s="33" t="s">
        <v>117</v>
      </c>
      <c r="H172" t="s">
        <v>103</v>
      </c>
      <c r="I172" t="str">
        <f>IF(quantInv[[#This Row],[Metal]] = "925 Silver",  "7113.11.00"," 7113.19.00")</f>
        <v>7113.11.00</v>
      </c>
      <c r="J172" t="str">
        <f>IF(quantInv[[#This Row],[Metal]] = "925 Silver", "7113.11.10.00"," 7113.19.10.00")</f>
        <v>7113.11.10.00</v>
      </c>
      <c r="K172" t="str">
        <f>IF(quantInv[[#This Row],[Metal]] = "925 Silver",  "7113.11.00"," 7113.19.00")</f>
        <v>7113.11.00</v>
      </c>
      <c r="L172" t="str">
        <f>IFERROR(VLOOKUP(quantInv[[#This Row],[Description for New Invoice]],Map!$G$12:$H$32,2,FALSE), IF(quantInv[[#This Row],[Metal]] = "925 Silver", "7113.11.10.00", "7113.19.29.00"))</f>
        <v>7113.11.10.00</v>
      </c>
      <c r="M172" t="str">
        <f>quantInv[[#This Row],[ASIN]] &amp; " " &amp; quantInv[[#This Row],[Short Description]]</f>
        <v>B00NG1I1NI Curb Chain</v>
      </c>
      <c r="N172" s="33">
        <f>quantInv[[#This Row],[UNIT
VALUE]] / EURtoGBP</f>
        <v>3.9854023712633309</v>
      </c>
      <c r="O172" s="33">
        <f>quantInv[[#This Row],[UNIT
VALUE]]/USDtoGBP</f>
        <v>4.8129976983699416</v>
      </c>
      <c r="P172" s="33">
        <f>quantInv[[#This Row],[UNIT
VALUE]] / CADtoGBP</f>
        <v>6.1609137314150448</v>
      </c>
      <c r="Q172" s="33">
        <f>quantInv[[#This Row],[UNIT
VALUE]]/AUDtoGBP</f>
        <v>6.3061283138156474</v>
      </c>
      <c r="R172">
        <f>IFERROR(VLOOKUP(quantInv[[#This Row],[Assigned Item SKU]],skuQuantity[#All],2,FALSE),0)</f>
        <v>10</v>
      </c>
      <c r="S172" t="str">
        <f>PROPER(quantInv[[#This Row],[Metal]] &amp; " " &amp; quantInv[[#This Row],[Item Type]])</f>
        <v>925 Silver Chain</v>
      </c>
      <c r="T172" s="33">
        <f>quantInv[[#This Row],[Quantity]]*quantInv[[#This Row],[WEIGHT]]</f>
        <v>27.197183098591502</v>
      </c>
      <c r="U172" s="33">
        <f>quantInv[[#This Row],[UNIT
VALUE]]*quantInv[[#This Row],[Quantity]]</f>
        <v>35.11</v>
      </c>
      <c r="V172" s="33">
        <f>quantInv[[#This Row],[Total Cost GBP]]/EURtoGBP</f>
        <v>39.854023712633307</v>
      </c>
      <c r="W172" s="33">
        <f>quantInv[[#This Row],[Total Cost GBP]]/USDtoGBP</f>
        <v>48.129976983699414</v>
      </c>
      <c r="X172" s="33">
        <f>quantInv[[#This Row],[Total Cost GBP]]/CADtoGBP</f>
        <v>61.609137314150445</v>
      </c>
      <c r="Y172" s="33">
        <f>quantInv[[#This Row],[Quantity]]*quantInv[[#This Row],[UNIT
VALUE AUD]]</f>
        <v>63.061283138156476</v>
      </c>
      <c r="Z172" s="33"/>
    </row>
    <row r="173" spans="1:26" x14ac:dyDescent="0.25">
      <c r="A173" t="s">
        <v>486</v>
      </c>
      <c r="B173" t="s">
        <v>487</v>
      </c>
      <c r="C173" t="s">
        <v>114</v>
      </c>
      <c r="D173" t="s">
        <v>213</v>
      </c>
      <c r="E173">
        <v>1.69</v>
      </c>
      <c r="F173" s="33">
        <v>1.9116</v>
      </c>
      <c r="G173" s="33" t="s">
        <v>117</v>
      </c>
      <c r="H173" t="s">
        <v>103</v>
      </c>
      <c r="I173" t="str">
        <f>IF(quantInv[[#This Row],[Metal]] = "925 Silver",  "7113.11.00"," 7113.19.00")</f>
        <v>7113.11.00</v>
      </c>
      <c r="J173" t="str">
        <f>IF(quantInv[[#This Row],[Metal]] = "925 Silver", "7113.11.10.00"," 7113.19.10.00")</f>
        <v>7113.11.10.00</v>
      </c>
      <c r="K173" t="str">
        <f>IF(quantInv[[#This Row],[Metal]] = "925 Silver",  "7113.11.00"," 7113.19.00")</f>
        <v>7113.11.00</v>
      </c>
      <c r="L173" t="str">
        <f>IFERROR(VLOOKUP(quantInv[[#This Row],[Description for New Invoice]],Map!$G$12:$H$32,2,FALSE), IF(quantInv[[#This Row],[Metal]] = "925 Silver", "7113.11.10.00", "7113.19.29.00"))</f>
        <v>7113.11.10.00</v>
      </c>
      <c r="M173" t="str">
        <f>quantInv[[#This Row],[ASIN]] &amp; " " &amp; quantInv[[#This Row],[Short Description]]</f>
        <v>B00JCW1CDQ Ball Chain</v>
      </c>
      <c r="N173" s="33">
        <f>quantInv[[#This Row],[UNIT
VALUE]] / EURtoGBP</f>
        <v>2.1698932420697759</v>
      </c>
      <c r="O173" s="33">
        <f>quantInv[[#This Row],[UNIT
VALUE]]/USDtoGBP</f>
        <v>2.6204860154383312</v>
      </c>
      <c r="P173" s="33">
        <f>quantInv[[#This Row],[UNIT
VALUE]] / CADtoGBP</f>
        <v>3.3543727396676157</v>
      </c>
      <c r="Q173" s="33">
        <f>quantInv[[#This Row],[UNIT
VALUE]]/AUDtoGBP</f>
        <v>3.4334363100797467</v>
      </c>
      <c r="R173">
        <f>IFERROR(VLOOKUP(quantInv[[#This Row],[Assigned Item SKU]],skuQuantity[#All],2,FALSE),0)</f>
        <v>0</v>
      </c>
      <c r="S173" t="str">
        <f>PROPER(quantInv[[#This Row],[Metal]] &amp; " " &amp; quantInv[[#This Row],[Item Type]])</f>
        <v>925 Silver Chain</v>
      </c>
      <c r="T173" s="33">
        <f>quantInv[[#This Row],[Quantity]]*quantInv[[#This Row],[WEIGHT]]</f>
        <v>0</v>
      </c>
      <c r="U173" s="33">
        <f>quantInv[[#This Row],[UNIT
VALUE]]*quantInv[[#This Row],[Quantity]]</f>
        <v>0</v>
      </c>
      <c r="V173" s="33">
        <f>quantInv[[#This Row],[Total Cost GBP]]/EURtoGBP</f>
        <v>0</v>
      </c>
      <c r="W173" s="33">
        <f>quantInv[[#This Row],[Total Cost GBP]]/USDtoGBP</f>
        <v>0</v>
      </c>
      <c r="X173" s="33">
        <f>quantInv[[#This Row],[Total Cost GBP]]/CADtoGBP</f>
        <v>0</v>
      </c>
      <c r="Y173" s="33">
        <f>quantInv[[#This Row],[Quantity]]*quantInv[[#This Row],[UNIT
VALUE AUD]]</f>
        <v>0</v>
      </c>
      <c r="Z173" s="33"/>
    </row>
    <row r="174" spans="1:26" x14ac:dyDescent="0.25">
      <c r="A174" t="s">
        <v>174</v>
      </c>
      <c r="B174" t="s">
        <v>175</v>
      </c>
      <c r="C174" t="s">
        <v>113</v>
      </c>
      <c r="D174" t="s">
        <v>173</v>
      </c>
      <c r="E174">
        <v>2.04423076923077</v>
      </c>
      <c r="F174" s="33">
        <v>2.7976000000000001</v>
      </c>
      <c r="G174" s="33" t="s">
        <v>117</v>
      </c>
      <c r="H174" t="s">
        <v>103</v>
      </c>
      <c r="I174" t="str">
        <f>IF(quantInv[[#This Row],[Metal]] = "925 Silver",  "7113.11.00"," 7113.19.00")</f>
        <v>7113.11.00</v>
      </c>
      <c r="J174" t="str">
        <f>IF(quantInv[[#This Row],[Metal]] = "925 Silver", "7113.11.10.00"," 7113.19.10.00")</f>
        <v>7113.11.10.00</v>
      </c>
      <c r="K174" t="str">
        <f>IF(quantInv[[#This Row],[Metal]] = "925 Silver",  "7113.11.00"," 7113.19.00")</f>
        <v>7113.11.00</v>
      </c>
      <c r="L174" t="str">
        <f>IFERROR(VLOOKUP(quantInv[[#This Row],[Description for New Invoice]],Map!$G$12:$H$32,2,FALSE), IF(quantInv[[#This Row],[Metal]] = "925 Silver", "7113.11.10.00", "7113.19.29.00"))</f>
        <v>7113.11.10.00</v>
      </c>
      <c r="M174" t="str">
        <f>quantInv[[#This Row],[ASIN]] &amp; " " &amp; quantInv[[#This Row],[Short Description]]</f>
        <v>B073G9X78M Figaro Chain</v>
      </c>
      <c r="N174" s="33">
        <f>quantInv[[#This Row],[UNIT
VALUE]] / EURtoGBP</f>
        <v>3.1756085656070332</v>
      </c>
      <c r="O174" s="33">
        <f>quantInv[[#This Row],[UNIT
VALUE]]/USDtoGBP</f>
        <v>3.8350448194132012</v>
      </c>
      <c r="P174" s="33">
        <f>quantInv[[#This Row],[UNIT
VALUE]] / CADtoGBP</f>
        <v>4.9090778282559748</v>
      </c>
      <c r="Q174" s="33">
        <f>quantInv[[#This Row],[UNIT
VALUE]]/AUDtoGBP</f>
        <v>5.0247862633809897</v>
      </c>
      <c r="R174">
        <f>IFERROR(VLOOKUP(quantInv[[#This Row],[Assigned Item SKU]],skuQuantity[#All],2,FALSE),0)</f>
        <v>5</v>
      </c>
      <c r="S174" t="str">
        <f>PROPER(quantInv[[#This Row],[Metal]] &amp; " " &amp; quantInv[[#This Row],[Item Type]])</f>
        <v>925 Silver Chain</v>
      </c>
      <c r="T174" s="33">
        <f>quantInv[[#This Row],[Quantity]]*quantInv[[#This Row],[WEIGHT]]</f>
        <v>10.22115384615385</v>
      </c>
      <c r="U174" s="33">
        <f>quantInv[[#This Row],[UNIT
VALUE]]*quantInv[[#This Row],[Quantity]]</f>
        <v>13.988</v>
      </c>
      <c r="V174" s="33">
        <f>quantInv[[#This Row],[Total Cost GBP]]/EURtoGBP</f>
        <v>15.878042828035165</v>
      </c>
      <c r="W174" s="33">
        <f>quantInv[[#This Row],[Total Cost GBP]]/USDtoGBP</f>
        <v>19.175224097066003</v>
      </c>
      <c r="X174" s="33">
        <f>quantInv[[#This Row],[Total Cost GBP]]/CADtoGBP</f>
        <v>24.545389141279873</v>
      </c>
      <c r="Y174" s="33">
        <f>quantInv[[#This Row],[Quantity]]*quantInv[[#This Row],[UNIT
VALUE AUD]]</f>
        <v>25.123931316904947</v>
      </c>
      <c r="Z174" s="33"/>
    </row>
    <row r="175" spans="1:26" x14ac:dyDescent="0.25">
      <c r="A175" t="s">
        <v>203</v>
      </c>
      <c r="B175" t="s">
        <v>204</v>
      </c>
      <c r="C175" t="s">
        <v>113</v>
      </c>
      <c r="D175" t="s">
        <v>200</v>
      </c>
      <c r="E175">
        <v>2.39387755102041</v>
      </c>
      <c r="F175" s="33">
        <v>3.1743000000000001</v>
      </c>
      <c r="G175" s="33" t="s">
        <v>117</v>
      </c>
      <c r="H175" t="s">
        <v>103</v>
      </c>
      <c r="I175" t="str">
        <f>IF(quantInv[[#This Row],[Metal]] = "925 Silver",  "7113.11.00"," 7113.19.00")</f>
        <v>7113.11.00</v>
      </c>
      <c r="J175" t="str">
        <f>IF(quantInv[[#This Row],[Metal]] = "925 Silver", "7113.11.10.00"," 7113.19.10.00")</f>
        <v>7113.11.10.00</v>
      </c>
      <c r="K175" t="str">
        <f>IF(quantInv[[#This Row],[Metal]] = "925 Silver",  "7113.11.00"," 7113.19.00")</f>
        <v>7113.11.00</v>
      </c>
      <c r="L175" t="str">
        <f>IFERROR(VLOOKUP(quantInv[[#This Row],[Description for New Invoice]],Map!$G$12:$H$32,2,FALSE), IF(quantInv[[#This Row],[Metal]] = "925 Silver", "7113.11.10.00", "7113.19.29.00"))</f>
        <v>7113.11.10.00</v>
      </c>
      <c r="M175" t="str">
        <f>quantInv[[#This Row],[ASIN]] &amp; " " &amp; quantInv[[#This Row],[Short Description]]</f>
        <v>B012HM9PMW Venice Box Chain</v>
      </c>
      <c r="N175" s="33">
        <f>quantInv[[#This Row],[UNIT
VALUE]] / EURtoGBP</f>
        <v>3.6032078459416663</v>
      </c>
      <c r="O175" s="33">
        <f>quantInv[[#This Row],[UNIT
VALUE]]/USDtoGBP</f>
        <v>4.3514379361822009</v>
      </c>
      <c r="P175" s="33">
        <f>quantInv[[#This Row],[UNIT
VALUE]] / CADtoGBP</f>
        <v>5.570090702828475</v>
      </c>
      <c r="Q175" s="33">
        <f>quantInv[[#This Row],[UNIT
VALUE]]/AUDtoGBP</f>
        <v>5.7013794094403334</v>
      </c>
      <c r="R175">
        <f>IFERROR(VLOOKUP(quantInv[[#This Row],[Assigned Item SKU]],skuQuantity[#All],2,FALSE),0)</f>
        <v>10</v>
      </c>
      <c r="S175" t="str">
        <f>PROPER(quantInv[[#This Row],[Metal]] &amp; " " &amp; quantInv[[#This Row],[Item Type]])</f>
        <v>925 Silver Chain</v>
      </c>
      <c r="T175" s="33">
        <f>quantInv[[#This Row],[Quantity]]*quantInv[[#This Row],[WEIGHT]]</f>
        <v>23.938775510204099</v>
      </c>
      <c r="U175" s="33">
        <f>quantInv[[#This Row],[UNIT
VALUE]]*quantInv[[#This Row],[Quantity]]</f>
        <v>31.743000000000002</v>
      </c>
      <c r="V175" s="33">
        <f>quantInv[[#This Row],[Total Cost GBP]]/EURtoGBP</f>
        <v>36.032078459416667</v>
      </c>
      <c r="W175" s="33">
        <f>quantInv[[#This Row],[Total Cost GBP]]/USDtoGBP</f>
        <v>43.514379361822009</v>
      </c>
      <c r="X175" s="33">
        <f>quantInv[[#This Row],[Total Cost GBP]]/CADtoGBP</f>
        <v>55.700907028284753</v>
      </c>
      <c r="Y175" s="33">
        <f>quantInv[[#This Row],[Quantity]]*quantInv[[#This Row],[UNIT
VALUE AUD]]</f>
        <v>57.013794094403337</v>
      </c>
      <c r="Z175" s="33"/>
    </row>
    <row r="176" spans="1:26" x14ac:dyDescent="0.25">
      <c r="A176" t="s">
        <v>492</v>
      </c>
      <c r="B176" t="s">
        <v>493</v>
      </c>
      <c r="C176" t="s">
        <v>114</v>
      </c>
      <c r="D176" t="s">
        <v>494</v>
      </c>
      <c r="E176">
        <v>3.1354166666666701</v>
      </c>
      <c r="F176" s="33">
        <v>3.4420000000000002</v>
      </c>
      <c r="G176" s="33" t="s">
        <v>117</v>
      </c>
      <c r="H176" t="s">
        <v>1414</v>
      </c>
      <c r="I176" t="str">
        <f>IF(quantInv[[#This Row],[Metal]] = "925 Silver",  "7113.11.00"," 7113.19.00")</f>
        <v>7113.11.00</v>
      </c>
      <c r="J176" t="str">
        <f>IF(quantInv[[#This Row],[Metal]] = "925 Silver", "7113.11.10.00"," 7113.19.10.00")</f>
        <v>7113.11.10.00</v>
      </c>
      <c r="K176" t="str">
        <f>IF(quantInv[[#This Row],[Metal]] = "925 Silver",  "7113.11.00"," 7113.19.00")</f>
        <v>7113.11.00</v>
      </c>
      <c r="L176" t="str">
        <f>IFERROR(VLOOKUP(quantInv[[#This Row],[Description for New Invoice]],Map!$G$12:$H$32,2,FALSE), IF(quantInv[[#This Row],[Metal]] = "925 Silver", "7113.11.10.00", "7113.19.29.00"))</f>
        <v>7113.11.10.00</v>
      </c>
      <c r="M176" t="str">
        <f>quantInv[[#This Row],[ASIN]] &amp; " " &amp; quantInv[[#This Row],[Short Description]]</f>
        <v>B01N366DR8 Ball and Bar Chain</v>
      </c>
      <c r="N176" s="33">
        <f>quantInv[[#This Row],[UNIT
VALUE]] / EURtoGBP</f>
        <v>3.9070791688659599</v>
      </c>
      <c r="O176" s="33">
        <f>quantInv[[#This Row],[UNIT
VALUE]]/USDtoGBP</f>
        <v>4.7184101617172711</v>
      </c>
      <c r="P176" s="33">
        <f>quantInv[[#This Row],[UNIT
VALUE]] / CADtoGBP</f>
        <v>6.0398362470893145</v>
      </c>
      <c r="Q176" s="33">
        <f>quantInv[[#This Row],[UNIT
VALUE]]/AUDtoGBP</f>
        <v>6.1821969969106974</v>
      </c>
      <c r="R176">
        <f>IFERROR(VLOOKUP(quantInv[[#This Row],[Assigned Item SKU]],skuQuantity[#All],2,FALSE),0)</f>
        <v>15</v>
      </c>
      <c r="S176" t="str">
        <f>PROPER(quantInv[[#This Row],[Metal]] &amp; " " &amp; quantInv[[#This Row],[Item Type]])</f>
        <v>925 Silver Bracelet</v>
      </c>
      <c r="T176" s="33">
        <f>quantInv[[#This Row],[Quantity]]*quantInv[[#This Row],[WEIGHT]]</f>
        <v>47.03125000000005</v>
      </c>
      <c r="U176" s="33">
        <f>quantInv[[#This Row],[UNIT
VALUE]]*quantInv[[#This Row],[Quantity]]</f>
        <v>51.63</v>
      </c>
      <c r="V176" s="33">
        <f>quantInv[[#This Row],[Total Cost GBP]]/EURtoGBP</f>
        <v>58.606187532989395</v>
      </c>
      <c r="W176" s="33">
        <f>quantInv[[#This Row],[Total Cost GBP]]/USDtoGBP</f>
        <v>70.776152425759065</v>
      </c>
      <c r="X176" s="33">
        <f>quantInv[[#This Row],[Total Cost GBP]]/CADtoGBP</f>
        <v>90.597543706339721</v>
      </c>
      <c r="Y176" s="33">
        <f>quantInv[[#This Row],[Quantity]]*quantInv[[#This Row],[UNIT
VALUE AUD]]</f>
        <v>92.732954953660453</v>
      </c>
      <c r="Z176" s="33"/>
    </row>
    <row r="177" spans="1:26" x14ac:dyDescent="0.25">
      <c r="A177" t="s">
        <v>516</v>
      </c>
      <c r="B177" t="s">
        <v>517</v>
      </c>
      <c r="C177" t="s">
        <v>114</v>
      </c>
      <c r="D177" t="s">
        <v>213</v>
      </c>
      <c r="E177">
        <v>5.3849999999999998</v>
      </c>
      <c r="F177" s="33">
        <v>5.2347000000000001</v>
      </c>
      <c r="G177" s="33" t="s">
        <v>117</v>
      </c>
      <c r="H177" t="s">
        <v>103</v>
      </c>
      <c r="I177" t="str">
        <f>IF(quantInv[[#This Row],[Metal]] = "925 Silver",  "7113.11.00"," 7113.19.00")</f>
        <v>7113.11.00</v>
      </c>
      <c r="J177" t="str">
        <f>IF(quantInv[[#This Row],[Metal]] = "925 Silver", "7113.11.10.00"," 7113.19.10.00")</f>
        <v>7113.11.10.00</v>
      </c>
      <c r="K177" t="str">
        <f>IF(quantInv[[#This Row],[Metal]] = "925 Silver",  "7113.11.00"," 7113.19.00")</f>
        <v>7113.11.00</v>
      </c>
      <c r="L177" t="str">
        <f>IFERROR(VLOOKUP(quantInv[[#This Row],[Description for New Invoice]],Map!$G$12:$H$32,2,FALSE), IF(quantInv[[#This Row],[Metal]] = "925 Silver", "7113.11.10.00", "7113.19.29.00"))</f>
        <v>7113.11.10.00</v>
      </c>
      <c r="M177" t="str">
        <f>quantInv[[#This Row],[ASIN]] &amp; " " &amp; quantInv[[#This Row],[Short Description]]</f>
        <v>B00DKD0NJ2 Ball Chain</v>
      </c>
      <c r="N177" s="33">
        <f>quantInv[[#This Row],[UNIT
VALUE]] / EURtoGBP</f>
        <v>5.942006776659686</v>
      </c>
      <c r="O177" s="33">
        <f>quantInv[[#This Row],[UNIT
VALUE]]/USDtoGBP</f>
        <v>7.1759040306628119</v>
      </c>
      <c r="P177" s="33">
        <f>quantInv[[#This Row],[UNIT
VALUE]] / CADtoGBP</f>
        <v>9.185569669563753</v>
      </c>
      <c r="Q177" s="33">
        <f>quantInv[[#This Row],[UNIT
VALUE]]/AUDtoGBP</f>
        <v>9.4020762985846673</v>
      </c>
      <c r="R177">
        <f>IFERROR(VLOOKUP(quantInv[[#This Row],[Assigned Item SKU]],skuQuantity[#All],2,FALSE),0)</f>
        <v>5</v>
      </c>
      <c r="S177" t="str">
        <f>PROPER(quantInv[[#This Row],[Metal]] &amp; " " &amp; quantInv[[#This Row],[Item Type]])</f>
        <v>925 Silver Chain</v>
      </c>
      <c r="T177" s="33">
        <f>quantInv[[#This Row],[Quantity]]*quantInv[[#This Row],[WEIGHT]]</f>
        <v>26.924999999999997</v>
      </c>
      <c r="U177" s="33">
        <f>quantInv[[#This Row],[UNIT
VALUE]]*quantInv[[#This Row],[Quantity]]</f>
        <v>26.173500000000001</v>
      </c>
      <c r="V177" s="33">
        <f>quantInv[[#This Row],[Total Cost GBP]]/EURtoGBP</f>
        <v>29.710033883298429</v>
      </c>
      <c r="W177" s="33">
        <f>quantInv[[#This Row],[Total Cost GBP]]/USDtoGBP</f>
        <v>35.879520153314061</v>
      </c>
      <c r="X177" s="33">
        <f>quantInv[[#This Row],[Total Cost GBP]]/CADtoGBP</f>
        <v>45.92784834781876</v>
      </c>
      <c r="Y177" s="33">
        <f>quantInv[[#This Row],[Quantity]]*quantInv[[#This Row],[UNIT
VALUE AUD]]</f>
        <v>47.010381492923337</v>
      </c>
      <c r="Z177" s="33"/>
    </row>
    <row r="178" spans="1:26" x14ac:dyDescent="0.25">
      <c r="A178" t="s">
        <v>83</v>
      </c>
      <c r="B178" t="s">
        <v>522</v>
      </c>
      <c r="C178" t="s">
        <v>114</v>
      </c>
      <c r="D178" t="s">
        <v>213</v>
      </c>
      <c r="E178">
        <v>8.5882352941176503</v>
      </c>
      <c r="F178" s="33">
        <v>7.7629999999999999</v>
      </c>
      <c r="G178" s="33" t="s">
        <v>117</v>
      </c>
      <c r="H178" t="s">
        <v>103</v>
      </c>
      <c r="I178" t="str">
        <f>IF(quantInv[[#This Row],[Metal]] = "925 Silver",  "7113.11.00"," 7113.19.00")</f>
        <v>7113.11.00</v>
      </c>
      <c r="J178" t="str">
        <f>IF(quantInv[[#This Row],[Metal]] = "925 Silver", "7113.11.10.00"," 7113.19.10.00")</f>
        <v>7113.11.10.00</v>
      </c>
      <c r="K178" t="str">
        <f>IF(quantInv[[#This Row],[Metal]] = "925 Silver",  "7113.11.00"," 7113.19.00")</f>
        <v>7113.11.00</v>
      </c>
      <c r="L178" t="str">
        <f>IFERROR(VLOOKUP(quantInv[[#This Row],[Description for New Invoice]],Map!$G$12:$H$32,2,FALSE), IF(quantInv[[#This Row],[Metal]] = "925 Silver", "7113.11.10.00", "7113.19.29.00"))</f>
        <v>7113.11.10.00</v>
      </c>
      <c r="M178" t="str">
        <f>quantInv[[#This Row],[ASIN]] &amp; " " &amp; quantInv[[#This Row],[Short Description]]</f>
        <v>B073D6W5P5 Ball Chain</v>
      </c>
      <c r="N178" s="33">
        <f>quantInv[[#This Row],[UNIT
VALUE]] / EURtoGBP</f>
        <v>8.8119278291419061</v>
      </c>
      <c r="O178" s="33">
        <f>quantInv[[#This Row],[UNIT
VALUE]]/USDtoGBP</f>
        <v>10.641783290357692</v>
      </c>
      <c r="P178" s="33">
        <f>quantInv[[#This Row],[UNIT
VALUE]] / CADtoGBP</f>
        <v>13.622094359719449</v>
      </c>
      <c r="Q178" s="33">
        <f>quantInv[[#This Row],[UNIT
VALUE]]/AUDtoGBP</f>
        <v>13.943171204827932</v>
      </c>
      <c r="R178">
        <f>IFERROR(VLOOKUP(quantInv[[#This Row],[Assigned Item SKU]],skuQuantity[#All],2,FALSE),0)</f>
        <v>30</v>
      </c>
      <c r="S178" t="str">
        <f>PROPER(quantInv[[#This Row],[Metal]] &amp; " " &amp; quantInv[[#This Row],[Item Type]])</f>
        <v>925 Silver Chain</v>
      </c>
      <c r="T178" s="33">
        <f>quantInv[[#This Row],[Quantity]]*quantInv[[#This Row],[WEIGHT]]</f>
        <v>257.64705882352951</v>
      </c>
      <c r="U178" s="33">
        <f>quantInv[[#This Row],[UNIT
VALUE]]*quantInv[[#This Row],[Quantity]]</f>
        <v>232.89</v>
      </c>
      <c r="V178" s="33">
        <f>quantInv[[#This Row],[Total Cost GBP]]/EURtoGBP</f>
        <v>264.35783487425721</v>
      </c>
      <c r="W178" s="33">
        <f>quantInv[[#This Row],[Total Cost GBP]]/USDtoGBP</f>
        <v>319.25349871073075</v>
      </c>
      <c r="X178" s="33">
        <f>quantInv[[#This Row],[Total Cost GBP]]/CADtoGBP</f>
        <v>408.66283079158347</v>
      </c>
      <c r="Y178" s="33">
        <f>quantInv[[#This Row],[Quantity]]*quantInv[[#This Row],[UNIT
VALUE AUD]]</f>
        <v>418.29513614483795</v>
      </c>
      <c r="Z178" s="33"/>
    </row>
    <row r="179" spans="1:26" x14ac:dyDescent="0.25">
      <c r="A179" t="s">
        <v>29</v>
      </c>
      <c r="B179" t="s">
        <v>545</v>
      </c>
      <c r="C179" t="s">
        <v>114</v>
      </c>
      <c r="D179" t="s">
        <v>544</v>
      </c>
      <c r="E179">
        <v>3.7281553398058298</v>
      </c>
      <c r="F179" s="33">
        <v>3.9611000000000001</v>
      </c>
      <c r="G179" s="33" t="s">
        <v>117</v>
      </c>
      <c r="H179" t="s">
        <v>103</v>
      </c>
      <c r="I179" t="str">
        <f>IF(quantInv[[#This Row],[Metal]] = "925 Silver",  "7113.11.00"," 7113.19.00")</f>
        <v>7113.11.00</v>
      </c>
      <c r="J179" t="str">
        <f>IF(quantInv[[#This Row],[Metal]] = "925 Silver", "7113.11.10.00"," 7113.19.10.00")</f>
        <v>7113.11.10.00</v>
      </c>
      <c r="K179" t="str">
        <f>IF(quantInv[[#This Row],[Metal]] = "925 Silver",  "7113.11.00"," 7113.19.00")</f>
        <v>7113.11.00</v>
      </c>
      <c r="L179" t="str">
        <f>IFERROR(VLOOKUP(quantInv[[#This Row],[Description for New Invoice]],Map!$G$12:$H$32,2,FALSE), IF(quantInv[[#This Row],[Metal]] = "925 Silver", "7113.11.10.00", "7113.19.29.00"))</f>
        <v>7113.11.10.00</v>
      </c>
      <c r="M179" t="str">
        <f>quantInv[[#This Row],[ASIN]] &amp; " " &amp; quantInv[[#This Row],[Short Description]]</f>
        <v>B012EOJB36 Rat Tail</v>
      </c>
      <c r="N179" s="33">
        <f>quantInv[[#This Row],[UNIT
VALUE]] / EURtoGBP</f>
        <v>4.4963193770467615</v>
      </c>
      <c r="O179" s="33">
        <f>quantInv[[#This Row],[UNIT
VALUE]]/USDtoGBP</f>
        <v>5.4300100207955495</v>
      </c>
      <c r="P179" s="33">
        <f>quantInv[[#This Row],[UNIT
VALUE]] / CADtoGBP</f>
        <v>6.9507249733717273</v>
      </c>
      <c r="Q179" s="33">
        <f>quantInv[[#This Row],[UNIT
VALUE]]/AUDtoGBP</f>
        <v>7.1145556433651844</v>
      </c>
      <c r="R179">
        <f>IFERROR(VLOOKUP(quantInv[[#This Row],[Assigned Item SKU]],skuQuantity[#All],2,FALSE),0)</f>
        <v>5</v>
      </c>
      <c r="S179" t="str">
        <f>PROPER(quantInv[[#This Row],[Metal]] &amp; " " &amp; quantInv[[#This Row],[Item Type]])</f>
        <v>925 Silver Chain</v>
      </c>
      <c r="T179" s="33">
        <f>quantInv[[#This Row],[Quantity]]*quantInv[[#This Row],[WEIGHT]]</f>
        <v>18.64077669902915</v>
      </c>
      <c r="U179" s="33">
        <f>quantInv[[#This Row],[UNIT
VALUE]]*quantInv[[#This Row],[Quantity]]</f>
        <v>19.805500000000002</v>
      </c>
      <c r="V179" s="33">
        <f>quantInv[[#This Row],[Total Cost GBP]]/EURtoGBP</f>
        <v>22.48159688523381</v>
      </c>
      <c r="W179" s="33">
        <f>quantInv[[#This Row],[Total Cost GBP]]/USDtoGBP</f>
        <v>27.150050103977751</v>
      </c>
      <c r="X179" s="33">
        <f>quantInv[[#This Row],[Total Cost GBP]]/CADtoGBP</f>
        <v>34.753624866858637</v>
      </c>
      <c r="Y179" s="33">
        <f>quantInv[[#This Row],[Quantity]]*quantInv[[#This Row],[UNIT
VALUE AUD]]</f>
        <v>35.572778216825924</v>
      </c>
      <c r="Z179" s="33"/>
    </row>
    <row r="180" spans="1:26" x14ac:dyDescent="0.25">
      <c r="A180" t="s">
        <v>497</v>
      </c>
      <c r="B180" t="s">
        <v>498</v>
      </c>
      <c r="C180" t="s">
        <v>114</v>
      </c>
      <c r="D180" t="s">
        <v>494</v>
      </c>
      <c r="E180">
        <v>3.4520833333333298</v>
      </c>
      <c r="F180" s="33">
        <v>3.7544</v>
      </c>
      <c r="G180" s="33" t="s">
        <v>117</v>
      </c>
      <c r="H180" t="s">
        <v>1414</v>
      </c>
      <c r="I180" t="str">
        <f>IF(quantInv[[#This Row],[Metal]] = "925 Silver",  "7113.11.00"," 7113.19.00")</f>
        <v>7113.11.00</v>
      </c>
      <c r="J180" t="str">
        <f>IF(quantInv[[#This Row],[Metal]] = "925 Silver", "7113.11.10.00"," 7113.19.10.00")</f>
        <v>7113.11.10.00</v>
      </c>
      <c r="K180" t="str">
        <f>IF(quantInv[[#This Row],[Metal]] = "925 Silver",  "7113.11.00"," 7113.19.00")</f>
        <v>7113.11.00</v>
      </c>
      <c r="L180" t="str">
        <f>IFERROR(VLOOKUP(quantInv[[#This Row],[Description for New Invoice]],Map!$G$12:$H$32,2,FALSE), IF(quantInv[[#This Row],[Metal]] = "925 Silver", "7113.11.10.00", "7113.19.29.00"))</f>
        <v>7113.11.10.00</v>
      </c>
      <c r="M180" t="str">
        <f>quantInv[[#This Row],[ASIN]] &amp; " " &amp; quantInv[[#This Row],[Short Description]]</f>
        <v>B01MUCWT7T Ball and Bar Chain</v>
      </c>
      <c r="N180" s="33">
        <f>quantInv[[#This Row],[UNIT
VALUE]] / EURtoGBP</f>
        <v>4.261690305517245</v>
      </c>
      <c r="O180" s="33">
        <f>quantInv[[#This Row],[UNIT
VALUE]]/USDtoGBP</f>
        <v>5.1466586609968976</v>
      </c>
      <c r="P180" s="33">
        <f>quantInv[[#This Row],[UNIT
VALUE]] / CADtoGBP</f>
        <v>6.5880189442394315</v>
      </c>
      <c r="Q180" s="33">
        <f>quantInv[[#This Row],[UNIT
VALUE]]/AUDtoGBP</f>
        <v>6.7433005244629642</v>
      </c>
      <c r="R180">
        <f>IFERROR(VLOOKUP(quantInv[[#This Row],[Assigned Item SKU]],skuQuantity[#All],2,FALSE),0)</f>
        <v>25</v>
      </c>
      <c r="S180" t="str">
        <f>PROPER(quantInv[[#This Row],[Metal]] &amp; " " &amp; quantInv[[#This Row],[Item Type]])</f>
        <v>925 Silver Bracelet</v>
      </c>
      <c r="T180" s="33">
        <f>quantInv[[#This Row],[Quantity]]*quantInv[[#This Row],[WEIGHT]]</f>
        <v>86.302083333333243</v>
      </c>
      <c r="U180" s="33">
        <f>quantInv[[#This Row],[UNIT
VALUE]]*quantInv[[#This Row],[Quantity]]</f>
        <v>93.86</v>
      </c>
      <c r="V180" s="33">
        <f>quantInv[[#This Row],[Total Cost GBP]]/EURtoGBP</f>
        <v>106.54225763793113</v>
      </c>
      <c r="W180" s="33">
        <f>quantInv[[#This Row],[Total Cost GBP]]/USDtoGBP</f>
        <v>128.66646652492244</v>
      </c>
      <c r="X180" s="33">
        <f>quantInv[[#This Row],[Total Cost GBP]]/CADtoGBP</f>
        <v>164.70047360598579</v>
      </c>
      <c r="Y180" s="33">
        <f>quantInv[[#This Row],[Quantity]]*quantInv[[#This Row],[UNIT
VALUE AUD]]</f>
        <v>168.58251311157412</v>
      </c>
      <c r="Z180" s="33"/>
    </row>
    <row r="181" spans="1:26" x14ac:dyDescent="0.25">
      <c r="A181" t="s">
        <v>591</v>
      </c>
      <c r="B181" t="s">
        <v>592</v>
      </c>
      <c r="C181" t="s">
        <v>114</v>
      </c>
      <c r="D181" t="s">
        <v>242</v>
      </c>
      <c r="E181">
        <v>2.54117647058824</v>
      </c>
      <c r="F181" s="33">
        <v>2.8109000000000002</v>
      </c>
      <c r="G181" s="33" t="s">
        <v>117</v>
      </c>
      <c r="H181" t="s">
        <v>103</v>
      </c>
      <c r="I181" t="str">
        <f>IF(quantInv[[#This Row],[Metal]] = "925 Silver",  "7113.11.00"," 7113.19.00")</f>
        <v>7113.11.00</v>
      </c>
      <c r="J181" t="str">
        <f>IF(quantInv[[#This Row],[Metal]] = "925 Silver", "7113.11.10.00"," 7113.19.10.00")</f>
        <v>7113.11.10.00</v>
      </c>
      <c r="K181" t="str">
        <f>IF(quantInv[[#This Row],[Metal]] = "925 Silver",  "7113.11.00"," 7113.19.00")</f>
        <v>7113.11.00</v>
      </c>
      <c r="L181" t="str">
        <f>IFERROR(VLOOKUP(quantInv[[#This Row],[Description for New Invoice]],Map!$G$12:$H$32,2,FALSE), IF(quantInv[[#This Row],[Metal]] = "925 Silver", "7113.11.10.00", "7113.19.29.00"))</f>
        <v>7113.11.10.00</v>
      </c>
      <c r="M181" t="str">
        <f>quantInv[[#This Row],[ASIN]] &amp; " " &amp; quantInv[[#This Row],[Short Description]]</f>
        <v>B072VPJQ62 Heart Chain</v>
      </c>
      <c r="N181" s="33">
        <f>quantInv[[#This Row],[UNIT
VALUE]] / EURtoGBP</f>
        <v>3.1907056466488455</v>
      </c>
      <c r="O181" s="33">
        <f>quantInv[[#This Row],[UNIT
VALUE]]/USDtoGBP</f>
        <v>3.8532769098114694</v>
      </c>
      <c r="P181" s="33">
        <f>quantInv[[#This Row],[UNIT
VALUE]] / CADtoGBP</f>
        <v>4.9324159520462976</v>
      </c>
      <c r="Q181" s="33">
        <f>quantInv[[#This Row],[UNIT
VALUE]]/AUDtoGBP</f>
        <v>5.0486744737409293</v>
      </c>
      <c r="R181">
        <f>IFERROR(VLOOKUP(quantInv[[#This Row],[Assigned Item SKU]],skuQuantity[#All],2,FALSE),0)</f>
        <v>5</v>
      </c>
      <c r="S181" t="str">
        <f>PROPER(quantInv[[#This Row],[Metal]] &amp; " " &amp; quantInv[[#This Row],[Item Type]])</f>
        <v>925 Silver Chain</v>
      </c>
      <c r="T181" s="33">
        <f>quantInv[[#This Row],[Quantity]]*quantInv[[#This Row],[WEIGHT]]</f>
        <v>12.705882352941201</v>
      </c>
      <c r="U181" s="33">
        <f>quantInv[[#This Row],[UNIT
VALUE]]*quantInv[[#This Row],[Quantity]]</f>
        <v>14.054500000000001</v>
      </c>
      <c r="V181" s="33">
        <f>quantInv[[#This Row],[Total Cost GBP]]/EURtoGBP</f>
        <v>15.953528233244228</v>
      </c>
      <c r="W181" s="33">
        <f>quantInv[[#This Row],[Total Cost GBP]]/USDtoGBP</f>
        <v>19.266384549057346</v>
      </c>
      <c r="X181" s="33">
        <f>quantInv[[#This Row],[Total Cost GBP]]/CADtoGBP</f>
        <v>24.662079760231485</v>
      </c>
      <c r="Y181" s="33">
        <f>quantInv[[#This Row],[Quantity]]*quantInv[[#This Row],[UNIT
VALUE AUD]]</f>
        <v>25.243372368704648</v>
      </c>
      <c r="Z181" s="33"/>
    </row>
    <row r="182" spans="1:26" x14ac:dyDescent="0.25">
      <c r="A182" t="s">
        <v>1427</v>
      </c>
      <c r="B182" t="s">
        <v>1428</v>
      </c>
      <c r="C182" t="s">
        <v>114</v>
      </c>
      <c r="D182" t="s">
        <v>1429</v>
      </c>
      <c r="E182">
        <v>7.2</v>
      </c>
      <c r="F182" s="33">
        <v>7.2304000000000004</v>
      </c>
      <c r="G182" s="33" t="s">
        <v>117</v>
      </c>
      <c r="H182" t="s">
        <v>1414</v>
      </c>
      <c r="I182" t="str">
        <f>IF(quantInv[[#This Row],[Metal]] = "925 Silver",  "7113.11.00"," 7113.19.00")</f>
        <v>7113.11.00</v>
      </c>
      <c r="J182" t="str">
        <f>IF(quantInv[[#This Row],[Metal]] = "925 Silver", "7113.11.10.00"," 7113.19.10.00")</f>
        <v>7113.11.10.00</v>
      </c>
      <c r="K182" t="str">
        <f>IF(quantInv[[#This Row],[Metal]] = "925 Silver",  "7113.11.00"," 7113.19.00")</f>
        <v>7113.11.00</v>
      </c>
      <c r="L182" t="str">
        <f>IFERROR(VLOOKUP(quantInv[[#This Row],[Description for New Invoice]],Map!$G$12:$H$32,2,FALSE), IF(quantInv[[#This Row],[Metal]] = "925 Silver", "7113.11.10.00", "7113.19.29.00"))</f>
        <v>7113.11.10.00</v>
      </c>
      <c r="M182" t="str">
        <f>quantInv[[#This Row],[ASIN]] &amp; " " &amp; quantInv[[#This Row],[Short Description]]</f>
        <v>B07WW6XF5J Silver Bracelet - Hollow - Thick and Heavy - Round Cable</v>
      </c>
      <c r="N182" s="33">
        <f>quantInv[[#This Row],[UNIT
VALUE]] / EURtoGBP</f>
        <v>8.2073635161442287</v>
      </c>
      <c r="O182" s="33">
        <f>quantInv[[#This Row],[UNIT
VALUE]]/USDtoGBP</f>
        <v>9.9116771741082381</v>
      </c>
      <c r="P182" s="33">
        <f>quantInv[[#This Row],[UNIT
VALUE]] / CADtoGBP</f>
        <v>12.687516560416787</v>
      </c>
      <c r="Q182" s="33">
        <f>quantInv[[#This Row],[UNIT
VALUE]]/AUDtoGBP</f>
        <v>12.986565126805086</v>
      </c>
      <c r="R182">
        <f>IFERROR(VLOOKUP(quantInv[[#This Row],[Assigned Item SKU]],skuQuantity[#All],2,FALSE),0)</f>
        <v>0</v>
      </c>
      <c r="S182" t="str">
        <f>PROPER(quantInv[[#This Row],[Metal]] &amp; " " &amp; quantInv[[#This Row],[Item Type]])</f>
        <v>925 Silver Bracelet</v>
      </c>
      <c r="T182" s="33">
        <f>quantInv[[#This Row],[Quantity]]*quantInv[[#This Row],[WEIGHT]]</f>
        <v>0</v>
      </c>
      <c r="U182" s="33">
        <f>quantInv[[#This Row],[UNIT
VALUE]]*quantInv[[#This Row],[Quantity]]</f>
        <v>0</v>
      </c>
      <c r="V182" s="33">
        <f>quantInv[[#This Row],[Total Cost GBP]]/EURtoGBP</f>
        <v>0</v>
      </c>
      <c r="W182" s="33">
        <f>quantInv[[#This Row],[Total Cost GBP]]/USDtoGBP</f>
        <v>0</v>
      </c>
      <c r="X182" s="33">
        <f>quantInv[[#This Row],[Total Cost GBP]]/CADtoGBP</f>
        <v>0</v>
      </c>
      <c r="Y182" s="33">
        <f>quantInv[[#This Row],[Quantity]]*quantInv[[#This Row],[UNIT
VALUE AUD]]</f>
        <v>0</v>
      </c>
      <c r="Z182" s="33"/>
    </row>
    <row r="183" spans="1:26" x14ac:dyDescent="0.25">
      <c r="A183" t="s">
        <v>502</v>
      </c>
      <c r="B183" t="s">
        <v>503</v>
      </c>
      <c r="C183" t="s">
        <v>114</v>
      </c>
      <c r="D183" t="s">
        <v>494</v>
      </c>
      <c r="E183">
        <v>2.1949999999999998</v>
      </c>
      <c r="F183" s="33">
        <v>2.3786999999999998</v>
      </c>
      <c r="G183" s="33" t="s">
        <v>117</v>
      </c>
      <c r="H183" t="s">
        <v>103</v>
      </c>
      <c r="I183" t="str">
        <f>IF(quantInv[[#This Row],[Metal]] = "925 Silver",  "7113.11.00"," 7113.19.00")</f>
        <v>7113.11.00</v>
      </c>
      <c r="J183" t="str">
        <f>IF(quantInv[[#This Row],[Metal]] = "925 Silver", "7113.11.10.00"," 7113.19.10.00")</f>
        <v>7113.11.10.00</v>
      </c>
      <c r="K183" t="str">
        <f>IF(quantInv[[#This Row],[Metal]] = "925 Silver",  "7113.11.00"," 7113.19.00")</f>
        <v>7113.11.00</v>
      </c>
      <c r="L183" t="str">
        <f>IFERROR(VLOOKUP(quantInv[[#This Row],[Description for New Invoice]],Map!$G$12:$H$32,2,FALSE), IF(quantInv[[#This Row],[Metal]] = "925 Silver", "7113.11.10.00", "7113.19.29.00"))</f>
        <v>7113.11.10.00</v>
      </c>
      <c r="M183" t="str">
        <f>quantInv[[#This Row],[ASIN]] &amp; " " &amp; quantInv[[#This Row],[Short Description]]</f>
        <v>B00DKD0GGC Ball and Bar Chain</v>
      </c>
      <c r="N183" s="33">
        <f>quantInv[[#This Row],[UNIT
VALUE]] / EURtoGBP</f>
        <v>2.700107268733718</v>
      </c>
      <c r="O183" s="33">
        <f>quantInv[[#This Row],[UNIT
VALUE]]/USDtoGBP</f>
        <v>3.2608025135609737</v>
      </c>
      <c r="P183" s="33">
        <f>quantInv[[#This Row],[UNIT
VALUE]] / CADtoGBP</f>
        <v>4.1740146661683184</v>
      </c>
      <c r="Q183" s="33">
        <f>quantInv[[#This Row],[UNIT
VALUE]]/AUDtoGBP</f>
        <v>4.2723974423449951</v>
      </c>
      <c r="R183">
        <f>IFERROR(VLOOKUP(quantInv[[#This Row],[Assigned Item SKU]],skuQuantity[#All],2,FALSE),0)</f>
        <v>0</v>
      </c>
      <c r="S183" t="str">
        <f>PROPER(quantInv[[#This Row],[Metal]] &amp; " " &amp; quantInv[[#This Row],[Item Type]])</f>
        <v>925 Silver Chain</v>
      </c>
      <c r="T183" s="33">
        <f>quantInv[[#This Row],[Quantity]]*quantInv[[#This Row],[WEIGHT]]</f>
        <v>0</v>
      </c>
      <c r="U183" s="33">
        <f>quantInv[[#This Row],[UNIT
VALUE]]*quantInv[[#This Row],[Quantity]]</f>
        <v>0</v>
      </c>
      <c r="V183" s="33">
        <f>quantInv[[#This Row],[Total Cost GBP]]/EURtoGBP</f>
        <v>0</v>
      </c>
      <c r="W183" s="33">
        <f>quantInv[[#This Row],[Total Cost GBP]]/USDtoGBP</f>
        <v>0</v>
      </c>
      <c r="X183" s="33">
        <f>quantInv[[#This Row],[Total Cost GBP]]/CADtoGBP</f>
        <v>0</v>
      </c>
      <c r="Y183" s="33">
        <f>quantInv[[#This Row],[Quantity]]*quantInv[[#This Row],[UNIT
VALUE AUD]]</f>
        <v>0</v>
      </c>
      <c r="Z183" s="33"/>
    </row>
    <row r="184" spans="1:26" x14ac:dyDescent="0.25">
      <c r="A184" t="s">
        <v>504</v>
      </c>
      <c r="B184" t="s">
        <v>505</v>
      </c>
      <c r="C184" t="s">
        <v>114</v>
      </c>
      <c r="D184" t="s">
        <v>494</v>
      </c>
      <c r="E184">
        <v>2.37307692307692</v>
      </c>
      <c r="F184" s="33">
        <v>2.5434999999999999</v>
      </c>
      <c r="G184" s="33" t="s">
        <v>117</v>
      </c>
      <c r="H184" t="s">
        <v>103</v>
      </c>
      <c r="I184" t="str">
        <f>IF(quantInv[[#This Row],[Metal]] = "925 Silver",  "7113.11.00"," 7113.19.00")</f>
        <v>7113.11.00</v>
      </c>
      <c r="J184" t="str">
        <f>IF(quantInv[[#This Row],[Metal]] = "925 Silver", "7113.11.10.00"," 7113.19.10.00")</f>
        <v>7113.11.10.00</v>
      </c>
      <c r="K184" t="str">
        <f>IF(quantInv[[#This Row],[Metal]] = "925 Silver",  "7113.11.00"," 7113.19.00")</f>
        <v>7113.11.00</v>
      </c>
      <c r="L184" t="str">
        <f>IFERROR(VLOOKUP(quantInv[[#This Row],[Description for New Invoice]],Map!$G$12:$H$32,2,FALSE), IF(quantInv[[#This Row],[Metal]] = "925 Silver", "7113.11.10.00", "7113.19.29.00"))</f>
        <v>7113.11.10.00</v>
      </c>
      <c r="M184" t="str">
        <f>quantInv[[#This Row],[ASIN]] &amp; " " &amp; quantInv[[#This Row],[Short Description]]</f>
        <v>B00DKD0H3O Ball and Bar Chain</v>
      </c>
      <c r="N184" s="33">
        <f>quantInv[[#This Row],[UNIT
VALUE]] / EURtoGBP</f>
        <v>2.8871748593871494</v>
      </c>
      <c r="O184" s="33">
        <f>quantInv[[#This Row],[UNIT
VALUE]]/USDtoGBP</f>
        <v>3.4867159344357579</v>
      </c>
      <c r="P184" s="33">
        <f>quantInv[[#This Row],[UNIT
VALUE]] / CADtoGBP</f>
        <v>4.4631968316303521</v>
      </c>
      <c r="Q184" s="33">
        <f>quantInv[[#This Row],[UNIT
VALUE]]/AUDtoGBP</f>
        <v>4.5683957180831953</v>
      </c>
      <c r="R184">
        <f>IFERROR(VLOOKUP(quantInv[[#This Row],[Assigned Item SKU]],skuQuantity[#All],2,FALSE),0)</f>
        <v>0</v>
      </c>
      <c r="S184" t="str">
        <f>PROPER(quantInv[[#This Row],[Metal]] &amp; " " &amp; quantInv[[#This Row],[Item Type]])</f>
        <v>925 Silver Chain</v>
      </c>
      <c r="T184" s="33">
        <f>quantInv[[#This Row],[Quantity]]*quantInv[[#This Row],[WEIGHT]]</f>
        <v>0</v>
      </c>
      <c r="U184" s="33">
        <f>quantInv[[#This Row],[UNIT
VALUE]]*quantInv[[#This Row],[Quantity]]</f>
        <v>0</v>
      </c>
      <c r="V184" s="33">
        <f>quantInv[[#This Row],[Total Cost GBP]]/EURtoGBP</f>
        <v>0</v>
      </c>
      <c r="W184" s="33">
        <f>quantInv[[#This Row],[Total Cost GBP]]/USDtoGBP</f>
        <v>0</v>
      </c>
      <c r="X184" s="33">
        <f>quantInv[[#This Row],[Total Cost GBP]]/CADtoGBP</f>
        <v>0</v>
      </c>
      <c r="Y184" s="33">
        <f>quantInv[[#This Row],[Quantity]]*quantInv[[#This Row],[UNIT
VALUE AUD]]</f>
        <v>0</v>
      </c>
      <c r="Z184" s="33"/>
    </row>
    <row r="185" spans="1:26" x14ac:dyDescent="0.25">
      <c r="A185" t="s">
        <v>506</v>
      </c>
      <c r="B185" t="s">
        <v>507</v>
      </c>
      <c r="C185" t="s">
        <v>114</v>
      </c>
      <c r="D185" t="s">
        <v>494</v>
      </c>
      <c r="E185">
        <v>3.09607843137255</v>
      </c>
      <c r="F185" s="33">
        <v>3.2122999999999999</v>
      </c>
      <c r="G185" s="33" t="s">
        <v>117</v>
      </c>
      <c r="H185" t="s">
        <v>103</v>
      </c>
      <c r="I185" t="str">
        <f>IF(quantInv[[#This Row],[Metal]] = "925 Silver",  "7113.11.00"," 7113.19.00")</f>
        <v>7113.11.00</v>
      </c>
      <c r="J185" t="str">
        <f>IF(quantInv[[#This Row],[Metal]] = "925 Silver", "7113.11.10.00"," 7113.19.10.00")</f>
        <v>7113.11.10.00</v>
      </c>
      <c r="K185" t="str">
        <f>IF(quantInv[[#This Row],[Metal]] = "925 Silver",  "7113.11.00"," 7113.19.00")</f>
        <v>7113.11.00</v>
      </c>
      <c r="L185" t="str">
        <f>IFERROR(VLOOKUP(quantInv[[#This Row],[Description for New Invoice]],Map!$G$12:$H$32,2,FALSE), IF(quantInv[[#This Row],[Metal]] = "925 Silver", "7113.11.10.00", "7113.19.29.00"))</f>
        <v>7113.11.10.00</v>
      </c>
      <c r="M185" t="str">
        <f>quantInv[[#This Row],[ASIN]] &amp; " " &amp; quantInv[[#This Row],[Short Description]]</f>
        <v>B01N9TYXR7 Ball and Bar Chain</v>
      </c>
      <c r="N185" s="33">
        <f>quantInv[[#This Row],[UNIT
VALUE]] / EURtoGBP</f>
        <v>3.6463423632039866</v>
      </c>
      <c r="O185" s="33">
        <f>quantInv[[#This Row],[UNIT
VALUE]]/USDtoGBP</f>
        <v>4.4035296230343954</v>
      </c>
      <c r="P185" s="33">
        <f>quantInv[[#This Row],[UNIT
VALUE]] / CADtoGBP</f>
        <v>5.6367710565151086</v>
      </c>
      <c r="Q185" s="33">
        <f>quantInv[[#This Row],[UNIT
VALUE]]/AUDtoGBP</f>
        <v>5.7696314390401602</v>
      </c>
      <c r="R185">
        <f>IFERROR(VLOOKUP(quantInv[[#This Row],[Assigned Item SKU]],skuQuantity[#All],2,FALSE),0)</f>
        <v>0</v>
      </c>
      <c r="S185" t="str">
        <f>PROPER(quantInv[[#This Row],[Metal]] &amp; " " &amp; quantInv[[#This Row],[Item Type]])</f>
        <v>925 Silver Chain</v>
      </c>
      <c r="T185" s="33">
        <f>quantInv[[#This Row],[Quantity]]*quantInv[[#This Row],[WEIGHT]]</f>
        <v>0</v>
      </c>
      <c r="U185" s="33">
        <f>quantInv[[#This Row],[UNIT
VALUE]]*quantInv[[#This Row],[Quantity]]</f>
        <v>0</v>
      </c>
      <c r="V185" s="33">
        <f>quantInv[[#This Row],[Total Cost GBP]]/EURtoGBP</f>
        <v>0</v>
      </c>
      <c r="W185" s="33">
        <f>quantInv[[#This Row],[Total Cost GBP]]/USDtoGBP</f>
        <v>0</v>
      </c>
      <c r="X185" s="33">
        <f>quantInv[[#This Row],[Total Cost GBP]]/CADtoGBP</f>
        <v>0</v>
      </c>
      <c r="Y185" s="33">
        <f>quantInv[[#This Row],[Quantity]]*quantInv[[#This Row],[UNIT
VALUE AUD]]</f>
        <v>0</v>
      </c>
      <c r="Z185" s="33"/>
    </row>
    <row r="186" spans="1:26" x14ac:dyDescent="0.25">
      <c r="A186" t="s">
        <v>1539</v>
      </c>
      <c r="B186" t="s">
        <v>1540</v>
      </c>
      <c r="C186" t="s">
        <v>114</v>
      </c>
      <c r="D186" t="s">
        <v>1541</v>
      </c>
      <c r="E186">
        <v>1.74</v>
      </c>
      <c r="F186" s="33">
        <v>3.7153999999999998</v>
      </c>
      <c r="G186" s="33" t="s">
        <v>117</v>
      </c>
      <c r="H186" t="s">
        <v>1451</v>
      </c>
      <c r="I186" t="str">
        <f>IF(quantInv[[#This Row],[Metal]] = "925 Silver",  "7113.11.00"," 7113.19.00")</f>
        <v>7113.11.00</v>
      </c>
      <c r="J186" t="str">
        <f>IF(quantInv[[#This Row],[Metal]] = "925 Silver", "7113.11.10.00"," 7113.19.10.00")</f>
        <v>7113.11.10.00</v>
      </c>
      <c r="K186" t="str">
        <f>IF(quantInv[[#This Row],[Metal]] = "925 Silver",  "7113.11.00"," 7113.19.00")</f>
        <v>7113.11.00</v>
      </c>
      <c r="L186" t="str">
        <f>IFERROR(VLOOKUP(quantInv[[#This Row],[Description for New Invoice]],Map!$G$12:$H$32,2,FALSE), IF(quantInv[[#This Row],[Metal]] = "925 Silver", "7113.11.10.00", "7113.19.29.00"))</f>
        <v>7113.11.50.00</v>
      </c>
      <c r="M186" t="str">
        <f>quantInv[[#This Row],[ASIN]] &amp; " " &amp; quantInv[[#This Row],[Short Description]]</f>
        <v>B082BFGR3M Pendant - Letter - J</v>
      </c>
      <c r="N186" s="33">
        <f>quantInv[[#This Row],[UNIT
VALUE]] / EURtoGBP</f>
        <v>4.2174206693796004</v>
      </c>
      <c r="O186" s="33">
        <f>quantInv[[#This Row],[UNIT
VALUE]]/USDtoGBP</f>
        <v>5.0931961402801704</v>
      </c>
      <c r="P186" s="33">
        <f>quantInv[[#This Row],[UNIT
VALUE]] / CADtoGBP</f>
        <v>6.5195838444031491</v>
      </c>
      <c r="Q186" s="33">
        <f>quantInv[[#This Row],[UNIT
VALUE]]/AUDtoGBP</f>
        <v>6.6732523888210356</v>
      </c>
      <c r="R186">
        <f>IFERROR(VLOOKUP(quantInv[[#This Row],[Assigned Item SKU]],skuQuantity[#All],2,FALSE),0)</f>
        <v>5</v>
      </c>
      <c r="S186" t="str">
        <f>PROPER(quantInv[[#This Row],[Metal]] &amp; " " &amp; quantInv[[#This Row],[Item Type]])</f>
        <v>925 Silver Pendant</v>
      </c>
      <c r="T186" s="33">
        <f>quantInv[[#This Row],[Quantity]]*quantInv[[#This Row],[WEIGHT]]</f>
        <v>8.6999999999999993</v>
      </c>
      <c r="U186" s="33">
        <f>quantInv[[#This Row],[UNIT
VALUE]]*quantInv[[#This Row],[Quantity]]</f>
        <v>18.576999999999998</v>
      </c>
      <c r="V186" s="33">
        <f>quantInv[[#This Row],[Total Cost GBP]]/EURtoGBP</f>
        <v>21.087103346898001</v>
      </c>
      <c r="W186" s="33">
        <f>quantInv[[#This Row],[Total Cost GBP]]/USDtoGBP</f>
        <v>25.465980701400852</v>
      </c>
      <c r="X186" s="33">
        <f>quantInv[[#This Row],[Total Cost GBP]]/CADtoGBP</f>
        <v>32.59791922201574</v>
      </c>
      <c r="Y186" s="33">
        <f>quantInv[[#This Row],[Quantity]]*quantInv[[#This Row],[UNIT
VALUE AUD]]</f>
        <v>33.366261944105176</v>
      </c>
      <c r="Z186" s="33"/>
    </row>
    <row r="187" spans="1:26" x14ac:dyDescent="0.25">
      <c r="A187" t="s">
        <v>1566</v>
      </c>
      <c r="B187" t="s">
        <v>1567</v>
      </c>
      <c r="C187" t="s">
        <v>114</v>
      </c>
      <c r="D187" t="s">
        <v>1568</v>
      </c>
      <c r="E187">
        <v>2.4500000000000002</v>
      </c>
      <c r="F187" s="33">
        <v>5.1539999999999999</v>
      </c>
      <c r="G187" s="33" t="s">
        <v>117</v>
      </c>
      <c r="H187" t="s">
        <v>1451</v>
      </c>
      <c r="I187" t="str">
        <f>IF(quantInv[[#This Row],[Metal]] = "925 Silver",  "7113.11.00"," 7113.19.00")</f>
        <v>7113.11.00</v>
      </c>
      <c r="J187" t="str">
        <f>IF(quantInv[[#This Row],[Metal]] = "925 Silver", "7113.11.10.00"," 7113.19.10.00")</f>
        <v>7113.11.10.00</v>
      </c>
      <c r="K187" t="str">
        <f>IF(quantInv[[#This Row],[Metal]] = "925 Silver",  "7113.11.00"," 7113.19.00")</f>
        <v>7113.11.00</v>
      </c>
      <c r="L187" t="str">
        <f>IFERROR(VLOOKUP(quantInv[[#This Row],[Description for New Invoice]],Map!$G$12:$H$32,2,FALSE), IF(quantInv[[#This Row],[Metal]] = "925 Silver", "7113.11.10.00", "7113.19.29.00"))</f>
        <v>7113.11.50.00</v>
      </c>
      <c r="M187" t="str">
        <f>quantInv[[#This Row],[ASIN]] &amp; " " &amp; quantInv[[#This Row],[Short Description]]</f>
        <v>B082BCKF59 Pendant - Letter - S</v>
      </c>
      <c r="N187" s="33">
        <f>quantInv[[#This Row],[UNIT
VALUE]] / EURtoGBP</f>
        <v>5.850402683421021</v>
      </c>
      <c r="O187" s="33">
        <f>quantInv[[#This Row],[UNIT
VALUE]]/USDtoGBP</f>
        <v>7.0652777377951237</v>
      </c>
      <c r="P187" s="33">
        <f>quantInv[[#This Row],[UNIT
VALUE]] / CADtoGBP</f>
        <v>9.0439616552871378</v>
      </c>
      <c r="Q187" s="33">
        <f>quantInv[[#This Row],[UNIT
VALUE]]/AUDtoGBP</f>
        <v>9.2571305409871396</v>
      </c>
      <c r="R187">
        <f>IFERROR(VLOOKUP(quantInv[[#This Row],[Assigned Item SKU]],skuQuantity[#All],2,FALSE),0)</f>
        <v>5</v>
      </c>
      <c r="S187" t="str">
        <f>PROPER(quantInv[[#This Row],[Metal]] &amp; " " &amp; quantInv[[#This Row],[Item Type]])</f>
        <v>925 Silver Pendant</v>
      </c>
      <c r="T187" s="33">
        <f>quantInv[[#This Row],[Quantity]]*quantInv[[#This Row],[WEIGHT]]</f>
        <v>12.25</v>
      </c>
      <c r="U187" s="33">
        <f>quantInv[[#This Row],[UNIT
VALUE]]*quantInv[[#This Row],[Quantity]]</f>
        <v>25.77</v>
      </c>
      <c r="V187" s="33">
        <f>quantInv[[#This Row],[Total Cost GBP]]/EURtoGBP</f>
        <v>29.252013417105108</v>
      </c>
      <c r="W187" s="33">
        <f>quantInv[[#This Row],[Total Cost GBP]]/USDtoGBP</f>
        <v>35.326388688975619</v>
      </c>
      <c r="X187" s="33">
        <f>quantInv[[#This Row],[Total Cost GBP]]/CADtoGBP</f>
        <v>45.219808276435685</v>
      </c>
      <c r="Y187" s="33">
        <f>quantInv[[#This Row],[Quantity]]*quantInv[[#This Row],[UNIT
VALUE AUD]]</f>
        <v>46.2856527049357</v>
      </c>
      <c r="Z187" s="33"/>
    </row>
    <row r="188" spans="1:26" x14ac:dyDescent="0.25">
      <c r="A188" t="s">
        <v>35</v>
      </c>
      <c r="B188" t="s">
        <v>510</v>
      </c>
      <c r="C188" t="s">
        <v>114</v>
      </c>
      <c r="D188" t="s">
        <v>213</v>
      </c>
      <c r="E188">
        <v>1.88</v>
      </c>
      <c r="F188" s="33">
        <v>2.137</v>
      </c>
      <c r="G188" s="33" t="s">
        <v>117</v>
      </c>
      <c r="H188" t="s">
        <v>1414</v>
      </c>
      <c r="I188" t="str">
        <f>IF(quantInv[[#This Row],[Metal]] = "925 Silver",  "7113.11.00"," 7113.19.00")</f>
        <v>7113.11.00</v>
      </c>
      <c r="J188" t="str">
        <f>IF(quantInv[[#This Row],[Metal]] = "925 Silver", "7113.11.10.00"," 7113.19.10.00")</f>
        <v>7113.11.10.00</v>
      </c>
      <c r="K188" t="str">
        <f>IF(quantInv[[#This Row],[Metal]] = "925 Silver",  "7113.11.00"," 7113.19.00")</f>
        <v>7113.11.00</v>
      </c>
      <c r="L188" t="str">
        <f>IFERROR(VLOOKUP(quantInv[[#This Row],[Description for New Invoice]],Map!$G$12:$H$32,2,FALSE), IF(quantInv[[#This Row],[Metal]] = "925 Silver", "7113.11.10.00", "7113.19.29.00"))</f>
        <v>7113.11.10.00</v>
      </c>
      <c r="M188" t="str">
        <f>quantInv[[#This Row],[ASIN]] &amp; " " &amp; quantInv[[#This Row],[Short Description]]</f>
        <v>B01MZC1QYT Ball Chain</v>
      </c>
      <c r="N188" s="33">
        <f>quantInv[[#This Row],[UNIT
VALUE]] / EURtoGBP</f>
        <v>2.4257490365678547</v>
      </c>
      <c r="O188" s="33">
        <f>quantInv[[#This Row],[UNIT
VALUE]]/USDtoGBP</f>
        <v>2.9294719685037212</v>
      </c>
      <c r="P188" s="33">
        <f>quantInv[[#This Row],[UNIT
VALUE]] / CADtoGBP</f>
        <v>3.7498925217983339</v>
      </c>
      <c r="Q188" s="33">
        <f>quantInv[[#This Row],[UNIT
VALUE]]/AUDtoGBP</f>
        <v>3.8382786119692502</v>
      </c>
      <c r="R188">
        <f>IFERROR(VLOOKUP(quantInv[[#This Row],[Assigned Item SKU]],skuQuantity[#All],2,FALSE),0)</f>
        <v>0</v>
      </c>
      <c r="S188" t="str">
        <f>PROPER(quantInv[[#This Row],[Metal]] &amp; " " &amp; quantInv[[#This Row],[Item Type]])</f>
        <v>925 Silver Bracelet</v>
      </c>
      <c r="T188" s="33">
        <f>quantInv[[#This Row],[Quantity]]*quantInv[[#This Row],[WEIGHT]]</f>
        <v>0</v>
      </c>
      <c r="U188" s="33">
        <f>quantInv[[#This Row],[UNIT
VALUE]]*quantInv[[#This Row],[Quantity]]</f>
        <v>0</v>
      </c>
      <c r="V188" s="33">
        <f>quantInv[[#This Row],[Total Cost GBP]]/EURtoGBP</f>
        <v>0</v>
      </c>
      <c r="W188" s="33">
        <f>quantInv[[#This Row],[Total Cost GBP]]/USDtoGBP</f>
        <v>0</v>
      </c>
      <c r="X188" s="33">
        <f>quantInv[[#This Row],[Total Cost GBP]]/CADtoGBP</f>
        <v>0</v>
      </c>
      <c r="Y188" s="33">
        <f>quantInv[[#This Row],[Quantity]]*quantInv[[#This Row],[UNIT
VALUE AUD]]</f>
        <v>0</v>
      </c>
      <c r="Z188" s="33"/>
    </row>
    <row r="189" spans="1:26" x14ac:dyDescent="0.25">
      <c r="A189" t="s">
        <v>85</v>
      </c>
      <c r="B189" t="s">
        <v>511</v>
      </c>
      <c r="C189" t="s">
        <v>114</v>
      </c>
      <c r="D189" t="s">
        <v>213</v>
      </c>
      <c r="E189">
        <v>2.4500000000000002</v>
      </c>
      <c r="F189" s="33">
        <v>3.2404999999999999</v>
      </c>
      <c r="G189" s="33" t="s">
        <v>117</v>
      </c>
      <c r="H189" t="s">
        <v>1426</v>
      </c>
      <c r="I189" t="str">
        <f>IF(quantInv[[#This Row],[Metal]] = "925 Silver",  "7113.11.00"," 7113.19.00")</f>
        <v>7113.11.00</v>
      </c>
      <c r="J189" t="str">
        <f>IF(quantInv[[#This Row],[Metal]] = "925 Silver", "7113.11.10.00"," 7113.19.10.00")</f>
        <v>7113.11.10.00</v>
      </c>
      <c r="K189" t="str">
        <f>IF(quantInv[[#This Row],[Metal]] = "925 Silver",  "7113.11.00"," 7113.19.00")</f>
        <v>7113.11.00</v>
      </c>
      <c r="L189" t="str">
        <f>IFERROR(VLOOKUP(quantInv[[#This Row],[Description for New Invoice]],Map!$G$12:$H$32,2,FALSE), IF(quantInv[[#This Row],[Metal]] = "925 Silver", "7113.11.10.00", "7113.19.29.00"))</f>
        <v>7113.11.10.00</v>
      </c>
      <c r="M189" t="str">
        <f>quantInv[[#This Row],[ASIN]] &amp; " " &amp; quantInv[[#This Row],[Short Description]]</f>
        <v>B0719HGZ9V Ball Chain</v>
      </c>
      <c r="N189" s="33">
        <f>quantInv[[#This Row],[UNIT
VALUE]] / EURtoGBP</f>
        <v>3.6783527154881295</v>
      </c>
      <c r="O189" s="33">
        <f>quantInv[[#This Row],[UNIT
VALUE]]/USDtoGBP</f>
        <v>4.4421871380141829</v>
      </c>
      <c r="P189" s="33">
        <f>quantInv[[#This Row],[UNIT
VALUE]] / CADtoGBP</f>
        <v>5.6862548979351901</v>
      </c>
      <c r="Q189" s="33">
        <f>quantInv[[#This Row],[UNIT
VALUE]]/AUDtoGBP</f>
        <v>5.8202816294274013</v>
      </c>
      <c r="R189">
        <f>IFERROR(VLOOKUP(quantInv[[#This Row],[Assigned Item SKU]],skuQuantity[#All],2,FALSE),0)</f>
        <v>0</v>
      </c>
      <c r="S189" t="str">
        <f>PROPER(quantInv[[#This Row],[Metal]] &amp; " " &amp; quantInv[[#This Row],[Item Type]])</f>
        <v>925 Silver Anklet</v>
      </c>
      <c r="T189" s="33">
        <f>quantInv[[#This Row],[Quantity]]*quantInv[[#This Row],[WEIGHT]]</f>
        <v>0</v>
      </c>
      <c r="U189" s="33">
        <f>quantInv[[#This Row],[UNIT
VALUE]]*quantInv[[#This Row],[Quantity]]</f>
        <v>0</v>
      </c>
      <c r="V189" s="33">
        <f>quantInv[[#This Row],[Total Cost GBP]]/EURtoGBP</f>
        <v>0</v>
      </c>
      <c r="W189" s="33">
        <f>quantInv[[#This Row],[Total Cost GBP]]/USDtoGBP</f>
        <v>0</v>
      </c>
      <c r="X189" s="33">
        <f>quantInv[[#This Row],[Total Cost GBP]]/CADtoGBP</f>
        <v>0</v>
      </c>
      <c r="Y189" s="33">
        <f>quantInv[[#This Row],[Quantity]]*quantInv[[#This Row],[UNIT
VALUE AUD]]</f>
        <v>0</v>
      </c>
      <c r="Z189" s="33"/>
    </row>
    <row r="190" spans="1:26" x14ac:dyDescent="0.25">
      <c r="A190" t="s">
        <v>2183</v>
      </c>
      <c r="B190" t="s">
        <v>2184</v>
      </c>
      <c r="C190" t="s">
        <v>114</v>
      </c>
      <c r="D190" t="s">
        <v>2185</v>
      </c>
      <c r="E190">
        <v>29.57</v>
      </c>
      <c r="F190" s="33">
        <v>25.5581</v>
      </c>
      <c r="G190" s="33" t="s">
        <v>117</v>
      </c>
      <c r="H190" t="s">
        <v>103</v>
      </c>
      <c r="I190" t="str">
        <f>IF(quantInv[[#This Row],[Metal]] = "925 Silver",  "7113.11.00"," 7113.19.00")</f>
        <v>7113.11.00</v>
      </c>
      <c r="J190" t="str">
        <f>IF(quantInv[[#This Row],[Metal]] = "925 Silver", "7113.11.10.00"," 7113.19.10.00")</f>
        <v>7113.11.10.00</v>
      </c>
      <c r="K190" t="str">
        <f>IF(quantInv[[#This Row],[Metal]] = "925 Silver",  "7113.11.00"," 7113.19.00")</f>
        <v>7113.11.00</v>
      </c>
      <c r="L190" t="str">
        <f>IFERROR(VLOOKUP(quantInv[[#This Row],[Description for New Invoice]],Map!$G$12:$H$32,2,FALSE), IF(quantInv[[#This Row],[Metal]] = "925 Silver", "7113.11.10.00", "7113.19.29.00"))</f>
        <v>7113.11.10.00</v>
      </c>
      <c r="M190" t="str">
        <f>quantInv[[#This Row],[ASIN]] &amp; " " &amp; quantInv[[#This Row],[Short Description]]</f>
        <v>B08LW65TPH Chain - Super Flat Curb - Gauge 200 - Width 7.9 mm - Length 50 cm</v>
      </c>
      <c r="N190" s="33">
        <f>quantInv[[#This Row],[UNIT
VALUE]] / EURtoGBP</f>
        <v>29.011481727423902</v>
      </c>
      <c r="O190" s="33">
        <f>quantInv[[#This Row],[UNIT
VALUE]]/USDtoGBP</f>
        <v>35.035908993081399</v>
      </c>
      <c r="P190" s="33">
        <f>quantInv[[#This Row],[UNIT
VALUE]] / CADtoGBP</f>
        <v>44.847977567325223</v>
      </c>
      <c r="Q190" s="33">
        <f>quantInv[[#This Row],[UNIT
VALUE]]/AUDtoGBP</f>
        <v>45.905057834614553</v>
      </c>
      <c r="R190">
        <f>IFERROR(VLOOKUP(quantInv[[#This Row],[Assigned Item SKU]],skuQuantity[#All],2,FALSE),0)</f>
        <v>0</v>
      </c>
      <c r="S190" t="str">
        <f>PROPER(quantInv[[#This Row],[Metal]] &amp; " " &amp; quantInv[[#This Row],[Item Type]])</f>
        <v>925 Silver Chain</v>
      </c>
      <c r="T190" s="33">
        <f>quantInv[[#This Row],[Quantity]]*quantInv[[#This Row],[WEIGHT]]</f>
        <v>0</v>
      </c>
      <c r="U190" s="33">
        <f>quantInv[[#This Row],[UNIT
VALUE]]*quantInv[[#This Row],[Quantity]]</f>
        <v>0</v>
      </c>
      <c r="V190" s="33">
        <f>quantInv[[#This Row],[Total Cost GBP]]/EURtoGBP</f>
        <v>0</v>
      </c>
      <c r="W190" s="33">
        <f>quantInv[[#This Row],[Total Cost GBP]]/USDtoGBP</f>
        <v>0</v>
      </c>
      <c r="X190" s="33">
        <f>quantInv[[#This Row],[Total Cost GBP]]/CADtoGBP</f>
        <v>0</v>
      </c>
      <c r="Y190" s="33">
        <f>quantInv[[#This Row],[Quantity]]*quantInv[[#This Row],[UNIT
VALUE AUD]]</f>
        <v>0</v>
      </c>
      <c r="Z190" s="33"/>
    </row>
    <row r="191" spans="1:26" x14ac:dyDescent="0.25">
      <c r="A191" t="s">
        <v>514</v>
      </c>
      <c r="B191" t="s">
        <v>515</v>
      </c>
      <c r="C191" t="s">
        <v>114</v>
      </c>
      <c r="D191" t="s">
        <v>213</v>
      </c>
      <c r="E191">
        <v>4.5619047619047599</v>
      </c>
      <c r="F191" s="33">
        <v>4.4878</v>
      </c>
      <c r="G191" s="33" t="s">
        <v>117</v>
      </c>
      <c r="H191" t="s">
        <v>103</v>
      </c>
      <c r="I191" t="str">
        <f>IF(quantInv[[#This Row],[Metal]] = "925 Silver",  "7113.11.00"," 7113.19.00")</f>
        <v>7113.11.00</v>
      </c>
      <c r="J191" t="str">
        <f>IF(quantInv[[#This Row],[Metal]] = "925 Silver", "7113.11.10.00"," 7113.19.10.00")</f>
        <v>7113.11.10.00</v>
      </c>
      <c r="K191" t="str">
        <f>IF(quantInv[[#This Row],[Metal]] = "925 Silver",  "7113.11.00"," 7113.19.00")</f>
        <v>7113.11.00</v>
      </c>
      <c r="L191" t="str">
        <f>IFERROR(VLOOKUP(quantInv[[#This Row],[Description for New Invoice]],Map!$G$12:$H$32,2,FALSE), IF(quantInv[[#This Row],[Metal]] = "925 Silver", "7113.11.10.00", "7113.19.29.00"))</f>
        <v>7113.11.10.00</v>
      </c>
      <c r="M191" t="str">
        <f>quantInv[[#This Row],[ASIN]] &amp; " " &amp; quantInv[[#This Row],[Short Description]]</f>
        <v>B00DKD0LXK Ball Chain</v>
      </c>
      <c r="N191" s="33">
        <f>quantInv[[#This Row],[UNIT
VALUE]] / EURtoGBP</f>
        <v>5.0941864886800268</v>
      </c>
      <c r="O191" s="33">
        <f>quantInv[[#This Row],[UNIT
VALUE]]/USDtoGBP</f>
        <v>6.1520282172442675</v>
      </c>
      <c r="P191" s="33">
        <f>quantInv[[#This Row],[UNIT
VALUE]] / CADtoGBP</f>
        <v>7.8749497703914662</v>
      </c>
      <c r="Q191" s="33">
        <f>quantInv[[#This Row],[UNIT
VALUE]]/AUDtoGBP</f>
        <v>8.060564695739636</v>
      </c>
      <c r="R191">
        <f>IFERROR(VLOOKUP(quantInv[[#This Row],[Assigned Item SKU]],skuQuantity[#All],2,FALSE),0)</f>
        <v>10</v>
      </c>
      <c r="S191" t="str">
        <f>PROPER(quantInv[[#This Row],[Metal]] &amp; " " &amp; quantInv[[#This Row],[Item Type]])</f>
        <v>925 Silver Chain</v>
      </c>
      <c r="T191" s="33">
        <f>quantInv[[#This Row],[Quantity]]*quantInv[[#This Row],[WEIGHT]]</f>
        <v>45.619047619047599</v>
      </c>
      <c r="U191" s="33">
        <f>quantInv[[#This Row],[UNIT
VALUE]]*quantInv[[#This Row],[Quantity]]</f>
        <v>44.878</v>
      </c>
      <c r="V191" s="33">
        <f>quantInv[[#This Row],[Total Cost GBP]]/EURtoGBP</f>
        <v>50.941864886800268</v>
      </c>
      <c r="W191" s="33">
        <f>quantInv[[#This Row],[Total Cost GBP]]/USDtoGBP</f>
        <v>61.520282172442677</v>
      </c>
      <c r="X191" s="33">
        <f>quantInv[[#This Row],[Total Cost GBP]]/CADtoGBP</f>
        <v>78.749497703914656</v>
      </c>
      <c r="Y191" s="33">
        <f>quantInv[[#This Row],[Quantity]]*quantInv[[#This Row],[UNIT
VALUE AUD]]</f>
        <v>80.60564695739636</v>
      </c>
      <c r="Z191" s="33"/>
    </row>
    <row r="192" spans="1:26" x14ac:dyDescent="0.25">
      <c r="A192" t="s">
        <v>72</v>
      </c>
      <c r="B192" t="s">
        <v>212</v>
      </c>
      <c r="C192" t="s">
        <v>114</v>
      </c>
      <c r="D192" t="s">
        <v>213</v>
      </c>
      <c r="E192">
        <v>1.98367346938776</v>
      </c>
      <c r="F192" s="33">
        <v>2.7774000000000001</v>
      </c>
      <c r="G192" s="33" t="s">
        <v>117</v>
      </c>
      <c r="H192" t="s">
        <v>103</v>
      </c>
      <c r="I192" t="str">
        <f>IF(quantInv[[#This Row],[Metal]] = "925 Silver",  "7113.11.00"," 7113.19.00")</f>
        <v>7113.11.00</v>
      </c>
      <c r="J192" t="str">
        <f>IF(quantInv[[#This Row],[Metal]] = "925 Silver", "7113.11.10.00"," 7113.19.10.00")</f>
        <v>7113.11.10.00</v>
      </c>
      <c r="K192" t="str">
        <f>IF(quantInv[[#This Row],[Metal]] = "925 Silver",  "7113.11.00"," 7113.19.00")</f>
        <v>7113.11.00</v>
      </c>
      <c r="L192" t="str">
        <f>IFERROR(VLOOKUP(quantInv[[#This Row],[Description for New Invoice]],Map!$G$12:$H$32,2,FALSE), IF(quantInv[[#This Row],[Metal]] = "925 Silver", "7113.11.10.00", "7113.19.29.00"))</f>
        <v>7113.11.10.00</v>
      </c>
      <c r="M192" t="str">
        <f>quantInv[[#This Row],[ASIN]] &amp; " " &amp; quantInv[[#This Row],[Short Description]]</f>
        <v>B073GC9FWC Ball Chain</v>
      </c>
      <c r="N192" s="33">
        <f>quantInv[[#This Row],[UNIT
VALUE]] / EURtoGBP</f>
        <v>3.1526791643254839</v>
      </c>
      <c r="O192" s="33">
        <f>quantInv[[#This Row],[UNIT
VALUE]]/USDtoGBP</f>
        <v>3.8073539753496655</v>
      </c>
      <c r="P192" s="33">
        <f>quantInv[[#This Row],[UNIT
VALUE]] / CADtoGBP</f>
        <v>4.8736319560330807</v>
      </c>
      <c r="Q192" s="33">
        <f>quantInv[[#This Row],[UNIT
VALUE]]/AUDtoGBP</f>
        <v>4.9885049213305548</v>
      </c>
      <c r="R192">
        <f>IFERROR(VLOOKUP(quantInv[[#This Row],[Assigned Item SKU]],skuQuantity[#All],2,FALSE),0)</f>
        <v>20</v>
      </c>
      <c r="S192" t="str">
        <f>PROPER(quantInv[[#This Row],[Metal]] &amp; " " &amp; quantInv[[#This Row],[Item Type]])</f>
        <v>925 Silver Chain</v>
      </c>
      <c r="T192" s="33">
        <f>quantInv[[#This Row],[Quantity]]*quantInv[[#This Row],[WEIGHT]]</f>
        <v>39.673469387755198</v>
      </c>
      <c r="U192" s="33">
        <f>quantInv[[#This Row],[UNIT
VALUE]]*quantInv[[#This Row],[Quantity]]</f>
        <v>55.548000000000002</v>
      </c>
      <c r="V192" s="33">
        <f>quantInv[[#This Row],[Total Cost GBP]]/EURtoGBP</f>
        <v>63.053583286509685</v>
      </c>
      <c r="W192" s="33">
        <f>quantInv[[#This Row],[Total Cost GBP]]/USDtoGBP</f>
        <v>76.147079506993308</v>
      </c>
      <c r="X192" s="33">
        <f>quantInv[[#This Row],[Total Cost GBP]]/CADtoGBP</f>
        <v>97.472639120661611</v>
      </c>
      <c r="Y192" s="33">
        <f>quantInv[[#This Row],[Quantity]]*quantInv[[#This Row],[UNIT
VALUE AUD]]</f>
        <v>99.770098426611099</v>
      </c>
      <c r="Z192" s="33"/>
    </row>
    <row r="193" spans="1:26" x14ac:dyDescent="0.25">
      <c r="A193" t="s">
        <v>79</v>
      </c>
      <c r="B193" t="s">
        <v>227</v>
      </c>
      <c r="C193" t="s">
        <v>114</v>
      </c>
      <c r="D193" t="s">
        <v>213</v>
      </c>
      <c r="E193">
        <v>7.8392156862745104</v>
      </c>
      <c r="F193" s="33">
        <v>9.0500000000000007</v>
      </c>
      <c r="G193" s="33" t="s">
        <v>117</v>
      </c>
      <c r="H193" t="s">
        <v>103</v>
      </c>
      <c r="I193" t="str">
        <f>IF(quantInv[[#This Row],[Metal]] = "925 Silver",  "7113.11.00"," 7113.19.00")</f>
        <v>7113.11.00</v>
      </c>
      <c r="J193" t="str">
        <f>IF(quantInv[[#This Row],[Metal]] = "925 Silver", "7113.11.10.00"," 7113.19.10.00")</f>
        <v>7113.11.10.00</v>
      </c>
      <c r="K193" t="str">
        <f>IF(quantInv[[#This Row],[Metal]] = "925 Silver",  "7113.11.00"," 7113.19.00")</f>
        <v>7113.11.00</v>
      </c>
      <c r="L193" t="str">
        <f>IFERROR(VLOOKUP(quantInv[[#This Row],[Description for New Invoice]],Map!$G$12:$H$32,2,FALSE), IF(quantInv[[#This Row],[Metal]] = "925 Silver", "7113.11.10.00", "7113.19.29.00"))</f>
        <v>7113.11.10.00</v>
      </c>
      <c r="M193" t="str">
        <f>quantInv[[#This Row],[ASIN]] &amp; " " &amp; quantInv[[#This Row],[Short Description]]</f>
        <v>B073G82B65 Ball Chain</v>
      </c>
      <c r="N193" s="33">
        <f>quantInv[[#This Row],[UNIT
VALUE]] / EURtoGBP</f>
        <v>10.272825821684176</v>
      </c>
      <c r="O193" s="33">
        <f>quantInv[[#This Row],[UNIT
VALUE]]/USDtoGBP</f>
        <v>12.406046474009676</v>
      </c>
      <c r="P193" s="33">
        <f>quantInv[[#This Row],[UNIT
VALUE]] / CADtoGBP</f>
        <v>15.880452654316764</v>
      </c>
      <c r="Q193" s="33">
        <f>quantInv[[#This Row],[UNIT
VALUE]]/AUDtoGBP</f>
        <v>16.254759681011567</v>
      </c>
      <c r="R193">
        <f>IFERROR(VLOOKUP(quantInv[[#This Row],[Assigned Item SKU]],skuQuantity[#All],2,FALSE),0)</f>
        <v>0</v>
      </c>
      <c r="S193" t="str">
        <f>PROPER(quantInv[[#This Row],[Metal]] &amp; " " &amp; quantInv[[#This Row],[Item Type]])</f>
        <v>925 Silver Chain</v>
      </c>
      <c r="T193" s="33">
        <f>quantInv[[#This Row],[Quantity]]*quantInv[[#This Row],[WEIGHT]]</f>
        <v>0</v>
      </c>
      <c r="U193" s="33">
        <f>quantInv[[#This Row],[UNIT
VALUE]]*quantInv[[#This Row],[Quantity]]</f>
        <v>0</v>
      </c>
      <c r="V193" s="33">
        <f>quantInv[[#This Row],[Total Cost GBP]]/EURtoGBP</f>
        <v>0</v>
      </c>
      <c r="W193" s="33">
        <f>quantInv[[#This Row],[Total Cost GBP]]/USDtoGBP</f>
        <v>0</v>
      </c>
      <c r="X193" s="33">
        <f>quantInv[[#This Row],[Total Cost GBP]]/CADtoGBP</f>
        <v>0</v>
      </c>
      <c r="Y193" s="33">
        <f>quantInv[[#This Row],[Quantity]]*quantInv[[#This Row],[UNIT
VALUE AUD]]</f>
        <v>0</v>
      </c>
      <c r="Z193" s="33"/>
    </row>
    <row r="194" spans="1:26" x14ac:dyDescent="0.25">
      <c r="A194" t="s">
        <v>329</v>
      </c>
      <c r="B194" t="s">
        <v>330</v>
      </c>
      <c r="C194" t="s">
        <v>114</v>
      </c>
      <c r="D194" t="s">
        <v>213</v>
      </c>
      <c r="E194">
        <v>2.87254901960784</v>
      </c>
      <c r="F194" s="33">
        <v>3.8912</v>
      </c>
      <c r="G194" s="33" t="s">
        <v>117</v>
      </c>
      <c r="H194" t="s">
        <v>103</v>
      </c>
      <c r="I194" t="str">
        <f>IF(quantInv[[#This Row],[Metal]] = "925 Silver",  "7113.11.00"," 7113.19.00")</f>
        <v>7113.11.00</v>
      </c>
      <c r="J194" t="str">
        <f>IF(quantInv[[#This Row],[Metal]] = "925 Silver", "7113.11.10.00"," 7113.19.10.00")</f>
        <v>7113.11.10.00</v>
      </c>
      <c r="K194" t="str">
        <f>IF(quantInv[[#This Row],[Metal]] = "925 Silver",  "7113.11.00"," 7113.19.00")</f>
        <v>7113.11.00</v>
      </c>
      <c r="L194" t="str">
        <f>IFERROR(VLOOKUP(quantInv[[#This Row],[Description for New Invoice]],Map!$G$12:$H$32,2,FALSE), IF(quantInv[[#This Row],[Metal]] = "925 Silver", "7113.11.10.00", "7113.19.29.00"))</f>
        <v>7113.11.10.00</v>
      </c>
      <c r="M194" t="str">
        <f>quantInv[[#This Row],[ASIN]] &amp; " " &amp; quantInv[[#This Row],[Short Description]]</f>
        <v>B073GBG13N Ball Chain</v>
      </c>
      <c r="N194" s="33">
        <f>quantInv[[#This Row],[UNIT
VALUE]] / EURtoGBP</f>
        <v>4.4169745676615983</v>
      </c>
      <c r="O194" s="33">
        <f>quantInv[[#This Row],[UNIT
VALUE]]/USDtoGBP</f>
        <v>5.3341887336648011</v>
      </c>
      <c r="P194" s="33">
        <f>quantInv[[#This Row],[UNIT
VALUE]] / CADtoGBP</f>
        <v>6.828068217511313</v>
      </c>
      <c r="Q194" s="33">
        <f>quantInv[[#This Row],[UNIT
VALUE]]/AUDtoGBP</f>
        <v>6.9890078310223434</v>
      </c>
      <c r="R194">
        <f>IFERROR(VLOOKUP(quantInv[[#This Row],[Assigned Item SKU]],skuQuantity[#All],2,FALSE),0)</f>
        <v>0</v>
      </c>
      <c r="S194" t="str">
        <f>PROPER(quantInv[[#This Row],[Metal]] &amp; " " &amp; quantInv[[#This Row],[Item Type]])</f>
        <v>925 Silver Chain</v>
      </c>
      <c r="T194" s="33">
        <f>quantInv[[#This Row],[Quantity]]*quantInv[[#This Row],[WEIGHT]]</f>
        <v>0</v>
      </c>
      <c r="U194" s="33">
        <f>quantInv[[#This Row],[UNIT
VALUE]]*quantInv[[#This Row],[Quantity]]</f>
        <v>0</v>
      </c>
      <c r="V194" s="33">
        <f>quantInv[[#This Row],[Total Cost GBP]]/EURtoGBP</f>
        <v>0</v>
      </c>
      <c r="W194" s="33">
        <f>quantInv[[#This Row],[Total Cost GBP]]/USDtoGBP</f>
        <v>0</v>
      </c>
      <c r="X194" s="33">
        <f>quantInv[[#This Row],[Total Cost GBP]]/CADtoGBP</f>
        <v>0</v>
      </c>
      <c r="Y194" s="33">
        <f>quantInv[[#This Row],[Quantity]]*quantInv[[#This Row],[UNIT
VALUE AUD]]</f>
        <v>0</v>
      </c>
      <c r="Z194" s="33"/>
    </row>
    <row r="195" spans="1:26" x14ac:dyDescent="0.25">
      <c r="A195" t="s">
        <v>433</v>
      </c>
      <c r="B195" t="s">
        <v>434</v>
      </c>
      <c r="C195" t="s">
        <v>113</v>
      </c>
      <c r="D195" t="s">
        <v>428</v>
      </c>
      <c r="E195">
        <v>2.4603896103896101</v>
      </c>
      <c r="F195" s="33">
        <v>2.6242000000000001</v>
      </c>
      <c r="G195" s="33" t="s">
        <v>117</v>
      </c>
      <c r="H195" t="s">
        <v>103</v>
      </c>
      <c r="I195" t="str">
        <f>IF(quantInv[[#This Row],[Metal]] = "925 Silver",  "7113.11.00"," 7113.19.00")</f>
        <v>7113.11.00</v>
      </c>
      <c r="J195" t="str">
        <f>IF(quantInv[[#This Row],[Metal]] = "925 Silver", "7113.11.10.00"," 7113.19.10.00")</f>
        <v>7113.11.10.00</v>
      </c>
      <c r="K195" t="str">
        <f>IF(quantInv[[#This Row],[Metal]] = "925 Silver",  "7113.11.00"," 7113.19.00")</f>
        <v>7113.11.00</v>
      </c>
      <c r="L195" t="str">
        <f>IFERROR(VLOOKUP(quantInv[[#This Row],[Description for New Invoice]],Map!$G$12:$H$32,2,FALSE), IF(quantInv[[#This Row],[Metal]] = "925 Silver", "7113.11.10.00", "7113.19.29.00"))</f>
        <v>7113.11.10.00</v>
      </c>
      <c r="M195" t="str">
        <f>quantInv[[#This Row],[ASIN]] &amp; " " &amp; quantInv[[#This Row],[Short Description]]</f>
        <v>B00DKCZE3I Rhombus Chain</v>
      </c>
      <c r="N195" s="33">
        <f>quantInv[[#This Row],[UNIT
VALUE]] / EURtoGBP</f>
        <v>2.9787789526258139</v>
      </c>
      <c r="O195" s="33">
        <f>quantInv[[#This Row],[UNIT
VALUE]]/USDtoGBP</f>
        <v>3.5973422273034465</v>
      </c>
      <c r="P195" s="33">
        <f>quantInv[[#This Row],[UNIT
VALUE]] / CADtoGBP</f>
        <v>4.6048048459069664</v>
      </c>
      <c r="Q195" s="33">
        <f>quantInv[[#This Row],[UNIT
VALUE]]/AUDtoGBP</f>
        <v>4.7133414756807239</v>
      </c>
      <c r="R195">
        <f>IFERROR(VLOOKUP(quantInv[[#This Row],[Assigned Item SKU]],skuQuantity[#All],2,FALSE),0)</f>
        <v>10</v>
      </c>
      <c r="S195" t="str">
        <f>PROPER(quantInv[[#This Row],[Metal]] &amp; " " &amp; quantInv[[#This Row],[Item Type]])</f>
        <v>925 Silver Chain</v>
      </c>
      <c r="T195" s="33">
        <f>quantInv[[#This Row],[Quantity]]*quantInv[[#This Row],[WEIGHT]]</f>
        <v>24.603896103896101</v>
      </c>
      <c r="U195" s="33">
        <f>quantInv[[#This Row],[UNIT
VALUE]]*quantInv[[#This Row],[Quantity]]</f>
        <v>26.242000000000001</v>
      </c>
      <c r="V195" s="33">
        <f>quantInv[[#This Row],[Total Cost GBP]]/EURtoGBP</f>
        <v>29.787789526258138</v>
      </c>
      <c r="W195" s="33">
        <f>quantInv[[#This Row],[Total Cost GBP]]/USDtoGBP</f>
        <v>35.973422273034465</v>
      </c>
      <c r="X195" s="33">
        <f>quantInv[[#This Row],[Total Cost GBP]]/CADtoGBP</f>
        <v>46.048048459069669</v>
      </c>
      <c r="Y195" s="33">
        <f>quantInv[[#This Row],[Quantity]]*quantInv[[#This Row],[UNIT
VALUE AUD]]</f>
        <v>47.133414756807241</v>
      </c>
      <c r="Z195" s="33"/>
    </row>
    <row r="196" spans="1:26" x14ac:dyDescent="0.25">
      <c r="A196" t="s">
        <v>455</v>
      </c>
      <c r="B196" t="s">
        <v>456</v>
      </c>
      <c r="C196" t="s">
        <v>113</v>
      </c>
      <c r="D196" t="s">
        <v>189</v>
      </c>
      <c r="E196">
        <v>3.28</v>
      </c>
      <c r="F196" s="33">
        <v>3.2090000000000001</v>
      </c>
      <c r="G196" s="33" t="s">
        <v>117</v>
      </c>
      <c r="H196" t="s">
        <v>1414</v>
      </c>
      <c r="I196" t="str">
        <f>IF(quantInv[[#This Row],[Metal]] = "925 Silver",  "7113.11.00"," 7113.19.00")</f>
        <v>7113.11.00</v>
      </c>
      <c r="J196" t="str">
        <f>IF(quantInv[[#This Row],[Metal]] = "925 Silver", "7113.11.10.00"," 7113.19.10.00")</f>
        <v>7113.11.10.00</v>
      </c>
      <c r="K196" t="str">
        <f>IF(quantInv[[#This Row],[Metal]] = "925 Silver",  "7113.11.00"," 7113.19.00")</f>
        <v>7113.11.00</v>
      </c>
      <c r="L196" t="str">
        <f>IFERROR(VLOOKUP(quantInv[[#This Row],[Description for New Invoice]],Map!$G$12:$H$32,2,FALSE), IF(quantInv[[#This Row],[Metal]] = "925 Silver", "7113.11.10.00", "7113.19.29.00"))</f>
        <v>7113.11.10.00</v>
      </c>
      <c r="M196" t="str">
        <f>quantInv[[#This Row],[ASIN]] &amp; " " &amp; quantInv[[#This Row],[Short Description]]</f>
        <v>B01NBWW1WR Singapore Chain</v>
      </c>
      <c r="N196" s="33">
        <f>quantInv[[#This Row],[UNIT
VALUE]] / EURtoGBP</f>
        <v>3.6425964709154166</v>
      </c>
      <c r="O196" s="33">
        <f>quantInv[[#This Row],[UNIT
VALUE]]/USDtoGBP</f>
        <v>4.3990058712814415</v>
      </c>
      <c r="P196" s="33">
        <f>quantInv[[#This Row],[UNIT
VALUE]] / CADtoGBP</f>
        <v>5.6309803942212699</v>
      </c>
      <c r="Q196" s="33">
        <f>quantInv[[#This Row],[UNIT
VALUE]]/AUDtoGBP</f>
        <v>5.763704289101228</v>
      </c>
      <c r="R196">
        <f>IFERROR(VLOOKUP(quantInv[[#This Row],[Assigned Item SKU]],skuQuantity[#All],2,FALSE),0)</f>
        <v>15</v>
      </c>
      <c r="S196" t="str">
        <f>PROPER(quantInv[[#This Row],[Metal]] &amp; " " &amp; quantInv[[#This Row],[Item Type]])</f>
        <v>925 Silver Bracelet</v>
      </c>
      <c r="T196" s="33">
        <f>quantInv[[#This Row],[Quantity]]*quantInv[[#This Row],[WEIGHT]]</f>
        <v>49.199999999999996</v>
      </c>
      <c r="U196" s="33">
        <f>quantInv[[#This Row],[UNIT
VALUE]]*quantInv[[#This Row],[Quantity]]</f>
        <v>48.134999999999998</v>
      </c>
      <c r="V196" s="33">
        <f>quantInv[[#This Row],[Total Cost GBP]]/EURtoGBP</f>
        <v>54.638947063731244</v>
      </c>
      <c r="W196" s="33">
        <f>quantInv[[#This Row],[Total Cost GBP]]/USDtoGBP</f>
        <v>65.985088069221618</v>
      </c>
      <c r="X196" s="33">
        <f>quantInv[[#This Row],[Total Cost GBP]]/CADtoGBP</f>
        <v>84.464705913319037</v>
      </c>
      <c r="Y196" s="33">
        <f>quantInv[[#This Row],[Quantity]]*quantInv[[#This Row],[UNIT
VALUE AUD]]</f>
        <v>86.455564336518421</v>
      </c>
      <c r="Z196" s="33"/>
    </row>
    <row r="197" spans="1:26" x14ac:dyDescent="0.25">
      <c r="A197" t="s">
        <v>70</v>
      </c>
      <c r="B197" t="s">
        <v>479</v>
      </c>
      <c r="C197" t="s">
        <v>113</v>
      </c>
      <c r="D197" t="s">
        <v>200</v>
      </c>
      <c r="E197">
        <v>14.14</v>
      </c>
      <c r="F197" s="33">
        <v>12.508599999999999</v>
      </c>
      <c r="G197" s="33" t="s">
        <v>117</v>
      </c>
      <c r="H197" t="s">
        <v>103</v>
      </c>
      <c r="I197" t="str">
        <f>IF(quantInv[[#This Row],[Metal]] = "925 Silver",  "7113.11.00"," 7113.19.00")</f>
        <v>7113.11.00</v>
      </c>
      <c r="J197" t="str">
        <f>IF(quantInv[[#This Row],[Metal]] = "925 Silver", "7113.11.10.00"," 7113.19.10.00")</f>
        <v>7113.11.10.00</v>
      </c>
      <c r="K197" t="str">
        <f>IF(quantInv[[#This Row],[Metal]] = "925 Silver",  "7113.11.00"," 7113.19.00")</f>
        <v>7113.11.00</v>
      </c>
      <c r="L197" t="str">
        <f>IFERROR(VLOOKUP(quantInv[[#This Row],[Description for New Invoice]],Map!$G$12:$H$32,2,FALSE), IF(quantInv[[#This Row],[Metal]] = "925 Silver", "7113.11.10.00", "7113.19.29.00"))</f>
        <v>7113.11.10.00</v>
      </c>
      <c r="M197" t="str">
        <f>quantInv[[#This Row],[ASIN]] &amp; " " &amp; quantInv[[#This Row],[Short Description]]</f>
        <v>B073D8F8RV Venice Box Chain</v>
      </c>
      <c r="N197" s="33">
        <f>quantInv[[#This Row],[UNIT
VALUE]] / EURtoGBP</f>
        <v>14.198747963880518</v>
      </c>
      <c r="O197" s="33">
        <f>quantInv[[#This Row],[UNIT
VALUE]]/USDtoGBP</f>
        <v>17.147212477878167</v>
      </c>
      <c r="P197" s="33">
        <f>quantInv[[#This Row],[UNIT
VALUE]] / CADtoGBP</f>
        <v>21.949417687490236</v>
      </c>
      <c r="Q197" s="33">
        <f>quantInv[[#This Row],[UNIT
VALUE]]/AUDtoGBP</f>
        <v>22.466772038221134</v>
      </c>
      <c r="R197">
        <f>IFERROR(VLOOKUP(quantInv[[#This Row],[Assigned Item SKU]],skuQuantity[#All],2,FALSE),0)</f>
        <v>0</v>
      </c>
      <c r="S197" t="str">
        <f>PROPER(quantInv[[#This Row],[Metal]] &amp; " " &amp; quantInv[[#This Row],[Item Type]])</f>
        <v>925 Silver Chain</v>
      </c>
      <c r="T197" s="33">
        <f>quantInv[[#This Row],[Quantity]]*quantInv[[#This Row],[WEIGHT]]</f>
        <v>0</v>
      </c>
      <c r="U197" s="33">
        <f>quantInv[[#This Row],[UNIT
VALUE]]*quantInv[[#This Row],[Quantity]]</f>
        <v>0</v>
      </c>
      <c r="V197" s="33">
        <f>quantInv[[#This Row],[Total Cost GBP]]/EURtoGBP</f>
        <v>0</v>
      </c>
      <c r="W197" s="33">
        <f>quantInv[[#This Row],[Total Cost GBP]]/USDtoGBP</f>
        <v>0</v>
      </c>
      <c r="X197" s="33">
        <f>quantInv[[#This Row],[Total Cost GBP]]/CADtoGBP</f>
        <v>0</v>
      </c>
      <c r="Y197" s="33">
        <f>quantInv[[#This Row],[Quantity]]*quantInv[[#This Row],[UNIT
VALUE AUD]]</f>
        <v>0</v>
      </c>
      <c r="Z197" s="33"/>
    </row>
    <row r="198" spans="1:26" x14ac:dyDescent="0.25">
      <c r="A198" t="s">
        <v>523</v>
      </c>
      <c r="B198" t="s">
        <v>524</v>
      </c>
      <c r="C198" t="s">
        <v>114</v>
      </c>
      <c r="D198" t="s">
        <v>525</v>
      </c>
      <c r="E198">
        <v>1.385</v>
      </c>
      <c r="F198" s="33">
        <v>1.7149000000000001</v>
      </c>
      <c r="G198" s="33" t="s">
        <v>117</v>
      </c>
      <c r="H198" t="s">
        <v>1414</v>
      </c>
      <c r="I198" t="str">
        <f>IF(quantInv[[#This Row],[Metal]] = "925 Silver",  "7113.11.00"," 7113.19.00")</f>
        <v>7113.11.00</v>
      </c>
      <c r="J198" t="str">
        <f>IF(quantInv[[#This Row],[Metal]] = "925 Silver", "7113.11.10.00"," 7113.19.10.00")</f>
        <v>7113.11.10.00</v>
      </c>
      <c r="K198" t="str">
        <f>IF(quantInv[[#This Row],[Metal]] = "925 Silver",  "7113.11.00"," 7113.19.00")</f>
        <v>7113.11.00</v>
      </c>
      <c r="L198" t="str">
        <f>IFERROR(VLOOKUP(quantInv[[#This Row],[Description for New Invoice]],Map!$G$12:$H$32,2,FALSE), IF(quantInv[[#This Row],[Metal]] = "925 Silver", "7113.11.10.00", "7113.19.29.00"))</f>
        <v>7113.11.10.00</v>
      </c>
      <c r="M198" t="str">
        <f>quantInv[[#This Row],[ASIN]] &amp; " " &amp; quantInv[[#This Row],[Short Description]]</f>
        <v>B00DKCY40C Trottolino Chain</v>
      </c>
      <c r="N198" s="33">
        <f>quantInv[[#This Row],[UNIT
VALUE]] / EURtoGBP</f>
        <v>1.946615359293502</v>
      </c>
      <c r="O198" s="33">
        <f>quantInv[[#This Row],[UNIT
VALUE]]/USDtoGBP</f>
        <v>2.3508429942849935</v>
      </c>
      <c r="P198" s="33">
        <f>quantInv[[#This Row],[UNIT
VALUE]] / CADtoGBP</f>
        <v>3.0092141720318031</v>
      </c>
      <c r="Q198" s="33">
        <f>quantInv[[#This Row],[UNIT
VALUE]]/AUDtoGBP</f>
        <v>3.0801422515985344</v>
      </c>
      <c r="R198">
        <f>IFERROR(VLOOKUP(quantInv[[#This Row],[Assigned Item SKU]],skuQuantity[#All],2,FALSE),0)</f>
        <v>0</v>
      </c>
      <c r="S198" t="str">
        <f>PROPER(quantInv[[#This Row],[Metal]] &amp; " " &amp; quantInv[[#This Row],[Item Type]])</f>
        <v>925 Silver Bracelet</v>
      </c>
      <c r="T198" s="33">
        <f>quantInv[[#This Row],[Quantity]]*quantInv[[#This Row],[WEIGHT]]</f>
        <v>0</v>
      </c>
      <c r="U198" s="33">
        <f>quantInv[[#This Row],[UNIT
VALUE]]*quantInv[[#This Row],[Quantity]]</f>
        <v>0</v>
      </c>
      <c r="V198" s="33">
        <f>quantInv[[#This Row],[Total Cost GBP]]/EURtoGBP</f>
        <v>0</v>
      </c>
      <c r="W198" s="33">
        <f>quantInv[[#This Row],[Total Cost GBP]]/USDtoGBP</f>
        <v>0</v>
      </c>
      <c r="X198" s="33">
        <f>quantInv[[#This Row],[Total Cost GBP]]/CADtoGBP</f>
        <v>0</v>
      </c>
      <c r="Y198" s="33">
        <f>quantInv[[#This Row],[Quantity]]*quantInv[[#This Row],[UNIT
VALUE AUD]]</f>
        <v>0</v>
      </c>
      <c r="Z198" s="33"/>
    </row>
    <row r="199" spans="1:26" x14ac:dyDescent="0.25">
      <c r="A199" t="s">
        <v>526</v>
      </c>
      <c r="B199" t="s">
        <v>527</v>
      </c>
      <c r="C199" t="s">
        <v>114</v>
      </c>
      <c r="D199" t="s">
        <v>525</v>
      </c>
      <c r="E199">
        <v>1.4183673469387801</v>
      </c>
      <c r="F199" s="33">
        <v>1.7478</v>
      </c>
      <c r="G199" s="33" t="s">
        <v>117</v>
      </c>
      <c r="H199" t="s">
        <v>1414</v>
      </c>
      <c r="I199" t="str">
        <f>IF(quantInv[[#This Row],[Metal]] = "925 Silver",  "7113.11.00"," 7113.19.00")</f>
        <v>7113.11.00</v>
      </c>
      <c r="J199" t="str">
        <f>IF(quantInv[[#This Row],[Metal]] = "925 Silver", "7113.11.10.00"," 7113.19.10.00")</f>
        <v>7113.11.10.00</v>
      </c>
      <c r="K199" t="str">
        <f>IF(quantInv[[#This Row],[Metal]] = "925 Silver",  "7113.11.00"," 7113.19.00")</f>
        <v>7113.11.00</v>
      </c>
      <c r="L199" t="str">
        <f>IFERROR(VLOOKUP(quantInv[[#This Row],[Description for New Invoice]],Map!$G$12:$H$32,2,FALSE), IF(quantInv[[#This Row],[Metal]] = "925 Silver", "7113.11.10.00", "7113.19.29.00"))</f>
        <v>7113.11.10.00</v>
      </c>
      <c r="M199" t="str">
        <f>quantInv[[#This Row],[ASIN]] &amp; " " &amp; quantInv[[#This Row],[Short Description]]</f>
        <v>B00DKCY5KQ Trottolino Chain</v>
      </c>
      <c r="N199" s="33">
        <f>quantInv[[#This Row],[UNIT
VALUE]] / EURtoGBP</f>
        <v>1.9839607702916688</v>
      </c>
      <c r="O199" s="33">
        <f>quantInv[[#This Row],[UNIT
VALUE]]/USDtoGBP</f>
        <v>2.3959434284280787</v>
      </c>
      <c r="P199" s="33">
        <f>quantInv[[#This Row],[UNIT
VALUE]] / CADtoGBP</f>
        <v>3.0669453203552308</v>
      </c>
      <c r="Q199" s="33">
        <f>quantInv[[#This Row],[UNIT
VALUE]]/AUDtoGBP</f>
        <v>3.1392341403836479</v>
      </c>
      <c r="R199">
        <f>IFERROR(VLOOKUP(quantInv[[#This Row],[Assigned Item SKU]],skuQuantity[#All],2,FALSE),0)</f>
        <v>0</v>
      </c>
      <c r="S199" t="str">
        <f>PROPER(quantInv[[#This Row],[Metal]] &amp; " " &amp; quantInv[[#This Row],[Item Type]])</f>
        <v>925 Silver Bracelet</v>
      </c>
      <c r="T199" s="33">
        <f>quantInv[[#This Row],[Quantity]]*quantInv[[#This Row],[WEIGHT]]</f>
        <v>0</v>
      </c>
      <c r="U199" s="33">
        <f>quantInv[[#This Row],[UNIT
VALUE]]*quantInv[[#This Row],[Quantity]]</f>
        <v>0</v>
      </c>
      <c r="V199" s="33">
        <f>quantInv[[#This Row],[Total Cost GBP]]/EURtoGBP</f>
        <v>0</v>
      </c>
      <c r="W199" s="33">
        <f>quantInv[[#This Row],[Total Cost GBP]]/USDtoGBP</f>
        <v>0</v>
      </c>
      <c r="X199" s="33">
        <f>quantInv[[#This Row],[Total Cost GBP]]/CADtoGBP</f>
        <v>0</v>
      </c>
      <c r="Y199" s="33">
        <f>quantInv[[#This Row],[Quantity]]*quantInv[[#This Row],[UNIT
VALUE AUD]]</f>
        <v>0</v>
      </c>
      <c r="Z199" s="33"/>
    </row>
    <row r="200" spans="1:26" x14ac:dyDescent="0.25">
      <c r="A200" t="s">
        <v>528</v>
      </c>
      <c r="B200" t="s">
        <v>529</v>
      </c>
      <c r="C200" t="s">
        <v>114</v>
      </c>
      <c r="D200" t="s">
        <v>525</v>
      </c>
      <c r="E200">
        <v>1.5180327868852499</v>
      </c>
      <c r="F200" s="33">
        <v>1.8462000000000001</v>
      </c>
      <c r="G200" s="33" t="s">
        <v>117</v>
      </c>
      <c r="H200" t="s">
        <v>1414</v>
      </c>
      <c r="I200" t="str">
        <f>IF(quantInv[[#This Row],[Metal]] = "925 Silver",  "7113.11.00"," 7113.19.00")</f>
        <v>7113.11.00</v>
      </c>
      <c r="J200" t="str">
        <f>IF(quantInv[[#This Row],[Metal]] = "925 Silver", "7113.11.10.00"," 7113.19.10.00")</f>
        <v>7113.11.10.00</v>
      </c>
      <c r="K200" t="str">
        <f>IF(quantInv[[#This Row],[Metal]] = "925 Silver",  "7113.11.00"," 7113.19.00")</f>
        <v>7113.11.00</v>
      </c>
      <c r="L200" t="str">
        <f>IFERROR(VLOOKUP(quantInv[[#This Row],[Description for New Invoice]],Map!$G$12:$H$32,2,FALSE), IF(quantInv[[#This Row],[Metal]] = "925 Silver", "7113.11.10.00", "7113.19.29.00"))</f>
        <v>7113.11.10.00</v>
      </c>
      <c r="M200" t="str">
        <f>quantInv[[#This Row],[ASIN]] &amp; " " &amp; quantInv[[#This Row],[Short Description]]</f>
        <v>B00DKCY7NQ Trottolino Chain</v>
      </c>
      <c r="N200" s="33">
        <f>quantInv[[#This Row],[UNIT
VALUE]] / EURtoGBP</f>
        <v>2.0956564676235718</v>
      </c>
      <c r="O200" s="33">
        <f>quantInv[[#This Row],[UNIT
VALUE]]/USDtoGBP</f>
        <v>2.5308334806979738</v>
      </c>
      <c r="P200" s="33">
        <f>quantInv[[#This Row],[UNIT
VALUE]] / CADtoGBP</f>
        <v>3.2396123414806195</v>
      </c>
      <c r="Q200" s="33">
        <f>quantInv[[#This Row],[UNIT
VALUE]]/AUDtoGBP</f>
        <v>3.3159709749263597</v>
      </c>
      <c r="R200">
        <f>IFERROR(VLOOKUP(quantInv[[#This Row],[Assigned Item SKU]],skuQuantity[#All],2,FALSE),0)</f>
        <v>0</v>
      </c>
      <c r="S200" t="str">
        <f>PROPER(quantInv[[#This Row],[Metal]] &amp; " " &amp; quantInv[[#This Row],[Item Type]])</f>
        <v>925 Silver Bracelet</v>
      </c>
      <c r="T200" s="33">
        <f>quantInv[[#This Row],[Quantity]]*quantInv[[#This Row],[WEIGHT]]</f>
        <v>0</v>
      </c>
      <c r="U200" s="33">
        <f>quantInv[[#This Row],[UNIT
VALUE]]*quantInv[[#This Row],[Quantity]]</f>
        <v>0</v>
      </c>
      <c r="V200" s="33">
        <f>quantInv[[#This Row],[Total Cost GBP]]/EURtoGBP</f>
        <v>0</v>
      </c>
      <c r="W200" s="33">
        <f>quantInv[[#This Row],[Total Cost GBP]]/USDtoGBP</f>
        <v>0</v>
      </c>
      <c r="X200" s="33">
        <f>quantInv[[#This Row],[Total Cost GBP]]/CADtoGBP</f>
        <v>0</v>
      </c>
      <c r="Y200" s="33">
        <f>quantInv[[#This Row],[Quantity]]*quantInv[[#This Row],[UNIT
VALUE AUD]]</f>
        <v>0</v>
      </c>
      <c r="Z200" s="33"/>
    </row>
    <row r="201" spans="1:26" x14ac:dyDescent="0.25">
      <c r="A201" t="s">
        <v>530</v>
      </c>
      <c r="B201" t="s">
        <v>531</v>
      </c>
      <c r="C201" t="s">
        <v>114</v>
      </c>
      <c r="D201" t="s">
        <v>525</v>
      </c>
      <c r="E201">
        <v>2.2999999999999998</v>
      </c>
      <c r="F201" s="33">
        <v>3.1444999999999999</v>
      </c>
      <c r="G201" s="33" t="s">
        <v>117</v>
      </c>
      <c r="H201" t="s">
        <v>1426</v>
      </c>
      <c r="I201" t="str">
        <f>IF(quantInv[[#This Row],[Metal]] = "925 Silver",  "7113.11.00"," 7113.19.00")</f>
        <v>7113.11.00</v>
      </c>
      <c r="J201" t="str">
        <f>IF(quantInv[[#This Row],[Metal]] = "925 Silver", "7113.11.10.00"," 7113.19.10.00")</f>
        <v>7113.11.10.00</v>
      </c>
      <c r="K201" t="str">
        <f>IF(quantInv[[#This Row],[Metal]] = "925 Silver",  "7113.11.00"," 7113.19.00")</f>
        <v>7113.11.00</v>
      </c>
      <c r="L201" t="str">
        <f>IFERROR(VLOOKUP(quantInv[[#This Row],[Description for New Invoice]],Map!$G$12:$H$32,2,FALSE), IF(quantInv[[#This Row],[Metal]] = "925 Silver", "7113.11.10.00", "7113.19.29.00"))</f>
        <v>7113.11.10.00</v>
      </c>
      <c r="M201" t="str">
        <f>quantInv[[#This Row],[ASIN]] &amp; " " &amp; quantInv[[#This Row],[Short Description]]</f>
        <v>B0719HGPZW Trottolino Chain</v>
      </c>
      <c r="N201" s="33">
        <f>quantInv[[#This Row],[UNIT
VALUE]] / EURtoGBP</f>
        <v>3.5693813034570043</v>
      </c>
      <c r="O201" s="33">
        <f>quantInv[[#This Row],[UNIT
VALUE]]/USDtoGBP</f>
        <v>4.3105870870191625</v>
      </c>
      <c r="P201" s="33">
        <f>quantInv[[#This Row],[UNIT
VALUE]] / CADtoGBP</f>
        <v>5.5177992675689564</v>
      </c>
      <c r="Q201" s="33">
        <f>quantInv[[#This Row],[UNIT
VALUE]]/AUDtoGBP</f>
        <v>5.6478554493857311</v>
      </c>
      <c r="R201">
        <f>IFERROR(VLOOKUP(quantInv[[#This Row],[Assigned Item SKU]],skuQuantity[#All],2,FALSE),0)</f>
        <v>0</v>
      </c>
      <c r="S201" t="str">
        <f>PROPER(quantInv[[#This Row],[Metal]] &amp; " " &amp; quantInv[[#This Row],[Item Type]])</f>
        <v>925 Silver Anklet</v>
      </c>
      <c r="T201" s="33">
        <f>quantInv[[#This Row],[Quantity]]*quantInv[[#This Row],[WEIGHT]]</f>
        <v>0</v>
      </c>
      <c r="U201" s="33">
        <f>quantInv[[#This Row],[UNIT
VALUE]]*quantInv[[#This Row],[Quantity]]</f>
        <v>0</v>
      </c>
      <c r="V201" s="33">
        <f>quantInv[[#This Row],[Total Cost GBP]]/EURtoGBP</f>
        <v>0</v>
      </c>
      <c r="W201" s="33">
        <f>quantInv[[#This Row],[Total Cost GBP]]/USDtoGBP</f>
        <v>0</v>
      </c>
      <c r="X201" s="33">
        <f>quantInv[[#This Row],[Total Cost GBP]]/CADtoGBP</f>
        <v>0</v>
      </c>
      <c r="Y201" s="33">
        <f>quantInv[[#This Row],[Quantity]]*quantInv[[#This Row],[UNIT
VALUE AUD]]</f>
        <v>0</v>
      </c>
      <c r="Z201" s="33"/>
    </row>
    <row r="202" spans="1:26" x14ac:dyDescent="0.25">
      <c r="A202" t="s">
        <v>532</v>
      </c>
      <c r="B202" t="s">
        <v>533</v>
      </c>
      <c r="C202" t="s">
        <v>114</v>
      </c>
      <c r="D202" t="s">
        <v>534</v>
      </c>
      <c r="E202">
        <v>1.69384615384615</v>
      </c>
      <c r="F202" s="33">
        <v>1.9898</v>
      </c>
      <c r="G202" s="33" t="s">
        <v>117</v>
      </c>
      <c r="H202" t="s">
        <v>1414</v>
      </c>
      <c r="I202" t="str">
        <f>IF(quantInv[[#This Row],[Metal]] = "925 Silver",  "7113.11.00"," 7113.19.00")</f>
        <v>7113.11.00</v>
      </c>
      <c r="J202" t="str">
        <f>IF(quantInv[[#This Row],[Metal]] = "925 Silver", "7113.11.10.00"," 7113.19.10.00")</f>
        <v>7113.11.10.00</v>
      </c>
      <c r="K202" t="str">
        <f>IF(quantInv[[#This Row],[Metal]] = "925 Silver",  "7113.11.00"," 7113.19.00")</f>
        <v>7113.11.00</v>
      </c>
      <c r="L202" t="str">
        <f>IFERROR(VLOOKUP(quantInv[[#This Row],[Description for New Invoice]],Map!$G$12:$H$32,2,FALSE), IF(quantInv[[#This Row],[Metal]] = "925 Silver", "7113.11.10.00", "7113.19.29.00"))</f>
        <v>7113.11.10.00</v>
      </c>
      <c r="M202" t="str">
        <f>quantInv[[#This Row],[ASIN]] &amp; " " &amp; quantInv[[#This Row],[Short Description]]</f>
        <v>B00JCW27OE Twisted Rope Chain</v>
      </c>
      <c r="N202" s="33">
        <f>quantInv[[#This Row],[UNIT
VALUE]] / EURtoGBP</f>
        <v>2.2586595381201295</v>
      </c>
      <c r="O202" s="33">
        <f>quantInv[[#This Row],[UNIT
VALUE]]/USDtoGBP</f>
        <v>2.7276852236446909</v>
      </c>
      <c r="P202" s="33">
        <f>quantInv[[#This Row],[UNIT
VALUE]] / CADtoGBP</f>
        <v>3.4915938885701099</v>
      </c>
      <c r="Q202" s="33">
        <f>quantInv[[#This Row],[UNIT
VALUE]]/AUDtoGBP</f>
        <v>3.5738918025720237</v>
      </c>
      <c r="R202">
        <f>IFERROR(VLOOKUP(quantInv[[#This Row],[Assigned Item SKU]],skuQuantity[#All],2,FALSE),0)</f>
        <v>50</v>
      </c>
      <c r="S202" t="str">
        <f>PROPER(quantInv[[#This Row],[Metal]] &amp; " " &amp; quantInv[[#This Row],[Item Type]])</f>
        <v>925 Silver Bracelet</v>
      </c>
      <c r="T202" s="33">
        <f>quantInv[[#This Row],[Quantity]]*quantInv[[#This Row],[WEIGHT]]</f>
        <v>84.692307692307494</v>
      </c>
      <c r="U202" s="33">
        <f>quantInv[[#This Row],[UNIT
VALUE]]*quantInv[[#This Row],[Quantity]]</f>
        <v>99.49</v>
      </c>
      <c r="V202" s="33">
        <f>quantInv[[#This Row],[Total Cost GBP]]/EURtoGBP</f>
        <v>112.93297690600647</v>
      </c>
      <c r="W202" s="33">
        <f>quantInv[[#This Row],[Total Cost GBP]]/USDtoGBP</f>
        <v>136.38426118223452</v>
      </c>
      <c r="X202" s="33">
        <f>quantInv[[#This Row],[Total Cost GBP]]/CADtoGBP</f>
        <v>174.57969442850549</v>
      </c>
      <c r="Y202" s="33">
        <f>quantInv[[#This Row],[Quantity]]*quantInv[[#This Row],[UNIT
VALUE AUD]]</f>
        <v>178.69459012860119</v>
      </c>
      <c r="Z202" s="33"/>
    </row>
    <row r="203" spans="1:26" x14ac:dyDescent="0.25">
      <c r="A203" t="s">
        <v>535</v>
      </c>
      <c r="B203" t="s">
        <v>536</v>
      </c>
      <c r="C203" t="s">
        <v>114</v>
      </c>
      <c r="D203" t="s">
        <v>534</v>
      </c>
      <c r="E203">
        <v>1.79019607843137</v>
      </c>
      <c r="F203" s="33">
        <v>2.0831</v>
      </c>
      <c r="G203" s="33" t="s">
        <v>117</v>
      </c>
      <c r="H203" t="s">
        <v>1414</v>
      </c>
      <c r="I203" t="str">
        <f>IF(quantInv[[#This Row],[Metal]] = "925 Silver",  "7113.11.00"," 7113.19.00")</f>
        <v>7113.11.00</v>
      </c>
      <c r="J203" t="str">
        <f>IF(quantInv[[#This Row],[Metal]] = "925 Silver", "7113.11.10.00"," 7113.19.10.00")</f>
        <v>7113.11.10.00</v>
      </c>
      <c r="K203" t="str">
        <f>IF(quantInv[[#This Row],[Metal]] = "925 Silver",  "7113.11.00"," 7113.19.00")</f>
        <v>7113.11.00</v>
      </c>
      <c r="L203" t="str">
        <f>IFERROR(VLOOKUP(quantInv[[#This Row],[Description for New Invoice]],Map!$G$12:$H$32,2,FALSE), IF(quantInv[[#This Row],[Metal]] = "925 Silver", "7113.11.10.00", "7113.19.29.00"))</f>
        <v>7113.11.10.00</v>
      </c>
      <c r="M203" t="str">
        <f>quantInv[[#This Row],[ASIN]] &amp; " " &amp; quantInv[[#This Row],[Short Description]]</f>
        <v>B00JCW2820 Twisted Rope Chain</v>
      </c>
      <c r="N203" s="33">
        <f>quantInv[[#This Row],[UNIT
VALUE]] / EURtoGBP</f>
        <v>2.364566129187879</v>
      </c>
      <c r="O203" s="33">
        <f>quantInv[[#This Row],[UNIT
VALUE]]/USDtoGBP</f>
        <v>2.8555840232054757</v>
      </c>
      <c r="P203" s="33">
        <f>quantInv[[#This Row],[UNIT
VALUE]] / CADtoGBP</f>
        <v>3.6553117043322927</v>
      </c>
      <c r="Q203" s="33">
        <f>quantInv[[#This Row],[UNIT
VALUE]]/AUDtoGBP</f>
        <v>3.7414684963000213</v>
      </c>
      <c r="R203">
        <f>IFERROR(VLOOKUP(quantInv[[#This Row],[Assigned Item SKU]],skuQuantity[#All],2,FALSE),0)</f>
        <v>10</v>
      </c>
      <c r="S203" t="str">
        <f>PROPER(quantInv[[#This Row],[Metal]] &amp; " " &amp; quantInv[[#This Row],[Item Type]])</f>
        <v>925 Silver Bracelet</v>
      </c>
      <c r="T203" s="33">
        <f>quantInv[[#This Row],[Quantity]]*quantInv[[#This Row],[WEIGHT]]</f>
        <v>17.901960784313701</v>
      </c>
      <c r="U203" s="33">
        <f>quantInv[[#This Row],[UNIT
VALUE]]*quantInv[[#This Row],[Quantity]]</f>
        <v>20.831</v>
      </c>
      <c r="V203" s="33">
        <f>quantInv[[#This Row],[Total Cost GBP]]/EURtoGBP</f>
        <v>23.645661291878792</v>
      </c>
      <c r="W203" s="33">
        <f>quantInv[[#This Row],[Total Cost GBP]]/USDtoGBP</f>
        <v>28.555840232054756</v>
      </c>
      <c r="X203" s="33">
        <f>quantInv[[#This Row],[Total Cost GBP]]/CADtoGBP</f>
        <v>36.553117043322928</v>
      </c>
      <c r="Y203" s="33">
        <f>quantInv[[#This Row],[Quantity]]*quantInv[[#This Row],[UNIT
VALUE AUD]]</f>
        <v>37.414684963000212</v>
      </c>
      <c r="Z203" s="33"/>
    </row>
    <row r="204" spans="1:26" x14ac:dyDescent="0.25">
      <c r="A204" t="s">
        <v>537</v>
      </c>
      <c r="B204" t="s">
        <v>538</v>
      </c>
      <c r="C204" t="s">
        <v>114</v>
      </c>
      <c r="D204" t="s">
        <v>534</v>
      </c>
      <c r="E204">
        <v>3.9780000000000002</v>
      </c>
      <c r="F204" s="33">
        <v>4.0279999999999996</v>
      </c>
      <c r="G204" s="33" t="s">
        <v>117</v>
      </c>
      <c r="H204" t="s">
        <v>103</v>
      </c>
      <c r="I204" t="str">
        <f>IF(quantInv[[#This Row],[Metal]] = "925 Silver",  "7113.11.00"," 7113.19.00")</f>
        <v>7113.11.00</v>
      </c>
      <c r="J204" t="str">
        <f>IF(quantInv[[#This Row],[Metal]] = "925 Silver", "7113.11.10.00"," 7113.19.10.00")</f>
        <v>7113.11.10.00</v>
      </c>
      <c r="K204" t="str">
        <f>IF(quantInv[[#This Row],[Metal]] = "925 Silver",  "7113.11.00"," 7113.19.00")</f>
        <v>7113.11.00</v>
      </c>
      <c r="L204" t="str">
        <f>IFERROR(VLOOKUP(quantInv[[#This Row],[Description for New Invoice]],Map!$G$12:$H$32,2,FALSE), IF(quantInv[[#This Row],[Metal]] = "925 Silver", "7113.11.10.00", "7113.19.29.00"))</f>
        <v>7113.11.10.00</v>
      </c>
      <c r="M204" t="str">
        <f>quantInv[[#This Row],[ASIN]] &amp; " " &amp; quantInv[[#This Row],[Short Description]]</f>
        <v>B00DKCYB8C Twisted Rope Chain</v>
      </c>
      <c r="N204" s="33">
        <f>quantInv[[#This Row],[UNIT
VALUE]] / EURtoGBP</f>
        <v>4.5722588298059508</v>
      </c>
      <c r="O204" s="33">
        <f>quantInv[[#This Row],[UNIT
VALUE]]/USDtoGBP</f>
        <v>5.5217188063327036</v>
      </c>
      <c r="P204" s="33">
        <f>quantInv[[#This Row],[UNIT
VALUE]] / CADtoGBP</f>
        <v>7.0681174907831945</v>
      </c>
      <c r="Q204" s="33">
        <f>quantInv[[#This Row],[UNIT
VALUE]]/AUDtoGBP</f>
        <v>7.2347151375817216</v>
      </c>
      <c r="R204">
        <f>IFERROR(VLOOKUP(quantInv[[#This Row],[Assigned Item SKU]],skuQuantity[#All],2,FALSE),0)</f>
        <v>0</v>
      </c>
      <c r="S204" t="str">
        <f>PROPER(quantInv[[#This Row],[Metal]] &amp; " " &amp; quantInv[[#This Row],[Item Type]])</f>
        <v>925 Silver Chain</v>
      </c>
      <c r="T204" s="33">
        <f>quantInv[[#This Row],[Quantity]]*quantInv[[#This Row],[WEIGHT]]</f>
        <v>0</v>
      </c>
      <c r="U204" s="33">
        <f>quantInv[[#This Row],[UNIT
VALUE]]*quantInv[[#This Row],[Quantity]]</f>
        <v>0</v>
      </c>
      <c r="V204" s="33">
        <f>quantInv[[#This Row],[Total Cost GBP]]/EURtoGBP</f>
        <v>0</v>
      </c>
      <c r="W204" s="33">
        <f>quantInv[[#This Row],[Total Cost GBP]]/USDtoGBP</f>
        <v>0</v>
      </c>
      <c r="X204" s="33">
        <f>quantInv[[#This Row],[Total Cost GBP]]/CADtoGBP</f>
        <v>0</v>
      </c>
      <c r="Y204" s="33">
        <f>quantInv[[#This Row],[Quantity]]*quantInv[[#This Row],[UNIT
VALUE AUD]]</f>
        <v>0</v>
      </c>
      <c r="Z204" s="33"/>
    </row>
    <row r="205" spans="1:26" x14ac:dyDescent="0.25">
      <c r="A205" t="s">
        <v>539</v>
      </c>
      <c r="B205" t="s">
        <v>540</v>
      </c>
      <c r="C205" t="s">
        <v>114</v>
      </c>
      <c r="D205" t="s">
        <v>534</v>
      </c>
      <c r="E205">
        <v>4.49</v>
      </c>
      <c r="F205" s="33">
        <v>4.5015999999999998</v>
      </c>
      <c r="G205" s="33" t="s">
        <v>117</v>
      </c>
      <c r="H205" t="s">
        <v>103</v>
      </c>
      <c r="I205" t="str">
        <f>IF(quantInv[[#This Row],[Metal]] = "925 Silver",  "7113.11.00"," 7113.19.00")</f>
        <v>7113.11.00</v>
      </c>
      <c r="J205" t="str">
        <f>IF(quantInv[[#This Row],[Metal]] = "925 Silver", "7113.11.10.00"," 7113.19.10.00")</f>
        <v>7113.11.10.00</v>
      </c>
      <c r="K205" t="str">
        <f>IF(quantInv[[#This Row],[Metal]] = "925 Silver",  "7113.11.00"," 7113.19.00")</f>
        <v>7113.11.00</v>
      </c>
      <c r="L205" t="str">
        <f>IFERROR(VLOOKUP(quantInv[[#This Row],[Description for New Invoice]],Map!$G$12:$H$32,2,FALSE), IF(quantInv[[#This Row],[Metal]] = "925 Silver", "7113.11.10.00", "7113.19.29.00"))</f>
        <v>7113.11.10.00</v>
      </c>
      <c r="M205" t="str">
        <f>quantInv[[#This Row],[ASIN]] &amp; " " &amp; quantInv[[#This Row],[Short Description]]</f>
        <v>B00DKCYBSW Twisted Rope Chain</v>
      </c>
      <c r="N205" s="33">
        <f>quantInv[[#This Row],[UNIT
VALUE]] / EURtoGBP</f>
        <v>5.1098511291595008</v>
      </c>
      <c r="O205" s="33">
        <f>quantInv[[#This Row],[UNIT
VALUE]]/USDtoGBP</f>
        <v>6.1709457245748016</v>
      </c>
      <c r="P205" s="33">
        <f>quantInv[[#This Row],[UNIT
VALUE]] / CADtoGBP</f>
        <v>7.8991652672566115</v>
      </c>
      <c r="Q205" s="33">
        <f>quantInv[[#This Row],[UNIT
VALUE]]/AUDtoGBP</f>
        <v>8.0853509591206265</v>
      </c>
      <c r="R205">
        <f>IFERROR(VLOOKUP(quantInv[[#This Row],[Assigned Item SKU]],skuQuantity[#All],2,FALSE),0)</f>
        <v>0</v>
      </c>
      <c r="S205" t="str">
        <f>PROPER(quantInv[[#This Row],[Metal]] &amp; " " &amp; quantInv[[#This Row],[Item Type]])</f>
        <v>925 Silver Chain</v>
      </c>
      <c r="T205" s="33">
        <f>quantInv[[#This Row],[Quantity]]*quantInv[[#This Row],[WEIGHT]]</f>
        <v>0</v>
      </c>
      <c r="U205" s="33">
        <f>quantInv[[#This Row],[UNIT
VALUE]]*quantInv[[#This Row],[Quantity]]</f>
        <v>0</v>
      </c>
      <c r="V205" s="33">
        <f>quantInv[[#This Row],[Total Cost GBP]]/EURtoGBP</f>
        <v>0</v>
      </c>
      <c r="W205" s="33">
        <f>quantInv[[#This Row],[Total Cost GBP]]/USDtoGBP</f>
        <v>0</v>
      </c>
      <c r="X205" s="33">
        <f>quantInv[[#This Row],[Total Cost GBP]]/CADtoGBP</f>
        <v>0</v>
      </c>
      <c r="Y205" s="33">
        <f>quantInv[[#This Row],[Quantity]]*quantInv[[#This Row],[UNIT
VALUE AUD]]</f>
        <v>0</v>
      </c>
      <c r="Z205" s="33"/>
    </row>
    <row r="206" spans="1:26" x14ac:dyDescent="0.25">
      <c r="A206" t="s">
        <v>541</v>
      </c>
      <c r="B206" t="s">
        <v>542</v>
      </c>
      <c r="C206" t="s">
        <v>114</v>
      </c>
      <c r="D206" t="s">
        <v>534</v>
      </c>
      <c r="E206">
        <v>5.3823529411764701</v>
      </c>
      <c r="F206" s="33">
        <v>5.3270999999999997</v>
      </c>
      <c r="G206" s="33" t="s">
        <v>117</v>
      </c>
      <c r="H206" t="s">
        <v>103</v>
      </c>
      <c r="I206" t="str">
        <f>IF(quantInv[[#This Row],[Metal]] = "925 Silver",  "7113.11.00"," 7113.19.00")</f>
        <v>7113.11.00</v>
      </c>
      <c r="J206" t="str">
        <f>IF(quantInv[[#This Row],[Metal]] = "925 Silver", "7113.11.10.00"," 7113.19.10.00")</f>
        <v>7113.11.10.00</v>
      </c>
      <c r="K206" t="str">
        <f>IF(quantInv[[#This Row],[Metal]] = "925 Silver",  "7113.11.00"," 7113.19.00")</f>
        <v>7113.11.00</v>
      </c>
      <c r="L206" t="str">
        <f>IFERROR(VLOOKUP(quantInv[[#This Row],[Description for New Invoice]],Map!$G$12:$H$32,2,FALSE), IF(quantInv[[#This Row],[Metal]] = "925 Silver", "7113.11.10.00", "7113.19.29.00"))</f>
        <v>7113.11.10.00</v>
      </c>
      <c r="M206" t="str">
        <f>quantInv[[#This Row],[ASIN]] &amp; " " &amp; quantInv[[#This Row],[Short Description]]</f>
        <v>B00DKCYE8O Twisted Rope Chain</v>
      </c>
      <c r="N206" s="33">
        <f>quantInv[[#This Row],[UNIT
VALUE]] / EURtoGBP</f>
        <v>6.0468917607396433</v>
      </c>
      <c r="O206" s="33">
        <f>quantInv[[#This Row],[UNIT
VALUE]]/USDtoGBP</f>
        <v>7.3025690797455178</v>
      </c>
      <c r="P206" s="33">
        <f>quantInv[[#This Row],[UNIT
VALUE]] / CADtoGBP</f>
        <v>9.3477082137912504</v>
      </c>
      <c r="Q206" s="33">
        <f>quantInv[[#This Row],[UNIT
VALUE]]/AUDtoGBP</f>
        <v>9.5680364968747753</v>
      </c>
      <c r="R206">
        <f>IFERROR(VLOOKUP(quantInv[[#This Row],[Assigned Item SKU]],skuQuantity[#All],2,FALSE),0)</f>
        <v>0</v>
      </c>
      <c r="S206" t="str">
        <f>PROPER(quantInv[[#This Row],[Metal]] &amp; " " &amp; quantInv[[#This Row],[Item Type]])</f>
        <v>925 Silver Chain</v>
      </c>
      <c r="T206" s="33">
        <f>quantInv[[#This Row],[Quantity]]*quantInv[[#This Row],[WEIGHT]]</f>
        <v>0</v>
      </c>
      <c r="U206" s="33">
        <f>quantInv[[#This Row],[UNIT
VALUE]]*quantInv[[#This Row],[Quantity]]</f>
        <v>0</v>
      </c>
      <c r="V206" s="33">
        <f>quantInv[[#This Row],[Total Cost GBP]]/EURtoGBP</f>
        <v>0</v>
      </c>
      <c r="W206" s="33">
        <f>quantInv[[#This Row],[Total Cost GBP]]/USDtoGBP</f>
        <v>0</v>
      </c>
      <c r="X206" s="33">
        <f>quantInv[[#This Row],[Total Cost GBP]]/CADtoGBP</f>
        <v>0</v>
      </c>
      <c r="Y206" s="33">
        <f>quantInv[[#This Row],[Quantity]]*quantInv[[#This Row],[UNIT
VALUE AUD]]</f>
        <v>0</v>
      </c>
      <c r="Z206" s="33"/>
    </row>
    <row r="207" spans="1:26" x14ac:dyDescent="0.25">
      <c r="A207" t="s">
        <v>43</v>
      </c>
      <c r="B207" t="s">
        <v>481</v>
      </c>
      <c r="C207" t="s">
        <v>114</v>
      </c>
      <c r="D207" t="s">
        <v>209</v>
      </c>
      <c r="E207">
        <v>6.26</v>
      </c>
      <c r="F207" s="33">
        <v>8.1069999999999993</v>
      </c>
      <c r="G207" s="33" t="s">
        <v>117</v>
      </c>
      <c r="H207" t="s">
        <v>1414</v>
      </c>
      <c r="I207" t="str">
        <f>IF(quantInv[[#This Row],[Metal]] = "925 Silver",  "7113.11.00"," 7113.19.00")</f>
        <v>7113.11.00</v>
      </c>
      <c r="J207" t="str">
        <f>IF(quantInv[[#This Row],[Metal]] = "925 Silver", "7113.11.10.00"," 7113.19.10.00")</f>
        <v>7113.11.10.00</v>
      </c>
      <c r="K207" t="str">
        <f>IF(quantInv[[#This Row],[Metal]] = "925 Silver",  "7113.11.00"," 7113.19.00")</f>
        <v>7113.11.00</v>
      </c>
      <c r="L207" t="str">
        <f>IFERROR(VLOOKUP(quantInv[[#This Row],[Description for New Invoice]],Map!$G$12:$H$32,2,FALSE), IF(quantInv[[#This Row],[Metal]] = "925 Silver", "7113.11.10.00", "7113.19.29.00"))</f>
        <v>7113.11.10.00</v>
      </c>
      <c r="M207" t="str">
        <f>quantInv[[#This Row],[ASIN]] &amp; " " &amp; quantInv[[#This Row],[Short Description]]</f>
        <v>B00DKD03D8 Byzantine Chain</v>
      </c>
      <c r="N207" s="33">
        <f>quantInv[[#This Row],[UNIT
VALUE]] / EURtoGBP</f>
        <v>9.2024087222534376</v>
      </c>
      <c r="O207" s="33">
        <f>quantInv[[#This Row],[UNIT
VALUE]]/USDtoGBP</f>
        <v>11.113350139756511</v>
      </c>
      <c r="P207" s="33">
        <f>quantInv[[#This Row],[UNIT
VALUE]] / CADtoGBP</f>
        <v>14.225727035198451</v>
      </c>
      <c r="Q207" s="33">
        <f>quantInv[[#This Row],[UNIT
VALUE]]/AUDtoGBP</f>
        <v>14.561031683310581</v>
      </c>
      <c r="R207">
        <f>IFERROR(VLOOKUP(quantInv[[#This Row],[Assigned Item SKU]],skuQuantity[#All],2,FALSE),0)</f>
        <v>30</v>
      </c>
      <c r="S207" t="str">
        <f>PROPER(quantInv[[#This Row],[Metal]] &amp; " " &amp; quantInv[[#This Row],[Item Type]])</f>
        <v>925 Silver Bracelet</v>
      </c>
      <c r="T207" s="33">
        <f>quantInv[[#This Row],[Quantity]]*quantInv[[#This Row],[WEIGHT]]</f>
        <v>187.79999999999998</v>
      </c>
      <c r="U207" s="33">
        <f>quantInv[[#This Row],[UNIT
VALUE]]*quantInv[[#This Row],[Quantity]]</f>
        <v>243.20999999999998</v>
      </c>
      <c r="V207" s="33">
        <f>quantInv[[#This Row],[Total Cost GBP]]/EURtoGBP</f>
        <v>276.07226166760313</v>
      </c>
      <c r="W207" s="33">
        <f>quantInv[[#This Row],[Total Cost GBP]]/USDtoGBP</f>
        <v>333.40050419269534</v>
      </c>
      <c r="X207" s="33">
        <f>quantInv[[#This Row],[Total Cost GBP]]/CADtoGBP</f>
        <v>426.77181105595355</v>
      </c>
      <c r="Y207" s="33">
        <f>quantInv[[#This Row],[Quantity]]*quantInv[[#This Row],[UNIT
VALUE AUD]]</f>
        <v>436.83095049931745</v>
      </c>
      <c r="Z207" s="33"/>
    </row>
    <row r="208" spans="1:26" x14ac:dyDescent="0.25">
      <c r="A208" t="s">
        <v>583</v>
      </c>
      <c r="B208" t="s">
        <v>584</v>
      </c>
      <c r="C208" t="s">
        <v>114</v>
      </c>
      <c r="D208" t="s">
        <v>580</v>
      </c>
      <c r="E208">
        <v>9.5318840579710091</v>
      </c>
      <c r="F208" s="33">
        <v>10.3797</v>
      </c>
      <c r="G208" s="33" t="s">
        <v>117</v>
      </c>
      <c r="H208" t="s">
        <v>103</v>
      </c>
      <c r="I208" t="str">
        <f>IF(quantInv[[#This Row],[Metal]] = "925 Silver",  "7113.11.00"," 7113.19.00")</f>
        <v>7113.11.00</v>
      </c>
      <c r="J208" t="str">
        <f>IF(quantInv[[#This Row],[Metal]] = "925 Silver", "7113.11.10.00"," 7113.19.10.00")</f>
        <v>7113.11.10.00</v>
      </c>
      <c r="K208" t="str">
        <f>IF(quantInv[[#This Row],[Metal]] = "925 Silver",  "7113.11.00"," 7113.19.00")</f>
        <v>7113.11.00</v>
      </c>
      <c r="L208" t="str">
        <f>IFERROR(VLOOKUP(quantInv[[#This Row],[Description for New Invoice]],Map!$G$12:$H$32,2,FALSE), IF(quantInv[[#This Row],[Metal]] = "925 Silver", "7113.11.10.00", "7113.19.29.00"))</f>
        <v>7113.11.10.00</v>
      </c>
      <c r="M208" t="str">
        <f>quantInv[[#This Row],[ASIN]] &amp; " " &amp; quantInv[[#This Row],[Short Description]]</f>
        <v>B0164MQCAY Herringbone Chain</v>
      </c>
      <c r="N208" s="33">
        <f>quantInv[[#This Row],[UNIT
VALUE]] / EURtoGBP</f>
        <v>11.782193390202789</v>
      </c>
      <c r="O208" s="33">
        <f>quantInv[[#This Row],[UNIT
VALUE]]/USDtoGBP</f>
        <v>14.228844263677152</v>
      </c>
      <c r="P208" s="33">
        <f>quantInv[[#This Row],[UNIT
VALUE]] / CADtoGBP</f>
        <v>18.213738609504055</v>
      </c>
      <c r="Q208" s="33">
        <f>quantInv[[#This Row],[UNIT
VALUE]]/AUDtoGBP</f>
        <v>18.643041885192901</v>
      </c>
      <c r="R208">
        <f>IFERROR(VLOOKUP(quantInv[[#This Row],[Assigned Item SKU]],skuQuantity[#All],2,FALSE),0)</f>
        <v>0</v>
      </c>
      <c r="S208" t="str">
        <f>PROPER(quantInv[[#This Row],[Metal]] &amp; " " &amp; quantInv[[#This Row],[Item Type]])</f>
        <v>925 Silver Chain</v>
      </c>
      <c r="T208" s="33">
        <f>quantInv[[#This Row],[Quantity]]*quantInv[[#This Row],[WEIGHT]]</f>
        <v>0</v>
      </c>
      <c r="U208" s="33">
        <f>quantInv[[#This Row],[UNIT
VALUE]]*quantInv[[#This Row],[Quantity]]</f>
        <v>0</v>
      </c>
      <c r="V208" s="33">
        <f>quantInv[[#This Row],[Total Cost GBP]]/EURtoGBP</f>
        <v>0</v>
      </c>
      <c r="W208" s="33">
        <f>quantInv[[#This Row],[Total Cost GBP]]/USDtoGBP</f>
        <v>0</v>
      </c>
      <c r="X208" s="33">
        <f>quantInv[[#This Row],[Total Cost GBP]]/CADtoGBP</f>
        <v>0</v>
      </c>
      <c r="Y208" s="33">
        <f>quantInv[[#This Row],[Quantity]]*quantInv[[#This Row],[UNIT
VALUE AUD]]</f>
        <v>0</v>
      </c>
      <c r="Z208" s="33"/>
    </row>
    <row r="209" spans="1:26" x14ac:dyDescent="0.25">
      <c r="A209" t="s">
        <v>22</v>
      </c>
      <c r="B209" t="s">
        <v>610</v>
      </c>
      <c r="C209" t="s">
        <v>114</v>
      </c>
      <c r="D209" t="s">
        <v>611</v>
      </c>
      <c r="E209">
        <v>1.84801587301587</v>
      </c>
      <c r="F209" s="33">
        <v>2.2368999999999999</v>
      </c>
      <c r="G209" s="33" t="s">
        <v>117</v>
      </c>
      <c r="H209" t="s">
        <v>1414</v>
      </c>
      <c r="I209" t="str">
        <f>IF(quantInv[[#This Row],[Metal]] = "925 Silver",  "7113.11.00"," 7113.19.00")</f>
        <v>7113.11.00</v>
      </c>
      <c r="J209" t="str">
        <f>IF(quantInv[[#This Row],[Metal]] = "925 Silver", "7113.11.10.00"," 7113.19.10.00")</f>
        <v>7113.11.10.00</v>
      </c>
      <c r="K209" t="str">
        <f>IF(quantInv[[#This Row],[Metal]] = "925 Silver",  "7113.11.00"," 7113.19.00")</f>
        <v>7113.11.00</v>
      </c>
      <c r="L209" t="str">
        <f>IFERROR(VLOOKUP(quantInv[[#This Row],[Description for New Invoice]],Map!$G$12:$H$32,2,FALSE), IF(quantInv[[#This Row],[Metal]] = "925 Silver", "7113.11.10.00", "7113.19.29.00"))</f>
        <v>7113.11.10.00</v>
      </c>
      <c r="M209" t="str">
        <f>quantInv[[#This Row],[ASIN]] &amp; " " &amp; quantInv[[#This Row],[Short Description]]</f>
        <v>B0164MQCKY Bismark chain</v>
      </c>
      <c r="N209" s="33">
        <f>quantInv[[#This Row],[UNIT
VALUE]] / EURtoGBP</f>
        <v>2.5391474122127438</v>
      </c>
      <c r="O209" s="33">
        <f>quantInv[[#This Row],[UNIT
VALUE]]/USDtoGBP</f>
        <v>3.0664182715704134</v>
      </c>
      <c r="P209" s="33">
        <f>quantInv[[#This Row],[UNIT
VALUE]] / CADtoGBP</f>
        <v>3.9251916621481948</v>
      </c>
      <c r="Q209" s="33">
        <f>quantInv[[#This Row],[UNIT
VALUE]]/AUDtoGBP</f>
        <v>4.0177096055751127</v>
      </c>
      <c r="R209">
        <f>IFERROR(VLOOKUP(quantInv[[#This Row],[Assigned Item SKU]],skuQuantity[#All],2,FALSE),0)</f>
        <v>25</v>
      </c>
      <c r="S209" t="str">
        <f>PROPER(quantInv[[#This Row],[Metal]] &amp; " " &amp; quantInv[[#This Row],[Item Type]])</f>
        <v>925 Silver Bracelet</v>
      </c>
      <c r="T209" s="33">
        <f>quantInv[[#This Row],[Quantity]]*quantInv[[#This Row],[WEIGHT]]</f>
        <v>46.200396825396751</v>
      </c>
      <c r="U209" s="33">
        <f>quantInv[[#This Row],[UNIT
VALUE]]*quantInv[[#This Row],[Quantity]]</f>
        <v>55.922499999999999</v>
      </c>
      <c r="V209" s="33">
        <f>quantInv[[#This Row],[Total Cost GBP]]/EURtoGBP</f>
        <v>63.478685305318599</v>
      </c>
      <c r="W209" s="33">
        <f>quantInv[[#This Row],[Total Cost GBP]]/USDtoGBP</f>
        <v>76.660456789260337</v>
      </c>
      <c r="X209" s="33">
        <f>quantInv[[#This Row],[Total Cost GBP]]/CADtoGBP</f>
        <v>98.129791553704877</v>
      </c>
      <c r="Y209" s="33">
        <f>quantInv[[#This Row],[Quantity]]*quantInv[[#This Row],[UNIT
VALUE AUD]]</f>
        <v>100.44274013937782</v>
      </c>
      <c r="Z209" s="33"/>
    </row>
    <row r="210" spans="1:26" x14ac:dyDescent="0.25">
      <c r="A210" t="s">
        <v>548</v>
      </c>
      <c r="B210" t="s">
        <v>549</v>
      </c>
      <c r="C210" t="s">
        <v>114</v>
      </c>
      <c r="D210" t="s">
        <v>544</v>
      </c>
      <c r="E210">
        <v>2.8692307692307701</v>
      </c>
      <c r="F210" s="33">
        <v>3.1288</v>
      </c>
      <c r="G210" s="33" t="s">
        <v>117</v>
      </c>
      <c r="H210" t="s">
        <v>1414</v>
      </c>
      <c r="I210" t="str">
        <f>IF(quantInv[[#This Row],[Metal]] = "925 Silver",  "7113.11.00"," 7113.19.00")</f>
        <v>7113.11.00</v>
      </c>
      <c r="J210" t="str">
        <f>IF(quantInv[[#This Row],[Metal]] = "925 Silver", "7113.11.10.00"," 7113.19.10.00")</f>
        <v>7113.11.10.00</v>
      </c>
      <c r="K210" t="str">
        <f>IF(quantInv[[#This Row],[Metal]] = "925 Silver",  "7113.11.00"," 7113.19.00")</f>
        <v>7113.11.00</v>
      </c>
      <c r="L210" t="str">
        <f>IFERROR(VLOOKUP(quantInv[[#This Row],[Description for New Invoice]],Map!$G$12:$H$32,2,FALSE), IF(quantInv[[#This Row],[Metal]] = "925 Silver", "7113.11.10.00", "7113.19.29.00"))</f>
        <v>7113.11.10.00</v>
      </c>
      <c r="M210" t="str">
        <f>quantInv[[#This Row],[ASIN]] &amp; " " &amp; quantInv[[#This Row],[Short Description]]</f>
        <v>B01N5RK86I Rat Tail</v>
      </c>
      <c r="N210" s="33">
        <f>quantInv[[#This Row],[UNIT
VALUE]] / EURtoGBP</f>
        <v>3.5515599371144142</v>
      </c>
      <c r="O210" s="33">
        <f>quantInv[[#This Row],[UNIT
VALUE]]/USDtoGBP</f>
        <v>4.2890649953460187</v>
      </c>
      <c r="P210" s="33">
        <f>quantInv[[#This Row],[UNIT
VALUE]] / CADtoGBP</f>
        <v>5.4902497530194792</v>
      </c>
      <c r="Q210" s="33">
        <f>quantInv[[#This Row],[UNIT
VALUE]]/AUDtoGBP</f>
        <v>5.6196565845247504</v>
      </c>
      <c r="R210">
        <f>IFERROR(VLOOKUP(quantInv[[#This Row],[Assigned Item SKU]],skuQuantity[#All],2,FALSE),0)</f>
        <v>0</v>
      </c>
      <c r="S210" t="str">
        <f>PROPER(quantInv[[#This Row],[Metal]] &amp; " " &amp; quantInv[[#This Row],[Item Type]])</f>
        <v>925 Silver Bracelet</v>
      </c>
      <c r="T210" s="33">
        <f>quantInv[[#This Row],[Quantity]]*quantInv[[#This Row],[WEIGHT]]</f>
        <v>0</v>
      </c>
      <c r="U210" s="33">
        <f>quantInv[[#This Row],[UNIT
VALUE]]*quantInv[[#This Row],[Quantity]]</f>
        <v>0</v>
      </c>
      <c r="V210" s="33">
        <f>quantInv[[#This Row],[Total Cost GBP]]/EURtoGBP</f>
        <v>0</v>
      </c>
      <c r="W210" s="33">
        <f>quantInv[[#This Row],[Total Cost GBP]]/USDtoGBP</f>
        <v>0</v>
      </c>
      <c r="X210" s="33">
        <f>quantInv[[#This Row],[Total Cost GBP]]/CADtoGBP</f>
        <v>0</v>
      </c>
      <c r="Y210" s="33">
        <f>quantInv[[#This Row],[Quantity]]*quantInv[[#This Row],[UNIT
VALUE AUD]]</f>
        <v>0</v>
      </c>
      <c r="Z210" s="33"/>
    </row>
    <row r="211" spans="1:26" x14ac:dyDescent="0.25">
      <c r="A211" t="s">
        <v>550</v>
      </c>
      <c r="B211" t="s">
        <v>551</v>
      </c>
      <c r="C211" t="s">
        <v>114</v>
      </c>
      <c r="D211" t="s">
        <v>544</v>
      </c>
      <c r="E211">
        <v>2.9627450980392198</v>
      </c>
      <c r="F211" s="33">
        <v>3.2193999999999998</v>
      </c>
      <c r="G211" s="33" t="s">
        <v>117</v>
      </c>
      <c r="H211" t="s">
        <v>1414</v>
      </c>
      <c r="I211" t="str">
        <f>IF(quantInv[[#This Row],[Metal]] = "925 Silver",  "7113.11.00"," 7113.19.00")</f>
        <v>7113.11.00</v>
      </c>
      <c r="J211" t="str">
        <f>IF(quantInv[[#This Row],[Metal]] = "925 Silver", "7113.11.10.00"," 7113.19.10.00")</f>
        <v>7113.11.10.00</v>
      </c>
      <c r="K211" t="str">
        <f>IF(quantInv[[#This Row],[Metal]] = "925 Silver",  "7113.11.00"," 7113.19.00")</f>
        <v>7113.11.00</v>
      </c>
      <c r="L211" t="str">
        <f>IFERROR(VLOOKUP(quantInv[[#This Row],[Description for New Invoice]],Map!$G$12:$H$32,2,FALSE), IF(quantInv[[#This Row],[Metal]] = "925 Silver", "7113.11.10.00", "7113.19.29.00"))</f>
        <v>7113.11.10.00</v>
      </c>
      <c r="M211" t="str">
        <f>quantInv[[#This Row],[ASIN]] &amp; " " &amp; quantInv[[#This Row],[Short Description]]</f>
        <v>B01MYAH61G Rat Tail</v>
      </c>
      <c r="N211" s="33">
        <f>quantInv[[#This Row],[UNIT
VALUE]] / EURtoGBP</f>
        <v>3.6544017072187884</v>
      </c>
      <c r="O211" s="33">
        <f>quantInv[[#This Row],[UNIT
VALUE]]/USDtoGBP</f>
        <v>4.4132625434725687</v>
      </c>
      <c r="P211" s="33">
        <f>quantInv[[#This Row],[UNIT
VALUE]] / CADtoGBP</f>
        <v>5.6492297541776111</v>
      </c>
      <c r="Q211" s="33">
        <f>quantInv[[#This Row],[UNIT
VALUE]]/AUDtoGBP</f>
        <v>5.7823837919390755</v>
      </c>
      <c r="R211">
        <f>IFERROR(VLOOKUP(quantInv[[#This Row],[Assigned Item SKU]],skuQuantity[#All],2,FALSE),0)</f>
        <v>0</v>
      </c>
      <c r="S211" t="str">
        <f>PROPER(quantInv[[#This Row],[Metal]] &amp; " " &amp; quantInv[[#This Row],[Item Type]])</f>
        <v>925 Silver Bracelet</v>
      </c>
      <c r="T211" s="33">
        <f>quantInv[[#This Row],[Quantity]]*quantInv[[#This Row],[WEIGHT]]</f>
        <v>0</v>
      </c>
      <c r="U211" s="33">
        <f>quantInv[[#This Row],[UNIT
VALUE]]*quantInv[[#This Row],[Quantity]]</f>
        <v>0</v>
      </c>
      <c r="V211" s="33">
        <f>quantInv[[#This Row],[Total Cost GBP]]/EURtoGBP</f>
        <v>0</v>
      </c>
      <c r="W211" s="33">
        <f>quantInv[[#This Row],[Total Cost GBP]]/USDtoGBP</f>
        <v>0</v>
      </c>
      <c r="X211" s="33">
        <f>quantInv[[#This Row],[Total Cost GBP]]/CADtoGBP</f>
        <v>0</v>
      </c>
      <c r="Y211" s="33">
        <f>quantInv[[#This Row],[Quantity]]*quantInv[[#This Row],[UNIT
VALUE AUD]]</f>
        <v>0</v>
      </c>
      <c r="Z211" s="33"/>
    </row>
    <row r="212" spans="1:26" x14ac:dyDescent="0.25">
      <c r="A212" t="s">
        <v>21</v>
      </c>
      <c r="B212" t="s">
        <v>612</v>
      </c>
      <c r="C212" t="s">
        <v>114</v>
      </c>
      <c r="D212" t="s">
        <v>611</v>
      </c>
      <c r="E212">
        <v>1.9554455445544601</v>
      </c>
      <c r="F212" s="33">
        <v>2.3466</v>
      </c>
      <c r="G212" s="33" t="s">
        <v>117</v>
      </c>
      <c r="H212" t="s">
        <v>1414</v>
      </c>
      <c r="I212" t="str">
        <f>IF(quantInv[[#This Row],[Metal]] = "925 Silver",  "7113.11.00"," 7113.19.00")</f>
        <v>7113.11.00</v>
      </c>
      <c r="J212" t="str">
        <f>IF(quantInv[[#This Row],[Metal]] = "925 Silver", "7113.11.10.00"," 7113.19.10.00")</f>
        <v>7113.11.10.00</v>
      </c>
      <c r="K212" t="str">
        <f>IF(quantInv[[#This Row],[Metal]] = "925 Silver",  "7113.11.00"," 7113.19.00")</f>
        <v>7113.11.00</v>
      </c>
      <c r="L212" t="str">
        <f>IFERROR(VLOOKUP(quantInv[[#This Row],[Description for New Invoice]],Map!$G$12:$H$32,2,FALSE), IF(quantInv[[#This Row],[Metal]] = "925 Silver", "7113.11.10.00", "7113.19.29.00"))</f>
        <v>7113.11.10.00</v>
      </c>
      <c r="M212" t="str">
        <f>quantInv[[#This Row],[ASIN]] &amp; " " &amp; quantInv[[#This Row],[Short Description]]</f>
        <v>B0164MQDCQ Bismark chain</v>
      </c>
      <c r="N212" s="33">
        <f>quantInv[[#This Row],[UNIT
VALUE]] / EURtoGBP</f>
        <v>2.6636699528358108</v>
      </c>
      <c r="O212" s="33">
        <f>quantInv[[#This Row],[UNIT
VALUE]]/USDtoGBP</f>
        <v>3.2167987465095145</v>
      </c>
      <c r="P212" s="33">
        <f>quantInv[[#This Row],[UNIT
VALUE]] / CADtoGBP</f>
        <v>4.1176873147646091</v>
      </c>
      <c r="Q212" s="33">
        <f>quantInv[[#This Row],[UNIT
VALUE]]/AUDtoGBP</f>
        <v>4.2147424383935626</v>
      </c>
      <c r="R212">
        <f>IFERROR(VLOOKUP(quantInv[[#This Row],[Assigned Item SKU]],skuQuantity[#All],2,FALSE),0)</f>
        <v>25</v>
      </c>
      <c r="S212" t="str">
        <f>PROPER(quantInv[[#This Row],[Metal]] &amp; " " &amp; quantInv[[#This Row],[Item Type]])</f>
        <v>925 Silver Bracelet</v>
      </c>
      <c r="T212" s="33">
        <f>quantInv[[#This Row],[Quantity]]*quantInv[[#This Row],[WEIGHT]]</f>
        <v>48.886138613861505</v>
      </c>
      <c r="U212" s="33">
        <f>quantInv[[#This Row],[UNIT
VALUE]]*quantInv[[#This Row],[Quantity]]</f>
        <v>58.664999999999999</v>
      </c>
      <c r="V212" s="33">
        <f>quantInv[[#This Row],[Total Cost GBP]]/EURtoGBP</f>
        <v>66.591748820895262</v>
      </c>
      <c r="W212" s="33">
        <f>quantInv[[#This Row],[Total Cost GBP]]/USDtoGBP</f>
        <v>80.419968662737858</v>
      </c>
      <c r="X212" s="33">
        <f>quantInv[[#This Row],[Total Cost GBP]]/CADtoGBP</f>
        <v>102.94218286911523</v>
      </c>
      <c r="Y212" s="33">
        <f>quantInv[[#This Row],[Quantity]]*quantInv[[#This Row],[UNIT
VALUE AUD]]</f>
        <v>105.36856095983906</v>
      </c>
      <c r="Z212" s="33"/>
    </row>
    <row r="213" spans="1:26" x14ac:dyDescent="0.25">
      <c r="A213" t="s">
        <v>554</v>
      </c>
      <c r="B213" t="s">
        <v>555</v>
      </c>
      <c r="C213" t="s">
        <v>114</v>
      </c>
      <c r="D213" t="s">
        <v>544</v>
      </c>
      <c r="E213">
        <v>4</v>
      </c>
      <c r="F213" s="33">
        <v>4.8589000000000002</v>
      </c>
      <c r="G213" s="33" t="s">
        <v>117</v>
      </c>
      <c r="H213" t="s">
        <v>1426</v>
      </c>
      <c r="I213" t="str">
        <f>IF(quantInv[[#This Row],[Metal]] = "925 Silver",  "7113.11.00"," 7113.19.00")</f>
        <v>7113.11.00</v>
      </c>
      <c r="J213" t="str">
        <f>IF(quantInv[[#This Row],[Metal]] = "925 Silver", "7113.11.10.00"," 7113.19.10.00")</f>
        <v>7113.11.10.00</v>
      </c>
      <c r="K213" t="str">
        <f>IF(quantInv[[#This Row],[Metal]] = "925 Silver",  "7113.11.00"," 7113.19.00")</f>
        <v>7113.11.00</v>
      </c>
      <c r="L213" t="str">
        <f>IFERROR(VLOOKUP(quantInv[[#This Row],[Description for New Invoice]],Map!$G$12:$H$32,2,FALSE), IF(quantInv[[#This Row],[Metal]] = "925 Silver", "7113.11.10.00", "7113.19.29.00"))</f>
        <v>7113.11.10.00</v>
      </c>
      <c r="M213" t="str">
        <f>quantInv[[#This Row],[ASIN]] &amp; " " &amp; quantInv[[#This Row],[Short Description]]</f>
        <v>B0711QLJ8T Rat Tail</v>
      </c>
      <c r="N213" s="33">
        <f>quantInv[[#This Row],[UNIT
VALUE]] / EURtoGBP</f>
        <v>5.5154291033128446</v>
      </c>
      <c r="O213" s="33">
        <f>quantInv[[#This Row],[UNIT
VALUE]]/USDtoGBP</f>
        <v>6.6607446643718911</v>
      </c>
      <c r="P213" s="33">
        <f>quantInv[[#This Row],[UNIT
VALUE]] / CADtoGBP</f>
        <v>8.526136066525936</v>
      </c>
      <c r="Q213" s="33">
        <f>quantInv[[#This Row],[UNIT
VALUE]]/AUDtoGBP</f>
        <v>8.7270996479632164</v>
      </c>
      <c r="R213">
        <f>IFERROR(VLOOKUP(quantInv[[#This Row],[Assigned Item SKU]],skuQuantity[#All],2,FALSE),0)</f>
        <v>0</v>
      </c>
      <c r="S213" t="str">
        <f>PROPER(quantInv[[#This Row],[Metal]] &amp; " " &amp; quantInv[[#This Row],[Item Type]])</f>
        <v>925 Silver Anklet</v>
      </c>
      <c r="T213" s="33">
        <f>quantInv[[#This Row],[Quantity]]*quantInv[[#This Row],[WEIGHT]]</f>
        <v>0</v>
      </c>
      <c r="U213" s="33">
        <f>quantInv[[#This Row],[UNIT
VALUE]]*quantInv[[#This Row],[Quantity]]</f>
        <v>0</v>
      </c>
      <c r="V213" s="33">
        <f>quantInv[[#This Row],[Total Cost GBP]]/EURtoGBP</f>
        <v>0</v>
      </c>
      <c r="W213" s="33">
        <f>quantInv[[#This Row],[Total Cost GBP]]/USDtoGBP</f>
        <v>0</v>
      </c>
      <c r="X213" s="33">
        <f>quantInv[[#This Row],[Total Cost GBP]]/CADtoGBP</f>
        <v>0</v>
      </c>
      <c r="Y213" s="33">
        <f>quantInv[[#This Row],[Quantity]]*quantInv[[#This Row],[UNIT
VALUE AUD]]</f>
        <v>0</v>
      </c>
      <c r="Z213" s="33"/>
    </row>
    <row r="214" spans="1:26" x14ac:dyDescent="0.25">
      <c r="A214" t="s">
        <v>618</v>
      </c>
      <c r="B214" t="s">
        <v>619</v>
      </c>
      <c r="C214" t="s">
        <v>114</v>
      </c>
      <c r="D214" t="s">
        <v>611</v>
      </c>
      <c r="E214">
        <v>4.7414634146341497</v>
      </c>
      <c r="F214" s="33">
        <v>4.9431000000000003</v>
      </c>
      <c r="G214" s="33" t="s">
        <v>117</v>
      </c>
      <c r="H214" t="s">
        <v>103</v>
      </c>
      <c r="I214" t="str">
        <f>IF(quantInv[[#This Row],[Metal]] = "925 Silver",  "7113.11.00"," 7113.19.00")</f>
        <v>7113.11.00</v>
      </c>
      <c r="J214" t="str">
        <f>IF(quantInv[[#This Row],[Metal]] = "925 Silver", "7113.11.10.00"," 7113.19.10.00")</f>
        <v>7113.11.10.00</v>
      </c>
      <c r="K214" t="str">
        <f>IF(quantInv[[#This Row],[Metal]] = "925 Silver",  "7113.11.00"," 7113.19.00")</f>
        <v>7113.11.00</v>
      </c>
      <c r="L214" t="str">
        <f>IFERROR(VLOOKUP(quantInv[[#This Row],[Description for New Invoice]],Map!$G$12:$H$32,2,FALSE), IF(quantInv[[#This Row],[Metal]] = "925 Silver", "7113.11.10.00", "7113.19.29.00"))</f>
        <v>7113.11.10.00</v>
      </c>
      <c r="M214" t="str">
        <f>quantInv[[#This Row],[ASIN]] &amp; " " &amp; quantInv[[#This Row],[Short Description]]</f>
        <v>B0164MQG1Y Bismark chain</v>
      </c>
      <c r="N214" s="33">
        <f>quantInv[[#This Row],[UNIT
VALUE]] / EURtoGBP</f>
        <v>5.6110061126151436</v>
      </c>
      <c r="O214" s="33">
        <f>quantInv[[#This Row],[UNIT
VALUE]]/USDtoGBP</f>
        <v>6.7761688757654399</v>
      </c>
      <c r="P214" s="33">
        <f>quantInv[[#This Row],[UNIT
VALUE]] / CADtoGBP</f>
        <v>8.6738856923263192</v>
      </c>
      <c r="Q214" s="33">
        <f>quantInv[[#This Row],[UNIT
VALUE]]/AUDtoGBP</f>
        <v>8.8783317767080963</v>
      </c>
      <c r="R214">
        <f>IFERROR(VLOOKUP(quantInv[[#This Row],[Assigned Item SKU]],skuQuantity[#All],2,FALSE),0)</f>
        <v>15</v>
      </c>
      <c r="S214" t="str">
        <f>PROPER(quantInv[[#This Row],[Metal]] &amp; " " &amp; quantInv[[#This Row],[Item Type]])</f>
        <v>925 Silver Chain</v>
      </c>
      <c r="T214" s="33">
        <f>quantInv[[#This Row],[Quantity]]*quantInv[[#This Row],[WEIGHT]]</f>
        <v>71.121951219512241</v>
      </c>
      <c r="U214" s="33">
        <f>quantInv[[#This Row],[UNIT
VALUE]]*quantInv[[#This Row],[Quantity]]</f>
        <v>74.146500000000003</v>
      </c>
      <c r="V214" s="33">
        <f>quantInv[[#This Row],[Total Cost GBP]]/EURtoGBP</f>
        <v>84.165091689227154</v>
      </c>
      <c r="W214" s="33">
        <f>quantInv[[#This Row],[Total Cost GBP]]/USDtoGBP</f>
        <v>101.64253313648159</v>
      </c>
      <c r="X214" s="33">
        <f>quantInv[[#This Row],[Total Cost GBP]]/CADtoGBP</f>
        <v>130.1082853848948</v>
      </c>
      <c r="Y214" s="33">
        <f>quantInv[[#This Row],[Quantity]]*quantInv[[#This Row],[UNIT
VALUE AUD]]</f>
        <v>133.17497665062143</v>
      </c>
      <c r="Z214" s="33"/>
    </row>
    <row r="215" spans="1:26" x14ac:dyDescent="0.25">
      <c r="A215" t="s">
        <v>659</v>
      </c>
      <c r="B215" t="s">
        <v>660</v>
      </c>
      <c r="C215" t="s">
        <v>114</v>
      </c>
      <c r="D215" t="s">
        <v>658</v>
      </c>
      <c r="E215">
        <v>2.1800000000000002</v>
      </c>
      <c r="F215" s="33">
        <v>2.2063000000000001</v>
      </c>
      <c r="G215" s="33" t="s">
        <v>117</v>
      </c>
      <c r="H215" t="s">
        <v>103</v>
      </c>
      <c r="I215" t="str">
        <f>IF(quantInv[[#This Row],[Metal]] = "925 Silver",  "7113.11.00"," 7113.19.00")</f>
        <v>7113.11.00</v>
      </c>
      <c r="J215" t="str">
        <f>IF(quantInv[[#This Row],[Metal]] = "925 Silver", "7113.11.10.00"," 7113.19.10.00")</f>
        <v>7113.11.10.00</v>
      </c>
      <c r="K215" t="str">
        <f>IF(quantInv[[#This Row],[Metal]] = "925 Silver",  "7113.11.00"," 7113.19.00")</f>
        <v>7113.11.00</v>
      </c>
      <c r="L215" t="str">
        <f>IFERROR(VLOOKUP(quantInv[[#This Row],[Description for New Invoice]],Map!$G$12:$H$32,2,FALSE), IF(quantInv[[#This Row],[Metal]] = "925 Silver", "7113.11.10.00", "7113.19.29.00"))</f>
        <v>7113.11.10.00</v>
      </c>
      <c r="M215" t="str">
        <f>quantInv[[#This Row],[ASIN]] &amp; " " &amp; quantInv[[#This Row],[Short Description]]</f>
        <v>B01N33SV5Y Rolo Chain</v>
      </c>
      <c r="N215" s="33">
        <f>quantInv[[#This Row],[UNIT
VALUE]] / EURtoGBP</f>
        <v>2.5044127746278231</v>
      </c>
      <c r="O215" s="33">
        <f>quantInv[[#This Row],[UNIT
VALUE]]/USDtoGBP</f>
        <v>3.0244707553157513</v>
      </c>
      <c r="P215" s="33">
        <f>quantInv[[#This Row],[UNIT
VALUE]] / CADtoGBP</f>
        <v>3.8714964299689587</v>
      </c>
      <c r="Q215" s="33">
        <f>quantInv[[#This Row],[UNIT
VALUE]]/AUDtoGBP</f>
        <v>3.9627487606868308</v>
      </c>
      <c r="R215">
        <f>IFERROR(VLOOKUP(quantInv[[#This Row],[Assigned Item SKU]],skuQuantity[#All],2,FALSE),0)</f>
        <v>10</v>
      </c>
      <c r="S215" t="str">
        <f>PROPER(quantInv[[#This Row],[Metal]] &amp; " " &amp; quantInv[[#This Row],[Item Type]])</f>
        <v>925 Silver Chain</v>
      </c>
      <c r="T215" s="33">
        <f>quantInv[[#This Row],[Quantity]]*quantInv[[#This Row],[WEIGHT]]</f>
        <v>21.8</v>
      </c>
      <c r="U215" s="33">
        <f>quantInv[[#This Row],[UNIT
VALUE]]*quantInv[[#This Row],[Quantity]]</f>
        <v>22.063000000000002</v>
      </c>
      <c r="V215" s="33">
        <f>quantInv[[#This Row],[Total Cost GBP]]/EURtoGBP</f>
        <v>25.044127746278232</v>
      </c>
      <c r="W215" s="33">
        <f>quantInv[[#This Row],[Total Cost GBP]]/USDtoGBP</f>
        <v>30.244707553157514</v>
      </c>
      <c r="X215" s="33">
        <f>quantInv[[#This Row],[Total Cost GBP]]/CADtoGBP</f>
        <v>38.714964299689591</v>
      </c>
      <c r="Y215" s="33">
        <f>quantInv[[#This Row],[Quantity]]*quantInv[[#This Row],[UNIT
VALUE AUD]]</f>
        <v>39.627487606868307</v>
      </c>
      <c r="Z215" s="33"/>
    </row>
    <row r="216" spans="1:26" x14ac:dyDescent="0.25">
      <c r="A216" t="s">
        <v>661</v>
      </c>
      <c r="B216" t="s">
        <v>662</v>
      </c>
      <c r="C216" t="s">
        <v>114</v>
      </c>
      <c r="D216" t="s">
        <v>658</v>
      </c>
      <c r="E216">
        <v>2.83</v>
      </c>
      <c r="F216" s="33">
        <v>2.8075999999999999</v>
      </c>
      <c r="G216" s="33" t="s">
        <v>117</v>
      </c>
      <c r="H216" t="s">
        <v>103</v>
      </c>
      <c r="I216" t="str">
        <f>IF(quantInv[[#This Row],[Metal]] = "925 Silver",  "7113.11.00"," 7113.19.00")</f>
        <v>7113.11.00</v>
      </c>
      <c r="J216" t="str">
        <f>IF(quantInv[[#This Row],[Metal]] = "925 Silver", "7113.11.10.00"," 7113.19.10.00")</f>
        <v>7113.11.10.00</v>
      </c>
      <c r="K216" t="str">
        <f>IF(quantInv[[#This Row],[Metal]] = "925 Silver",  "7113.11.00"," 7113.19.00")</f>
        <v>7113.11.00</v>
      </c>
      <c r="L216" t="str">
        <f>IFERROR(VLOOKUP(quantInv[[#This Row],[Description for New Invoice]],Map!$G$12:$H$32,2,FALSE), IF(quantInv[[#This Row],[Metal]] = "925 Silver", "7113.11.10.00", "7113.19.29.00"))</f>
        <v>7113.11.10.00</v>
      </c>
      <c r="M216" t="str">
        <f>quantInv[[#This Row],[ASIN]] &amp; " " &amp; quantInv[[#This Row],[Short Description]]</f>
        <v>B01MT8ZDNA Rolo Chain</v>
      </c>
      <c r="N216" s="33">
        <f>quantInv[[#This Row],[UNIT
VALUE]] / EURtoGBP</f>
        <v>3.1869597543602755</v>
      </c>
      <c r="O216" s="33">
        <f>quantInv[[#This Row],[UNIT
VALUE]]/USDtoGBP</f>
        <v>3.8487531580585155</v>
      </c>
      <c r="P216" s="33">
        <f>quantInv[[#This Row],[UNIT
VALUE]] / CADtoGBP</f>
        <v>4.9266252897524572</v>
      </c>
      <c r="Q216" s="33">
        <f>quantInv[[#This Row],[UNIT
VALUE]]/AUDtoGBP</f>
        <v>5.0427473238019971</v>
      </c>
      <c r="R216">
        <f>IFERROR(VLOOKUP(quantInv[[#This Row],[Assigned Item SKU]],skuQuantity[#All],2,FALSE),0)</f>
        <v>10</v>
      </c>
      <c r="S216" t="str">
        <f>PROPER(quantInv[[#This Row],[Metal]] &amp; " " &amp; quantInv[[#This Row],[Item Type]])</f>
        <v>925 Silver Chain</v>
      </c>
      <c r="T216" s="33">
        <f>quantInv[[#This Row],[Quantity]]*quantInv[[#This Row],[WEIGHT]]</f>
        <v>28.3</v>
      </c>
      <c r="U216" s="33">
        <f>quantInv[[#This Row],[UNIT
VALUE]]*quantInv[[#This Row],[Quantity]]</f>
        <v>28.076000000000001</v>
      </c>
      <c r="V216" s="33">
        <f>quantInv[[#This Row],[Total Cost GBP]]/EURtoGBP</f>
        <v>31.869597543602755</v>
      </c>
      <c r="W216" s="33">
        <f>quantInv[[#This Row],[Total Cost GBP]]/USDtoGBP</f>
        <v>38.487531580585156</v>
      </c>
      <c r="X216" s="33">
        <f>quantInv[[#This Row],[Total Cost GBP]]/CADtoGBP</f>
        <v>49.266252897524581</v>
      </c>
      <c r="Y216" s="33">
        <f>quantInv[[#This Row],[Quantity]]*quantInv[[#This Row],[UNIT
VALUE AUD]]</f>
        <v>50.427473238019971</v>
      </c>
      <c r="Z216" s="33"/>
    </row>
    <row r="217" spans="1:26" x14ac:dyDescent="0.25">
      <c r="A217" t="s">
        <v>89</v>
      </c>
      <c r="B217" t="s">
        <v>722</v>
      </c>
      <c r="C217" t="s">
        <v>113</v>
      </c>
      <c r="D217" t="s">
        <v>707</v>
      </c>
      <c r="E217">
        <v>2.5</v>
      </c>
      <c r="F217" s="33">
        <v>3.0969000000000002</v>
      </c>
      <c r="G217" s="33" t="s">
        <v>117</v>
      </c>
      <c r="H217" t="s">
        <v>1310</v>
      </c>
      <c r="I217" t="str">
        <f>IF(quantInv[[#This Row],[Metal]] = "925 Silver",  "7113.11.00"," 7113.19.00")</f>
        <v>7113.11.00</v>
      </c>
      <c r="J217" t="str">
        <f>IF(quantInv[[#This Row],[Metal]] = "925 Silver", "7113.11.10.00"," 7113.19.10.00")</f>
        <v>7113.11.10.00</v>
      </c>
      <c r="K217" t="str">
        <f>IF(quantInv[[#This Row],[Metal]] = "925 Silver",  "7113.11.00"," 7113.19.00")</f>
        <v>7113.11.00</v>
      </c>
      <c r="L217" t="str">
        <f>IFERROR(VLOOKUP(quantInv[[#This Row],[Description for New Invoice]],Map!$G$12:$H$32,2,FALSE), IF(quantInv[[#This Row],[Metal]] = "925 Silver", "7113.11.10.00", "7113.19.29.00"))</f>
        <v>7113.11.50.00</v>
      </c>
      <c r="M217" t="str">
        <f>quantInv[[#This Row],[ASIN]] &amp; " " &amp; quantInv[[#This Row],[Short Description]]</f>
        <v>B077MD1DG6 Hinged Hoop Earrings</v>
      </c>
      <c r="N217" s="33">
        <f>quantInv[[#This Row],[UNIT
VALUE]] / EURtoGBP</f>
        <v>3.5153496449915718</v>
      </c>
      <c r="O217" s="33">
        <f>quantInv[[#This Row],[UNIT
VALUE]]/USDtoGBP</f>
        <v>4.2453353950674657</v>
      </c>
      <c r="P217" s="33">
        <f>quantInv[[#This Row],[UNIT
VALUE]] / CADtoGBP</f>
        <v>5.4342733508457002</v>
      </c>
      <c r="Q217" s="33">
        <f>quantInv[[#This Row],[UNIT
VALUE]]/AUDtoGBP</f>
        <v>5.562360801781737</v>
      </c>
      <c r="R217">
        <f>IFERROR(VLOOKUP(quantInv[[#This Row],[Assigned Item SKU]],skuQuantity[#All],2,FALSE),0)</f>
        <v>0</v>
      </c>
      <c r="S217" t="str">
        <f>PROPER(quantInv[[#This Row],[Metal]] &amp; " " &amp; quantInv[[#This Row],[Item Type]])</f>
        <v>925 Silver Earrings</v>
      </c>
      <c r="T217" s="33">
        <f>quantInv[[#This Row],[Quantity]]*quantInv[[#This Row],[WEIGHT]]</f>
        <v>0</v>
      </c>
      <c r="U217" s="33">
        <f>quantInv[[#This Row],[UNIT
VALUE]]*quantInv[[#This Row],[Quantity]]</f>
        <v>0</v>
      </c>
      <c r="V217" s="33">
        <f>quantInv[[#This Row],[Total Cost GBP]]/EURtoGBP</f>
        <v>0</v>
      </c>
      <c r="W217" s="33">
        <f>quantInv[[#This Row],[Total Cost GBP]]/USDtoGBP</f>
        <v>0</v>
      </c>
      <c r="X217" s="33">
        <f>quantInv[[#This Row],[Total Cost GBP]]/CADtoGBP</f>
        <v>0</v>
      </c>
      <c r="Y217" s="33">
        <f>quantInv[[#This Row],[Quantity]]*quantInv[[#This Row],[UNIT
VALUE AUD]]</f>
        <v>0</v>
      </c>
      <c r="Z217" s="33"/>
    </row>
    <row r="218" spans="1:26" x14ac:dyDescent="0.25">
      <c r="A218" t="s">
        <v>756</v>
      </c>
      <c r="B218" t="s">
        <v>757</v>
      </c>
      <c r="C218" t="s">
        <v>114</v>
      </c>
      <c r="D218" t="s">
        <v>707</v>
      </c>
      <c r="E218">
        <v>5.94</v>
      </c>
      <c r="F218" s="33">
        <v>6.3646000000000003</v>
      </c>
      <c r="G218" s="33" t="s">
        <v>117</v>
      </c>
      <c r="H218" t="s">
        <v>1310</v>
      </c>
      <c r="I218" t="str">
        <f>IF(quantInv[[#This Row],[Metal]] = "925 Silver",  "7113.11.00"," 7113.19.00")</f>
        <v>7113.11.00</v>
      </c>
      <c r="J218" t="str">
        <f>IF(quantInv[[#This Row],[Metal]] = "925 Silver", "7113.11.10.00"," 7113.19.10.00")</f>
        <v>7113.11.10.00</v>
      </c>
      <c r="K218" t="str">
        <f>IF(quantInv[[#This Row],[Metal]] = "925 Silver",  "7113.11.00"," 7113.19.00")</f>
        <v>7113.11.00</v>
      </c>
      <c r="L218" t="str">
        <f>IFERROR(VLOOKUP(quantInv[[#This Row],[Description for New Invoice]],Map!$G$12:$H$32,2,FALSE), IF(quantInv[[#This Row],[Metal]] = "925 Silver", "7113.11.10.00", "7113.19.29.00"))</f>
        <v>7113.11.50.00</v>
      </c>
      <c r="M218" t="str">
        <f>quantInv[[#This Row],[ASIN]] &amp; " " &amp; quantInv[[#This Row],[Short Description]]</f>
        <v>B06XYVM5V6 Hinged Hoop Earrings</v>
      </c>
      <c r="N218" s="33">
        <f>quantInv[[#This Row],[UNIT
VALUE]] / EURtoGBP</f>
        <v>7.2245775938885206</v>
      </c>
      <c r="O218" s="33">
        <f>quantInv[[#This Row],[UNIT
VALUE]]/USDtoGBP</f>
        <v>8.7248092141969043</v>
      </c>
      <c r="P218" s="33">
        <f>quantInv[[#This Row],[UNIT
VALUE]] / CADtoGBP</f>
        <v>11.168257344051323</v>
      </c>
      <c r="Q218" s="33">
        <f>quantInv[[#This Row],[UNIT
VALUE]]/AUDtoGBP</f>
        <v>11.431496515554278</v>
      </c>
      <c r="R218">
        <f>IFERROR(VLOOKUP(quantInv[[#This Row],[Assigned Item SKU]],skuQuantity[#All],2,FALSE),0)</f>
        <v>0</v>
      </c>
      <c r="S218" t="str">
        <f>PROPER(quantInv[[#This Row],[Metal]] &amp; " " &amp; quantInv[[#This Row],[Item Type]])</f>
        <v>925 Silver Earrings</v>
      </c>
      <c r="T218" s="33">
        <f>quantInv[[#This Row],[Quantity]]*quantInv[[#This Row],[WEIGHT]]</f>
        <v>0</v>
      </c>
      <c r="U218" s="33">
        <f>quantInv[[#This Row],[UNIT
VALUE]]*quantInv[[#This Row],[Quantity]]</f>
        <v>0</v>
      </c>
      <c r="V218" s="33">
        <f>quantInv[[#This Row],[Total Cost GBP]]/EURtoGBP</f>
        <v>0</v>
      </c>
      <c r="W218" s="33">
        <f>quantInv[[#This Row],[Total Cost GBP]]/USDtoGBP</f>
        <v>0</v>
      </c>
      <c r="X218" s="33">
        <f>quantInv[[#This Row],[Total Cost GBP]]/CADtoGBP</f>
        <v>0</v>
      </c>
      <c r="Y218" s="33">
        <f>quantInv[[#This Row],[Quantity]]*quantInv[[#This Row],[UNIT
VALUE AUD]]</f>
        <v>0</v>
      </c>
      <c r="Z218" s="33"/>
    </row>
    <row r="219" spans="1:26" x14ac:dyDescent="0.25">
      <c r="A219" t="s">
        <v>566</v>
      </c>
      <c r="B219" t="s">
        <v>567</v>
      </c>
      <c r="C219" t="s">
        <v>114</v>
      </c>
      <c r="D219" t="s">
        <v>568</v>
      </c>
      <c r="E219">
        <v>1.84516129032258</v>
      </c>
      <c r="F219" s="33">
        <v>2.1526999999999998</v>
      </c>
      <c r="G219" s="33" t="s">
        <v>117</v>
      </c>
      <c r="H219" t="s">
        <v>1414</v>
      </c>
      <c r="I219" t="str">
        <f>IF(quantInv[[#This Row],[Metal]] = "925 Silver",  "7113.11.00"," 7113.19.00")</f>
        <v>7113.11.00</v>
      </c>
      <c r="J219" t="str">
        <f>IF(quantInv[[#This Row],[Metal]] = "925 Silver", "7113.11.10.00"," 7113.19.10.00")</f>
        <v>7113.11.10.00</v>
      </c>
      <c r="K219" t="str">
        <f>IF(quantInv[[#This Row],[Metal]] = "925 Silver",  "7113.11.00"," 7113.19.00")</f>
        <v>7113.11.00</v>
      </c>
      <c r="L219" t="str">
        <f>IFERROR(VLOOKUP(quantInv[[#This Row],[Description for New Invoice]],Map!$G$12:$H$32,2,FALSE), IF(quantInv[[#This Row],[Metal]] = "925 Silver", "7113.11.10.00", "7113.19.29.00"))</f>
        <v>7113.11.10.00</v>
      </c>
      <c r="M219" t="str">
        <f>quantInv[[#This Row],[ASIN]] &amp; " " &amp; quantInv[[#This Row],[Short Description]]</f>
        <v>B01N5RK75S Marine Chain</v>
      </c>
      <c r="N219" s="33">
        <f>quantInv[[#This Row],[UNIT
VALUE]] / EURtoGBP</f>
        <v>2.4435704029104448</v>
      </c>
      <c r="O219" s="33">
        <f>quantInv[[#This Row],[UNIT
VALUE]]/USDtoGBP</f>
        <v>2.9509940601768649</v>
      </c>
      <c r="P219" s="33">
        <f>quantInv[[#This Row],[UNIT
VALUE]] / CADtoGBP</f>
        <v>3.7774420363478112</v>
      </c>
      <c r="Q219" s="33">
        <f>quantInv[[#This Row],[UNIT
VALUE]]/AUDtoGBP</f>
        <v>3.8664774768302315</v>
      </c>
      <c r="R219">
        <f>IFERROR(VLOOKUP(quantInv[[#This Row],[Assigned Item SKU]],skuQuantity[#All],2,FALSE),0)</f>
        <v>0</v>
      </c>
      <c r="S219" t="str">
        <f>PROPER(quantInv[[#This Row],[Metal]] &amp; " " &amp; quantInv[[#This Row],[Item Type]])</f>
        <v>925 Silver Bracelet</v>
      </c>
      <c r="T219" s="33">
        <f>quantInv[[#This Row],[Quantity]]*quantInv[[#This Row],[WEIGHT]]</f>
        <v>0</v>
      </c>
      <c r="U219" s="33">
        <f>quantInv[[#This Row],[UNIT
VALUE]]*quantInv[[#This Row],[Quantity]]</f>
        <v>0</v>
      </c>
      <c r="V219" s="33">
        <f>quantInv[[#This Row],[Total Cost GBP]]/EURtoGBP</f>
        <v>0</v>
      </c>
      <c r="W219" s="33">
        <f>quantInv[[#This Row],[Total Cost GBP]]/USDtoGBP</f>
        <v>0</v>
      </c>
      <c r="X219" s="33">
        <f>quantInv[[#This Row],[Total Cost GBP]]/CADtoGBP</f>
        <v>0</v>
      </c>
      <c r="Y219" s="33">
        <f>quantInv[[#This Row],[Quantity]]*quantInv[[#This Row],[UNIT
VALUE AUD]]</f>
        <v>0</v>
      </c>
      <c r="Z219" s="33"/>
    </row>
    <row r="220" spans="1:26" x14ac:dyDescent="0.25">
      <c r="A220" t="s">
        <v>569</v>
      </c>
      <c r="B220" t="s">
        <v>570</v>
      </c>
      <c r="C220" t="s">
        <v>114</v>
      </c>
      <c r="D220" t="s">
        <v>568</v>
      </c>
      <c r="E220">
        <v>1.9366666666666701</v>
      </c>
      <c r="F220" s="33">
        <v>2.2421000000000002</v>
      </c>
      <c r="G220" s="33" t="s">
        <v>117</v>
      </c>
      <c r="H220" t="s">
        <v>1414</v>
      </c>
      <c r="I220" t="str">
        <f>IF(quantInv[[#This Row],[Metal]] = "925 Silver",  "7113.11.00"," 7113.19.00")</f>
        <v>7113.11.00</v>
      </c>
      <c r="J220" t="str">
        <f>IF(quantInv[[#This Row],[Metal]] = "925 Silver", "7113.11.10.00"," 7113.19.10.00")</f>
        <v>7113.11.10.00</v>
      </c>
      <c r="K220" t="str">
        <f>IF(quantInv[[#This Row],[Metal]] = "925 Silver",  "7113.11.00"," 7113.19.00")</f>
        <v>7113.11.00</v>
      </c>
      <c r="L220" t="str">
        <f>IFERROR(VLOOKUP(quantInv[[#This Row],[Description for New Invoice]],Map!$G$12:$H$32,2,FALSE), IF(quantInv[[#This Row],[Metal]] = "925 Silver", "7113.11.10.00", "7113.19.29.00"))</f>
        <v>7113.11.10.00</v>
      </c>
      <c r="M220" t="str">
        <f>quantInv[[#This Row],[ASIN]] &amp; " " &amp; quantInv[[#This Row],[Short Description]]</f>
        <v>B01MUCWVT3 Marine Chain</v>
      </c>
      <c r="N220" s="33">
        <f>quantInv[[#This Row],[UNIT
VALUE]] / EURtoGBP</f>
        <v>2.5450500303644303</v>
      </c>
      <c r="O220" s="33">
        <f>quantInv[[#This Row],[UNIT
VALUE]]/USDtoGBP</f>
        <v>3.0735466076659774</v>
      </c>
      <c r="P220" s="33">
        <f>quantInv[[#This Row],[UNIT
VALUE]] / CADtoGBP</f>
        <v>3.9343163421263663</v>
      </c>
      <c r="Q220" s="33">
        <f>quantInv[[#This Row],[UNIT
VALUE]]/AUDtoGBP</f>
        <v>4.0270493569940369</v>
      </c>
      <c r="R220">
        <f>IFERROR(VLOOKUP(quantInv[[#This Row],[Assigned Item SKU]],skuQuantity[#All],2,FALSE),0)</f>
        <v>0</v>
      </c>
      <c r="S220" t="str">
        <f>PROPER(quantInv[[#This Row],[Metal]] &amp; " " &amp; quantInv[[#This Row],[Item Type]])</f>
        <v>925 Silver Bracelet</v>
      </c>
      <c r="T220" s="33">
        <f>quantInv[[#This Row],[Quantity]]*quantInv[[#This Row],[WEIGHT]]</f>
        <v>0</v>
      </c>
      <c r="U220" s="33">
        <f>quantInv[[#This Row],[UNIT
VALUE]]*quantInv[[#This Row],[Quantity]]</f>
        <v>0</v>
      </c>
      <c r="V220" s="33">
        <f>quantInv[[#This Row],[Total Cost GBP]]/EURtoGBP</f>
        <v>0</v>
      </c>
      <c r="W220" s="33">
        <f>quantInv[[#This Row],[Total Cost GBP]]/USDtoGBP</f>
        <v>0</v>
      </c>
      <c r="X220" s="33">
        <f>quantInv[[#This Row],[Total Cost GBP]]/CADtoGBP</f>
        <v>0</v>
      </c>
      <c r="Y220" s="33">
        <f>quantInv[[#This Row],[Quantity]]*quantInv[[#This Row],[UNIT
VALUE AUD]]</f>
        <v>0</v>
      </c>
      <c r="Z220" s="33"/>
    </row>
    <row r="221" spans="1:26" x14ac:dyDescent="0.25">
      <c r="A221" t="s">
        <v>571</v>
      </c>
      <c r="B221" t="s">
        <v>572</v>
      </c>
      <c r="C221" t="s">
        <v>114</v>
      </c>
      <c r="D221" t="s">
        <v>568</v>
      </c>
      <c r="E221">
        <v>2.02</v>
      </c>
      <c r="F221" s="33">
        <v>2.3235999999999999</v>
      </c>
      <c r="G221" s="33" t="s">
        <v>117</v>
      </c>
      <c r="H221" t="s">
        <v>1414</v>
      </c>
      <c r="I221" t="str">
        <f>IF(quantInv[[#This Row],[Metal]] = "925 Silver",  "7113.11.00"," 7113.19.00")</f>
        <v>7113.11.00</v>
      </c>
      <c r="J221" t="str">
        <f>IF(quantInv[[#This Row],[Metal]] = "925 Silver", "7113.11.10.00"," 7113.19.10.00")</f>
        <v>7113.11.10.00</v>
      </c>
      <c r="K221" t="str">
        <f>IF(quantInv[[#This Row],[Metal]] = "925 Silver",  "7113.11.00"," 7113.19.00")</f>
        <v>7113.11.00</v>
      </c>
      <c r="L221" t="str">
        <f>IFERROR(VLOOKUP(quantInv[[#This Row],[Description for New Invoice]],Map!$G$12:$H$32,2,FALSE), IF(quantInv[[#This Row],[Metal]] = "925 Silver", "7113.11.10.00", "7113.19.29.00"))</f>
        <v>7113.11.10.00</v>
      </c>
      <c r="M221" t="str">
        <f>quantInv[[#This Row],[ASIN]] &amp; " " &amp; quantInv[[#This Row],[Short Description]]</f>
        <v>B01MS9OG5S Marine Chain</v>
      </c>
      <c r="N221" s="33">
        <f>quantInv[[#This Row],[UNIT
VALUE]] / EURtoGBP</f>
        <v>2.6375622187033536</v>
      </c>
      <c r="O221" s="33">
        <f>quantInv[[#This Row],[UNIT
VALUE]]/USDtoGBP</f>
        <v>3.1852695676252907</v>
      </c>
      <c r="P221" s="33">
        <f>quantInv[[#This Row],[UNIT
VALUE]] / CADtoGBP</f>
        <v>4.077328153322699</v>
      </c>
      <c r="Q221" s="33">
        <f>quantInv[[#This Row],[UNIT
VALUE]]/AUDtoGBP</f>
        <v>4.1734319994252456</v>
      </c>
      <c r="R221">
        <f>IFERROR(VLOOKUP(quantInv[[#This Row],[Assigned Item SKU]],skuQuantity[#All],2,FALSE),0)</f>
        <v>0</v>
      </c>
      <c r="S221" t="str">
        <f>PROPER(quantInv[[#This Row],[Metal]] &amp; " " &amp; quantInv[[#This Row],[Item Type]])</f>
        <v>925 Silver Bracelet</v>
      </c>
      <c r="T221" s="33">
        <f>quantInv[[#This Row],[Quantity]]*quantInv[[#This Row],[WEIGHT]]</f>
        <v>0</v>
      </c>
      <c r="U221" s="33">
        <f>quantInv[[#This Row],[UNIT
VALUE]]*quantInv[[#This Row],[Quantity]]</f>
        <v>0</v>
      </c>
      <c r="V221" s="33">
        <f>quantInv[[#This Row],[Total Cost GBP]]/EURtoGBP</f>
        <v>0</v>
      </c>
      <c r="W221" s="33">
        <f>quantInv[[#This Row],[Total Cost GBP]]/USDtoGBP</f>
        <v>0</v>
      </c>
      <c r="X221" s="33">
        <f>quantInv[[#This Row],[Total Cost GBP]]/CADtoGBP</f>
        <v>0</v>
      </c>
      <c r="Y221" s="33">
        <f>quantInv[[#This Row],[Quantity]]*quantInv[[#This Row],[UNIT
VALUE AUD]]</f>
        <v>0</v>
      </c>
      <c r="Z221" s="33"/>
    </row>
    <row r="222" spans="1:26" x14ac:dyDescent="0.25">
      <c r="A222" t="s">
        <v>573</v>
      </c>
      <c r="B222" t="s">
        <v>574</v>
      </c>
      <c r="C222" t="s">
        <v>114</v>
      </c>
      <c r="D222" t="s">
        <v>568</v>
      </c>
      <c r="E222">
        <v>4.13</v>
      </c>
      <c r="F222" s="33">
        <v>4.2050000000000001</v>
      </c>
      <c r="G222" s="33" t="s">
        <v>117</v>
      </c>
      <c r="H222" t="s">
        <v>103</v>
      </c>
      <c r="I222" t="str">
        <f>IF(quantInv[[#This Row],[Metal]] = "925 Silver",  "7113.11.00"," 7113.19.00")</f>
        <v>7113.11.00</v>
      </c>
      <c r="J222" t="str">
        <f>IF(quantInv[[#This Row],[Metal]] = "925 Silver", "7113.11.10.00"," 7113.19.10.00")</f>
        <v>7113.11.10.00</v>
      </c>
      <c r="K222" t="str">
        <f>IF(quantInv[[#This Row],[Metal]] = "925 Silver",  "7113.11.00"," 7113.19.00")</f>
        <v>7113.11.00</v>
      </c>
      <c r="L222" t="str">
        <f>IFERROR(VLOOKUP(quantInv[[#This Row],[Description for New Invoice]],Map!$G$12:$H$32,2,FALSE), IF(quantInv[[#This Row],[Metal]] = "925 Silver", "7113.11.10.00", "7113.19.29.00"))</f>
        <v>7113.11.10.00</v>
      </c>
      <c r="M222" t="str">
        <f>quantInv[[#This Row],[ASIN]] &amp; " " &amp; quantInv[[#This Row],[Short Description]]</f>
        <v>B00DKCZ3C0 Marine Chain</v>
      </c>
      <c r="N222" s="33">
        <f>quantInv[[#This Row],[UNIT
VALUE]] / EURtoGBP</f>
        <v>4.7731748707383383</v>
      </c>
      <c r="O222" s="33">
        <f>quantInv[[#This Row],[UNIT
VALUE]]/USDtoGBP</f>
        <v>5.7643564003547718</v>
      </c>
      <c r="P222" s="33">
        <f>quantInv[[#This Row],[UNIT
VALUE]] / CADtoGBP</f>
        <v>7.3787075592709375</v>
      </c>
      <c r="Q222" s="33">
        <f>quantInv[[#This Row],[UNIT
VALUE]]/AUDtoGBP</f>
        <v>7.5526259070335513</v>
      </c>
      <c r="R222">
        <f>IFERROR(VLOOKUP(quantInv[[#This Row],[Assigned Item SKU]],skuQuantity[#All],2,FALSE),0)</f>
        <v>0</v>
      </c>
      <c r="S222" t="str">
        <f>PROPER(quantInv[[#This Row],[Metal]] &amp; " " &amp; quantInv[[#This Row],[Item Type]])</f>
        <v>925 Silver Chain</v>
      </c>
      <c r="T222" s="33">
        <f>quantInv[[#This Row],[Quantity]]*quantInv[[#This Row],[WEIGHT]]</f>
        <v>0</v>
      </c>
      <c r="U222" s="33">
        <f>quantInv[[#This Row],[UNIT
VALUE]]*quantInv[[#This Row],[Quantity]]</f>
        <v>0</v>
      </c>
      <c r="V222" s="33">
        <f>quantInv[[#This Row],[Total Cost GBP]]/EURtoGBP</f>
        <v>0</v>
      </c>
      <c r="W222" s="33">
        <f>quantInv[[#This Row],[Total Cost GBP]]/USDtoGBP</f>
        <v>0</v>
      </c>
      <c r="X222" s="33">
        <f>quantInv[[#This Row],[Total Cost GBP]]/CADtoGBP</f>
        <v>0</v>
      </c>
      <c r="Y222" s="33">
        <f>quantInv[[#This Row],[Quantity]]*quantInv[[#This Row],[UNIT
VALUE AUD]]</f>
        <v>0</v>
      </c>
      <c r="Z222" s="33"/>
    </row>
    <row r="223" spans="1:26" x14ac:dyDescent="0.25">
      <c r="A223" t="s">
        <v>575</v>
      </c>
      <c r="B223" t="s">
        <v>576</v>
      </c>
      <c r="C223" t="s">
        <v>114</v>
      </c>
      <c r="D223" t="s">
        <v>568</v>
      </c>
      <c r="E223">
        <v>4.55</v>
      </c>
      <c r="F223" s="33">
        <v>4.5972</v>
      </c>
      <c r="G223" s="33" t="s">
        <v>117</v>
      </c>
      <c r="H223" t="s">
        <v>103</v>
      </c>
      <c r="I223" t="str">
        <f>IF(quantInv[[#This Row],[Metal]] = "925 Silver",  "7113.11.00"," 7113.19.00")</f>
        <v>7113.11.00</v>
      </c>
      <c r="J223" t="str">
        <f>IF(quantInv[[#This Row],[Metal]] = "925 Silver", "7113.11.10.00"," 7113.19.10.00")</f>
        <v>7113.11.10.00</v>
      </c>
      <c r="K223" t="str">
        <f>IF(quantInv[[#This Row],[Metal]] = "925 Silver",  "7113.11.00"," 7113.19.00")</f>
        <v>7113.11.00</v>
      </c>
      <c r="L223" t="str">
        <f>IFERROR(VLOOKUP(quantInv[[#This Row],[Description for New Invoice]],Map!$G$12:$H$32,2,FALSE), IF(quantInv[[#This Row],[Metal]] = "925 Silver", "7113.11.10.00", "7113.19.29.00"))</f>
        <v>7113.11.10.00</v>
      </c>
      <c r="M223" t="str">
        <f>quantInv[[#This Row],[ASIN]] &amp; " " &amp; quantInv[[#This Row],[Short Description]]</f>
        <v>B00DKCZ4B0 Marine Chain</v>
      </c>
      <c r="N223" s="33">
        <f>quantInv[[#This Row],[UNIT
VALUE]] / EURtoGBP</f>
        <v>5.2183684936404964</v>
      </c>
      <c r="O223" s="33">
        <f>quantInv[[#This Row],[UNIT
VALUE]]/USDtoGBP</f>
        <v>6.3019974420240086</v>
      </c>
      <c r="P223" s="33">
        <f>quantInv[[#This Row],[UNIT
VALUE]] / CADtoGBP</f>
        <v>8.0669189991629864</v>
      </c>
      <c r="Q223" s="33">
        <f>quantInv[[#This Row],[UNIT
VALUE]]/AUDtoGBP</f>
        <v>8.2570586967454549</v>
      </c>
      <c r="R223">
        <f>IFERROR(VLOOKUP(quantInv[[#This Row],[Assigned Item SKU]],skuQuantity[#All],2,FALSE),0)</f>
        <v>0</v>
      </c>
      <c r="S223" t="str">
        <f>PROPER(quantInv[[#This Row],[Metal]] &amp; " " &amp; quantInv[[#This Row],[Item Type]])</f>
        <v>925 Silver Chain</v>
      </c>
      <c r="T223" s="33">
        <f>quantInv[[#This Row],[Quantity]]*quantInv[[#This Row],[WEIGHT]]</f>
        <v>0</v>
      </c>
      <c r="U223" s="33">
        <f>quantInv[[#This Row],[UNIT
VALUE]]*quantInv[[#This Row],[Quantity]]</f>
        <v>0</v>
      </c>
      <c r="V223" s="33">
        <f>quantInv[[#This Row],[Total Cost GBP]]/EURtoGBP</f>
        <v>0</v>
      </c>
      <c r="W223" s="33">
        <f>quantInv[[#This Row],[Total Cost GBP]]/USDtoGBP</f>
        <v>0</v>
      </c>
      <c r="X223" s="33">
        <f>quantInv[[#This Row],[Total Cost GBP]]/CADtoGBP</f>
        <v>0</v>
      </c>
      <c r="Y223" s="33">
        <f>quantInv[[#This Row],[Quantity]]*quantInv[[#This Row],[UNIT
VALUE AUD]]</f>
        <v>0</v>
      </c>
      <c r="Z223" s="33"/>
    </row>
    <row r="224" spans="1:26" x14ac:dyDescent="0.25">
      <c r="A224" t="s">
        <v>577</v>
      </c>
      <c r="B224" t="s">
        <v>578</v>
      </c>
      <c r="C224" t="s">
        <v>114</v>
      </c>
      <c r="D224" t="s">
        <v>568</v>
      </c>
      <c r="E224">
        <v>5.48</v>
      </c>
      <c r="F224" s="33">
        <v>5.4657</v>
      </c>
      <c r="G224" s="33" t="s">
        <v>117</v>
      </c>
      <c r="H224" t="s">
        <v>103</v>
      </c>
      <c r="I224" t="str">
        <f>IF(quantInv[[#This Row],[Metal]] = "925 Silver",  "7113.11.00"," 7113.19.00")</f>
        <v>7113.11.00</v>
      </c>
      <c r="J224" t="str">
        <f>IF(quantInv[[#This Row],[Metal]] = "925 Silver", "7113.11.10.00"," 7113.19.10.00")</f>
        <v>7113.11.10.00</v>
      </c>
      <c r="K224" t="str">
        <f>IF(quantInv[[#This Row],[Metal]] = "925 Silver",  "7113.11.00"," 7113.19.00")</f>
        <v>7113.11.00</v>
      </c>
      <c r="L224" t="str">
        <f>IFERROR(VLOOKUP(quantInv[[#This Row],[Description for New Invoice]],Map!$G$12:$H$32,2,FALSE), IF(quantInv[[#This Row],[Metal]] = "925 Silver", "7113.11.10.00", "7113.19.29.00"))</f>
        <v>7113.11.10.00</v>
      </c>
      <c r="M224" t="str">
        <f>quantInv[[#This Row],[ASIN]] &amp; " " &amp; quantInv[[#This Row],[Short Description]]</f>
        <v>B00DKCZ6JU Marine Chain</v>
      </c>
      <c r="N224" s="33">
        <f>quantInv[[#This Row],[UNIT
VALUE]] / EURtoGBP</f>
        <v>6.2042192368595801</v>
      </c>
      <c r="O224" s="33">
        <f>quantInv[[#This Row],[UNIT
VALUE]]/USDtoGBP</f>
        <v>7.4925666533695781</v>
      </c>
      <c r="P224" s="33">
        <f>quantInv[[#This Row],[UNIT
VALUE]] / CADtoGBP</f>
        <v>9.5909160301325009</v>
      </c>
      <c r="Q224" s="33">
        <f>quantInv[[#This Row],[UNIT
VALUE]]/AUDtoGBP</f>
        <v>9.8169767943099355</v>
      </c>
      <c r="R224">
        <f>IFERROR(VLOOKUP(quantInv[[#This Row],[Assigned Item SKU]],skuQuantity[#All],2,FALSE),0)</f>
        <v>0</v>
      </c>
      <c r="S224" t="str">
        <f>PROPER(quantInv[[#This Row],[Metal]] &amp; " " &amp; quantInv[[#This Row],[Item Type]])</f>
        <v>925 Silver Chain</v>
      </c>
      <c r="T224" s="33">
        <f>quantInv[[#This Row],[Quantity]]*quantInv[[#This Row],[WEIGHT]]</f>
        <v>0</v>
      </c>
      <c r="U224" s="33">
        <f>quantInv[[#This Row],[UNIT
VALUE]]*quantInv[[#This Row],[Quantity]]</f>
        <v>0</v>
      </c>
      <c r="V224" s="33">
        <f>quantInv[[#This Row],[Total Cost GBP]]/EURtoGBP</f>
        <v>0</v>
      </c>
      <c r="W224" s="33">
        <f>quantInv[[#This Row],[Total Cost GBP]]/USDtoGBP</f>
        <v>0</v>
      </c>
      <c r="X224" s="33">
        <f>quantInv[[#This Row],[Total Cost GBP]]/CADtoGBP</f>
        <v>0</v>
      </c>
      <c r="Y224" s="33">
        <f>quantInv[[#This Row],[Quantity]]*quantInv[[#This Row],[UNIT
VALUE AUD]]</f>
        <v>0</v>
      </c>
      <c r="Z224" s="33"/>
    </row>
    <row r="225" spans="1:26" x14ac:dyDescent="0.25">
      <c r="A225" t="s">
        <v>1512</v>
      </c>
      <c r="B225" t="s">
        <v>1513</v>
      </c>
      <c r="C225" t="s">
        <v>114</v>
      </c>
      <c r="D225" t="s">
        <v>1514</v>
      </c>
      <c r="E225">
        <v>2.0499999999999998</v>
      </c>
      <c r="F225" s="33">
        <v>4.3434999999999997</v>
      </c>
      <c r="G225" s="33" t="s">
        <v>117</v>
      </c>
      <c r="H225" t="s">
        <v>1451</v>
      </c>
      <c r="I225" t="str">
        <f>IF(quantInv[[#This Row],[Metal]] = "925 Silver",  "7113.11.00"," 7113.19.00")</f>
        <v>7113.11.00</v>
      </c>
      <c r="J225" t="str">
        <f>IF(quantInv[[#This Row],[Metal]] = "925 Silver", "7113.11.10.00"," 7113.19.10.00")</f>
        <v>7113.11.10.00</v>
      </c>
      <c r="K225" t="str">
        <f>IF(quantInv[[#This Row],[Metal]] = "925 Silver",  "7113.11.00"," 7113.19.00")</f>
        <v>7113.11.00</v>
      </c>
      <c r="L225" t="str">
        <f>IFERROR(VLOOKUP(quantInv[[#This Row],[Description for New Invoice]],Map!$G$12:$H$32,2,FALSE), IF(quantInv[[#This Row],[Metal]] = "925 Silver", "7113.11.10.00", "7113.19.29.00"))</f>
        <v>7113.11.50.00</v>
      </c>
      <c r="M225" t="str">
        <f>quantInv[[#This Row],[ASIN]] &amp; " " &amp; quantInv[[#This Row],[Short Description]]</f>
        <v>B082BF23G4 Pendant - Letter - A</v>
      </c>
      <c r="N225" s="33">
        <f>quantInv[[#This Row],[UNIT
VALUE]] / EURtoGBP</f>
        <v>4.9303888349707421</v>
      </c>
      <c r="O225" s="33">
        <f>quantInv[[#This Row],[UNIT
VALUE]]/USDtoGBP</f>
        <v>5.9542168905923782</v>
      </c>
      <c r="P225" s="33">
        <f>quantInv[[#This Row],[UNIT
VALUE]] / CADtoGBP</f>
        <v>7.6217399009972215</v>
      </c>
      <c r="Q225" s="33">
        <f>quantInv[[#This Row],[UNIT
VALUE]]/AUDtoGBP</f>
        <v>7.8013865938645006</v>
      </c>
      <c r="R225">
        <f>IFERROR(VLOOKUP(quantInv[[#This Row],[Assigned Item SKU]],skuQuantity[#All],2,FALSE),0)</f>
        <v>10</v>
      </c>
      <c r="S225" t="str">
        <f>PROPER(quantInv[[#This Row],[Metal]] &amp; " " &amp; quantInv[[#This Row],[Item Type]])</f>
        <v>925 Silver Pendant</v>
      </c>
      <c r="T225" s="33">
        <f>quantInv[[#This Row],[Quantity]]*quantInv[[#This Row],[WEIGHT]]</f>
        <v>20.5</v>
      </c>
      <c r="U225" s="33">
        <f>quantInv[[#This Row],[UNIT
VALUE]]*quantInv[[#This Row],[Quantity]]</f>
        <v>43.434999999999995</v>
      </c>
      <c r="V225" s="33">
        <f>quantInv[[#This Row],[Total Cost GBP]]/EURtoGBP</f>
        <v>49.303888349707421</v>
      </c>
      <c r="W225" s="33">
        <f>quantInv[[#This Row],[Total Cost GBP]]/USDtoGBP</f>
        <v>59.542168905923781</v>
      </c>
      <c r="X225" s="33">
        <f>quantInv[[#This Row],[Total Cost GBP]]/CADtoGBP</f>
        <v>76.217399009972212</v>
      </c>
      <c r="Y225" s="33">
        <f>quantInv[[#This Row],[Quantity]]*quantInv[[#This Row],[UNIT
VALUE AUD]]</f>
        <v>78.013865938645012</v>
      </c>
      <c r="Z225" s="33"/>
    </row>
    <row r="226" spans="1:26" x14ac:dyDescent="0.25">
      <c r="A226" t="s">
        <v>1596</v>
      </c>
      <c r="B226" t="s">
        <v>1597</v>
      </c>
      <c r="C226" t="s">
        <v>115</v>
      </c>
      <c r="D226" t="s">
        <v>1598</v>
      </c>
      <c r="E226">
        <v>2.74</v>
      </c>
      <c r="F226" s="33">
        <v>4.3333000000000004</v>
      </c>
      <c r="G226" s="33" t="s">
        <v>117</v>
      </c>
      <c r="H226" t="s">
        <v>1310</v>
      </c>
      <c r="I226" t="str">
        <f>IF(quantInv[[#This Row],[Metal]] = "925 Silver",  "7113.11.00"," 7113.19.00")</f>
        <v>7113.11.00</v>
      </c>
      <c r="J226" t="str">
        <f>IF(quantInv[[#This Row],[Metal]] = "925 Silver", "7113.11.10.00"," 7113.19.10.00")</f>
        <v>7113.11.10.00</v>
      </c>
      <c r="K226" t="str">
        <f>IF(quantInv[[#This Row],[Metal]] = "925 Silver",  "7113.11.00"," 7113.19.00")</f>
        <v>7113.11.00</v>
      </c>
      <c r="L226" t="str">
        <f>IFERROR(VLOOKUP(quantInv[[#This Row],[Description for New Invoice]],Map!$G$12:$H$32,2,FALSE), IF(quantInv[[#This Row],[Metal]] = "925 Silver", "7113.11.10.00", "7113.19.29.00"))</f>
        <v>7113.11.50.00</v>
      </c>
      <c r="M226" t="str">
        <f>quantInv[[#This Row],[ASIN]] &amp; " " &amp; quantInv[[#This Row],[Short Description]]</f>
        <v>B083KN8J8Q Silver Earrings - Celtic Design- Drop/Hooks/Dangle</v>
      </c>
      <c r="N226" s="33">
        <f>quantInv[[#This Row],[UNIT
VALUE]] / EURtoGBP</f>
        <v>4.9188106224424359</v>
      </c>
      <c r="O226" s="33">
        <f>quantInv[[#This Row],[UNIT
VALUE]]/USDtoGBP</f>
        <v>5.9402343851741586</v>
      </c>
      <c r="P226" s="33">
        <f>quantInv[[#This Row],[UNIT
VALUE]] / CADtoGBP</f>
        <v>7.6038414902708107</v>
      </c>
      <c r="Q226" s="33">
        <f>quantInv[[#This Row],[UNIT
VALUE]]/AUDtoGBP</f>
        <v>7.7830663122350749</v>
      </c>
      <c r="R226">
        <f>IFERROR(VLOOKUP(quantInv[[#This Row],[Assigned Item SKU]],skuQuantity[#All],2,FALSE),0)</f>
        <v>0</v>
      </c>
      <c r="S226" t="str">
        <f>PROPER(quantInv[[#This Row],[Metal]] &amp; " " &amp; quantInv[[#This Row],[Item Type]])</f>
        <v>925 Silver Earrings</v>
      </c>
      <c r="T226" s="33">
        <f>quantInv[[#This Row],[Quantity]]*quantInv[[#This Row],[WEIGHT]]</f>
        <v>0</v>
      </c>
      <c r="U226" s="33">
        <f>quantInv[[#This Row],[UNIT
VALUE]]*quantInv[[#This Row],[Quantity]]</f>
        <v>0</v>
      </c>
      <c r="V226" s="33">
        <f>quantInv[[#This Row],[Total Cost GBP]]/EURtoGBP</f>
        <v>0</v>
      </c>
      <c r="W226" s="33">
        <f>quantInv[[#This Row],[Total Cost GBP]]/USDtoGBP</f>
        <v>0</v>
      </c>
      <c r="X226" s="33">
        <f>quantInv[[#This Row],[Total Cost GBP]]/CADtoGBP</f>
        <v>0</v>
      </c>
      <c r="Y226" s="33">
        <f>quantInv[[#This Row],[Quantity]]*quantInv[[#This Row],[UNIT
VALUE AUD]]</f>
        <v>0</v>
      </c>
      <c r="Z226" s="33"/>
    </row>
    <row r="227" spans="1:26" x14ac:dyDescent="0.25">
      <c r="A227" t="s">
        <v>1602</v>
      </c>
      <c r="B227" t="s">
        <v>1603</v>
      </c>
      <c r="C227" t="s">
        <v>115</v>
      </c>
      <c r="D227" t="s">
        <v>1604</v>
      </c>
      <c r="E227">
        <v>1</v>
      </c>
      <c r="F227" s="33">
        <v>1.9806999999999999</v>
      </c>
      <c r="G227" s="33" t="s">
        <v>117</v>
      </c>
      <c r="H227" t="s">
        <v>1310</v>
      </c>
      <c r="I227" t="str">
        <f>IF(quantInv[[#This Row],[Metal]] = "925 Silver",  "7113.11.00"," 7113.19.00")</f>
        <v>7113.11.00</v>
      </c>
      <c r="J227" t="str">
        <f>IF(quantInv[[#This Row],[Metal]] = "925 Silver", "7113.11.10.00"," 7113.19.10.00")</f>
        <v>7113.11.10.00</v>
      </c>
      <c r="K227" t="str">
        <f>IF(quantInv[[#This Row],[Metal]] = "925 Silver",  "7113.11.00"," 7113.19.00")</f>
        <v>7113.11.00</v>
      </c>
      <c r="L227" t="str">
        <f>IFERROR(VLOOKUP(quantInv[[#This Row],[Description for New Invoice]],Map!$G$12:$H$32,2,FALSE), IF(quantInv[[#This Row],[Metal]] = "925 Silver", "7113.11.10.00", "7113.19.29.00"))</f>
        <v>7113.11.50.00</v>
      </c>
      <c r="M227" t="str">
        <f>quantInv[[#This Row],[ASIN]] &amp; " " &amp; quantInv[[#This Row],[Short Description]]</f>
        <v xml:space="preserve">B083KM8MTH Silver Earrings - Celtic Design- Stud </v>
      </c>
      <c r="N227" s="33">
        <f>quantInv[[#This Row],[UNIT
VALUE]] / EURtoGBP</f>
        <v>2.248329956354679</v>
      </c>
      <c r="O227" s="33">
        <f>quantInv[[#This Row],[UNIT
VALUE]]/USDtoGBP</f>
        <v>2.7152106354774546</v>
      </c>
      <c r="P227" s="33">
        <f>quantInv[[#This Row],[UNIT
VALUE]] / CADtoGBP</f>
        <v>3.4756256986083103</v>
      </c>
      <c r="Q227" s="33">
        <f>quantInv[[#This Row],[UNIT
VALUE]]/AUDtoGBP</f>
        <v>3.5575472375889068</v>
      </c>
      <c r="R227">
        <f>IFERROR(VLOOKUP(quantInv[[#This Row],[Assigned Item SKU]],skuQuantity[#All],2,FALSE),0)</f>
        <v>0</v>
      </c>
      <c r="S227" t="str">
        <f>PROPER(quantInv[[#This Row],[Metal]] &amp; " " &amp; quantInv[[#This Row],[Item Type]])</f>
        <v>925 Silver Earrings</v>
      </c>
      <c r="T227" s="33">
        <f>quantInv[[#This Row],[Quantity]]*quantInv[[#This Row],[WEIGHT]]</f>
        <v>0</v>
      </c>
      <c r="U227" s="33">
        <f>quantInv[[#This Row],[UNIT
VALUE]]*quantInv[[#This Row],[Quantity]]</f>
        <v>0</v>
      </c>
      <c r="V227" s="33">
        <f>quantInv[[#This Row],[Total Cost GBP]]/EURtoGBP</f>
        <v>0</v>
      </c>
      <c r="W227" s="33">
        <f>quantInv[[#This Row],[Total Cost GBP]]/USDtoGBP</f>
        <v>0</v>
      </c>
      <c r="X227" s="33">
        <f>quantInv[[#This Row],[Total Cost GBP]]/CADtoGBP</f>
        <v>0</v>
      </c>
      <c r="Y227" s="33">
        <f>quantInv[[#This Row],[Quantity]]*quantInv[[#This Row],[UNIT
VALUE AUD]]</f>
        <v>0</v>
      </c>
      <c r="Z227" s="33"/>
    </row>
    <row r="228" spans="1:26" x14ac:dyDescent="0.25">
      <c r="A228" t="s">
        <v>1816</v>
      </c>
      <c r="B228" t="s">
        <v>1817</v>
      </c>
      <c r="C228" t="s">
        <v>115</v>
      </c>
      <c r="D228" t="s">
        <v>2959</v>
      </c>
      <c r="E228">
        <v>0.3</v>
      </c>
      <c r="F228" s="33">
        <v>0.86929999999999996</v>
      </c>
      <c r="G228" s="33" t="s">
        <v>117</v>
      </c>
      <c r="H228" t="s">
        <v>1310</v>
      </c>
      <c r="I228" t="str">
        <f>IF(quantInv[[#This Row],[Metal]] = "925 Silver",  "7113.11.00"," 7113.19.00")</f>
        <v>7113.11.00</v>
      </c>
      <c r="J228" t="str">
        <f>IF(quantInv[[#This Row],[Metal]] = "925 Silver", "7113.11.10.00"," 7113.19.10.00")</f>
        <v>7113.11.10.00</v>
      </c>
      <c r="K228" t="str">
        <f>IF(quantInv[[#This Row],[Metal]] = "925 Silver",  "7113.11.00"," 7113.19.00")</f>
        <v>7113.11.00</v>
      </c>
      <c r="L228" t="str">
        <f>IFERROR(VLOOKUP(quantInv[[#This Row],[Description for New Invoice]],Map!$G$12:$H$32,2,FALSE), IF(quantInv[[#This Row],[Metal]] = "925 Silver", "7113.11.10.00", "7113.19.29.00"))</f>
        <v>7113.11.50.00</v>
      </c>
      <c r="M228" t="str">
        <f>quantInv[[#This Row],[ASIN]] &amp; " " &amp; quantInv[[#This Row],[Short Description]]</f>
        <v>B08NQ44RB1 Cuff Earrings  Heart Design</v>
      </c>
      <c r="N228" s="33">
        <f>quantInv[[#This Row],[UNIT
VALUE]] / EURtoGBP</f>
        <v>0.98675883831934297</v>
      </c>
      <c r="O228" s="33">
        <f>quantInv[[#This Row],[UNIT
VALUE]]/USDtoGBP</f>
        <v>1.1916658784371945</v>
      </c>
      <c r="P228" s="33">
        <f>quantInv[[#This Row],[UNIT
VALUE]] / CADtoGBP</f>
        <v>1.5254008278892333</v>
      </c>
      <c r="Q228" s="33">
        <f>quantInv[[#This Row],[UNIT
VALUE]]/AUDtoGBP</f>
        <v>1.5613549823981607</v>
      </c>
      <c r="R228">
        <f>IFERROR(VLOOKUP(quantInv[[#This Row],[Assigned Item SKU]],skuQuantity[#All],2,FALSE),0)</f>
        <v>5</v>
      </c>
      <c r="S228" t="str">
        <f>PROPER(quantInv[[#This Row],[Metal]] &amp; " " &amp; quantInv[[#This Row],[Item Type]])</f>
        <v>925 Silver Earrings</v>
      </c>
      <c r="T228" s="33">
        <f>quantInv[[#This Row],[Quantity]]*quantInv[[#This Row],[WEIGHT]]</f>
        <v>1.5</v>
      </c>
      <c r="U228" s="33">
        <f>quantInv[[#This Row],[UNIT
VALUE]]*quantInv[[#This Row],[Quantity]]</f>
        <v>4.3464999999999998</v>
      </c>
      <c r="V228" s="33">
        <f>quantInv[[#This Row],[Total Cost GBP]]/EURtoGBP</f>
        <v>4.9337941915967152</v>
      </c>
      <c r="W228" s="33">
        <f>quantInv[[#This Row],[Total Cost GBP]]/USDtoGBP</f>
        <v>5.9583293921859726</v>
      </c>
      <c r="X228" s="33">
        <f>quantInv[[#This Row],[Total Cost GBP]]/CADtoGBP</f>
        <v>7.6270041394461661</v>
      </c>
      <c r="Y228" s="33">
        <f>quantInv[[#This Row],[Quantity]]*quantInv[[#This Row],[UNIT
VALUE AUD]]</f>
        <v>7.8067749119908036</v>
      </c>
      <c r="Z228" s="33"/>
    </row>
    <row r="229" spans="1:26" x14ac:dyDescent="0.25">
      <c r="A229" t="s">
        <v>1865</v>
      </c>
      <c r="B229" t="s">
        <v>1866</v>
      </c>
      <c r="C229" t="s">
        <v>115</v>
      </c>
      <c r="D229" t="s">
        <v>1867</v>
      </c>
      <c r="E229">
        <v>1.58</v>
      </c>
      <c r="F229" s="33">
        <v>3.9683000000000002</v>
      </c>
      <c r="G229" s="33" t="s">
        <v>117</v>
      </c>
      <c r="H229" t="s">
        <v>3302</v>
      </c>
      <c r="I229" t="str">
        <f>IF(quantInv[[#This Row],[Metal]] = "925 Silver",  "7113.11.00"," 7113.19.00")</f>
        <v>7113.11.00</v>
      </c>
      <c r="J229" t="str">
        <f>IF(quantInv[[#This Row],[Metal]] = "925 Silver", "7113.11.10.00"," 7113.19.10.00")</f>
        <v>7113.11.10.00</v>
      </c>
      <c r="K229" t="str">
        <f>IF(quantInv[[#This Row],[Metal]] = "925 Silver",  "7113.11.00"," 7113.19.00")</f>
        <v>7113.11.00</v>
      </c>
      <c r="L229" t="str">
        <f>IFERROR(VLOOKUP(quantInv[[#This Row],[Description for New Invoice]],Map!$G$12:$H$32,2,FALSE), IF(quantInv[[#This Row],[Metal]] = "925 Silver", "7113.11.10.00", "7113.19.29.00"))</f>
        <v>7113.11.50.00</v>
      </c>
      <c r="M229" t="str">
        <f>quantInv[[#This Row],[ASIN]] &amp; " " &amp; quantInv[[#This Row],[Short Description]]</f>
        <v>B08C34P7W7 Ring with CZ - M</v>
      </c>
      <c r="N229" s="33">
        <f>quantInv[[#This Row],[UNIT
VALUE]] / EURtoGBP</f>
        <v>4.5044922329490955</v>
      </c>
      <c r="O229" s="33">
        <f>quantInv[[#This Row],[UNIT
VALUE]]/USDtoGBP</f>
        <v>5.4398800246201766</v>
      </c>
      <c r="P229" s="33">
        <f>quantInv[[#This Row],[UNIT
VALUE]] / CADtoGBP</f>
        <v>6.9633591456491946</v>
      </c>
      <c r="Q229" s="33">
        <f>quantInv[[#This Row],[UNIT
VALUE]]/AUDtoGBP</f>
        <v>7.1274876068683097</v>
      </c>
      <c r="R229">
        <f>IFERROR(VLOOKUP(quantInv[[#This Row],[Assigned Item SKU]],skuQuantity[#All],2,FALSE),0)</f>
        <v>5</v>
      </c>
      <c r="S229" t="str">
        <f>PROPER(quantInv[[#This Row],[Metal]] &amp; " " &amp; quantInv[[#This Row],[Item Type]])</f>
        <v>925 Silver Ring</v>
      </c>
      <c r="T229" s="33">
        <f>quantInv[[#This Row],[Quantity]]*quantInv[[#This Row],[WEIGHT]]</f>
        <v>7.9</v>
      </c>
      <c r="U229" s="33">
        <f>quantInv[[#This Row],[UNIT
VALUE]]*quantInv[[#This Row],[Quantity]]</f>
        <v>19.8415</v>
      </c>
      <c r="V229" s="33">
        <f>quantInv[[#This Row],[Total Cost GBP]]/EURtoGBP</f>
        <v>22.522461164745479</v>
      </c>
      <c r="W229" s="33">
        <f>quantInv[[#This Row],[Total Cost GBP]]/USDtoGBP</f>
        <v>27.19940012310088</v>
      </c>
      <c r="X229" s="33">
        <f>quantInv[[#This Row],[Total Cost GBP]]/CADtoGBP</f>
        <v>34.816795728245971</v>
      </c>
      <c r="Y229" s="33">
        <f>quantInv[[#This Row],[Quantity]]*quantInv[[#This Row],[UNIT
VALUE AUD]]</f>
        <v>35.63743803434155</v>
      </c>
      <c r="Z229" s="33"/>
    </row>
    <row r="230" spans="1:26" x14ac:dyDescent="0.25">
      <c r="A230" t="s">
        <v>587</v>
      </c>
      <c r="B230" t="s">
        <v>588</v>
      </c>
      <c r="C230" t="s">
        <v>114</v>
      </c>
      <c r="D230" t="s">
        <v>242</v>
      </c>
      <c r="E230">
        <v>1.4339869281045801</v>
      </c>
      <c r="F230" s="33">
        <v>1.8138000000000001</v>
      </c>
      <c r="G230" s="33" t="s">
        <v>117</v>
      </c>
      <c r="H230" t="s">
        <v>1414</v>
      </c>
      <c r="I230" t="str">
        <f>IF(quantInv[[#This Row],[Metal]] = "925 Silver",  "7113.11.00"," 7113.19.00")</f>
        <v>7113.11.00</v>
      </c>
      <c r="J230" t="str">
        <f>IF(quantInv[[#This Row],[Metal]] = "925 Silver", "7113.11.10.00"," 7113.19.10.00")</f>
        <v>7113.11.10.00</v>
      </c>
      <c r="K230" t="str">
        <f>IF(quantInv[[#This Row],[Metal]] = "925 Silver",  "7113.11.00"," 7113.19.00")</f>
        <v>7113.11.00</v>
      </c>
      <c r="L230" t="str">
        <f>IFERROR(VLOOKUP(quantInv[[#This Row],[Description for New Invoice]],Map!$G$12:$H$32,2,FALSE), IF(quantInv[[#This Row],[Metal]] = "925 Silver", "7113.11.10.00", "7113.19.29.00"))</f>
        <v>7113.11.10.00</v>
      </c>
      <c r="M230" t="str">
        <f>quantInv[[#This Row],[ASIN]] &amp; " " &amp; quantInv[[#This Row],[Short Description]]</f>
        <v>B00JCW2UO6 Heart Chain</v>
      </c>
      <c r="N230" s="33">
        <f>quantInv[[#This Row],[UNIT
VALUE]] / EURtoGBP</f>
        <v>2.0588786160630672</v>
      </c>
      <c r="O230" s="33">
        <f>quantInv[[#This Row],[UNIT
VALUE]]/USDtoGBP</f>
        <v>2.4864184634871549</v>
      </c>
      <c r="P230" s="33">
        <f>quantInv[[#This Row],[UNIT
VALUE]] / CADtoGBP</f>
        <v>3.1827585662320161</v>
      </c>
      <c r="Q230" s="33">
        <f>quantInv[[#This Row],[UNIT
VALUE]]/AUDtoGBP</f>
        <v>3.2577771391622963</v>
      </c>
      <c r="R230">
        <f>IFERROR(VLOOKUP(quantInv[[#This Row],[Assigned Item SKU]],skuQuantity[#All],2,FALSE),0)</f>
        <v>0</v>
      </c>
      <c r="S230" t="str">
        <f>PROPER(quantInv[[#This Row],[Metal]] &amp; " " &amp; quantInv[[#This Row],[Item Type]])</f>
        <v>925 Silver Bracelet</v>
      </c>
      <c r="T230" s="33">
        <f>quantInv[[#This Row],[Quantity]]*quantInv[[#This Row],[WEIGHT]]</f>
        <v>0</v>
      </c>
      <c r="U230" s="33">
        <f>quantInv[[#This Row],[UNIT
VALUE]]*quantInv[[#This Row],[Quantity]]</f>
        <v>0</v>
      </c>
      <c r="V230" s="33">
        <f>quantInv[[#This Row],[Total Cost GBP]]/EURtoGBP</f>
        <v>0</v>
      </c>
      <c r="W230" s="33">
        <f>quantInv[[#This Row],[Total Cost GBP]]/USDtoGBP</f>
        <v>0</v>
      </c>
      <c r="X230" s="33">
        <f>quantInv[[#This Row],[Total Cost GBP]]/CADtoGBP</f>
        <v>0</v>
      </c>
      <c r="Y230" s="33">
        <f>quantInv[[#This Row],[Quantity]]*quantInv[[#This Row],[UNIT
VALUE AUD]]</f>
        <v>0</v>
      </c>
      <c r="Z230" s="33"/>
    </row>
    <row r="231" spans="1:26" x14ac:dyDescent="0.25">
      <c r="A231" t="s">
        <v>589</v>
      </c>
      <c r="B231" t="s">
        <v>590</v>
      </c>
      <c r="C231" t="s">
        <v>114</v>
      </c>
      <c r="D231" t="s">
        <v>242</v>
      </c>
      <c r="E231">
        <v>1.49</v>
      </c>
      <c r="F231" s="33">
        <v>1.871</v>
      </c>
      <c r="G231" s="33" t="s">
        <v>117</v>
      </c>
      <c r="H231" t="s">
        <v>1414</v>
      </c>
      <c r="I231" t="str">
        <f>IF(quantInv[[#This Row],[Metal]] = "925 Silver",  "7113.11.00"," 7113.19.00")</f>
        <v>7113.11.00</v>
      </c>
      <c r="J231" t="str">
        <f>IF(quantInv[[#This Row],[Metal]] = "925 Silver", "7113.11.10.00"," 7113.19.10.00")</f>
        <v>7113.11.10.00</v>
      </c>
      <c r="K231" t="str">
        <f>IF(quantInv[[#This Row],[Metal]] = "925 Silver",  "7113.11.00"," 7113.19.00")</f>
        <v>7113.11.00</v>
      </c>
      <c r="L231" t="str">
        <f>IFERROR(VLOOKUP(quantInv[[#This Row],[Description for New Invoice]],Map!$G$12:$H$32,2,FALSE), IF(quantInv[[#This Row],[Metal]] = "925 Silver", "7113.11.10.00", "7113.19.29.00"))</f>
        <v>7113.11.10.00</v>
      </c>
      <c r="M231" t="str">
        <f>quantInv[[#This Row],[ASIN]] &amp; " " &amp; quantInv[[#This Row],[Short Description]]</f>
        <v>B00JCW2VBI Heart Chain</v>
      </c>
      <c r="N231" s="33">
        <f>quantInv[[#This Row],[UNIT
VALUE]] / EURtoGBP</f>
        <v>2.1238074157316125</v>
      </c>
      <c r="O231" s="33">
        <f>quantInv[[#This Row],[UNIT
VALUE]]/USDtoGBP</f>
        <v>2.5648301605383539</v>
      </c>
      <c r="P231" s="33">
        <f>quantInv[[#This Row],[UNIT
VALUE]] / CADtoGBP</f>
        <v>3.2831300459918964</v>
      </c>
      <c r="Q231" s="33">
        <f>quantInv[[#This Row],[UNIT
VALUE]]/AUDtoGBP</f>
        <v>3.3605144047704574</v>
      </c>
      <c r="R231">
        <f>IFERROR(VLOOKUP(quantInv[[#This Row],[Assigned Item SKU]],skuQuantity[#All],2,FALSE),0)</f>
        <v>20</v>
      </c>
      <c r="S231" t="str">
        <f>PROPER(quantInv[[#This Row],[Metal]] &amp; " " &amp; quantInv[[#This Row],[Item Type]])</f>
        <v>925 Silver Bracelet</v>
      </c>
      <c r="T231" s="33">
        <f>quantInv[[#This Row],[Quantity]]*quantInv[[#This Row],[WEIGHT]]</f>
        <v>29.8</v>
      </c>
      <c r="U231" s="33">
        <f>quantInv[[#This Row],[UNIT
VALUE]]*quantInv[[#This Row],[Quantity]]</f>
        <v>37.42</v>
      </c>
      <c r="V231" s="33">
        <f>quantInv[[#This Row],[Total Cost GBP]]/EURtoGBP</f>
        <v>42.476148314632255</v>
      </c>
      <c r="W231" s="33">
        <f>quantInv[[#This Row],[Total Cost GBP]]/USDtoGBP</f>
        <v>51.296603210767081</v>
      </c>
      <c r="X231" s="33">
        <f>quantInv[[#This Row],[Total Cost GBP]]/CADtoGBP</f>
        <v>65.662600919837928</v>
      </c>
      <c r="Y231" s="33">
        <f>quantInv[[#This Row],[Quantity]]*quantInv[[#This Row],[UNIT
VALUE AUD]]</f>
        <v>67.21028809540914</v>
      </c>
      <c r="Z231" s="33"/>
    </row>
    <row r="232" spans="1:26" x14ac:dyDescent="0.25">
      <c r="A232" t="s">
        <v>1997</v>
      </c>
      <c r="B232" t="s">
        <v>1998</v>
      </c>
      <c r="C232" t="s">
        <v>113</v>
      </c>
      <c r="D232" t="s">
        <v>1996</v>
      </c>
      <c r="E232">
        <v>1.82</v>
      </c>
      <c r="F232" s="33">
        <v>2.3525</v>
      </c>
      <c r="G232" s="33" t="s">
        <v>117</v>
      </c>
      <c r="H232" t="s">
        <v>1414</v>
      </c>
      <c r="I232" t="str">
        <f>IF(quantInv[[#This Row],[Metal]] = "925 Silver",  "7113.11.00"," 7113.19.00")</f>
        <v>7113.11.00</v>
      </c>
      <c r="J232" t="str">
        <f>IF(quantInv[[#This Row],[Metal]] = "925 Silver", "7113.11.10.00"," 7113.19.10.00")</f>
        <v>7113.11.10.00</v>
      </c>
      <c r="K232" t="str">
        <f>IF(quantInv[[#This Row],[Metal]] = "925 Silver",  "7113.11.00"," 7113.19.00")</f>
        <v>7113.11.00</v>
      </c>
      <c r="L232" t="str">
        <f>IFERROR(VLOOKUP(quantInv[[#This Row],[Description for New Invoice]],Map!$G$12:$H$32,2,FALSE), IF(quantInv[[#This Row],[Metal]] = "925 Silver", "7113.11.10.00", "7113.19.29.00"))</f>
        <v>7113.11.10.00</v>
      </c>
      <c r="M232" t="str">
        <f>quantInv[[#This Row],[ASIN]] &amp; " " &amp; quantInv[[#This Row],[Short Description]]</f>
        <v>B08F7XTF68 Singapore chain bracelet - gold plated</v>
      </c>
      <c r="N232" s="33">
        <f>quantInv[[#This Row],[UNIT
VALUE]] / EURtoGBP</f>
        <v>2.6703671542002239</v>
      </c>
      <c r="O232" s="33">
        <f>quantInv[[#This Row],[UNIT
VALUE]]/USDtoGBP</f>
        <v>3.2248866663102498</v>
      </c>
      <c r="P232" s="33">
        <f>quantInv[[#This Row],[UNIT
VALUE]] / CADtoGBP</f>
        <v>4.1280403170475344</v>
      </c>
      <c r="Q232" s="33">
        <f>quantInv[[#This Row],[UNIT
VALUE]]/AUDtoGBP</f>
        <v>4.2253394640419568</v>
      </c>
      <c r="R232">
        <f>IFERROR(VLOOKUP(quantInv[[#This Row],[Assigned Item SKU]],skuQuantity[#All],2,FALSE),0)</f>
        <v>0</v>
      </c>
      <c r="S232" t="str">
        <f>PROPER(quantInv[[#This Row],[Metal]] &amp; " " &amp; quantInv[[#This Row],[Item Type]])</f>
        <v>925 Silver Bracelet</v>
      </c>
      <c r="T232" s="33">
        <f>quantInv[[#This Row],[Quantity]]*quantInv[[#This Row],[WEIGHT]]</f>
        <v>0</v>
      </c>
      <c r="U232" s="33">
        <f>quantInv[[#This Row],[UNIT
VALUE]]*quantInv[[#This Row],[Quantity]]</f>
        <v>0</v>
      </c>
      <c r="V232" s="33">
        <f>quantInv[[#This Row],[Total Cost GBP]]/EURtoGBP</f>
        <v>0</v>
      </c>
      <c r="W232" s="33">
        <f>quantInv[[#This Row],[Total Cost GBP]]/USDtoGBP</f>
        <v>0</v>
      </c>
      <c r="X232" s="33">
        <f>quantInv[[#This Row],[Total Cost GBP]]/CADtoGBP</f>
        <v>0</v>
      </c>
      <c r="Y232" s="33">
        <f>quantInv[[#This Row],[Quantity]]*quantInv[[#This Row],[UNIT
VALUE AUD]]</f>
        <v>0</v>
      </c>
      <c r="Z232" s="33"/>
    </row>
    <row r="233" spans="1:26" x14ac:dyDescent="0.25">
      <c r="A233" t="s">
        <v>2039</v>
      </c>
      <c r="B233" t="s">
        <v>2040</v>
      </c>
      <c r="C233" t="s">
        <v>114</v>
      </c>
      <c r="D233" t="s">
        <v>2041</v>
      </c>
      <c r="E233">
        <v>4.8</v>
      </c>
      <c r="F233" s="33">
        <v>6.9608999999999996</v>
      </c>
      <c r="G233" s="33" t="s">
        <v>117</v>
      </c>
      <c r="H233" t="s">
        <v>1310</v>
      </c>
      <c r="I233" t="str">
        <f>IF(quantInv[[#This Row],[Metal]] = "925 Silver",  "7113.11.00"," 7113.19.00")</f>
        <v>7113.11.00</v>
      </c>
      <c r="J233" t="str">
        <f>IF(quantInv[[#This Row],[Metal]] = "925 Silver", "7113.11.10.00"," 7113.19.10.00")</f>
        <v>7113.11.10.00</v>
      </c>
      <c r="K233" t="str">
        <f>IF(quantInv[[#This Row],[Metal]] = "925 Silver",  "7113.11.00"," 7113.19.00")</f>
        <v>7113.11.00</v>
      </c>
      <c r="L233" t="str">
        <f>IFERROR(VLOOKUP(quantInv[[#This Row],[Description for New Invoice]],Map!$G$12:$H$32,2,FALSE), IF(quantInv[[#This Row],[Metal]] = "925 Silver", "7113.11.10.00", "7113.19.29.00"))</f>
        <v>7113.11.50.00</v>
      </c>
      <c r="M233" t="str">
        <f>quantInv[[#This Row],[ASIN]] &amp; " " &amp; quantInv[[#This Row],[Short Description]]</f>
        <v>B08P3K95HY Beaded Hoops with post notch</v>
      </c>
      <c r="N233" s="33">
        <f>quantInv[[#This Row],[UNIT
VALUE]] / EURtoGBP</f>
        <v>7.9014489792443507</v>
      </c>
      <c r="O233" s="33">
        <f>quantInv[[#This Row],[UNIT
VALUE]]/USDtoGBP</f>
        <v>9.5422374476170102</v>
      </c>
      <c r="P233" s="33">
        <f>quantInv[[#This Row],[UNIT
VALUE]] / CADtoGBP</f>
        <v>12.21461247308658</v>
      </c>
      <c r="Q233" s="33">
        <f>quantInv[[#This Row],[UNIT
VALUE]]/AUDtoGBP</f>
        <v>12.50251454845894</v>
      </c>
      <c r="R233">
        <f>IFERROR(VLOOKUP(quantInv[[#This Row],[Assigned Item SKU]],skuQuantity[#All],2,FALSE),0)</f>
        <v>5</v>
      </c>
      <c r="S233" t="str">
        <f>PROPER(quantInv[[#This Row],[Metal]] &amp; " " &amp; quantInv[[#This Row],[Item Type]])</f>
        <v>925 Silver Earrings</v>
      </c>
      <c r="T233" s="33">
        <f>quantInv[[#This Row],[Quantity]]*quantInv[[#This Row],[WEIGHT]]</f>
        <v>24</v>
      </c>
      <c r="U233" s="33">
        <f>quantInv[[#This Row],[UNIT
VALUE]]*quantInv[[#This Row],[Quantity]]</f>
        <v>34.804499999999997</v>
      </c>
      <c r="V233" s="33">
        <f>quantInv[[#This Row],[Total Cost GBP]]/EURtoGBP</f>
        <v>39.507244896221756</v>
      </c>
      <c r="W233" s="33">
        <f>quantInv[[#This Row],[Total Cost GBP]]/USDtoGBP</f>
        <v>47.711187238085053</v>
      </c>
      <c r="X233" s="33">
        <f>quantInv[[#This Row],[Total Cost GBP]]/CADtoGBP</f>
        <v>61.073062365432897</v>
      </c>
      <c r="Y233" s="33">
        <f>quantInv[[#This Row],[Quantity]]*quantInv[[#This Row],[UNIT
VALUE AUD]]</f>
        <v>62.512572742294701</v>
      </c>
      <c r="Z233" s="33"/>
    </row>
    <row r="234" spans="1:26" x14ac:dyDescent="0.25">
      <c r="A234" t="s">
        <v>24</v>
      </c>
      <c r="B234" t="s">
        <v>594</v>
      </c>
      <c r="C234" t="s">
        <v>114</v>
      </c>
      <c r="D234" t="s">
        <v>242</v>
      </c>
      <c r="E234">
        <v>3.6971751412429401</v>
      </c>
      <c r="F234" s="33">
        <v>3.9310999999999998</v>
      </c>
      <c r="G234" s="33" t="s">
        <v>117</v>
      </c>
      <c r="H234" t="s">
        <v>103</v>
      </c>
      <c r="I234" t="str">
        <f>IF(quantInv[[#This Row],[Metal]] = "925 Silver",  "7113.11.00"," 7113.19.00")</f>
        <v>7113.11.00</v>
      </c>
      <c r="J234" t="str">
        <f>IF(quantInv[[#This Row],[Metal]] = "925 Silver", "7113.11.10.00"," 7113.19.10.00")</f>
        <v>7113.11.10.00</v>
      </c>
      <c r="K234" t="str">
        <f>IF(quantInv[[#This Row],[Metal]] = "925 Silver",  "7113.11.00"," 7113.19.00")</f>
        <v>7113.11.00</v>
      </c>
      <c r="L234" t="str">
        <f>IFERROR(VLOOKUP(quantInv[[#This Row],[Description for New Invoice]],Map!$G$12:$H$32,2,FALSE), IF(quantInv[[#This Row],[Metal]] = "925 Silver", "7113.11.10.00", "7113.19.29.00"))</f>
        <v>7113.11.10.00</v>
      </c>
      <c r="M234" t="str">
        <f>quantInv[[#This Row],[ASIN]] &amp; " " &amp; quantInv[[#This Row],[Short Description]]</f>
        <v>B00DKCZLPY Heart Chain</v>
      </c>
      <c r="N234" s="33">
        <f>quantInv[[#This Row],[UNIT
VALUE]] / EURtoGBP</f>
        <v>4.4622658107870343</v>
      </c>
      <c r="O234" s="33">
        <f>quantInv[[#This Row],[UNIT
VALUE]]/USDtoGBP</f>
        <v>5.3888850048596062</v>
      </c>
      <c r="P234" s="33">
        <f>quantInv[[#This Row],[UNIT
VALUE]] / CADtoGBP</f>
        <v>6.8980825888822785</v>
      </c>
      <c r="Q234" s="33">
        <f>quantInv[[#This Row],[UNIT
VALUE]]/AUDtoGBP</f>
        <v>7.0606724621021622</v>
      </c>
      <c r="R234">
        <f>IFERROR(VLOOKUP(quantInv[[#This Row],[Assigned Item SKU]],skuQuantity[#All],2,FALSE),0)</f>
        <v>0</v>
      </c>
      <c r="S234" t="str">
        <f>PROPER(quantInv[[#This Row],[Metal]] &amp; " " &amp; quantInv[[#This Row],[Item Type]])</f>
        <v>925 Silver Chain</v>
      </c>
      <c r="T234" s="33">
        <f>quantInv[[#This Row],[Quantity]]*quantInv[[#This Row],[WEIGHT]]</f>
        <v>0</v>
      </c>
      <c r="U234" s="33">
        <f>quantInv[[#This Row],[UNIT
VALUE]]*quantInv[[#This Row],[Quantity]]</f>
        <v>0</v>
      </c>
      <c r="V234" s="33">
        <f>quantInv[[#This Row],[Total Cost GBP]]/EURtoGBP</f>
        <v>0</v>
      </c>
      <c r="W234" s="33">
        <f>quantInv[[#This Row],[Total Cost GBP]]/USDtoGBP</f>
        <v>0</v>
      </c>
      <c r="X234" s="33">
        <f>quantInv[[#This Row],[Total Cost GBP]]/CADtoGBP</f>
        <v>0</v>
      </c>
      <c r="Y234" s="33">
        <f>quantInv[[#This Row],[Quantity]]*quantInv[[#This Row],[UNIT
VALUE AUD]]</f>
        <v>0</v>
      </c>
      <c r="Z234" s="33"/>
    </row>
    <row r="235" spans="1:26" x14ac:dyDescent="0.25">
      <c r="A235" t="s">
        <v>2093</v>
      </c>
      <c r="B235" t="s">
        <v>2094</v>
      </c>
      <c r="C235" t="s">
        <v>115</v>
      </c>
      <c r="D235" t="s">
        <v>2029</v>
      </c>
      <c r="E235">
        <v>5.23</v>
      </c>
      <c r="F235" s="33">
        <v>7.4565999999999999</v>
      </c>
      <c r="G235" s="33" t="s">
        <v>117</v>
      </c>
      <c r="H235" t="s">
        <v>1451</v>
      </c>
      <c r="I235" t="str">
        <f>IF(quantInv[[#This Row],[Metal]] = "925 Silver",  "7113.11.00"," 7113.19.00")</f>
        <v>7113.11.00</v>
      </c>
      <c r="J235" t="str">
        <f>IF(quantInv[[#This Row],[Metal]] = "925 Silver", "7113.11.10.00"," 7113.19.10.00")</f>
        <v>7113.11.10.00</v>
      </c>
      <c r="K235" t="str">
        <f>IF(quantInv[[#This Row],[Metal]] = "925 Silver",  "7113.11.00"," 7113.19.00")</f>
        <v>7113.11.00</v>
      </c>
      <c r="L235" t="str">
        <f>IFERROR(VLOOKUP(quantInv[[#This Row],[Description for New Invoice]],Map!$G$12:$H$32,2,FALSE), IF(quantInv[[#This Row],[Metal]] = "925 Silver", "7113.11.10.00", "7113.19.29.00"))</f>
        <v>7113.11.50.00</v>
      </c>
      <c r="M235" t="str">
        <f>quantInv[[#This Row],[ASIN]] &amp; " " &amp; quantInv[[#This Row],[Short Description]]</f>
        <v>B08MFQYKCR Cross with Jesus Christ Pendant</v>
      </c>
      <c r="N235" s="33">
        <f>quantInv[[#This Row],[UNIT
VALUE]] / EURtoGBP</f>
        <v>8.4641274057425662</v>
      </c>
      <c r="O235" s="33">
        <f>quantInv[[#This Row],[UNIT
VALUE]]/USDtoGBP</f>
        <v>10.221759794265253</v>
      </c>
      <c r="P235" s="33">
        <f>quantInv[[#This Row],[UNIT
VALUE]] / CADtoGBP</f>
        <v>13.084440139467223</v>
      </c>
      <c r="Q235" s="33">
        <f>quantInv[[#This Row],[UNIT
VALUE]]/AUDtoGBP</f>
        <v>13.39284431352827</v>
      </c>
      <c r="R235">
        <f>IFERROR(VLOOKUP(quantInv[[#This Row],[Assigned Item SKU]],skuQuantity[#All],2,FALSE),0)</f>
        <v>0</v>
      </c>
      <c r="S235" t="str">
        <f>PROPER(quantInv[[#This Row],[Metal]] &amp; " " &amp; quantInv[[#This Row],[Item Type]])</f>
        <v>925 Silver Pendant</v>
      </c>
      <c r="T235" s="33">
        <f>quantInv[[#This Row],[Quantity]]*quantInv[[#This Row],[WEIGHT]]</f>
        <v>0</v>
      </c>
      <c r="U235" s="33">
        <f>quantInv[[#This Row],[UNIT
VALUE]]*quantInv[[#This Row],[Quantity]]</f>
        <v>0</v>
      </c>
      <c r="V235" s="33">
        <f>quantInv[[#This Row],[Total Cost GBP]]/EURtoGBP</f>
        <v>0</v>
      </c>
      <c r="W235" s="33">
        <f>quantInv[[#This Row],[Total Cost GBP]]/USDtoGBP</f>
        <v>0</v>
      </c>
      <c r="X235" s="33">
        <f>quantInv[[#This Row],[Total Cost GBP]]/CADtoGBP</f>
        <v>0</v>
      </c>
      <c r="Y235" s="33">
        <f>quantInv[[#This Row],[Quantity]]*quantInv[[#This Row],[UNIT
VALUE AUD]]</f>
        <v>0</v>
      </c>
      <c r="Z235" s="33"/>
    </row>
    <row r="236" spans="1:26" x14ac:dyDescent="0.25">
      <c r="A236" t="s">
        <v>2110</v>
      </c>
      <c r="B236" t="s">
        <v>2111</v>
      </c>
      <c r="C236" t="s">
        <v>115</v>
      </c>
      <c r="D236" t="s">
        <v>2112</v>
      </c>
      <c r="E236">
        <v>2.56</v>
      </c>
      <c r="F236" s="33">
        <v>3.5221</v>
      </c>
      <c r="G236" s="33" t="s">
        <v>117</v>
      </c>
      <c r="H236" t="s">
        <v>1451</v>
      </c>
      <c r="I236" t="str">
        <f>IF(quantInv[[#This Row],[Metal]] = "925 Silver",  "7113.11.00"," 7113.19.00")</f>
        <v>7113.11.00</v>
      </c>
      <c r="J236" t="str">
        <f>IF(quantInv[[#This Row],[Metal]] = "925 Silver", "7113.11.10.00"," 7113.19.10.00")</f>
        <v>7113.11.10.00</v>
      </c>
      <c r="K236" t="str">
        <f>IF(quantInv[[#This Row],[Metal]] = "925 Silver",  "7113.11.00"," 7113.19.00")</f>
        <v>7113.11.00</v>
      </c>
      <c r="L236" t="str">
        <f>IFERROR(VLOOKUP(quantInv[[#This Row],[Description for New Invoice]],Map!$G$12:$H$32,2,FALSE), IF(quantInv[[#This Row],[Metal]] = "925 Silver", "7113.11.10.00", "7113.19.29.00"))</f>
        <v>7113.11.50.00</v>
      </c>
      <c r="M236" t="str">
        <f>quantInv[[#This Row],[ASIN]] &amp; " " &amp; quantInv[[#This Row],[Short Description]]</f>
        <v>B08Z48GFWM Locket - Coin 2 Pictures</v>
      </c>
      <c r="N236" s="33">
        <f>quantInv[[#This Row],[UNIT
VALUE]] / EURtoGBP</f>
        <v>3.9980021907794292</v>
      </c>
      <c r="O236" s="33">
        <f>quantInv[[#This Row],[UNIT
VALUE]]/USDtoGBP</f>
        <v>4.828213954266241</v>
      </c>
      <c r="P236" s="33">
        <f>quantInv[[#This Row],[UNIT
VALUE]] / CADtoGBP</f>
        <v>6.1803914136761406</v>
      </c>
      <c r="Q236" s="33">
        <f>quantInv[[#This Row],[UNIT
VALUE]]/AUDtoGBP</f>
        <v>6.326065090882965</v>
      </c>
      <c r="R236">
        <f>IFERROR(VLOOKUP(quantInv[[#This Row],[Assigned Item SKU]],skuQuantity[#All],2,FALSE),0)</f>
        <v>15</v>
      </c>
      <c r="S236" t="str">
        <f>PROPER(quantInv[[#This Row],[Metal]] &amp; " " &amp; quantInv[[#This Row],[Item Type]])</f>
        <v>925 Silver Pendant</v>
      </c>
      <c r="T236" s="33">
        <f>quantInv[[#This Row],[Quantity]]*quantInv[[#This Row],[WEIGHT]]</f>
        <v>38.4</v>
      </c>
      <c r="U236" s="33">
        <f>quantInv[[#This Row],[UNIT
VALUE]]*quantInv[[#This Row],[Quantity]]</f>
        <v>52.831499999999998</v>
      </c>
      <c r="V236" s="33">
        <f>quantInv[[#This Row],[Total Cost GBP]]/EURtoGBP</f>
        <v>59.970032861691436</v>
      </c>
      <c r="W236" s="33">
        <f>quantInv[[#This Row],[Total Cost GBP]]/USDtoGBP</f>
        <v>72.42320931399361</v>
      </c>
      <c r="X236" s="33">
        <f>quantInv[[#This Row],[Total Cost GBP]]/CADtoGBP</f>
        <v>92.705871205142103</v>
      </c>
      <c r="Y236" s="33">
        <f>quantInv[[#This Row],[Quantity]]*quantInv[[#This Row],[UNIT
VALUE AUD]]</f>
        <v>94.890976363244476</v>
      </c>
      <c r="Z236" s="33"/>
    </row>
    <row r="237" spans="1:26" x14ac:dyDescent="0.25">
      <c r="A237" t="s">
        <v>2177</v>
      </c>
      <c r="B237" t="s">
        <v>2178</v>
      </c>
      <c r="C237" t="s">
        <v>114</v>
      </c>
      <c r="D237" t="s">
        <v>2179</v>
      </c>
      <c r="E237">
        <v>13.03</v>
      </c>
      <c r="F237" s="33">
        <v>11.7155</v>
      </c>
      <c r="G237" s="33" t="s">
        <v>117</v>
      </c>
      <c r="H237" t="s">
        <v>103</v>
      </c>
      <c r="I237" t="str">
        <f>IF(quantInv[[#This Row],[Metal]] = "925 Silver",  "7113.11.00"," 7113.19.00")</f>
        <v>7113.11.00</v>
      </c>
      <c r="J237" t="str">
        <f>IF(quantInv[[#This Row],[Metal]] = "925 Silver", "7113.11.10.00"," 7113.19.10.00")</f>
        <v>7113.11.10.00</v>
      </c>
      <c r="K237" t="str">
        <f>IF(quantInv[[#This Row],[Metal]] = "925 Silver",  "7113.11.00"," 7113.19.00")</f>
        <v>7113.11.00</v>
      </c>
      <c r="L237" t="str">
        <f>IFERROR(VLOOKUP(quantInv[[#This Row],[Description for New Invoice]],Map!$G$12:$H$32,2,FALSE), IF(quantInv[[#This Row],[Metal]] = "925 Silver", "7113.11.10.00", "7113.19.29.00"))</f>
        <v>7113.11.10.00</v>
      </c>
      <c r="M237" t="str">
        <f>quantInv[[#This Row],[ASIN]] &amp; " " &amp; quantInv[[#This Row],[Short Description]]</f>
        <v>B08LW4GWKZ Chain - Super Flat Curb - Gauge 150 - Width 5.5 mm - Length 50 cm</v>
      </c>
      <c r="N237" s="33">
        <f>quantInv[[#This Row],[UNIT
VALUE]] / EURtoGBP</f>
        <v>13.29848518386088</v>
      </c>
      <c r="O237" s="33">
        <f>quantInv[[#This Row],[UNIT
VALUE]]/USDtoGBP</f>
        <v>16.06000413991827</v>
      </c>
      <c r="P237" s="33">
        <f>quantInv[[#This Row],[UNIT
VALUE]] / CADtoGBP</f>
        <v>20.557728516204204</v>
      </c>
      <c r="Q237" s="33">
        <f>quantInv[[#This Row],[UNIT
VALUE]]/AUDtoGBP</f>
        <v>21.042280336231052</v>
      </c>
      <c r="R237">
        <f>IFERROR(VLOOKUP(quantInv[[#This Row],[Assigned Item SKU]],skuQuantity[#All],2,FALSE),0)</f>
        <v>5</v>
      </c>
      <c r="S237" t="str">
        <f>PROPER(quantInv[[#This Row],[Metal]] &amp; " " &amp; quantInv[[#This Row],[Item Type]])</f>
        <v>925 Silver Chain</v>
      </c>
      <c r="T237" s="33">
        <f>quantInv[[#This Row],[Quantity]]*quantInv[[#This Row],[WEIGHT]]</f>
        <v>65.149999999999991</v>
      </c>
      <c r="U237" s="33">
        <f>quantInv[[#This Row],[UNIT
VALUE]]*quantInv[[#This Row],[Quantity]]</f>
        <v>58.577500000000001</v>
      </c>
      <c r="V237" s="33">
        <f>quantInv[[#This Row],[Total Cost GBP]]/EURtoGBP</f>
        <v>66.492425919304395</v>
      </c>
      <c r="W237" s="33">
        <f>quantInv[[#This Row],[Total Cost GBP]]/USDtoGBP</f>
        <v>80.300020699591357</v>
      </c>
      <c r="X237" s="33">
        <f>quantInv[[#This Row],[Total Cost GBP]]/CADtoGBP</f>
        <v>102.78864258102101</v>
      </c>
      <c r="Y237" s="33">
        <f>quantInv[[#This Row],[Quantity]]*quantInv[[#This Row],[UNIT
VALUE AUD]]</f>
        <v>105.21140168115525</v>
      </c>
      <c r="Z237" s="33"/>
    </row>
    <row r="238" spans="1:26" x14ac:dyDescent="0.25">
      <c r="A238" t="s">
        <v>600</v>
      </c>
      <c r="B238" t="s">
        <v>601</v>
      </c>
      <c r="C238" t="s">
        <v>114</v>
      </c>
      <c r="D238" t="s">
        <v>257</v>
      </c>
      <c r="E238">
        <v>2.7291666666666701</v>
      </c>
      <c r="F238" s="33">
        <v>3.1854</v>
      </c>
      <c r="G238" s="33" t="s">
        <v>117</v>
      </c>
      <c r="H238" t="s">
        <v>1414</v>
      </c>
      <c r="I238" t="str">
        <f>IF(quantInv[[#This Row],[Metal]] = "925 Silver",  "7113.11.00"," 7113.19.00")</f>
        <v>7113.11.00</v>
      </c>
      <c r="J238" t="str">
        <f>IF(quantInv[[#This Row],[Metal]] = "925 Silver", "7113.11.10.00"," 7113.19.10.00")</f>
        <v>7113.11.10.00</v>
      </c>
      <c r="K238" t="str">
        <f>IF(quantInv[[#This Row],[Metal]] = "925 Silver",  "7113.11.00"," 7113.19.00")</f>
        <v>7113.11.00</v>
      </c>
      <c r="L238" t="str">
        <f>IFERROR(VLOOKUP(quantInv[[#This Row],[Description for New Invoice]],Map!$G$12:$H$32,2,FALSE), IF(quantInv[[#This Row],[Metal]] = "925 Silver", "7113.11.10.00", "7113.19.29.00"))</f>
        <v>7113.11.10.00</v>
      </c>
      <c r="M238" t="str">
        <f>quantInv[[#This Row],[ASIN]] &amp; " " &amp; quantInv[[#This Row],[Short Description]]</f>
        <v>B01N24LA3B Cube and Oval Link Chain</v>
      </c>
      <c r="N238" s="33">
        <f>quantInv[[#This Row],[UNIT
VALUE]] / EURtoGBP</f>
        <v>3.6158076654577651</v>
      </c>
      <c r="O238" s="33">
        <f>quantInv[[#This Row],[UNIT
VALUE]]/USDtoGBP</f>
        <v>4.3666541920784994</v>
      </c>
      <c r="P238" s="33">
        <f>quantInv[[#This Row],[UNIT
VALUE]] / CADtoGBP</f>
        <v>5.5895683850895708</v>
      </c>
      <c r="Q238" s="33">
        <f>quantInv[[#This Row],[UNIT
VALUE]]/AUDtoGBP</f>
        <v>5.7213161865076509</v>
      </c>
      <c r="R238">
        <f>IFERROR(VLOOKUP(quantInv[[#This Row],[Assigned Item SKU]],skuQuantity[#All],2,FALSE),0)</f>
        <v>0</v>
      </c>
      <c r="S238" t="str">
        <f>PROPER(quantInv[[#This Row],[Metal]] &amp; " " &amp; quantInv[[#This Row],[Item Type]])</f>
        <v>925 Silver Bracelet</v>
      </c>
      <c r="T238" s="33">
        <f>quantInv[[#This Row],[Quantity]]*quantInv[[#This Row],[WEIGHT]]</f>
        <v>0</v>
      </c>
      <c r="U238" s="33">
        <f>quantInv[[#This Row],[UNIT
VALUE]]*quantInv[[#This Row],[Quantity]]</f>
        <v>0</v>
      </c>
      <c r="V238" s="33">
        <f>quantInv[[#This Row],[Total Cost GBP]]/EURtoGBP</f>
        <v>0</v>
      </c>
      <c r="W238" s="33">
        <f>quantInv[[#This Row],[Total Cost GBP]]/USDtoGBP</f>
        <v>0</v>
      </c>
      <c r="X238" s="33">
        <f>quantInv[[#This Row],[Total Cost GBP]]/CADtoGBP</f>
        <v>0</v>
      </c>
      <c r="Y238" s="33">
        <f>quantInv[[#This Row],[Quantity]]*quantInv[[#This Row],[UNIT
VALUE AUD]]</f>
        <v>0</v>
      </c>
      <c r="Z238" s="33"/>
    </row>
    <row r="239" spans="1:26" x14ac:dyDescent="0.25">
      <c r="A239" t="s">
        <v>602</v>
      </c>
      <c r="B239" t="s">
        <v>603</v>
      </c>
      <c r="C239" t="s">
        <v>114</v>
      </c>
      <c r="D239" t="s">
        <v>257</v>
      </c>
      <c r="E239">
        <v>3.5</v>
      </c>
      <c r="F239" s="33">
        <v>4.8808999999999996</v>
      </c>
      <c r="G239" s="33" t="s">
        <v>117</v>
      </c>
      <c r="H239" t="s">
        <v>1426</v>
      </c>
      <c r="I239" t="str">
        <f>IF(quantInv[[#This Row],[Metal]] = "925 Silver",  "7113.11.00"," 7113.19.00")</f>
        <v>7113.11.00</v>
      </c>
      <c r="J239" t="str">
        <f>IF(quantInv[[#This Row],[Metal]] = "925 Silver", "7113.11.10.00"," 7113.19.10.00")</f>
        <v>7113.11.10.00</v>
      </c>
      <c r="K239" t="str">
        <f>IF(quantInv[[#This Row],[Metal]] = "925 Silver",  "7113.11.00"," 7113.19.00")</f>
        <v>7113.11.00</v>
      </c>
      <c r="L239" t="str">
        <f>IFERROR(VLOOKUP(quantInv[[#This Row],[Description for New Invoice]],Map!$G$12:$H$32,2,FALSE), IF(quantInv[[#This Row],[Metal]] = "925 Silver", "7113.11.10.00", "7113.19.29.00"))</f>
        <v>7113.11.10.00</v>
      </c>
      <c r="M239" t="str">
        <f>quantInv[[#This Row],[ASIN]] &amp; " " &amp; quantInv[[#This Row],[Short Description]]</f>
        <v>B072333FB6 Cube and Oval Link Chain</v>
      </c>
      <c r="N239" s="33">
        <f>quantInv[[#This Row],[UNIT
VALUE]] / EURtoGBP</f>
        <v>5.540401718569977</v>
      </c>
      <c r="O239" s="33">
        <f>quantInv[[#This Row],[UNIT
VALUE]]/USDtoGBP</f>
        <v>6.6909030093915822</v>
      </c>
      <c r="P239" s="33">
        <f>quantInv[[#This Row],[UNIT
VALUE]] / CADtoGBP</f>
        <v>8.5647404818181965</v>
      </c>
      <c r="Q239" s="33">
        <f>quantInv[[#This Row],[UNIT
VALUE]]/AUDtoGBP</f>
        <v>8.7666139808894297</v>
      </c>
      <c r="R239">
        <f>IFERROR(VLOOKUP(quantInv[[#This Row],[Assigned Item SKU]],skuQuantity[#All],2,FALSE),0)</f>
        <v>0</v>
      </c>
      <c r="S239" t="str">
        <f>PROPER(quantInv[[#This Row],[Metal]] &amp; " " &amp; quantInv[[#This Row],[Item Type]])</f>
        <v>925 Silver Anklet</v>
      </c>
      <c r="T239" s="33">
        <f>quantInv[[#This Row],[Quantity]]*quantInv[[#This Row],[WEIGHT]]</f>
        <v>0</v>
      </c>
      <c r="U239" s="33">
        <f>quantInv[[#This Row],[UNIT
VALUE]]*quantInv[[#This Row],[Quantity]]</f>
        <v>0</v>
      </c>
      <c r="V239" s="33">
        <f>quantInv[[#This Row],[Total Cost GBP]]/EURtoGBP</f>
        <v>0</v>
      </c>
      <c r="W239" s="33">
        <f>quantInv[[#This Row],[Total Cost GBP]]/USDtoGBP</f>
        <v>0</v>
      </c>
      <c r="X239" s="33">
        <f>quantInv[[#This Row],[Total Cost GBP]]/CADtoGBP</f>
        <v>0</v>
      </c>
      <c r="Y239" s="33">
        <f>quantInv[[#This Row],[Quantity]]*quantInv[[#This Row],[UNIT
VALUE AUD]]</f>
        <v>0</v>
      </c>
      <c r="Z239" s="33"/>
    </row>
    <row r="240" spans="1:26" x14ac:dyDescent="0.25">
      <c r="A240" t="s">
        <v>604</v>
      </c>
      <c r="B240" t="s">
        <v>605</v>
      </c>
      <c r="C240" t="s">
        <v>114</v>
      </c>
      <c r="D240" t="s">
        <v>606</v>
      </c>
      <c r="E240">
        <v>5.79</v>
      </c>
      <c r="F240" s="33">
        <v>5.7552000000000003</v>
      </c>
      <c r="G240" s="33" t="s">
        <v>117</v>
      </c>
      <c r="H240" t="s">
        <v>103</v>
      </c>
      <c r="I240" t="str">
        <f>IF(quantInv[[#This Row],[Metal]] = "925 Silver",  "7113.11.00"," 7113.19.00")</f>
        <v>7113.11.00</v>
      </c>
      <c r="J240" t="str">
        <f>IF(quantInv[[#This Row],[Metal]] = "925 Silver", "7113.11.10.00"," 7113.19.10.00")</f>
        <v>7113.11.10.00</v>
      </c>
      <c r="K240" t="str">
        <f>IF(quantInv[[#This Row],[Metal]] = "925 Silver",  "7113.11.00"," 7113.19.00")</f>
        <v>7113.11.00</v>
      </c>
      <c r="L240" t="str">
        <f>IFERROR(VLOOKUP(quantInv[[#This Row],[Description for New Invoice]],Map!$G$12:$H$32,2,FALSE), IF(quantInv[[#This Row],[Metal]] = "925 Silver", "7113.11.10.00", "7113.19.29.00"))</f>
        <v>7113.11.10.00</v>
      </c>
      <c r="M240" t="str">
        <f>quantInv[[#This Row],[ASIN]] &amp; " " &amp; quantInv[[#This Row],[Short Description]]</f>
        <v>B012HM7F9C Omega U</v>
      </c>
      <c r="N240" s="33">
        <f>quantInv[[#This Row],[UNIT
VALUE]] / EURtoGBP</f>
        <v>6.5328361512659416</v>
      </c>
      <c r="O240" s="33">
        <f>quantInv[[#This Row],[UNIT
VALUE]]/USDtoGBP</f>
        <v>7.8894230571514354</v>
      </c>
      <c r="P240" s="33">
        <f>quantInv[[#This Row],[UNIT
VALUE]] / CADtoGBP</f>
        <v>10.098915040455672</v>
      </c>
      <c r="Q240" s="33">
        <f>quantInv[[#This Row],[UNIT
VALUE]]/AUDtoGBP</f>
        <v>10.336949493498096</v>
      </c>
      <c r="R240">
        <f>IFERROR(VLOOKUP(quantInv[[#This Row],[Assigned Item SKU]],skuQuantity[#All],2,FALSE),0)</f>
        <v>0</v>
      </c>
      <c r="S240" t="str">
        <f>PROPER(quantInv[[#This Row],[Metal]] &amp; " " &amp; quantInv[[#This Row],[Item Type]])</f>
        <v>925 Silver Chain</v>
      </c>
      <c r="T240" s="33">
        <f>quantInv[[#This Row],[Quantity]]*quantInv[[#This Row],[WEIGHT]]</f>
        <v>0</v>
      </c>
      <c r="U240" s="33">
        <f>quantInv[[#This Row],[UNIT
VALUE]]*quantInv[[#This Row],[Quantity]]</f>
        <v>0</v>
      </c>
      <c r="V240" s="33">
        <f>quantInv[[#This Row],[Total Cost GBP]]/EURtoGBP</f>
        <v>0</v>
      </c>
      <c r="W240" s="33">
        <f>quantInv[[#This Row],[Total Cost GBP]]/USDtoGBP</f>
        <v>0</v>
      </c>
      <c r="X240" s="33">
        <f>quantInv[[#This Row],[Total Cost GBP]]/CADtoGBP</f>
        <v>0</v>
      </c>
      <c r="Y240" s="33">
        <f>quantInv[[#This Row],[Quantity]]*quantInv[[#This Row],[UNIT
VALUE AUD]]</f>
        <v>0</v>
      </c>
      <c r="Z240" s="33"/>
    </row>
    <row r="241" spans="1:26" x14ac:dyDescent="0.25">
      <c r="A241" t="s">
        <v>607</v>
      </c>
      <c r="B241" t="s">
        <v>608</v>
      </c>
      <c r="C241" t="s">
        <v>114</v>
      </c>
      <c r="D241" t="s">
        <v>609</v>
      </c>
      <c r="E241">
        <v>4.0199999999999996</v>
      </c>
      <c r="F241" s="33">
        <v>3.7482000000000002</v>
      </c>
      <c r="G241" s="33" t="s">
        <v>117</v>
      </c>
      <c r="H241" t="s">
        <v>103</v>
      </c>
      <c r="I241" t="str">
        <f>IF(quantInv[[#This Row],[Metal]] = "925 Silver",  "7113.11.00"," 7113.19.00")</f>
        <v>7113.11.00</v>
      </c>
      <c r="J241" t="str">
        <f>IF(quantInv[[#This Row],[Metal]] = "925 Silver", "7113.11.10.00"," 7113.19.10.00")</f>
        <v>7113.11.10.00</v>
      </c>
      <c r="K241" t="str">
        <f>IF(quantInv[[#This Row],[Metal]] = "925 Silver",  "7113.11.00"," 7113.19.00")</f>
        <v>7113.11.00</v>
      </c>
      <c r="L241" t="str">
        <f>IFERROR(VLOOKUP(quantInv[[#This Row],[Description for New Invoice]],Map!$G$12:$H$32,2,FALSE), IF(quantInv[[#This Row],[Metal]] = "925 Silver", "7113.11.10.00", "7113.19.29.00"))</f>
        <v>7113.11.10.00</v>
      </c>
      <c r="M241" t="str">
        <f>quantInv[[#This Row],[ASIN]] &amp; " " &amp; quantInv[[#This Row],[Short Description]]</f>
        <v>B0164MQF42 Fox Tail</v>
      </c>
      <c r="N241" s="33">
        <f>quantInv[[#This Row],[UNIT
VALUE]] / EURtoGBP</f>
        <v>4.2546525684902354</v>
      </c>
      <c r="O241" s="33">
        <f>quantInv[[#This Row],[UNIT
VALUE]]/USDtoGBP</f>
        <v>5.1381594910368031</v>
      </c>
      <c r="P241" s="33">
        <f>quantInv[[#This Row],[UNIT
VALUE]] / CADtoGBP</f>
        <v>6.5771395181116121</v>
      </c>
      <c r="Q241" s="33">
        <f>quantInv[[#This Row],[UNIT
VALUE]]/AUDtoGBP</f>
        <v>6.7321646670019399</v>
      </c>
      <c r="R241">
        <f>IFERROR(VLOOKUP(quantInv[[#This Row],[Assigned Item SKU]],skuQuantity[#All],2,FALSE),0)</f>
        <v>0</v>
      </c>
      <c r="S241" t="str">
        <f>PROPER(quantInv[[#This Row],[Metal]] &amp; " " &amp; quantInv[[#This Row],[Item Type]])</f>
        <v>925 Silver Chain</v>
      </c>
      <c r="T241" s="33">
        <f>quantInv[[#This Row],[Quantity]]*quantInv[[#This Row],[WEIGHT]]</f>
        <v>0</v>
      </c>
      <c r="U241" s="33">
        <f>quantInv[[#This Row],[UNIT
VALUE]]*quantInv[[#This Row],[Quantity]]</f>
        <v>0</v>
      </c>
      <c r="V241" s="33">
        <f>quantInv[[#This Row],[Total Cost GBP]]/EURtoGBP</f>
        <v>0</v>
      </c>
      <c r="W241" s="33">
        <f>quantInv[[#This Row],[Total Cost GBP]]/USDtoGBP</f>
        <v>0</v>
      </c>
      <c r="X241" s="33">
        <f>quantInv[[#This Row],[Total Cost GBP]]/CADtoGBP</f>
        <v>0</v>
      </c>
      <c r="Y241" s="33">
        <f>quantInv[[#This Row],[Quantity]]*quantInv[[#This Row],[UNIT
VALUE AUD]]</f>
        <v>0</v>
      </c>
      <c r="Z241" s="33"/>
    </row>
    <row r="242" spans="1:26" x14ac:dyDescent="0.25">
      <c r="A242" t="s">
        <v>2273</v>
      </c>
      <c r="B242" t="s">
        <v>2274</v>
      </c>
      <c r="C242" t="s">
        <v>115</v>
      </c>
      <c r="D242" t="s">
        <v>2275</v>
      </c>
      <c r="E242">
        <v>1.5</v>
      </c>
      <c r="F242" s="33">
        <v>3.3193000000000001</v>
      </c>
      <c r="G242" s="33" t="s">
        <v>117</v>
      </c>
      <c r="H242" t="s">
        <v>1310</v>
      </c>
      <c r="I242" t="str">
        <f>IF(quantInv[[#This Row],[Metal]] = "925 Silver",  "7113.11.00"," 7113.19.00")</f>
        <v>7113.11.00</v>
      </c>
      <c r="J242" t="str">
        <f>IF(quantInv[[#This Row],[Metal]] = "925 Silver", "7113.11.10.00"," 7113.19.10.00")</f>
        <v>7113.11.10.00</v>
      </c>
      <c r="K242" t="str">
        <f>IF(quantInv[[#This Row],[Metal]] = "925 Silver",  "7113.11.00"," 7113.19.00")</f>
        <v>7113.11.00</v>
      </c>
      <c r="L242" t="str">
        <f>IFERROR(VLOOKUP(quantInv[[#This Row],[Description for New Invoice]],Map!$G$12:$H$32,2,FALSE), IF(quantInv[[#This Row],[Metal]] = "925 Silver", "7113.11.10.00", "7113.19.29.00"))</f>
        <v>7113.11.50.00</v>
      </c>
      <c r="M242" t="str">
        <f>quantInv[[#This Row],[ASIN]] &amp; " " &amp; quantInv[[#This Row],[Short Description]]</f>
        <v>B0943XX2SF Silver Huggie Hoops - Pave - 12 mm</v>
      </c>
      <c r="N242" s="33">
        <f>quantInv[[#This Row],[UNIT
VALUE]] / EURtoGBP</f>
        <v>3.767800082863678</v>
      </c>
      <c r="O242" s="33">
        <f>quantInv[[#This Row],[UNIT
VALUE]]/USDtoGBP</f>
        <v>4.5502088465392614</v>
      </c>
      <c r="P242" s="33">
        <f>quantInv[[#This Row],[UNIT
VALUE]] / CADtoGBP</f>
        <v>5.8245288945274734</v>
      </c>
      <c r="Q242" s="33">
        <f>quantInv[[#This Row],[UNIT
VALUE]]/AUDtoGBP</f>
        <v>5.9618147855449388</v>
      </c>
      <c r="R242">
        <f>IFERROR(VLOOKUP(quantInv[[#This Row],[Assigned Item SKU]],skuQuantity[#All],2,FALSE),0)</f>
        <v>10</v>
      </c>
      <c r="S242" t="str">
        <f>PROPER(quantInv[[#This Row],[Metal]] &amp; " " &amp; quantInv[[#This Row],[Item Type]])</f>
        <v>925 Silver Earrings</v>
      </c>
      <c r="T242" s="33">
        <f>quantInv[[#This Row],[Quantity]]*quantInv[[#This Row],[WEIGHT]]</f>
        <v>15</v>
      </c>
      <c r="U242" s="33">
        <f>quantInv[[#This Row],[UNIT
VALUE]]*quantInv[[#This Row],[Quantity]]</f>
        <v>33.192999999999998</v>
      </c>
      <c r="V242" s="33">
        <f>quantInv[[#This Row],[Total Cost GBP]]/EURtoGBP</f>
        <v>37.678000828636776</v>
      </c>
      <c r="W242" s="33">
        <f>quantInv[[#This Row],[Total Cost GBP]]/USDtoGBP</f>
        <v>45.50208846539261</v>
      </c>
      <c r="X242" s="33">
        <f>quantInv[[#This Row],[Total Cost GBP]]/CADtoGBP</f>
        <v>58.245288945274723</v>
      </c>
      <c r="Y242" s="33">
        <f>quantInv[[#This Row],[Quantity]]*quantInv[[#This Row],[UNIT
VALUE AUD]]</f>
        <v>59.618147855449386</v>
      </c>
      <c r="Z242" s="33"/>
    </row>
    <row r="243" spans="1:26" x14ac:dyDescent="0.25">
      <c r="A243" t="s">
        <v>2282</v>
      </c>
      <c r="B243" t="s">
        <v>2283</v>
      </c>
      <c r="C243" t="s">
        <v>115</v>
      </c>
      <c r="D243" t="s">
        <v>2284</v>
      </c>
      <c r="E243">
        <v>3.2</v>
      </c>
      <c r="F243" s="33">
        <v>6.4020000000000001</v>
      </c>
      <c r="G243" s="33" t="s">
        <v>117</v>
      </c>
      <c r="H243" t="s">
        <v>1310</v>
      </c>
      <c r="I243" t="str">
        <f>IF(quantInv[[#This Row],[Metal]] = "925 Silver",  "7113.11.00"," 7113.19.00")</f>
        <v>7113.11.00</v>
      </c>
      <c r="J243" t="str">
        <f>IF(quantInv[[#This Row],[Metal]] = "925 Silver", "7113.11.10.00"," 7113.19.10.00")</f>
        <v>7113.11.10.00</v>
      </c>
      <c r="K243" t="str">
        <f>IF(quantInv[[#This Row],[Metal]] = "925 Silver",  "7113.11.00"," 7113.19.00")</f>
        <v>7113.11.00</v>
      </c>
      <c r="L243" t="str">
        <f>IFERROR(VLOOKUP(quantInv[[#This Row],[Description for New Invoice]],Map!$G$12:$H$32,2,FALSE), IF(quantInv[[#This Row],[Metal]] = "925 Silver", "7113.11.10.00", "7113.19.29.00"))</f>
        <v>7113.11.50.00</v>
      </c>
      <c r="M243" t="str">
        <f>quantInv[[#This Row],[ASIN]] &amp; " " &amp; quantInv[[#This Row],[Short Description]]</f>
        <v>B0943WDXFR GP Huggie Hoops - Pave - 20 mm</v>
      </c>
      <c r="N243" s="33">
        <f>quantInv[[#This Row],[UNIT
VALUE]] / EURtoGBP</f>
        <v>7.2670310398256461</v>
      </c>
      <c r="O243" s="33">
        <f>quantInv[[#This Row],[UNIT
VALUE]]/USDtoGBP</f>
        <v>8.7760784007303805</v>
      </c>
      <c r="P243" s="33">
        <f>quantInv[[#This Row],[UNIT
VALUE]] / CADtoGBP</f>
        <v>11.233884850048167</v>
      </c>
      <c r="Q243" s="33">
        <f>quantInv[[#This Row],[UNIT
VALUE]]/AUDtoGBP</f>
        <v>11.498670881528845</v>
      </c>
      <c r="R243">
        <f>IFERROR(VLOOKUP(quantInv[[#This Row],[Assigned Item SKU]],skuQuantity[#All],2,FALSE),0)</f>
        <v>5</v>
      </c>
      <c r="S243" t="str">
        <f>PROPER(quantInv[[#This Row],[Metal]] &amp; " " &amp; quantInv[[#This Row],[Item Type]])</f>
        <v>925 Silver Earrings</v>
      </c>
      <c r="T243" s="33">
        <f>quantInv[[#This Row],[Quantity]]*quantInv[[#This Row],[WEIGHT]]</f>
        <v>16</v>
      </c>
      <c r="U243" s="33">
        <f>quantInv[[#This Row],[UNIT
VALUE]]*quantInv[[#This Row],[Quantity]]</f>
        <v>32.01</v>
      </c>
      <c r="V243" s="33">
        <f>quantInv[[#This Row],[Total Cost GBP]]/EURtoGBP</f>
        <v>36.335155199128224</v>
      </c>
      <c r="W243" s="33">
        <f>quantInv[[#This Row],[Total Cost GBP]]/USDtoGBP</f>
        <v>43.880392003651899</v>
      </c>
      <c r="X243" s="33">
        <f>quantInv[[#This Row],[Total Cost GBP]]/CADtoGBP</f>
        <v>56.16942425024083</v>
      </c>
      <c r="Y243" s="33">
        <f>quantInv[[#This Row],[Quantity]]*quantInv[[#This Row],[UNIT
VALUE AUD]]</f>
        <v>57.493354407644226</v>
      </c>
      <c r="Z243" s="33"/>
    </row>
    <row r="244" spans="1:26" x14ac:dyDescent="0.25">
      <c r="A244" t="s">
        <v>20</v>
      </c>
      <c r="B244" t="s">
        <v>613</v>
      </c>
      <c r="C244" t="s">
        <v>114</v>
      </c>
      <c r="D244" t="s">
        <v>611</v>
      </c>
      <c r="E244">
        <v>2.0642201834862401</v>
      </c>
      <c r="F244" s="33">
        <v>2.4578000000000002</v>
      </c>
      <c r="G244" s="33" t="s">
        <v>117</v>
      </c>
      <c r="H244" t="s">
        <v>1414</v>
      </c>
      <c r="I244" t="str">
        <f>IF(quantInv[[#This Row],[Metal]] = "925 Silver",  "7113.11.00"," 7113.19.00")</f>
        <v>7113.11.00</v>
      </c>
      <c r="J244" t="str">
        <f>IF(quantInv[[#This Row],[Metal]] = "925 Silver", "7113.11.10.00"," 7113.19.10.00")</f>
        <v>7113.11.10.00</v>
      </c>
      <c r="K244" t="str">
        <f>IF(quantInv[[#This Row],[Metal]] = "925 Silver",  "7113.11.00"," 7113.19.00")</f>
        <v>7113.11.00</v>
      </c>
      <c r="L244" t="str">
        <f>IFERROR(VLOOKUP(quantInv[[#This Row],[Description for New Invoice]],Map!$G$12:$H$32,2,FALSE), IF(quantInv[[#This Row],[Metal]] = "925 Silver", "7113.11.10.00", "7113.19.29.00"))</f>
        <v>7113.11.10.00</v>
      </c>
      <c r="M244" t="str">
        <f>quantInv[[#This Row],[ASIN]] &amp; " " &amp; quantInv[[#This Row],[Short Description]]</f>
        <v>B0164MQE3O Bismark chain</v>
      </c>
      <c r="N244" s="33">
        <f>quantInv[[#This Row],[UNIT
VALUE]] / EURtoGBP</f>
        <v>2.7898951717718639</v>
      </c>
      <c r="O244" s="33">
        <f>quantInv[[#This Row],[UNIT
VALUE]]/USDtoGBP</f>
        <v>3.3692354722454123</v>
      </c>
      <c r="P244" s="33">
        <f>quantInv[[#This Row],[UNIT
VALUE]] / CADtoGBP</f>
        <v>4.3128150866054966</v>
      </c>
      <c r="Q244" s="33">
        <f>quantInv[[#This Row],[UNIT
VALUE]]/AUDtoGBP</f>
        <v>4.4144694302751635</v>
      </c>
      <c r="R244">
        <f>IFERROR(VLOOKUP(quantInv[[#This Row],[Assigned Item SKU]],skuQuantity[#All],2,FALSE),0)</f>
        <v>60</v>
      </c>
      <c r="S244" t="str">
        <f>PROPER(quantInv[[#This Row],[Metal]] &amp; " " &amp; quantInv[[#This Row],[Item Type]])</f>
        <v>925 Silver Bracelet</v>
      </c>
      <c r="T244" s="33">
        <f>quantInv[[#This Row],[Quantity]]*quantInv[[#This Row],[WEIGHT]]</f>
        <v>123.8532110091744</v>
      </c>
      <c r="U244" s="33">
        <f>quantInv[[#This Row],[UNIT
VALUE]]*quantInv[[#This Row],[Quantity]]</f>
        <v>147.46800000000002</v>
      </c>
      <c r="V244" s="33">
        <f>quantInv[[#This Row],[Total Cost GBP]]/EURtoGBP</f>
        <v>167.39371030631185</v>
      </c>
      <c r="W244" s="33">
        <f>quantInv[[#This Row],[Total Cost GBP]]/USDtoGBP</f>
        <v>202.15412833472476</v>
      </c>
      <c r="X244" s="33">
        <f>quantInv[[#This Row],[Total Cost GBP]]/CADtoGBP</f>
        <v>258.7689051963298</v>
      </c>
      <c r="Y244" s="33">
        <f>quantInv[[#This Row],[Quantity]]*quantInv[[#This Row],[UNIT
VALUE AUD]]</f>
        <v>264.86816581650982</v>
      </c>
      <c r="Z244" s="33"/>
    </row>
    <row r="245" spans="1:26" x14ac:dyDescent="0.25">
      <c r="A245" t="s">
        <v>2321</v>
      </c>
      <c r="B245" t="s">
        <v>2322</v>
      </c>
      <c r="C245" t="s">
        <v>115</v>
      </c>
      <c r="D245" t="s">
        <v>2323</v>
      </c>
      <c r="E245">
        <v>1.69</v>
      </c>
      <c r="F245" s="33">
        <v>3.9683000000000002</v>
      </c>
      <c r="G245" s="33" t="s">
        <v>117</v>
      </c>
      <c r="H245" t="s">
        <v>3302</v>
      </c>
      <c r="I245" t="str">
        <f>IF(quantInv[[#This Row],[Metal]] = "925 Silver",  "7113.11.00"," 7113.19.00")</f>
        <v>7113.11.00</v>
      </c>
      <c r="J245" t="str">
        <f>IF(quantInv[[#This Row],[Metal]] = "925 Silver", "7113.11.10.00"," 7113.19.10.00")</f>
        <v>7113.11.10.00</v>
      </c>
      <c r="K245" t="str">
        <f>IF(quantInv[[#This Row],[Metal]] = "925 Silver",  "7113.11.00"," 7113.19.00")</f>
        <v>7113.11.00</v>
      </c>
      <c r="L245" t="str">
        <f>IFERROR(VLOOKUP(quantInv[[#This Row],[Description for New Invoice]],Map!$G$12:$H$32,2,FALSE), IF(quantInv[[#This Row],[Metal]] = "925 Silver", "7113.11.10.00", "7113.19.29.00"))</f>
        <v>7113.11.50.00</v>
      </c>
      <c r="M245" t="str">
        <f>quantInv[[#This Row],[ASIN]] &amp; " " &amp; quantInv[[#This Row],[Short Description]]</f>
        <v>B08R3ZVD3F Ring with CZ - R</v>
      </c>
      <c r="N245" s="33">
        <f>quantInv[[#This Row],[UNIT
VALUE]] / EURtoGBP</f>
        <v>4.5044922329490955</v>
      </c>
      <c r="O245" s="33">
        <f>quantInv[[#This Row],[UNIT
VALUE]]/USDtoGBP</f>
        <v>5.4398800246201766</v>
      </c>
      <c r="P245" s="33">
        <f>quantInv[[#This Row],[UNIT
VALUE]] / CADtoGBP</f>
        <v>6.9633591456491946</v>
      </c>
      <c r="Q245" s="33">
        <f>quantInv[[#This Row],[UNIT
VALUE]]/AUDtoGBP</f>
        <v>7.1274876068683097</v>
      </c>
      <c r="R245">
        <f>IFERROR(VLOOKUP(quantInv[[#This Row],[Assigned Item SKU]],skuQuantity[#All],2,FALSE),0)</f>
        <v>0</v>
      </c>
      <c r="S245" t="str">
        <f>PROPER(quantInv[[#This Row],[Metal]] &amp; " " &amp; quantInv[[#This Row],[Item Type]])</f>
        <v>925 Silver Ring</v>
      </c>
      <c r="T245" s="33">
        <f>quantInv[[#This Row],[Quantity]]*quantInv[[#This Row],[WEIGHT]]</f>
        <v>0</v>
      </c>
      <c r="U245" s="33">
        <f>quantInv[[#This Row],[UNIT
VALUE]]*quantInv[[#This Row],[Quantity]]</f>
        <v>0</v>
      </c>
      <c r="V245" s="33">
        <f>quantInv[[#This Row],[Total Cost GBP]]/EURtoGBP</f>
        <v>0</v>
      </c>
      <c r="W245" s="33">
        <f>quantInv[[#This Row],[Total Cost GBP]]/USDtoGBP</f>
        <v>0</v>
      </c>
      <c r="X245" s="33">
        <f>quantInv[[#This Row],[Total Cost GBP]]/CADtoGBP</f>
        <v>0</v>
      </c>
      <c r="Y245" s="33">
        <f>quantInv[[#This Row],[Quantity]]*quantInv[[#This Row],[UNIT
VALUE AUD]]</f>
        <v>0</v>
      </c>
      <c r="Z245" s="33"/>
    </row>
    <row r="246" spans="1:26" x14ac:dyDescent="0.25">
      <c r="A246" t="s">
        <v>181</v>
      </c>
      <c r="B246" t="s">
        <v>182</v>
      </c>
      <c r="C246" t="s">
        <v>113</v>
      </c>
      <c r="D246" t="s">
        <v>180</v>
      </c>
      <c r="E246">
        <v>2.1058823529411801</v>
      </c>
      <c r="F246" s="33">
        <v>2.9270999999999998</v>
      </c>
      <c r="G246" s="33" t="s">
        <v>117</v>
      </c>
      <c r="H246" t="s">
        <v>103</v>
      </c>
      <c r="I246" t="str">
        <f>IF(quantInv[[#This Row],[Metal]] = "925 Silver",  "7113.11.00"," 7113.19.00")</f>
        <v>7113.11.00</v>
      </c>
      <c r="J246" t="str">
        <f>IF(quantInv[[#This Row],[Metal]] = "925 Silver", "7113.11.10.00"," 7113.19.10.00")</f>
        <v>7113.11.10.00</v>
      </c>
      <c r="K246" t="str">
        <f>IF(quantInv[[#This Row],[Metal]] = "925 Silver",  "7113.11.00"," 7113.19.00")</f>
        <v>7113.11.00</v>
      </c>
      <c r="L246" t="str">
        <f>IFERROR(VLOOKUP(quantInv[[#This Row],[Description for New Invoice]],Map!$G$12:$H$32,2,FALSE), IF(quantInv[[#This Row],[Metal]] = "925 Silver", "7113.11.10.00", "7113.19.29.00"))</f>
        <v>7113.11.10.00</v>
      </c>
      <c r="M246" t="str">
        <f>quantInv[[#This Row],[ASIN]] &amp; " " &amp; quantInv[[#This Row],[Short Description]]</f>
        <v>B012HM8GT0 Belcher Chain</v>
      </c>
      <c r="N246" s="33">
        <f>quantInv[[#This Row],[UNIT
VALUE]] / EURtoGBP</f>
        <v>3.322606459961519</v>
      </c>
      <c r="O246" s="33">
        <f>quantInv[[#This Row],[UNIT
VALUE]]/USDtoGBP</f>
        <v>4.0125678048700237</v>
      </c>
      <c r="P246" s="33">
        <f>quantInv[[#This Row],[UNIT
VALUE]] / CADtoGBP</f>
        <v>5.1363174546354244</v>
      </c>
      <c r="Q246" s="33">
        <f>quantInv[[#This Row],[UNIT
VALUE]]/AUDtoGBP</f>
        <v>5.2573819958330335</v>
      </c>
      <c r="R246">
        <f>IFERROR(VLOOKUP(quantInv[[#This Row],[Assigned Item SKU]],skuQuantity[#All],2,FALSE),0)</f>
        <v>30</v>
      </c>
      <c r="S246" t="str">
        <f>PROPER(quantInv[[#This Row],[Metal]] &amp; " " &amp; quantInv[[#This Row],[Item Type]])</f>
        <v>925 Silver Chain</v>
      </c>
      <c r="T246" s="33">
        <f>quantInv[[#This Row],[Quantity]]*quantInv[[#This Row],[WEIGHT]]</f>
        <v>63.176470588235404</v>
      </c>
      <c r="U246" s="33">
        <f>quantInv[[#This Row],[UNIT
VALUE]]*quantInv[[#This Row],[Quantity]]</f>
        <v>87.812999999999988</v>
      </c>
      <c r="V246" s="33">
        <f>quantInv[[#This Row],[Total Cost GBP]]/EURtoGBP</f>
        <v>99.67819379884557</v>
      </c>
      <c r="W246" s="33">
        <f>quantInv[[#This Row],[Total Cost GBP]]/USDtoGBP</f>
        <v>120.37703414610071</v>
      </c>
      <c r="X246" s="33">
        <f>quantInv[[#This Row],[Total Cost GBP]]/CADtoGBP</f>
        <v>154.08952363906272</v>
      </c>
      <c r="Y246" s="33">
        <f>quantInv[[#This Row],[Quantity]]*quantInv[[#This Row],[UNIT
VALUE AUD]]</f>
        <v>157.72145987499101</v>
      </c>
      <c r="Z246" s="33"/>
    </row>
    <row r="247" spans="1:26" x14ac:dyDescent="0.25">
      <c r="A247" t="s">
        <v>185</v>
      </c>
      <c r="B247" t="s">
        <v>186</v>
      </c>
      <c r="C247" t="s">
        <v>113</v>
      </c>
      <c r="D247" t="s">
        <v>180</v>
      </c>
      <c r="E247">
        <v>3.28</v>
      </c>
      <c r="F247" s="33">
        <v>4.3647999999999998</v>
      </c>
      <c r="G247" s="33" t="s">
        <v>117</v>
      </c>
      <c r="H247" t="s">
        <v>103</v>
      </c>
      <c r="I247" t="str">
        <f>IF(quantInv[[#This Row],[Metal]] = "925 Silver",  "7113.11.00"," 7113.19.00")</f>
        <v>7113.11.00</v>
      </c>
      <c r="J247" t="str">
        <f>IF(quantInv[[#This Row],[Metal]] = "925 Silver", "7113.11.10.00"," 7113.19.10.00")</f>
        <v>7113.11.10.00</v>
      </c>
      <c r="K247" t="str">
        <f>IF(quantInv[[#This Row],[Metal]] = "925 Silver",  "7113.11.00"," 7113.19.00")</f>
        <v>7113.11.00</v>
      </c>
      <c r="L247" t="str">
        <f>IFERROR(VLOOKUP(quantInv[[#This Row],[Description for New Invoice]],Map!$G$12:$H$32,2,FALSE), IF(quantInv[[#This Row],[Metal]] = "925 Silver", "7113.11.10.00", "7113.19.29.00"))</f>
        <v>7113.11.10.00</v>
      </c>
      <c r="M247" t="str">
        <f>quantInv[[#This Row],[ASIN]] &amp; " " &amp; quantInv[[#This Row],[Short Description]]</f>
        <v>B012HM8RS0 Belcher Chain</v>
      </c>
      <c r="N247" s="33">
        <f>quantInv[[#This Row],[UNIT
VALUE]] / EURtoGBP</f>
        <v>4.9545668670151484</v>
      </c>
      <c r="O247" s="33">
        <f>quantInv[[#This Row],[UNIT
VALUE]]/USDtoGBP</f>
        <v>5.9834156519068982</v>
      </c>
      <c r="P247" s="33">
        <f>quantInv[[#This Row],[UNIT
VALUE]] / CADtoGBP</f>
        <v>7.6591159939847291</v>
      </c>
      <c r="Q247" s="33">
        <f>quantInv[[#This Row],[UNIT
VALUE]]/AUDtoGBP</f>
        <v>7.8396436525612465</v>
      </c>
      <c r="R247">
        <f>IFERROR(VLOOKUP(quantInv[[#This Row],[Assigned Item SKU]],skuQuantity[#All],2,FALSE),0)</f>
        <v>10</v>
      </c>
      <c r="S247" t="str">
        <f>PROPER(quantInv[[#This Row],[Metal]] &amp; " " &amp; quantInv[[#This Row],[Item Type]])</f>
        <v>925 Silver Chain</v>
      </c>
      <c r="T247" s="33">
        <f>quantInv[[#This Row],[Quantity]]*quantInv[[#This Row],[WEIGHT]]</f>
        <v>32.799999999999997</v>
      </c>
      <c r="U247" s="33">
        <f>quantInv[[#This Row],[UNIT
VALUE]]*quantInv[[#This Row],[Quantity]]</f>
        <v>43.647999999999996</v>
      </c>
      <c r="V247" s="33">
        <f>quantInv[[#This Row],[Total Cost GBP]]/EURtoGBP</f>
        <v>49.545668670151478</v>
      </c>
      <c r="W247" s="33">
        <f>quantInv[[#This Row],[Total Cost GBP]]/USDtoGBP</f>
        <v>59.834156519068976</v>
      </c>
      <c r="X247" s="33">
        <f>quantInv[[#This Row],[Total Cost GBP]]/CADtoGBP</f>
        <v>76.591159939847287</v>
      </c>
      <c r="Y247" s="33">
        <f>quantInv[[#This Row],[Quantity]]*quantInv[[#This Row],[UNIT
VALUE AUD]]</f>
        <v>78.396436525612472</v>
      </c>
      <c r="Z247" s="33"/>
    </row>
    <row r="248" spans="1:26" x14ac:dyDescent="0.25">
      <c r="A248" t="s">
        <v>238</v>
      </c>
      <c r="B248" t="s">
        <v>239</v>
      </c>
      <c r="C248" t="s">
        <v>114</v>
      </c>
      <c r="D248" t="s">
        <v>235</v>
      </c>
      <c r="E248">
        <v>4.5990000000000002</v>
      </c>
      <c r="F248" s="33">
        <v>5.9394999999999998</v>
      </c>
      <c r="G248" s="33" t="s">
        <v>117</v>
      </c>
      <c r="H248" t="s">
        <v>103</v>
      </c>
      <c r="I248" t="str">
        <f>IF(quantInv[[#This Row],[Metal]] = "925 Silver",  "7113.11.00"," 7113.19.00")</f>
        <v>7113.11.00</v>
      </c>
      <c r="J248" t="str">
        <f>IF(quantInv[[#This Row],[Metal]] = "925 Silver", "7113.11.10.00"," 7113.19.10.00")</f>
        <v>7113.11.10.00</v>
      </c>
      <c r="K248" t="str">
        <f>IF(quantInv[[#This Row],[Metal]] = "925 Silver",  "7113.11.00"," 7113.19.00")</f>
        <v>7113.11.00</v>
      </c>
      <c r="L248" t="str">
        <f>IFERROR(VLOOKUP(quantInv[[#This Row],[Description for New Invoice]],Map!$G$12:$H$32,2,FALSE), IF(quantInv[[#This Row],[Metal]] = "925 Silver", "7113.11.10.00", "7113.19.29.00"))</f>
        <v>7113.11.10.00</v>
      </c>
      <c r="M248" t="str">
        <f>quantInv[[#This Row],[ASIN]] &amp; " " &amp; quantInv[[#This Row],[Short Description]]</f>
        <v>B073G8ZH19 Snake Chain</v>
      </c>
      <c r="N248" s="33">
        <f>quantInv[[#This Row],[UNIT
VALUE]] / EURtoGBP</f>
        <v>6.7420385599881945</v>
      </c>
      <c r="O248" s="33">
        <f>quantInv[[#This Row],[UNIT
VALUE]]/USDtoGBP</f>
        <v>8.142067738384581</v>
      </c>
      <c r="P248" s="33">
        <f>quantInv[[#This Row],[UNIT
VALUE]] / CADtoGBP</f>
        <v>10.422314755835846</v>
      </c>
      <c r="Q248" s="33">
        <f>quantInv[[#This Row],[UNIT
VALUE]]/AUDtoGBP</f>
        <v>10.667971837057259</v>
      </c>
      <c r="R248">
        <f>IFERROR(VLOOKUP(quantInv[[#This Row],[Assigned Item SKU]],skuQuantity[#All],2,FALSE),0)</f>
        <v>10</v>
      </c>
      <c r="S248" t="str">
        <f>PROPER(quantInv[[#This Row],[Metal]] &amp; " " &amp; quantInv[[#This Row],[Item Type]])</f>
        <v>925 Silver Chain</v>
      </c>
      <c r="T248" s="33">
        <f>quantInv[[#This Row],[Quantity]]*quantInv[[#This Row],[WEIGHT]]</f>
        <v>45.99</v>
      </c>
      <c r="U248" s="33">
        <f>quantInv[[#This Row],[UNIT
VALUE]]*quantInv[[#This Row],[Quantity]]</f>
        <v>59.394999999999996</v>
      </c>
      <c r="V248" s="33">
        <f>quantInv[[#This Row],[Total Cost GBP]]/EURtoGBP</f>
        <v>67.420385599881939</v>
      </c>
      <c r="W248" s="33">
        <f>quantInv[[#This Row],[Total Cost GBP]]/USDtoGBP</f>
        <v>81.420677383845813</v>
      </c>
      <c r="X248" s="33">
        <f>quantInv[[#This Row],[Total Cost GBP]]/CADtoGBP</f>
        <v>104.22314755835846</v>
      </c>
      <c r="Y248" s="33">
        <f>quantInv[[#This Row],[Quantity]]*quantInv[[#This Row],[UNIT
VALUE AUD]]</f>
        <v>106.67971837057259</v>
      </c>
      <c r="Z248" s="33"/>
    </row>
    <row r="249" spans="1:26" x14ac:dyDescent="0.25">
      <c r="A249" t="s">
        <v>622</v>
      </c>
      <c r="B249" t="s">
        <v>623</v>
      </c>
      <c r="C249" t="s">
        <v>114</v>
      </c>
      <c r="D249" t="s">
        <v>624</v>
      </c>
      <c r="E249">
        <v>1.4464999999999999</v>
      </c>
      <c r="F249" s="33">
        <v>1.6354</v>
      </c>
      <c r="G249" s="33" t="s">
        <v>117</v>
      </c>
      <c r="H249" t="s">
        <v>103</v>
      </c>
      <c r="I249" t="str">
        <f>IF(quantInv[[#This Row],[Metal]] = "925 Silver",  "7113.11.00"," 7113.19.00")</f>
        <v>7113.11.00</v>
      </c>
      <c r="J249" t="str">
        <f>IF(quantInv[[#This Row],[Metal]] = "925 Silver", "7113.11.10.00"," 7113.19.10.00")</f>
        <v>7113.11.10.00</v>
      </c>
      <c r="K249" t="str">
        <f>IF(quantInv[[#This Row],[Metal]] = "925 Silver",  "7113.11.00"," 7113.19.00")</f>
        <v>7113.11.00</v>
      </c>
      <c r="L249" t="str">
        <f>IFERROR(VLOOKUP(quantInv[[#This Row],[Description for New Invoice]],Map!$G$12:$H$32,2,FALSE), IF(quantInv[[#This Row],[Metal]] = "925 Silver", "7113.11.10.00", "7113.19.29.00"))</f>
        <v>7113.11.10.00</v>
      </c>
      <c r="M249" t="str">
        <f>quantInv[[#This Row],[ASIN]] &amp; " " &amp; quantInv[[#This Row],[Short Description]]</f>
        <v>B0164MQJM0 Liana Chain</v>
      </c>
      <c r="N249" s="33">
        <f>quantInv[[#This Row],[UNIT
VALUE]] / EURtoGBP</f>
        <v>1.8563734087052266</v>
      </c>
      <c r="O249" s="33">
        <f>quantInv[[#This Row],[UNIT
VALUE]]/USDtoGBP</f>
        <v>2.2418617020547429</v>
      </c>
      <c r="P249" s="33">
        <f>quantInv[[#This Row],[UNIT
VALUE]] / CADtoGBP</f>
        <v>2.8697118531347661</v>
      </c>
      <c r="Q249" s="33">
        <f>quantInv[[#This Row],[UNIT
VALUE]]/AUDtoGBP</f>
        <v>2.9373518212515264</v>
      </c>
      <c r="R249">
        <f>IFERROR(VLOOKUP(quantInv[[#This Row],[Assigned Item SKU]],skuQuantity[#All],2,FALSE),0)</f>
        <v>0</v>
      </c>
      <c r="S249" t="str">
        <f>PROPER(quantInv[[#This Row],[Metal]] &amp; " " &amp; quantInv[[#This Row],[Item Type]])</f>
        <v>925 Silver Chain</v>
      </c>
      <c r="T249" s="33">
        <f>quantInv[[#This Row],[Quantity]]*quantInv[[#This Row],[WEIGHT]]</f>
        <v>0</v>
      </c>
      <c r="U249" s="33">
        <f>quantInv[[#This Row],[UNIT
VALUE]]*quantInv[[#This Row],[Quantity]]</f>
        <v>0</v>
      </c>
      <c r="V249" s="33">
        <f>quantInv[[#This Row],[Total Cost GBP]]/EURtoGBP</f>
        <v>0</v>
      </c>
      <c r="W249" s="33">
        <f>quantInv[[#This Row],[Total Cost GBP]]/USDtoGBP</f>
        <v>0</v>
      </c>
      <c r="X249" s="33">
        <f>quantInv[[#This Row],[Total Cost GBP]]/CADtoGBP</f>
        <v>0</v>
      </c>
      <c r="Y249" s="33">
        <f>quantInv[[#This Row],[Quantity]]*quantInv[[#This Row],[UNIT
VALUE AUD]]</f>
        <v>0</v>
      </c>
      <c r="Z249" s="33"/>
    </row>
    <row r="250" spans="1:26" x14ac:dyDescent="0.25">
      <c r="A250" t="s">
        <v>19</v>
      </c>
      <c r="B250" t="s">
        <v>625</v>
      </c>
      <c r="C250" t="s">
        <v>114</v>
      </c>
      <c r="D250" t="s">
        <v>626</v>
      </c>
      <c r="E250">
        <v>2.0842105263157902</v>
      </c>
      <c r="F250" s="33">
        <v>2.2094999999999998</v>
      </c>
      <c r="G250" s="33" t="s">
        <v>117</v>
      </c>
      <c r="H250" t="s">
        <v>1414</v>
      </c>
      <c r="I250" t="str">
        <f>IF(quantInv[[#This Row],[Metal]] = "925 Silver",  "7113.11.00"," 7113.19.00")</f>
        <v>7113.11.00</v>
      </c>
      <c r="J250" t="str">
        <f>IF(quantInv[[#This Row],[Metal]] = "925 Silver", "7113.11.10.00"," 7113.19.10.00")</f>
        <v>7113.11.10.00</v>
      </c>
      <c r="K250" t="str">
        <f>IF(quantInv[[#This Row],[Metal]] = "925 Silver",  "7113.11.00"," 7113.19.00")</f>
        <v>7113.11.00</v>
      </c>
      <c r="L250" t="str">
        <f>IFERROR(VLOOKUP(quantInv[[#This Row],[Description for New Invoice]],Map!$G$12:$H$32,2,FALSE), IF(quantInv[[#This Row],[Metal]] = "925 Silver", "7113.11.10.00", "7113.19.29.00"))</f>
        <v>7113.11.10.00</v>
      </c>
      <c r="M250" t="str">
        <f>quantInv[[#This Row],[ASIN]] &amp; " " &amp; quantInv[[#This Row],[Short Description]]</f>
        <v>B01IBQX6IM Popcorn Chain</v>
      </c>
      <c r="N250" s="33">
        <f>quantInv[[#This Row],[UNIT
VALUE]] / EURtoGBP</f>
        <v>2.5080451550288601</v>
      </c>
      <c r="O250" s="33">
        <f>quantInv[[#This Row],[UNIT
VALUE]]/USDtoGBP</f>
        <v>3.0288574236822514</v>
      </c>
      <c r="P250" s="33">
        <f>quantInv[[#This Row],[UNIT
VALUE]] / CADtoGBP</f>
        <v>3.8771116176478326</v>
      </c>
      <c r="Q250" s="33">
        <f>quantInv[[#This Row],[UNIT
VALUE]]/AUDtoGBP</f>
        <v>3.9684963000215525</v>
      </c>
      <c r="R250">
        <f>IFERROR(VLOOKUP(quantInv[[#This Row],[Assigned Item SKU]],skuQuantity[#All],2,FALSE),0)</f>
        <v>0</v>
      </c>
      <c r="S250" t="str">
        <f>PROPER(quantInv[[#This Row],[Metal]] &amp; " " &amp; quantInv[[#This Row],[Item Type]])</f>
        <v>925 Silver Bracelet</v>
      </c>
      <c r="T250" s="33">
        <f>quantInv[[#This Row],[Quantity]]*quantInv[[#This Row],[WEIGHT]]</f>
        <v>0</v>
      </c>
      <c r="U250" s="33">
        <f>quantInv[[#This Row],[UNIT
VALUE]]*quantInv[[#This Row],[Quantity]]</f>
        <v>0</v>
      </c>
      <c r="V250" s="33">
        <f>quantInv[[#This Row],[Total Cost GBP]]/EURtoGBP</f>
        <v>0</v>
      </c>
      <c r="W250" s="33">
        <f>quantInv[[#This Row],[Total Cost GBP]]/USDtoGBP</f>
        <v>0</v>
      </c>
      <c r="X250" s="33">
        <f>quantInv[[#This Row],[Total Cost GBP]]/CADtoGBP</f>
        <v>0</v>
      </c>
      <c r="Y250" s="33">
        <f>quantInv[[#This Row],[Quantity]]*quantInv[[#This Row],[UNIT
VALUE AUD]]</f>
        <v>0</v>
      </c>
      <c r="Z250" s="33"/>
    </row>
    <row r="251" spans="1:26" x14ac:dyDescent="0.25">
      <c r="A251" t="s">
        <v>18</v>
      </c>
      <c r="B251" t="s">
        <v>627</v>
      </c>
      <c r="C251" t="s">
        <v>114</v>
      </c>
      <c r="D251" t="s">
        <v>626</v>
      </c>
      <c r="E251">
        <v>2.2039215686274498</v>
      </c>
      <c r="F251" s="33">
        <v>2.3254999999999999</v>
      </c>
      <c r="G251" s="33" t="s">
        <v>117</v>
      </c>
      <c r="H251" t="s">
        <v>1414</v>
      </c>
      <c r="I251" t="str">
        <f>IF(quantInv[[#This Row],[Metal]] = "925 Silver",  "7113.11.00"," 7113.19.00")</f>
        <v>7113.11.00</v>
      </c>
      <c r="J251" t="str">
        <f>IF(quantInv[[#This Row],[Metal]] = "925 Silver", "7113.11.10.00"," 7113.19.10.00")</f>
        <v>7113.11.10.00</v>
      </c>
      <c r="K251" t="str">
        <f>IF(quantInv[[#This Row],[Metal]] = "925 Silver",  "7113.11.00"," 7113.19.00")</f>
        <v>7113.11.00</v>
      </c>
      <c r="L251" t="str">
        <f>IFERROR(VLOOKUP(quantInv[[#This Row],[Description for New Invoice]],Map!$G$12:$H$32,2,FALSE), IF(quantInv[[#This Row],[Metal]] = "925 Silver", "7113.11.10.00", "7113.19.29.00"))</f>
        <v>7113.11.10.00</v>
      </c>
      <c r="M251" t="str">
        <f>quantInv[[#This Row],[ASIN]] &amp; " " &amp; quantInv[[#This Row],[Short Description]]</f>
        <v>B01IBQX7GS Popcorn Chain</v>
      </c>
      <c r="N251" s="33">
        <f>quantInv[[#This Row],[UNIT
VALUE]] / EURtoGBP</f>
        <v>2.6397189445664697</v>
      </c>
      <c r="O251" s="33">
        <f>quantInv[[#This Row],[UNIT
VALUE]]/USDtoGBP</f>
        <v>3.1878741519679004</v>
      </c>
      <c r="P251" s="33">
        <f>quantInv[[#This Row],[UNIT
VALUE]] / CADtoGBP</f>
        <v>4.080662171007031</v>
      </c>
      <c r="Q251" s="33">
        <f>quantInv[[#This Row],[UNIT
VALUE]]/AUDtoGBP</f>
        <v>4.1768446009052367</v>
      </c>
      <c r="R251">
        <f>IFERROR(VLOOKUP(quantInv[[#This Row],[Assigned Item SKU]],skuQuantity[#All],2,FALSE),0)</f>
        <v>0</v>
      </c>
      <c r="S251" t="str">
        <f>PROPER(quantInv[[#This Row],[Metal]] &amp; " " &amp; quantInv[[#This Row],[Item Type]])</f>
        <v>925 Silver Bracelet</v>
      </c>
      <c r="T251" s="33">
        <f>quantInv[[#This Row],[Quantity]]*quantInv[[#This Row],[WEIGHT]]</f>
        <v>0</v>
      </c>
      <c r="U251" s="33">
        <f>quantInv[[#This Row],[UNIT
VALUE]]*quantInv[[#This Row],[Quantity]]</f>
        <v>0</v>
      </c>
      <c r="V251" s="33">
        <f>quantInv[[#This Row],[Total Cost GBP]]/EURtoGBP</f>
        <v>0</v>
      </c>
      <c r="W251" s="33">
        <f>quantInv[[#This Row],[Total Cost GBP]]/USDtoGBP</f>
        <v>0</v>
      </c>
      <c r="X251" s="33">
        <f>quantInv[[#This Row],[Total Cost GBP]]/CADtoGBP</f>
        <v>0</v>
      </c>
      <c r="Y251" s="33">
        <f>quantInv[[#This Row],[Quantity]]*quantInv[[#This Row],[UNIT
VALUE AUD]]</f>
        <v>0</v>
      </c>
      <c r="Z251" s="33"/>
    </row>
    <row r="252" spans="1:26" x14ac:dyDescent="0.25">
      <c r="A252" t="s">
        <v>306</v>
      </c>
      <c r="B252" t="s">
        <v>307</v>
      </c>
      <c r="C252" t="s">
        <v>113</v>
      </c>
      <c r="D252" t="s">
        <v>189</v>
      </c>
      <c r="E252">
        <v>2.16</v>
      </c>
      <c r="F252" s="33">
        <v>3.0503999999999998</v>
      </c>
      <c r="G252" s="33" t="s">
        <v>117</v>
      </c>
      <c r="H252" t="s">
        <v>103</v>
      </c>
      <c r="I252" t="str">
        <f>IF(quantInv[[#This Row],[Metal]] = "925 Silver",  "7113.11.00"," 7113.19.00")</f>
        <v>7113.11.00</v>
      </c>
      <c r="J252" t="str">
        <f>IF(quantInv[[#This Row],[Metal]] = "925 Silver", "7113.11.10.00"," 7113.19.10.00")</f>
        <v>7113.11.10.00</v>
      </c>
      <c r="K252" t="str">
        <f>IF(quantInv[[#This Row],[Metal]] = "925 Silver",  "7113.11.00"," 7113.19.00")</f>
        <v>7113.11.00</v>
      </c>
      <c r="L252" t="str">
        <f>IFERROR(VLOOKUP(quantInv[[#This Row],[Description for New Invoice]],Map!$G$12:$H$32,2,FALSE), IF(quantInv[[#This Row],[Metal]] = "925 Silver", "7113.11.10.00", "7113.19.29.00"))</f>
        <v>7113.11.10.00</v>
      </c>
      <c r="M252" t="str">
        <f>quantInv[[#This Row],[ASIN]] &amp; " " &amp; quantInv[[#This Row],[Short Description]]</f>
        <v>B073JHQTKL Singapore Chain</v>
      </c>
      <c r="N252" s="33">
        <f>quantInv[[#This Row],[UNIT
VALUE]] / EURtoGBP</f>
        <v>3.4625666172889953</v>
      </c>
      <c r="O252" s="33">
        <f>quantInv[[#This Row],[UNIT
VALUE]]/USDtoGBP</f>
        <v>4.1815916203667527</v>
      </c>
      <c r="P252" s="33">
        <f>quantInv[[#This Row],[UNIT
VALUE]] / CADtoGBP</f>
        <v>5.3526776548870547</v>
      </c>
      <c r="Q252" s="33">
        <f>quantInv[[#This Row],[UNIT
VALUE]]/AUDtoGBP</f>
        <v>5.4788418708240529</v>
      </c>
      <c r="R252">
        <f>IFERROR(VLOOKUP(quantInv[[#This Row],[Assigned Item SKU]],skuQuantity[#All],2,FALSE),0)</f>
        <v>10</v>
      </c>
      <c r="S252" t="str">
        <f>PROPER(quantInv[[#This Row],[Metal]] &amp; " " &amp; quantInv[[#This Row],[Item Type]])</f>
        <v>925 Silver Chain</v>
      </c>
      <c r="T252" s="33">
        <f>quantInv[[#This Row],[Quantity]]*quantInv[[#This Row],[WEIGHT]]</f>
        <v>21.6</v>
      </c>
      <c r="U252" s="33">
        <f>quantInv[[#This Row],[UNIT
VALUE]]*quantInv[[#This Row],[Quantity]]</f>
        <v>30.503999999999998</v>
      </c>
      <c r="V252" s="33">
        <f>quantInv[[#This Row],[Total Cost GBP]]/EURtoGBP</f>
        <v>34.62566617288995</v>
      </c>
      <c r="W252" s="33">
        <f>quantInv[[#This Row],[Total Cost GBP]]/USDtoGBP</f>
        <v>41.815916203667527</v>
      </c>
      <c r="X252" s="33">
        <f>quantInv[[#This Row],[Total Cost GBP]]/CADtoGBP</f>
        <v>53.526776548870551</v>
      </c>
      <c r="Y252" s="33">
        <f>quantInv[[#This Row],[Quantity]]*quantInv[[#This Row],[UNIT
VALUE AUD]]</f>
        <v>54.788418708240528</v>
      </c>
      <c r="Z252" s="33"/>
    </row>
    <row r="253" spans="1:26" x14ac:dyDescent="0.25">
      <c r="A253" t="s">
        <v>325</v>
      </c>
      <c r="B253" t="s">
        <v>326</v>
      </c>
      <c r="C253" t="s">
        <v>114</v>
      </c>
      <c r="D253" t="s">
        <v>213</v>
      </c>
      <c r="E253">
        <v>1.98367346938776</v>
      </c>
      <c r="F253" s="33">
        <v>2.7949000000000002</v>
      </c>
      <c r="G253" s="33" t="s">
        <v>117</v>
      </c>
      <c r="H253" t="s">
        <v>103</v>
      </c>
      <c r="I253" t="str">
        <f>IF(quantInv[[#This Row],[Metal]] = "925 Silver",  "7113.11.00"," 7113.19.00")</f>
        <v>7113.11.00</v>
      </c>
      <c r="J253" t="str">
        <f>IF(quantInv[[#This Row],[Metal]] = "925 Silver", "7113.11.10.00"," 7113.19.10.00")</f>
        <v>7113.11.10.00</v>
      </c>
      <c r="K253" t="str">
        <f>IF(quantInv[[#This Row],[Metal]] = "925 Silver",  "7113.11.00"," 7113.19.00")</f>
        <v>7113.11.00</v>
      </c>
      <c r="L253" t="str">
        <f>IFERROR(VLOOKUP(quantInv[[#This Row],[Description for New Invoice]],Map!$G$12:$H$32,2,FALSE), IF(quantInv[[#This Row],[Metal]] = "925 Silver", "7113.11.10.00", "7113.19.29.00"))</f>
        <v>7113.11.10.00</v>
      </c>
      <c r="M253" t="str">
        <f>quantInv[[#This Row],[ASIN]] &amp; " " &amp; quantInv[[#This Row],[Short Description]]</f>
        <v>B073G9ZDDM Ball Chain</v>
      </c>
      <c r="N253" s="33">
        <f>quantInv[[#This Row],[UNIT
VALUE]] / EURtoGBP</f>
        <v>3.172543744643658</v>
      </c>
      <c r="O253" s="33">
        <f>quantInv[[#This Row],[UNIT
VALUE]]/USDtoGBP</f>
        <v>3.831343567978966</v>
      </c>
      <c r="P253" s="33">
        <f>quantInv[[#This Row],[UNIT
VALUE]] / CADtoGBP</f>
        <v>4.9043400136519253</v>
      </c>
      <c r="Q253" s="33">
        <f>quantInv[[#This Row],[UNIT
VALUE]]/AUDtoGBP</f>
        <v>5.0199367770673184</v>
      </c>
      <c r="R253">
        <f>IFERROR(VLOOKUP(quantInv[[#This Row],[Assigned Item SKU]],skuQuantity[#All],2,FALSE),0)</f>
        <v>0</v>
      </c>
      <c r="S253" t="str">
        <f>PROPER(quantInv[[#This Row],[Metal]] &amp; " " &amp; quantInv[[#This Row],[Item Type]])</f>
        <v>925 Silver Chain</v>
      </c>
      <c r="T253" s="33">
        <f>quantInv[[#This Row],[Quantity]]*quantInv[[#This Row],[WEIGHT]]</f>
        <v>0</v>
      </c>
      <c r="U253" s="33">
        <f>quantInv[[#This Row],[UNIT
VALUE]]*quantInv[[#This Row],[Quantity]]</f>
        <v>0</v>
      </c>
      <c r="V253" s="33">
        <f>quantInv[[#This Row],[Total Cost GBP]]/EURtoGBP</f>
        <v>0</v>
      </c>
      <c r="W253" s="33">
        <f>quantInv[[#This Row],[Total Cost GBP]]/USDtoGBP</f>
        <v>0</v>
      </c>
      <c r="X253" s="33">
        <f>quantInv[[#This Row],[Total Cost GBP]]/CADtoGBP</f>
        <v>0</v>
      </c>
      <c r="Y253" s="33">
        <f>quantInv[[#This Row],[Quantity]]*quantInv[[#This Row],[UNIT
VALUE AUD]]</f>
        <v>0</v>
      </c>
      <c r="Z253" s="33"/>
    </row>
    <row r="254" spans="1:26" x14ac:dyDescent="0.25">
      <c r="A254" t="s">
        <v>630</v>
      </c>
      <c r="B254" t="s">
        <v>631</v>
      </c>
      <c r="C254" t="s">
        <v>114</v>
      </c>
      <c r="D254" t="s">
        <v>632</v>
      </c>
      <c r="E254">
        <v>1.5760000000000001</v>
      </c>
      <c r="F254" s="33">
        <v>1.9866999999999999</v>
      </c>
      <c r="G254" s="33" t="s">
        <v>117</v>
      </c>
      <c r="H254" t="s">
        <v>1414</v>
      </c>
      <c r="I254" t="str">
        <f>IF(quantInv[[#This Row],[Metal]] = "925 Silver",  "7113.11.00"," 7113.19.00")</f>
        <v>7113.11.00</v>
      </c>
      <c r="J254" t="str">
        <f>IF(quantInv[[#This Row],[Metal]] = "925 Silver", "7113.11.10.00"," 7113.19.10.00")</f>
        <v>7113.11.10.00</v>
      </c>
      <c r="K254" t="str">
        <f>IF(quantInv[[#This Row],[Metal]] = "925 Silver",  "7113.11.00"," 7113.19.00")</f>
        <v>7113.11.00</v>
      </c>
      <c r="L254" t="str">
        <f>IFERROR(VLOOKUP(quantInv[[#This Row],[Description for New Invoice]],Map!$G$12:$H$32,2,FALSE), IF(quantInv[[#This Row],[Metal]] = "925 Silver", "7113.11.10.00", "7113.19.29.00"))</f>
        <v>7113.11.10.00</v>
      </c>
      <c r="M254" t="str">
        <f>quantInv[[#This Row],[ASIN]] &amp; " " &amp; quantInv[[#This Row],[Short Description]]</f>
        <v>B01IBQXCZ4 Oval Chain</v>
      </c>
      <c r="N254" s="33">
        <f>quantInv[[#This Row],[UNIT
VALUE]] / EURtoGBP</f>
        <v>2.2551406696066243</v>
      </c>
      <c r="O254" s="33">
        <f>quantInv[[#This Row],[UNIT
VALUE]]/USDtoGBP</f>
        <v>2.7234356386646432</v>
      </c>
      <c r="P254" s="33">
        <f>quantInv[[#This Row],[UNIT
VALUE]] / CADtoGBP</f>
        <v>3.4861541755062002</v>
      </c>
      <c r="Q254" s="33">
        <f>quantInv[[#This Row],[UNIT
VALUE]]/AUDtoGBP</f>
        <v>3.5683238738415111</v>
      </c>
      <c r="R254">
        <f>IFERROR(VLOOKUP(quantInv[[#This Row],[Assigned Item SKU]],skuQuantity[#All],2,FALSE),0)</f>
        <v>0</v>
      </c>
      <c r="S254" t="str">
        <f>PROPER(quantInv[[#This Row],[Metal]] &amp; " " &amp; quantInv[[#This Row],[Item Type]])</f>
        <v>925 Silver Bracelet</v>
      </c>
      <c r="T254" s="33">
        <f>quantInv[[#This Row],[Quantity]]*quantInv[[#This Row],[WEIGHT]]</f>
        <v>0</v>
      </c>
      <c r="U254" s="33">
        <f>quantInv[[#This Row],[UNIT
VALUE]]*quantInv[[#This Row],[Quantity]]</f>
        <v>0</v>
      </c>
      <c r="V254" s="33">
        <f>quantInv[[#This Row],[Total Cost GBP]]/EURtoGBP</f>
        <v>0</v>
      </c>
      <c r="W254" s="33">
        <f>quantInv[[#This Row],[Total Cost GBP]]/USDtoGBP</f>
        <v>0</v>
      </c>
      <c r="X254" s="33">
        <f>quantInv[[#This Row],[Total Cost GBP]]/CADtoGBP</f>
        <v>0</v>
      </c>
      <c r="Y254" s="33">
        <f>quantInv[[#This Row],[Quantity]]*quantInv[[#This Row],[UNIT
VALUE AUD]]</f>
        <v>0</v>
      </c>
      <c r="Z254" s="33"/>
    </row>
    <row r="255" spans="1:26" x14ac:dyDescent="0.25">
      <c r="A255" t="s">
        <v>633</v>
      </c>
      <c r="B255" t="s">
        <v>634</v>
      </c>
      <c r="C255" t="s">
        <v>114</v>
      </c>
      <c r="D255" t="s">
        <v>632</v>
      </c>
      <c r="E255">
        <v>1.625</v>
      </c>
      <c r="F255" s="33">
        <v>2.0375999999999999</v>
      </c>
      <c r="G255" s="33" t="s">
        <v>117</v>
      </c>
      <c r="H255" t="s">
        <v>1414</v>
      </c>
      <c r="I255" t="str">
        <f>IF(quantInv[[#This Row],[Metal]] = "925 Silver",  "7113.11.00"," 7113.19.00")</f>
        <v>7113.11.00</v>
      </c>
      <c r="J255" t="str">
        <f>IF(quantInv[[#This Row],[Metal]] = "925 Silver", "7113.11.10.00"," 7113.19.10.00")</f>
        <v>7113.11.10.00</v>
      </c>
      <c r="K255" t="str">
        <f>IF(quantInv[[#This Row],[Metal]] = "925 Silver",  "7113.11.00"," 7113.19.00")</f>
        <v>7113.11.00</v>
      </c>
      <c r="L255" t="str">
        <f>IFERROR(VLOOKUP(quantInv[[#This Row],[Description for New Invoice]],Map!$G$12:$H$32,2,FALSE), IF(quantInv[[#This Row],[Metal]] = "925 Silver", "7113.11.10.00", "7113.19.29.00"))</f>
        <v>7113.11.10.00</v>
      </c>
      <c r="M255" t="str">
        <f>quantInv[[#This Row],[ASIN]] &amp; " " &amp; quantInv[[#This Row],[Short Description]]</f>
        <v>B01IBQXDYE Oval Chain</v>
      </c>
      <c r="N255" s="33">
        <f>quantInv[[#This Row],[UNIT
VALUE]] / EURtoGBP</f>
        <v>2.3129182203606269</v>
      </c>
      <c r="O255" s="33">
        <f>quantInv[[#This Row],[UNIT
VALUE]]/USDtoGBP</f>
        <v>2.7932110823692944</v>
      </c>
      <c r="P255" s="33">
        <f>quantInv[[#This Row],[UNIT
VALUE]] / CADtoGBP</f>
        <v>3.5754707545232964</v>
      </c>
      <c r="Q255" s="33">
        <f>quantInv[[#This Row],[UNIT
VALUE]]/AUDtoGBP</f>
        <v>3.6597456713844378</v>
      </c>
      <c r="R255">
        <f>IFERROR(VLOOKUP(quantInv[[#This Row],[Assigned Item SKU]],skuQuantity[#All],2,FALSE),0)</f>
        <v>0</v>
      </c>
      <c r="S255" t="str">
        <f>PROPER(quantInv[[#This Row],[Metal]] &amp; " " &amp; quantInv[[#This Row],[Item Type]])</f>
        <v>925 Silver Bracelet</v>
      </c>
      <c r="T255" s="33">
        <f>quantInv[[#This Row],[Quantity]]*quantInv[[#This Row],[WEIGHT]]</f>
        <v>0</v>
      </c>
      <c r="U255" s="33">
        <f>quantInv[[#This Row],[UNIT
VALUE]]*quantInv[[#This Row],[Quantity]]</f>
        <v>0</v>
      </c>
      <c r="V255" s="33">
        <f>quantInv[[#This Row],[Total Cost GBP]]/EURtoGBP</f>
        <v>0</v>
      </c>
      <c r="W255" s="33">
        <f>quantInv[[#This Row],[Total Cost GBP]]/USDtoGBP</f>
        <v>0</v>
      </c>
      <c r="X255" s="33">
        <f>quantInv[[#This Row],[Total Cost GBP]]/CADtoGBP</f>
        <v>0</v>
      </c>
      <c r="Y255" s="33">
        <f>quantInv[[#This Row],[Quantity]]*quantInv[[#This Row],[UNIT
VALUE AUD]]</f>
        <v>0</v>
      </c>
      <c r="Z255" s="33"/>
    </row>
    <row r="256" spans="1:26" x14ac:dyDescent="0.25">
      <c r="A256" t="s">
        <v>635</v>
      </c>
      <c r="B256" t="s">
        <v>636</v>
      </c>
      <c r="C256" t="s">
        <v>114</v>
      </c>
      <c r="D256" t="s">
        <v>632</v>
      </c>
      <c r="E256">
        <v>2.34</v>
      </c>
      <c r="F256" s="33">
        <v>3.3374999999999999</v>
      </c>
      <c r="G256" s="33" t="s">
        <v>117</v>
      </c>
      <c r="H256" t="s">
        <v>1426</v>
      </c>
      <c r="I256" t="str">
        <f>IF(quantInv[[#This Row],[Metal]] = "925 Silver",  "7113.11.00"," 7113.19.00")</f>
        <v>7113.11.00</v>
      </c>
      <c r="J256" t="str">
        <f>IF(quantInv[[#This Row],[Metal]] = "925 Silver", "7113.11.10.00"," 7113.19.10.00")</f>
        <v>7113.11.10.00</v>
      </c>
      <c r="K256" t="str">
        <f>IF(quantInv[[#This Row],[Metal]] = "925 Silver",  "7113.11.00"," 7113.19.00")</f>
        <v>7113.11.00</v>
      </c>
      <c r="L256" t="str">
        <f>IFERROR(VLOOKUP(quantInv[[#This Row],[Description for New Invoice]],Map!$G$12:$H$32,2,FALSE), IF(quantInv[[#This Row],[Metal]] = "925 Silver", "7113.11.10.00", "7113.19.29.00"))</f>
        <v>7113.11.10.00</v>
      </c>
      <c r="M256" t="str">
        <f>quantInv[[#This Row],[ASIN]] &amp; " " &amp; quantInv[[#This Row],[Short Description]]</f>
        <v>B071NZRQ6D Oval Chain</v>
      </c>
      <c r="N256" s="33">
        <f>quantInv[[#This Row],[UNIT
VALUE]] / EURtoGBP</f>
        <v>3.7884592463945785</v>
      </c>
      <c r="O256" s="33">
        <f>quantInv[[#This Row],[UNIT
VALUE]]/USDtoGBP</f>
        <v>4.5751580228737341</v>
      </c>
      <c r="P256" s="33">
        <f>quantInv[[#This Row],[UNIT
VALUE]] / CADtoGBP</f>
        <v>5.8564652744510708</v>
      </c>
      <c r="Q256" s="33">
        <f>quantInv[[#This Row],[UNIT
VALUE]]/AUDtoGBP</f>
        <v>5.9945039155111717</v>
      </c>
      <c r="R256">
        <f>IFERROR(VLOOKUP(quantInv[[#This Row],[Assigned Item SKU]],skuQuantity[#All],2,FALSE),0)</f>
        <v>0</v>
      </c>
      <c r="S256" t="str">
        <f>PROPER(quantInv[[#This Row],[Metal]] &amp; " " &amp; quantInv[[#This Row],[Item Type]])</f>
        <v>925 Silver Anklet</v>
      </c>
      <c r="T256" s="33">
        <f>quantInv[[#This Row],[Quantity]]*quantInv[[#This Row],[WEIGHT]]</f>
        <v>0</v>
      </c>
      <c r="U256" s="33">
        <f>quantInv[[#This Row],[UNIT
VALUE]]*quantInv[[#This Row],[Quantity]]</f>
        <v>0</v>
      </c>
      <c r="V256" s="33">
        <f>quantInv[[#This Row],[Total Cost GBP]]/EURtoGBP</f>
        <v>0</v>
      </c>
      <c r="W256" s="33">
        <f>quantInv[[#This Row],[Total Cost GBP]]/USDtoGBP</f>
        <v>0</v>
      </c>
      <c r="X256" s="33">
        <f>quantInv[[#This Row],[Total Cost GBP]]/CADtoGBP</f>
        <v>0</v>
      </c>
      <c r="Y256" s="33">
        <f>quantInv[[#This Row],[Quantity]]*quantInv[[#This Row],[UNIT
VALUE AUD]]</f>
        <v>0</v>
      </c>
      <c r="Z256" s="33"/>
    </row>
    <row r="257" spans="1:26" x14ac:dyDescent="0.25">
      <c r="A257" t="s">
        <v>15</v>
      </c>
      <c r="B257" t="s">
        <v>637</v>
      </c>
      <c r="C257" t="s">
        <v>114</v>
      </c>
      <c r="D257" t="s">
        <v>274</v>
      </c>
      <c r="E257">
        <v>1.84313725490196</v>
      </c>
      <c r="F257" s="33">
        <v>2.1669</v>
      </c>
      <c r="G257" s="33" t="s">
        <v>117</v>
      </c>
      <c r="H257" t="s">
        <v>1414</v>
      </c>
      <c r="I257" t="str">
        <f>IF(quantInv[[#This Row],[Metal]] = "925 Silver",  "7113.11.00"," 7113.19.00")</f>
        <v>7113.11.00</v>
      </c>
      <c r="J257" t="str">
        <f>IF(quantInv[[#This Row],[Metal]] = "925 Silver", "7113.11.10.00"," 7113.19.10.00")</f>
        <v>7113.11.10.00</v>
      </c>
      <c r="K257" t="str">
        <f>IF(quantInv[[#This Row],[Metal]] = "925 Silver",  "7113.11.00"," 7113.19.00")</f>
        <v>7113.11.00</v>
      </c>
      <c r="L257" t="str">
        <f>IFERROR(VLOOKUP(quantInv[[#This Row],[Description for New Invoice]],Map!$G$12:$H$32,2,FALSE), IF(quantInv[[#This Row],[Metal]] = "925 Silver", "7113.11.10.00", "7113.19.29.00"))</f>
        <v>7113.11.10.00</v>
      </c>
      <c r="M257" t="str">
        <f>quantInv[[#This Row],[ASIN]] &amp; " " &amp; quantInv[[#This Row],[Short Description]]</f>
        <v>B01N4Q9ZOP Singapore with Beads Chain</v>
      </c>
      <c r="N257" s="33">
        <f>quantInv[[#This Row],[UNIT
VALUE]] / EURtoGBP</f>
        <v>2.4596890909400488</v>
      </c>
      <c r="O257" s="33">
        <f>quantInv[[#This Row],[UNIT
VALUE]]/USDtoGBP</f>
        <v>2.9704599010532116</v>
      </c>
      <c r="P257" s="33">
        <f>quantInv[[#This Row],[UNIT
VALUE]] / CADtoGBP</f>
        <v>3.8023594316728171</v>
      </c>
      <c r="Q257" s="33">
        <f>quantInv[[#This Row],[UNIT
VALUE]]/AUDtoGBP</f>
        <v>3.8919821826280621</v>
      </c>
      <c r="R257">
        <f>IFERROR(VLOOKUP(quantInv[[#This Row],[Assigned Item SKU]],skuQuantity[#All],2,FALSE),0)</f>
        <v>0</v>
      </c>
      <c r="S257" t="str">
        <f>PROPER(quantInv[[#This Row],[Metal]] &amp; " " &amp; quantInv[[#This Row],[Item Type]])</f>
        <v>925 Silver Bracelet</v>
      </c>
      <c r="T257" s="33">
        <f>quantInv[[#This Row],[Quantity]]*quantInv[[#This Row],[WEIGHT]]</f>
        <v>0</v>
      </c>
      <c r="U257" s="33">
        <f>quantInv[[#This Row],[UNIT
VALUE]]*quantInv[[#This Row],[Quantity]]</f>
        <v>0</v>
      </c>
      <c r="V257" s="33">
        <f>quantInv[[#This Row],[Total Cost GBP]]/EURtoGBP</f>
        <v>0</v>
      </c>
      <c r="W257" s="33">
        <f>quantInv[[#This Row],[Total Cost GBP]]/USDtoGBP</f>
        <v>0</v>
      </c>
      <c r="X257" s="33">
        <f>quantInv[[#This Row],[Total Cost GBP]]/CADtoGBP</f>
        <v>0</v>
      </c>
      <c r="Y257" s="33">
        <f>quantInv[[#This Row],[Quantity]]*quantInv[[#This Row],[UNIT
VALUE AUD]]</f>
        <v>0</v>
      </c>
      <c r="Z257" s="33"/>
    </row>
    <row r="258" spans="1:26" x14ac:dyDescent="0.25">
      <c r="A258" t="s">
        <v>368</v>
      </c>
      <c r="B258" t="s">
        <v>369</v>
      </c>
      <c r="C258" t="s">
        <v>114</v>
      </c>
      <c r="D258" t="s">
        <v>242</v>
      </c>
      <c r="E258">
        <v>3.6333333333333302</v>
      </c>
      <c r="F258" s="33">
        <v>4.7975000000000003</v>
      </c>
      <c r="G258" s="33" t="s">
        <v>117</v>
      </c>
      <c r="H258" t="s">
        <v>103</v>
      </c>
      <c r="I258" t="str">
        <f>IF(quantInv[[#This Row],[Metal]] = "925 Silver",  "7113.11.00"," 7113.19.00")</f>
        <v>7113.11.00</v>
      </c>
      <c r="J258" t="str">
        <f>IF(quantInv[[#This Row],[Metal]] = "925 Silver", "7113.11.10.00"," 7113.19.10.00")</f>
        <v>7113.11.10.00</v>
      </c>
      <c r="K258" t="str">
        <f>IF(quantInv[[#This Row],[Metal]] = "925 Silver",  "7113.11.00"," 7113.19.00")</f>
        <v>7113.11.00</v>
      </c>
      <c r="L258" t="str">
        <f>IFERROR(VLOOKUP(quantInv[[#This Row],[Description for New Invoice]],Map!$G$12:$H$32,2,FALSE), IF(quantInv[[#This Row],[Metal]] = "925 Silver", "7113.11.10.00", "7113.19.29.00"))</f>
        <v>7113.11.10.00</v>
      </c>
      <c r="M258" t="str">
        <f>quantInv[[#This Row],[ASIN]] &amp; " " &amp; quantInv[[#This Row],[Short Description]]</f>
        <v>B071GYZNP8 Heart Chain</v>
      </c>
      <c r="N258" s="33">
        <f>quantInv[[#This Row],[UNIT
VALUE]] / EURtoGBP</f>
        <v>5.4457328043679381</v>
      </c>
      <c r="O258" s="33">
        <f>quantInv[[#This Row],[UNIT
VALUE]]/USDtoGBP</f>
        <v>6.5765754650896602</v>
      </c>
      <c r="P258" s="33">
        <f>quantInv[[#This Row],[UNIT
VALUE]] / CADtoGBP</f>
        <v>8.4183946529375326</v>
      </c>
      <c r="Q258" s="33">
        <f>quantInv[[#This Row],[UNIT
VALUE]]/AUDtoGBP</f>
        <v>8.6168187369782316</v>
      </c>
      <c r="R258">
        <f>IFERROR(VLOOKUP(quantInv[[#This Row],[Assigned Item SKU]],skuQuantity[#All],2,FALSE),0)</f>
        <v>20</v>
      </c>
      <c r="S258" t="str">
        <f>PROPER(quantInv[[#This Row],[Metal]] &amp; " " &amp; quantInv[[#This Row],[Item Type]])</f>
        <v>925 Silver Chain</v>
      </c>
      <c r="T258" s="33">
        <f>quantInv[[#This Row],[Quantity]]*quantInv[[#This Row],[WEIGHT]]</f>
        <v>72.6666666666666</v>
      </c>
      <c r="U258" s="33">
        <f>quantInv[[#This Row],[UNIT
VALUE]]*quantInv[[#This Row],[Quantity]]</f>
        <v>95.95</v>
      </c>
      <c r="V258" s="33">
        <f>quantInv[[#This Row],[Total Cost GBP]]/EURtoGBP</f>
        <v>108.91465608735875</v>
      </c>
      <c r="W258" s="33">
        <f>quantInv[[#This Row],[Total Cost GBP]]/USDtoGBP</f>
        <v>131.53150930179319</v>
      </c>
      <c r="X258" s="33">
        <f>quantInv[[#This Row],[Total Cost GBP]]/CADtoGBP</f>
        <v>168.36789305875064</v>
      </c>
      <c r="Y258" s="33">
        <f>quantInv[[#This Row],[Quantity]]*quantInv[[#This Row],[UNIT
VALUE AUD]]</f>
        <v>172.33637473956463</v>
      </c>
      <c r="Z258" s="33"/>
    </row>
    <row r="259" spans="1:26" x14ac:dyDescent="0.25">
      <c r="A259" t="s">
        <v>86</v>
      </c>
      <c r="B259" t="s">
        <v>639</v>
      </c>
      <c r="C259" t="s">
        <v>114</v>
      </c>
      <c r="D259" t="s">
        <v>274</v>
      </c>
      <c r="E259">
        <v>2.77</v>
      </c>
      <c r="F259" s="33">
        <v>3.7403</v>
      </c>
      <c r="G259" s="33" t="s">
        <v>117</v>
      </c>
      <c r="H259" t="s">
        <v>1426</v>
      </c>
      <c r="I259" t="str">
        <f>IF(quantInv[[#This Row],[Metal]] = "925 Silver",  "7113.11.00"," 7113.19.00")</f>
        <v>7113.11.00</v>
      </c>
      <c r="J259" t="str">
        <f>IF(quantInv[[#This Row],[Metal]] = "925 Silver", "7113.11.10.00"," 7113.19.10.00")</f>
        <v>7113.11.10.00</v>
      </c>
      <c r="K259" t="str">
        <f>IF(quantInv[[#This Row],[Metal]] = "925 Silver",  "7113.11.00"," 7113.19.00")</f>
        <v>7113.11.00</v>
      </c>
      <c r="L259" t="str">
        <f>IFERROR(VLOOKUP(quantInv[[#This Row],[Description for New Invoice]],Map!$G$12:$H$32,2,FALSE), IF(quantInv[[#This Row],[Metal]] = "925 Silver", "7113.11.10.00", "7113.19.29.00"))</f>
        <v>7113.11.10.00</v>
      </c>
      <c r="M259" t="str">
        <f>quantInv[[#This Row],[ASIN]] &amp; " " &amp; quantInv[[#This Row],[Short Description]]</f>
        <v>B0725N7KSD Singapore with Beads Chain</v>
      </c>
      <c r="N259" s="33">
        <f>quantInv[[#This Row],[UNIT
VALUE]] / EURtoGBP</f>
        <v>4.2456851293751736</v>
      </c>
      <c r="O259" s="33">
        <f>quantInv[[#This Row],[UNIT
VALUE]]/USDtoGBP</f>
        <v>5.1273299035070039</v>
      </c>
      <c r="P259" s="33">
        <f>quantInv[[#This Row],[UNIT
VALUE]] / CADtoGBP</f>
        <v>6.5632770235293911</v>
      </c>
      <c r="Q259" s="33">
        <f>quantInv[[#This Row],[UNIT
VALUE]]/AUDtoGBP</f>
        <v>6.7179754292693437</v>
      </c>
      <c r="R259">
        <f>IFERROR(VLOOKUP(quantInv[[#This Row],[Assigned Item SKU]],skuQuantity[#All],2,FALSE),0)</f>
        <v>5</v>
      </c>
      <c r="S259" t="str">
        <f>PROPER(quantInv[[#This Row],[Metal]] &amp; " " &amp; quantInv[[#This Row],[Item Type]])</f>
        <v>925 Silver Anklet</v>
      </c>
      <c r="T259" s="33">
        <f>quantInv[[#This Row],[Quantity]]*quantInv[[#This Row],[WEIGHT]]</f>
        <v>13.85</v>
      </c>
      <c r="U259" s="33">
        <f>quantInv[[#This Row],[UNIT
VALUE]]*quantInv[[#This Row],[Quantity]]</f>
        <v>18.701499999999999</v>
      </c>
      <c r="V259" s="33">
        <f>quantInv[[#This Row],[Total Cost GBP]]/EURtoGBP</f>
        <v>21.22842564687587</v>
      </c>
      <c r="W259" s="33">
        <f>quantInv[[#This Row],[Total Cost GBP]]/USDtoGBP</f>
        <v>25.63664951753502</v>
      </c>
      <c r="X259" s="33">
        <f>quantInv[[#This Row],[Total Cost GBP]]/CADtoGBP</f>
        <v>32.816385117646952</v>
      </c>
      <c r="Y259" s="33">
        <f>quantInv[[#This Row],[Quantity]]*quantInv[[#This Row],[UNIT
VALUE AUD]]</f>
        <v>33.589877146346716</v>
      </c>
      <c r="Z259" s="33"/>
    </row>
    <row r="260" spans="1:26" x14ac:dyDescent="0.25">
      <c r="A260" t="s">
        <v>640</v>
      </c>
      <c r="B260" t="s">
        <v>641</v>
      </c>
      <c r="C260" t="s">
        <v>114</v>
      </c>
      <c r="D260" t="s">
        <v>642</v>
      </c>
      <c r="E260">
        <v>1.3839999999999999</v>
      </c>
      <c r="F260" s="33">
        <v>1.7870999999999999</v>
      </c>
      <c r="G260" s="33" t="s">
        <v>117</v>
      </c>
      <c r="H260" t="s">
        <v>1414</v>
      </c>
      <c r="I260" t="str">
        <f>IF(quantInv[[#This Row],[Metal]] = "925 Silver",  "7113.11.00"," 7113.19.00")</f>
        <v>7113.11.00</v>
      </c>
      <c r="J260" t="str">
        <f>IF(quantInv[[#This Row],[Metal]] = "925 Silver", "7113.11.10.00"," 7113.19.10.00")</f>
        <v>7113.11.10.00</v>
      </c>
      <c r="K260" t="str">
        <f>IF(quantInv[[#This Row],[Metal]] = "925 Silver",  "7113.11.00"," 7113.19.00")</f>
        <v>7113.11.00</v>
      </c>
      <c r="L260" t="str">
        <f>IFERROR(VLOOKUP(quantInv[[#This Row],[Description for New Invoice]],Map!$G$12:$H$32,2,FALSE), IF(quantInv[[#This Row],[Metal]] = "925 Silver", "7113.11.10.00", "7113.19.29.00"))</f>
        <v>7113.11.10.00</v>
      </c>
      <c r="M260" t="str">
        <f>quantInv[[#This Row],[ASIN]] &amp; " " &amp; quantInv[[#This Row],[Short Description]]</f>
        <v>B01MR89UP7 Anchor with tubes Chain</v>
      </c>
      <c r="N260" s="33">
        <f>quantInv[[#This Row],[UNIT
VALUE]] / EURtoGBP</f>
        <v>2.0285709420919105</v>
      </c>
      <c r="O260" s="33">
        <f>quantInv[[#This Row],[UNIT
VALUE]]/USDtoGBP</f>
        <v>2.4498171993041646</v>
      </c>
      <c r="P260" s="33">
        <f>quantInv[[#This Row],[UNIT
VALUE]] / CADtoGBP</f>
        <v>3.1359068440364073</v>
      </c>
      <c r="Q260" s="33">
        <f>quantInv[[#This Row],[UNIT
VALUE]]/AUDtoGBP</f>
        <v>3.2098211078382066</v>
      </c>
      <c r="R260">
        <f>IFERROR(VLOOKUP(quantInv[[#This Row],[Assigned Item SKU]],skuQuantity[#All],2,FALSE),0)</f>
        <v>0</v>
      </c>
      <c r="S260" t="str">
        <f>PROPER(quantInv[[#This Row],[Metal]] &amp; " " &amp; quantInv[[#This Row],[Item Type]])</f>
        <v>925 Silver Bracelet</v>
      </c>
      <c r="T260" s="33">
        <f>quantInv[[#This Row],[Quantity]]*quantInv[[#This Row],[WEIGHT]]</f>
        <v>0</v>
      </c>
      <c r="U260" s="33">
        <f>quantInv[[#This Row],[UNIT
VALUE]]*quantInv[[#This Row],[Quantity]]</f>
        <v>0</v>
      </c>
      <c r="V260" s="33">
        <f>quantInv[[#This Row],[Total Cost GBP]]/EURtoGBP</f>
        <v>0</v>
      </c>
      <c r="W260" s="33">
        <f>quantInv[[#This Row],[Total Cost GBP]]/USDtoGBP</f>
        <v>0</v>
      </c>
      <c r="X260" s="33">
        <f>quantInv[[#This Row],[Total Cost GBP]]/CADtoGBP</f>
        <v>0</v>
      </c>
      <c r="Y260" s="33">
        <f>quantInv[[#This Row],[Quantity]]*quantInv[[#This Row],[UNIT
VALUE AUD]]</f>
        <v>0</v>
      </c>
      <c r="Z260" s="33"/>
    </row>
    <row r="261" spans="1:26" x14ac:dyDescent="0.25">
      <c r="A261" t="s">
        <v>643</v>
      </c>
      <c r="B261" t="s">
        <v>644</v>
      </c>
      <c r="C261" t="s">
        <v>114</v>
      </c>
      <c r="D261" t="s">
        <v>642</v>
      </c>
      <c r="E261">
        <v>1.42745098039216</v>
      </c>
      <c r="F261" s="33">
        <v>1.8322000000000001</v>
      </c>
      <c r="G261" s="33" t="s">
        <v>117</v>
      </c>
      <c r="H261" t="s">
        <v>1414</v>
      </c>
      <c r="I261" t="str">
        <f>IF(quantInv[[#This Row],[Metal]] = "925 Silver",  "7113.11.00"," 7113.19.00")</f>
        <v>7113.11.00</v>
      </c>
      <c r="J261" t="str">
        <f>IF(quantInv[[#This Row],[Metal]] = "925 Silver", "7113.11.10.00"," 7113.19.10.00")</f>
        <v>7113.11.10.00</v>
      </c>
      <c r="K261" t="str">
        <f>IF(quantInv[[#This Row],[Metal]] = "925 Silver",  "7113.11.00"," 7113.19.00")</f>
        <v>7113.11.00</v>
      </c>
      <c r="L261" t="str">
        <f>IFERROR(VLOOKUP(quantInv[[#This Row],[Description for New Invoice]],Map!$G$12:$H$32,2,FALSE), IF(quantInv[[#This Row],[Metal]] = "925 Silver", "7113.11.10.00", "7113.19.29.00"))</f>
        <v>7113.11.10.00</v>
      </c>
      <c r="M261" t="str">
        <f>quantInv[[#This Row],[ASIN]] &amp; " " &amp; quantInv[[#This Row],[Short Description]]</f>
        <v>B01N136KGJ Anchor with tubes Chain</v>
      </c>
      <c r="N261" s="33">
        <f>quantInv[[#This Row],[UNIT
VALUE]] / EURtoGBP</f>
        <v>2.079764803369033</v>
      </c>
      <c r="O261" s="33">
        <f>quantInv[[#This Row],[UNIT
VALUE]]/USDtoGBP</f>
        <v>2.5116418065945334</v>
      </c>
      <c r="P261" s="33">
        <f>quantInv[[#This Row],[UNIT
VALUE]] / CADtoGBP</f>
        <v>3.2150458953855439</v>
      </c>
      <c r="Q261" s="33">
        <f>quantInv[[#This Row],[UNIT
VALUE]]/AUDtoGBP</f>
        <v>3.2908254903369496</v>
      </c>
      <c r="R261">
        <f>IFERROR(VLOOKUP(quantInv[[#This Row],[Assigned Item SKU]],skuQuantity[#All],2,FALSE),0)</f>
        <v>0</v>
      </c>
      <c r="S261" t="str">
        <f>PROPER(quantInv[[#This Row],[Metal]] &amp; " " &amp; quantInv[[#This Row],[Item Type]])</f>
        <v>925 Silver Bracelet</v>
      </c>
      <c r="T261" s="33">
        <f>quantInv[[#This Row],[Quantity]]*quantInv[[#This Row],[WEIGHT]]</f>
        <v>0</v>
      </c>
      <c r="U261" s="33">
        <f>quantInv[[#This Row],[UNIT
VALUE]]*quantInv[[#This Row],[Quantity]]</f>
        <v>0</v>
      </c>
      <c r="V261" s="33">
        <f>quantInv[[#This Row],[Total Cost GBP]]/EURtoGBP</f>
        <v>0</v>
      </c>
      <c r="W261" s="33">
        <f>quantInv[[#This Row],[Total Cost GBP]]/USDtoGBP</f>
        <v>0</v>
      </c>
      <c r="X261" s="33">
        <f>quantInv[[#This Row],[Total Cost GBP]]/CADtoGBP</f>
        <v>0</v>
      </c>
      <c r="Y261" s="33">
        <f>quantInv[[#This Row],[Quantity]]*quantInv[[#This Row],[UNIT
VALUE AUD]]</f>
        <v>0</v>
      </c>
      <c r="Z261" s="33"/>
    </row>
    <row r="262" spans="1:26" x14ac:dyDescent="0.25">
      <c r="A262" t="s">
        <v>645</v>
      </c>
      <c r="B262" t="s">
        <v>646</v>
      </c>
      <c r="C262" t="s">
        <v>114</v>
      </c>
      <c r="D262" t="s">
        <v>642</v>
      </c>
      <c r="E262">
        <v>1.5333333333333301</v>
      </c>
      <c r="F262" s="33">
        <v>1.9422999999999999</v>
      </c>
      <c r="G262" s="33" t="s">
        <v>117</v>
      </c>
      <c r="H262" t="s">
        <v>1414</v>
      </c>
      <c r="I262" t="str">
        <f>IF(quantInv[[#This Row],[Metal]] = "925 Silver",  "7113.11.00"," 7113.19.00")</f>
        <v>7113.11.00</v>
      </c>
      <c r="J262" t="str">
        <f>IF(quantInv[[#This Row],[Metal]] = "925 Silver", "7113.11.10.00"," 7113.19.10.00")</f>
        <v>7113.11.10.00</v>
      </c>
      <c r="K262" t="str">
        <f>IF(quantInv[[#This Row],[Metal]] = "925 Silver",  "7113.11.00"," 7113.19.00")</f>
        <v>7113.11.00</v>
      </c>
      <c r="L262" t="str">
        <f>IFERROR(VLOOKUP(quantInv[[#This Row],[Description for New Invoice]],Map!$G$12:$H$32,2,FALSE), IF(quantInv[[#This Row],[Metal]] = "925 Silver", "7113.11.10.00", "7113.19.29.00"))</f>
        <v>7113.11.10.00</v>
      </c>
      <c r="M262" t="str">
        <f>quantInv[[#This Row],[ASIN]] &amp; " " &amp; quantInv[[#This Row],[Short Description]]</f>
        <v>B01NBW8XS8 Anchor with tubes Chain</v>
      </c>
      <c r="N262" s="33">
        <f>quantInv[[#This Row],[UNIT
VALUE]] / EURtoGBP</f>
        <v>2.2047413915422291</v>
      </c>
      <c r="O262" s="33">
        <f>quantInv[[#This Row],[UNIT
VALUE]]/USDtoGBP</f>
        <v>2.6625706150794466</v>
      </c>
      <c r="P262" s="33">
        <f>quantInv[[#This Row],[UNIT
VALUE]] / CADtoGBP</f>
        <v>3.4082434464618174</v>
      </c>
      <c r="Q262" s="33">
        <f>quantInv[[#This Row],[UNIT
VALUE]]/AUDtoGBP</f>
        <v>3.4885767655722391</v>
      </c>
      <c r="R262">
        <f>IFERROR(VLOOKUP(quantInv[[#This Row],[Assigned Item SKU]],skuQuantity[#All],2,FALSE),0)</f>
        <v>0</v>
      </c>
      <c r="S262" t="str">
        <f>PROPER(quantInv[[#This Row],[Metal]] &amp; " " &amp; quantInv[[#This Row],[Item Type]])</f>
        <v>925 Silver Bracelet</v>
      </c>
      <c r="T262" s="33">
        <f>quantInv[[#This Row],[Quantity]]*quantInv[[#This Row],[WEIGHT]]</f>
        <v>0</v>
      </c>
      <c r="U262" s="33">
        <f>quantInv[[#This Row],[UNIT
VALUE]]*quantInv[[#This Row],[Quantity]]</f>
        <v>0</v>
      </c>
      <c r="V262" s="33">
        <f>quantInv[[#This Row],[Total Cost GBP]]/EURtoGBP</f>
        <v>0</v>
      </c>
      <c r="W262" s="33">
        <f>quantInv[[#This Row],[Total Cost GBP]]/USDtoGBP</f>
        <v>0</v>
      </c>
      <c r="X262" s="33">
        <f>quantInv[[#This Row],[Total Cost GBP]]/CADtoGBP</f>
        <v>0</v>
      </c>
      <c r="Y262" s="33">
        <f>quantInv[[#This Row],[Quantity]]*quantInv[[#This Row],[UNIT
VALUE AUD]]</f>
        <v>0</v>
      </c>
      <c r="Z262" s="33"/>
    </row>
    <row r="263" spans="1:26" x14ac:dyDescent="0.25">
      <c r="A263" t="s">
        <v>647</v>
      </c>
      <c r="B263" t="s">
        <v>648</v>
      </c>
      <c r="C263" t="s">
        <v>114</v>
      </c>
      <c r="D263" t="s">
        <v>642</v>
      </c>
      <c r="E263">
        <v>2.15</v>
      </c>
      <c r="F263" s="33">
        <v>2.8106</v>
      </c>
      <c r="G263" s="33" t="s">
        <v>117</v>
      </c>
      <c r="H263" t="s">
        <v>1426</v>
      </c>
      <c r="I263" t="str">
        <f>IF(quantInv[[#This Row],[Metal]] = "925 Silver",  "7113.11.00"," 7113.19.00")</f>
        <v>7113.11.00</v>
      </c>
      <c r="J263" t="str">
        <f>IF(quantInv[[#This Row],[Metal]] = "925 Silver", "7113.11.10.00"," 7113.19.10.00")</f>
        <v>7113.11.10.00</v>
      </c>
      <c r="K263" t="str">
        <f>IF(quantInv[[#This Row],[Metal]] = "925 Silver",  "7113.11.00"," 7113.19.00")</f>
        <v>7113.11.00</v>
      </c>
      <c r="L263" t="str">
        <f>IFERROR(VLOOKUP(quantInv[[#This Row],[Description for New Invoice]],Map!$G$12:$H$32,2,FALSE), IF(quantInv[[#This Row],[Metal]] = "925 Silver", "7113.11.10.00", "7113.19.29.00"))</f>
        <v>7113.11.10.00</v>
      </c>
      <c r="M263" t="str">
        <f>quantInv[[#This Row],[ASIN]] &amp; " " &amp; quantInv[[#This Row],[Short Description]]</f>
        <v>B0714B6NBJ Anchor with tubes Chain</v>
      </c>
      <c r="N263" s="33">
        <f>quantInv[[#This Row],[UNIT
VALUE]] / EURtoGBP</f>
        <v>3.1903651109862481</v>
      </c>
      <c r="O263" s="33">
        <f>quantInv[[#This Row],[UNIT
VALUE]]/USDtoGBP</f>
        <v>3.8528656596521098</v>
      </c>
      <c r="P263" s="33">
        <f>quantInv[[#This Row],[UNIT
VALUE]] / CADtoGBP</f>
        <v>4.9318895282014026</v>
      </c>
      <c r="Q263" s="33">
        <f>quantInv[[#This Row],[UNIT
VALUE]]/AUDtoGBP</f>
        <v>5.0481356419282992</v>
      </c>
      <c r="R263">
        <f>IFERROR(VLOOKUP(quantInv[[#This Row],[Assigned Item SKU]],skuQuantity[#All],2,FALSE),0)</f>
        <v>5</v>
      </c>
      <c r="S263" t="str">
        <f>PROPER(quantInv[[#This Row],[Metal]] &amp; " " &amp; quantInv[[#This Row],[Item Type]])</f>
        <v>925 Silver Anklet</v>
      </c>
      <c r="T263" s="33">
        <f>quantInv[[#This Row],[Quantity]]*quantInv[[#This Row],[WEIGHT]]</f>
        <v>10.75</v>
      </c>
      <c r="U263" s="33">
        <f>quantInv[[#This Row],[UNIT
VALUE]]*quantInv[[#This Row],[Quantity]]</f>
        <v>14.053000000000001</v>
      </c>
      <c r="V263" s="33">
        <f>quantInv[[#This Row],[Total Cost GBP]]/EURtoGBP</f>
        <v>15.951825554931242</v>
      </c>
      <c r="W263" s="33">
        <f>quantInv[[#This Row],[Total Cost GBP]]/USDtoGBP</f>
        <v>19.264328298260551</v>
      </c>
      <c r="X263" s="33">
        <f>quantInv[[#This Row],[Total Cost GBP]]/CADtoGBP</f>
        <v>24.659447641007013</v>
      </c>
      <c r="Y263" s="33">
        <f>quantInv[[#This Row],[Quantity]]*quantInv[[#This Row],[UNIT
VALUE AUD]]</f>
        <v>25.240678209641494</v>
      </c>
      <c r="Z263" s="33"/>
    </row>
    <row r="264" spans="1:26" x14ac:dyDescent="0.25">
      <c r="A264" t="s">
        <v>649</v>
      </c>
      <c r="B264" t="s">
        <v>650</v>
      </c>
      <c r="C264" t="s">
        <v>114</v>
      </c>
      <c r="D264" t="s">
        <v>651</v>
      </c>
      <c r="E264">
        <v>1.4</v>
      </c>
      <c r="F264" s="33">
        <v>1.742</v>
      </c>
      <c r="G264" s="33" t="s">
        <v>117</v>
      </c>
      <c r="H264" t="s">
        <v>1414</v>
      </c>
      <c r="I264" t="str">
        <f>IF(quantInv[[#This Row],[Metal]] = "925 Silver",  "7113.11.00"," 7113.19.00")</f>
        <v>7113.11.00</v>
      </c>
      <c r="J264" t="str">
        <f>IF(quantInv[[#This Row],[Metal]] = "925 Silver", "7113.11.10.00"," 7113.19.10.00")</f>
        <v>7113.11.10.00</v>
      </c>
      <c r="K264" t="str">
        <f>IF(quantInv[[#This Row],[Metal]] = "925 Silver",  "7113.11.00"," 7113.19.00")</f>
        <v>7113.11.00</v>
      </c>
      <c r="L264" t="str">
        <f>IFERROR(VLOOKUP(quantInv[[#This Row],[Description for New Invoice]],Map!$G$12:$H$32,2,FALSE), IF(quantInv[[#This Row],[Metal]] = "925 Silver", "7113.11.10.00", "7113.19.29.00"))</f>
        <v>7113.11.10.00</v>
      </c>
      <c r="M264" t="str">
        <f>quantInv[[#This Row],[ASIN]] &amp; " " &amp; quantInv[[#This Row],[Short Description]]</f>
        <v>B01NBWIUBM Cobb Chain</v>
      </c>
      <c r="N264" s="33">
        <f>quantInv[[#This Row],[UNIT
VALUE]] / EURtoGBP</f>
        <v>1.9773770808147884</v>
      </c>
      <c r="O264" s="33">
        <f>quantInv[[#This Row],[UNIT
VALUE]]/USDtoGBP</f>
        <v>2.3879925920137959</v>
      </c>
      <c r="P264" s="33">
        <f>quantInv[[#This Row],[UNIT
VALUE]] / CADtoGBP</f>
        <v>3.0567677926872707</v>
      </c>
      <c r="Q264" s="33">
        <f>quantInv[[#This Row],[UNIT
VALUE]]/AUDtoGBP</f>
        <v>3.1288167253394636</v>
      </c>
      <c r="R264">
        <f>IFERROR(VLOOKUP(quantInv[[#This Row],[Assigned Item SKU]],skuQuantity[#All],2,FALSE),0)</f>
        <v>0</v>
      </c>
      <c r="S264" t="str">
        <f>PROPER(quantInv[[#This Row],[Metal]] &amp; " " &amp; quantInv[[#This Row],[Item Type]])</f>
        <v>925 Silver Bracelet</v>
      </c>
      <c r="T264" s="33">
        <f>quantInv[[#This Row],[Quantity]]*quantInv[[#This Row],[WEIGHT]]</f>
        <v>0</v>
      </c>
      <c r="U264" s="33">
        <f>quantInv[[#This Row],[UNIT
VALUE]]*quantInv[[#This Row],[Quantity]]</f>
        <v>0</v>
      </c>
      <c r="V264" s="33">
        <f>quantInv[[#This Row],[Total Cost GBP]]/EURtoGBP</f>
        <v>0</v>
      </c>
      <c r="W264" s="33">
        <f>quantInv[[#This Row],[Total Cost GBP]]/USDtoGBP</f>
        <v>0</v>
      </c>
      <c r="X264" s="33">
        <f>quantInv[[#This Row],[Total Cost GBP]]/CADtoGBP</f>
        <v>0</v>
      </c>
      <c r="Y264" s="33">
        <f>quantInv[[#This Row],[Quantity]]*quantInv[[#This Row],[UNIT
VALUE AUD]]</f>
        <v>0</v>
      </c>
      <c r="Z264" s="33"/>
    </row>
    <row r="265" spans="1:26" x14ac:dyDescent="0.25">
      <c r="A265" t="s">
        <v>652</v>
      </c>
      <c r="B265" t="s">
        <v>653</v>
      </c>
      <c r="C265" t="s">
        <v>114</v>
      </c>
      <c r="D265" t="s">
        <v>651</v>
      </c>
      <c r="E265">
        <v>1.471875</v>
      </c>
      <c r="F265" s="33">
        <v>1.8136000000000001</v>
      </c>
      <c r="G265" s="33" t="s">
        <v>117</v>
      </c>
      <c r="H265" t="s">
        <v>1414</v>
      </c>
      <c r="I265" t="str">
        <f>IF(quantInv[[#This Row],[Metal]] = "925 Silver",  "7113.11.00"," 7113.19.00")</f>
        <v>7113.11.00</v>
      </c>
      <c r="J265" t="str">
        <f>IF(quantInv[[#This Row],[Metal]] = "925 Silver", "7113.11.10.00"," 7113.19.10.00")</f>
        <v>7113.11.10.00</v>
      </c>
      <c r="K265" t="str">
        <f>IF(quantInv[[#This Row],[Metal]] = "925 Silver",  "7113.11.00"," 7113.19.00")</f>
        <v>7113.11.00</v>
      </c>
      <c r="L265" t="str">
        <f>IFERROR(VLOOKUP(quantInv[[#This Row],[Description for New Invoice]],Map!$G$12:$H$32,2,FALSE), IF(quantInv[[#This Row],[Metal]] = "925 Silver", "7113.11.10.00", "7113.19.29.00"))</f>
        <v>7113.11.10.00</v>
      </c>
      <c r="M265" t="str">
        <f>quantInv[[#This Row],[ASIN]] &amp; " " &amp; quantInv[[#This Row],[Short Description]]</f>
        <v>B01N6T7315 Cobb Chain</v>
      </c>
      <c r="N265" s="33">
        <f>quantInv[[#This Row],[UNIT
VALUE]] / EURtoGBP</f>
        <v>2.0586515922880024</v>
      </c>
      <c r="O265" s="33">
        <f>quantInv[[#This Row],[UNIT
VALUE]]/USDtoGBP</f>
        <v>2.4861442967142486</v>
      </c>
      <c r="P265" s="33">
        <f>quantInv[[#This Row],[UNIT
VALUE]] / CADtoGBP</f>
        <v>3.1824076170020863</v>
      </c>
      <c r="Q265" s="33">
        <f>quantInv[[#This Row],[UNIT
VALUE]]/AUDtoGBP</f>
        <v>3.2574179179538758</v>
      </c>
      <c r="R265">
        <f>IFERROR(VLOOKUP(quantInv[[#This Row],[Assigned Item SKU]],skuQuantity[#All],2,FALSE),0)</f>
        <v>0</v>
      </c>
      <c r="S265" t="str">
        <f>PROPER(quantInv[[#This Row],[Metal]] &amp; " " &amp; quantInv[[#This Row],[Item Type]])</f>
        <v>925 Silver Bracelet</v>
      </c>
      <c r="T265" s="33">
        <f>quantInv[[#This Row],[Quantity]]*quantInv[[#This Row],[WEIGHT]]</f>
        <v>0</v>
      </c>
      <c r="U265" s="33">
        <f>quantInv[[#This Row],[UNIT
VALUE]]*quantInv[[#This Row],[Quantity]]</f>
        <v>0</v>
      </c>
      <c r="V265" s="33">
        <f>quantInv[[#This Row],[Total Cost GBP]]/EURtoGBP</f>
        <v>0</v>
      </c>
      <c r="W265" s="33">
        <f>quantInv[[#This Row],[Total Cost GBP]]/USDtoGBP</f>
        <v>0</v>
      </c>
      <c r="X265" s="33">
        <f>quantInv[[#This Row],[Total Cost GBP]]/CADtoGBP</f>
        <v>0</v>
      </c>
      <c r="Y265" s="33">
        <f>quantInv[[#This Row],[Quantity]]*quantInv[[#This Row],[UNIT
VALUE AUD]]</f>
        <v>0</v>
      </c>
      <c r="Z265" s="33"/>
    </row>
    <row r="266" spans="1:26" x14ac:dyDescent="0.25">
      <c r="A266" t="s">
        <v>654</v>
      </c>
      <c r="B266" t="s">
        <v>655</v>
      </c>
      <c r="C266" t="s">
        <v>114</v>
      </c>
      <c r="D266" t="s">
        <v>651</v>
      </c>
      <c r="E266">
        <v>1.54193548387097</v>
      </c>
      <c r="F266" s="33">
        <v>1.8833</v>
      </c>
      <c r="G266" s="33" t="s">
        <v>117</v>
      </c>
      <c r="H266" t="s">
        <v>1414</v>
      </c>
      <c r="I266" t="str">
        <f>IF(quantInv[[#This Row],[Metal]] = "925 Silver",  "7113.11.00"," 7113.19.00")</f>
        <v>7113.11.00</v>
      </c>
      <c r="J266" t="str">
        <f>IF(quantInv[[#This Row],[Metal]] = "925 Silver", "7113.11.10.00"," 7113.19.10.00")</f>
        <v>7113.11.10.00</v>
      </c>
      <c r="K266" t="str">
        <f>IF(quantInv[[#This Row],[Metal]] = "925 Silver",  "7113.11.00"," 7113.19.00")</f>
        <v>7113.11.00</v>
      </c>
      <c r="L266" t="str">
        <f>IFERROR(VLOOKUP(quantInv[[#This Row],[Description for New Invoice]],Map!$G$12:$H$32,2,FALSE), IF(quantInv[[#This Row],[Metal]] = "925 Silver", "7113.11.10.00", "7113.19.29.00"))</f>
        <v>7113.11.10.00</v>
      </c>
      <c r="M266" t="str">
        <f>quantInv[[#This Row],[ASIN]] &amp; " " &amp; quantInv[[#This Row],[Short Description]]</f>
        <v>B01MYAH3VM Cobb Chain</v>
      </c>
      <c r="N266" s="33">
        <f>quantInv[[#This Row],[UNIT
VALUE]] / EURtoGBP</f>
        <v>2.1377693778981004</v>
      </c>
      <c r="O266" s="33">
        <f>quantInv[[#This Row],[UNIT
VALUE]]/USDtoGBP</f>
        <v>2.5816914170720908</v>
      </c>
      <c r="P266" s="33">
        <f>quantInv[[#This Row],[UNIT
VALUE]] / CADtoGBP</f>
        <v>3.3047134236325699</v>
      </c>
      <c r="Q266" s="33">
        <f>quantInv[[#This Row],[UNIT
VALUE]]/AUDtoGBP</f>
        <v>3.3826065090882964</v>
      </c>
      <c r="R266">
        <f>IFERROR(VLOOKUP(quantInv[[#This Row],[Assigned Item SKU]],skuQuantity[#All],2,FALSE),0)</f>
        <v>0</v>
      </c>
      <c r="S266" t="str">
        <f>PROPER(quantInv[[#This Row],[Metal]] &amp; " " &amp; quantInv[[#This Row],[Item Type]])</f>
        <v>925 Silver Bracelet</v>
      </c>
      <c r="T266" s="33">
        <f>quantInv[[#This Row],[Quantity]]*quantInv[[#This Row],[WEIGHT]]</f>
        <v>0</v>
      </c>
      <c r="U266" s="33">
        <f>quantInv[[#This Row],[UNIT
VALUE]]*quantInv[[#This Row],[Quantity]]</f>
        <v>0</v>
      </c>
      <c r="V266" s="33">
        <f>quantInv[[#This Row],[Total Cost GBP]]/EURtoGBP</f>
        <v>0</v>
      </c>
      <c r="W266" s="33">
        <f>quantInv[[#This Row],[Total Cost GBP]]/USDtoGBP</f>
        <v>0</v>
      </c>
      <c r="X266" s="33">
        <f>quantInv[[#This Row],[Total Cost GBP]]/CADtoGBP</f>
        <v>0</v>
      </c>
      <c r="Y266" s="33">
        <f>quantInv[[#This Row],[Quantity]]*quantInv[[#This Row],[UNIT
VALUE AUD]]</f>
        <v>0</v>
      </c>
      <c r="Z266" s="33"/>
    </row>
    <row r="267" spans="1:26" x14ac:dyDescent="0.25">
      <c r="A267" t="s">
        <v>445</v>
      </c>
      <c r="B267" t="s">
        <v>446</v>
      </c>
      <c r="C267" t="s">
        <v>113</v>
      </c>
      <c r="D267" t="s">
        <v>180</v>
      </c>
      <c r="E267">
        <v>3.1891089108910902</v>
      </c>
      <c r="F267" s="33">
        <v>3.2982999999999998</v>
      </c>
      <c r="G267" s="33" t="s">
        <v>117</v>
      </c>
      <c r="H267" t="s">
        <v>103</v>
      </c>
      <c r="I267" t="str">
        <f>IF(quantInv[[#This Row],[Metal]] = "925 Silver",  "7113.11.00"," 7113.19.00")</f>
        <v>7113.11.00</v>
      </c>
      <c r="J267" t="str">
        <f>IF(quantInv[[#This Row],[Metal]] = "925 Silver", "7113.11.10.00"," 7113.19.10.00")</f>
        <v>7113.11.10.00</v>
      </c>
      <c r="K267" t="str">
        <f>IF(quantInv[[#This Row],[Metal]] = "925 Silver",  "7113.11.00"," 7113.19.00")</f>
        <v>7113.11.00</v>
      </c>
      <c r="L267" t="str">
        <f>IFERROR(VLOOKUP(quantInv[[#This Row],[Description for New Invoice]],Map!$G$12:$H$32,2,FALSE), IF(quantInv[[#This Row],[Metal]] = "925 Silver", "7113.11.10.00", "7113.19.29.00"))</f>
        <v>7113.11.10.00</v>
      </c>
      <c r="M267" t="str">
        <f>quantInv[[#This Row],[ASIN]] &amp; " " &amp; quantInv[[#This Row],[Short Description]]</f>
        <v>B00JCW2MRG Belcher Chain</v>
      </c>
      <c r="N267" s="33">
        <f>quantInv[[#This Row],[UNIT
VALUE]] / EURtoGBP</f>
        <v>3.7439625864818691</v>
      </c>
      <c r="O267" s="33">
        <f>quantInv[[#This Row],[UNIT
VALUE]]/USDtoGBP</f>
        <v>4.5214213353841002</v>
      </c>
      <c r="P267" s="33">
        <f>quantInv[[#This Row],[UNIT
VALUE]] / CADtoGBP</f>
        <v>5.787679225384859</v>
      </c>
      <c r="Q267" s="33">
        <f>quantInv[[#This Row],[UNIT
VALUE]]/AUDtoGBP</f>
        <v>5.924096558660823</v>
      </c>
      <c r="R267">
        <f>IFERROR(VLOOKUP(quantInv[[#This Row],[Assigned Item SKU]],skuQuantity[#All],2,FALSE),0)</f>
        <v>0</v>
      </c>
      <c r="S267" t="str">
        <f>PROPER(quantInv[[#This Row],[Metal]] &amp; " " &amp; quantInv[[#This Row],[Item Type]])</f>
        <v>925 Silver Chain</v>
      </c>
      <c r="T267" s="33">
        <f>quantInv[[#This Row],[Quantity]]*quantInv[[#This Row],[WEIGHT]]</f>
        <v>0</v>
      </c>
      <c r="U267" s="33">
        <f>quantInv[[#This Row],[UNIT
VALUE]]*quantInv[[#This Row],[Quantity]]</f>
        <v>0</v>
      </c>
      <c r="V267" s="33">
        <f>quantInv[[#This Row],[Total Cost GBP]]/EURtoGBP</f>
        <v>0</v>
      </c>
      <c r="W267" s="33">
        <f>quantInv[[#This Row],[Total Cost GBP]]/USDtoGBP</f>
        <v>0</v>
      </c>
      <c r="X267" s="33">
        <f>quantInv[[#This Row],[Total Cost GBP]]/CADtoGBP</f>
        <v>0</v>
      </c>
      <c r="Y267" s="33">
        <f>quantInv[[#This Row],[Quantity]]*quantInv[[#This Row],[UNIT
VALUE AUD]]</f>
        <v>0</v>
      </c>
      <c r="Z267" s="33"/>
    </row>
    <row r="268" spans="1:26" x14ac:dyDescent="0.25">
      <c r="A268" t="s">
        <v>447</v>
      </c>
      <c r="B268" t="s">
        <v>448</v>
      </c>
      <c r="C268" t="s">
        <v>113</v>
      </c>
      <c r="D268" t="s">
        <v>189</v>
      </c>
      <c r="E268">
        <v>2.27</v>
      </c>
      <c r="F268" s="33">
        <v>2.4881000000000002</v>
      </c>
      <c r="G268" s="33" t="s">
        <v>117</v>
      </c>
      <c r="H268" t="s">
        <v>103</v>
      </c>
      <c r="I268" t="str">
        <f>IF(quantInv[[#This Row],[Metal]] = "925 Silver",  "7113.11.00"," 7113.19.00")</f>
        <v>7113.11.00</v>
      </c>
      <c r="J268" t="str">
        <f>IF(quantInv[[#This Row],[Metal]] = "925 Silver", "7113.11.10.00"," 7113.19.10.00")</f>
        <v>7113.11.10.00</v>
      </c>
      <c r="K268" t="str">
        <f>IF(quantInv[[#This Row],[Metal]] = "925 Silver",  "7113.11.00"," 7113.19.00")</f>
        <v>7113.11.00</v>
      </c>
      <c r="L268" t="str">
        <f>IFERROR(VLOOKUP(quantInv[[#This Row],[Description for New Invoice]],Map!$G$12:$H$32,2,FALSE), IF(quantInv[[#This Row],[Metal]] = "925 Silver", "7113.11.10.00", "7113.19.29.00"))</f>
        <v>7113.11.10.00</v>
      </c>
      <c r="M268" t="str">
        <f>quantInv[[#This Row],[ASIN]] &amp; " " &amp; quantInv[[#This Row],[Short Description]]</f>
        <v>B00JCW2NES Singapore Chain</v>
      </c>
      <c r="N268" s="33">
        <f>quantInv[[#This Row],[UNIT
VALUE]] / EURtoGBP</f>
        <v>2.824289273694188</v>
      </c>
      <c r="O268" s="33">
        <f>quantInv[[#This Row],[UNIT
VALUE]]/USDtoGBP</f>
        <v>3.4107717383407157</v>
      </c>
      <c r="P268" s="33">
        <f>quantInv[[#This Row],[UNIT
VALUE]] / CADtoGBP</f>
        <v>4.3659838949398386</v>
      </c>
      <c r="Q268" s="33">
        <f>quantInv[[#This Row],[UNIT
VALUE]]/AUDtoGBP</f>
        <v>4.4688914433508158</v>
      </c>
      <c r="R268">
        <f>IFERROR(VLOOKUP(quantInv[[#This Row],[Assigned Item SKU]],skuQuantity[#All],2,FALSE),0)</f>
        <v>10</v>
      </c>
      <c r="S268" t="str">
        <f>PROPER(quantInv[[#This Row],[Metal]] &amp; " " &amp; quantInv[[#This Row],[Item Type]])</f>
        <v>925 Silver Chain</v>
      </c>
      <c r="T268" s="33">
        <f>quantInv[[#This Row],[Quantity]]*quantInv[[#This Row],[WEIGHT]]</f>
        <v>22.7</v>
      </c>
      <c r="U268" s="33">
        <f>quantInv[[#This Row],[UNIT
VALUE]]*quantInv[[#This Row],[Quantity]]</f>
        <v>24.881</v>
      </c>
      <c r="V268" s="33">
        <f>quantInv[[#This Row],[Total Cost GBP]]/EURtoGBP</f>
        <v>28.242892736941876</v>
      </c>
      <c r="W268" s="33">
        <f>quantInv[[#This Row],[Total Cost GBP]]/USDtoGBP</f>
        <v>34.107717383407156</v>
      </c>
      <c r="X268" s="33">
        <f>quantInv[[#This Row],[Total Cost GBP]]/CADtoGBP</f>
        <v>43.659838949398385</v>
      </c>
      <c r="Y268" s="33">
        <f>quantInv[[#This Row],[Quantity]]*quantInv[[#This Row],[UNIT
VALUE AUD]]</f>
        <v>44.68891443350816</v>
      </c>
      <c r="Z268" s="33"/>
    </row>
    <row r="269" spans="1:26" x14ac:dyDescent="0.25">
      <c r="A269" t="s">
        <v>31</v>
      </c>
      <c r="B269" t="s">
        <v>521</v>
      </c>
      <c r="C269" t="s">
        <v>114</v>
      </c>
      <c r="D269" t="s">
        <v>213</v>
      </c>
      <c r="E269">
        <v>5.6520000000000001</v>
      </c>
      <c r="F269" s="33">
        <v>5.2279999999999998</v>
      </c>
      <c r="G269" s="33" t="s">
        <v>117</v>
      </c>
      <c r="H269" t="s">
        <v>103</v>
      </c>
      <c r="I269" t="str">
        <f>IF(quantInv[[#This Row],[Metal]] = "925 Silver",  "7113.11.00"," 7113.19.00")</f>
        <v>7113.11.00</v>
      </c>
      <c r="J269" t="str">
        <f>IF(quantInv[[#This Row],[Metal]] = "925 Silver", "7113.11.10.00"," 7113.19.10.00")</f>
        <v>7113.11.10.00</v>
      </c>
      <c r="K269" t="str">
        <f>IF(quantInv[[#This Row],[Metal]] = "925 Silver",  "7113.11.00"," 7113.19.00")</f>
        <v>7113.11.00</v>
      </c>
      <c r="L269" t="str">
        <f>IFERROR(VLOOKUP(quantInv[[#This Row],[Description for New Invoice]],Map!$G$12:$H$32,2,FALSE), IF(quantInv[[#This Row],[Metal]] = "925 Silver", "7113.11.10.00", "7113.19.29.00"))</f>
        <v>7113.11.10.00</v>
      </c>
      <c r="M269" t="str">
        <f>quantInv[[#This Row],[ASIN]] &amp; " " &amp; quantInv[[#This Row],[Short Description]]</f>
        <v>B00DKD0PHC Ball Chain</v>
      </c>
      <c r="N269" s="33">
        <f>quantInv[[#This Row],[UNIT
VALUE]] / EURtoGBP</f>
        <v>5.9344014801950129</v>
      </c>
      <c r="O269" s="33">
        <f>quantInv[[#This Row],[UNIT
VALUE]]/USDtoGBP</f>
        <v>7.1667194437704511</v>
      </c>
      <c r="P269" s="33">
        <f>quantInv[[#This Row],[UNIT
VALUE]] / CADtoGBP</f>
        <v>9.1738128703611075</v>
      </c>
      <c r="Q269" s="33">
        <f>quantInv[[#This Row],[UNIT
VALUE]]/AUDtoGBP</f>
        <v>9.390042388102593</v>
      </c>
      <c r="R269">
        <f>IFERROR(VLOOKUP(quantInv[[#This Row],[Assigned Item SKU]],skuQuantity[#All],2,FALSE),0)</f>
        <v>10</v>
      </c>
      <c r="S269" t="str">
        <f>PROPER(quantInv[[#This Row],[Metal]] &amp; " " &amp; quantInv[[#This Row],[Item Type]])</f>
        <v>925 Silver Chain</v>
      </c>
      <c r="T269" s="33">
        <f>quantInv[[#This Row],[Quantity]]*quantInv[[#This Row],[WEIGHT]]</f>
        <v>56.52</v>
      </c>
      <c r="U269" s="33">
        <f>quantInv[[#This Row],[UNIT
VALUE]]*quantInv[[#This Row],[Quantity]]</f>
        <v>52.28</v>
      </c>
      <c r="V269" s="33">
        <f>quantInv[[#This Row],[Total Cost GBP]]/EURtoGBP</f>
        <v>59.344014801950138</v>
      </c>
      <c r="W269" s="33">
        <f>quantInv[[#This Row],[Total Cost GBP]]/USDtoGBP</f>
        <v>71.667194437704509</v>
      </c>
      <c r="X269" s="33">
        <f>quantInv[[#This Row],[Total Cost GBP]]/CADtoGBP</f>
        <v>91.738128703611096</v>
      </c>
      <c r="Y269" s="33">
        <f>quantInv[[#This Row],[Quantity]]*quantInv[[#This Row],[UNIT
VALUE AUD]]</f>
        <v>93.90042388102593</v>
      </c>
      <c r="Z269" s="33"/>
    </row>
    <row r="270" spans="1:26" x14ac:dyDescent="0.25">
      <c r="A270" t="s">
        <v>30</v>
      </c>
      <c r="B270" t="s">
        <v>543</v>
      </c>
      <c r="C270" t="s">
        <v>114</v>
      </c>
      <c r="D270" t="s">
        <v>544</v>
      </c>
      <c r="E270">
        <v>3.3647058823529399</v>
      </c>
      <c r="F270" s="33">
        <v>3.6089000000000002</v>
      </c>
      <c r="G270" s="33" t="s">
        <v>117</v>
      </c>
      <c r="H270" t="s">
        <v>103</v>
      </c>
      <c r="I270" t="str">
        <f>IF(quantInv[[#This Row],[Metal]] = "925 Silver",  "7113.11.00"," 7113.19.00")</f>
        <v>7113.11.00</v>
      </c>
      <c r="J270" t="str">
        <f>IF(quantInv[[#This Row],[Metal]] = "925 Silver", "7113.11.10.00"," 7113.19.10.00")</f>
        <v>7113.11.10.00</v>
      </c>
      <c r="K270" t="str">
        <f>IF(quantInv[[#This Row],[Metal]] = "925 Silver",  "7113.11.00"," 7113.19.00")</f>
        <v>7113.11.00</v>
      </c>
      <c r="L270" t="str">
        <f>IFERROR(VLOOKUP(quantInv[[#This Row],[Description for New Invoice]],Map!$G$12:$H$32,2,FALSE), IF(quantInv[[#This Row],[Metal]] = "925 Silver", "7113.11.10.00", "7113.19.29.00"))</f>
        <v>7113.11.10.00</v>
      </c>
      <c r="M270" t="str">
        <f>quantInv[[#This Row],[ASIN]] &amp; " " &amp; quantInv[[#This Row],[Short Description]]</f>
        <v>B012EOJ9OW Rat Tail</v>
      </c>
      <c r="N270" s="33">
        <f>quantInv[[#This Row],[UNIT
VALUE]] / EURtoGBP</f>
        <v>4.0965305091575717</v>
      </c>
      <c r="O270" s="33">
        <f>quantInv[[#This Row],[UNIT
VALUE]]/USDtoGBP</f>
        <v>4.9472023337075717</v>
      </c>
      <c r="P270" s="33">
        <f>quantInv[[#This Row],[UNIT
VALUE]] / CADtoGBP</f>
        <v>6.3327033794656096</v>
      </c>
      <c r="Q270" s="33">
        <f>quantInv[[#This Row],[UNIT
VALUE]]/AUDtoGBP</f>
        <v>6.4819670953373087</v>
      </c>
      <c r="R270">
        <f>IFERROR(VLOOKUP(quantInv[[#This Row],[Assigned Item SKU]],skuQuantity[#All],2,FALSE),0)</f>
        <v>0</v>
      </c>
      <c r="S270" t="str">
        <f>PROPER(quantInv[[#This Row],[Metal]] &amp; " " &amp; quantInv[[#This Row],[Item Type]])</f>
        <v>925 Silver Chain</v>
      </c>
      <c r="T270" s="33">
        <f>quantInv[[#This Row],[Quantity]]*quantInv[[#This Row],[WEIGHT]]</f>
        <v>0</v>
      </c>
      <c r="U270" s="33">
        <f>quantInv[[#This Row],[UNIT
VALUE]]*quantInv[[#This Row],[Quantity]]</f>
        <v>0</v>
      </c>
      <c r="V270" s="33">
        <f>quantInv[[#This Row],[Total Cost GBP]]/EURtoGBP</f>
        <v>0</v>
      </c>
      <c r="W270" s="33">
        <f>quantInv[[#This Row],[Total Cost GBP]]/USDtoGBP</f>
        <v>0</v>
      </c>
      <c r="X270" s="33">
        <f>quantInv[[#This Row],[Total Cost GBP]]/CADtoGBP</f>
        <v>0</v>
      </c>
      <c r="Y270" s="33">
        <f>quantInv[[#This Row],[Quantity]]*quantInv[[#This Row],[UNIT
VALUE AUD]]</f>
        <v>0</v>
      </c>
      <c r="Z270" s="33"/>
    </row>
    <row r="271" spans="1:26" x14ac:dyDescent="0.25">
      <c r="A271" t="s">
        <v>562</v>
      </c>
      <c r="B271" t="s">
        <v>563</v>
      </c>
      <c r="C271" t="s">
        <v>114</v>
      </c>
      <c r="D271" t="s">
        <v>465</v>
      </c>
      <c r="E271">
        <v>4.6287128712871297</v>
      </c>
      <c r="F271" s="33">
        <v>4.5076000000000001</v>
      </c>
      <c r="G271" s="33" t="s">
        <v>117</v>
      </c>
      <c r="H271" t="s">
        <v>103</v>
      </c>
      <c r="I271" t="str">
        <f>IF(quantInv[[#This Row],[Metal]] = "925 Silver",  "7113.11.00"," 7113.19.00")</f>
        <v>7113.11.00</v>
      </c>
      <c r="J271" t="str">
        <f>IF(quantInv[[#This Row],[Metal]] = "925 Silver", "7113.11.10.00"," 7113.19.10.00")</f>
        <v>7113.11.10.00</v>
      </c>
      <c r="K271" t="str">
        <f>IF(quantInv[[#This Row],[Metal]] = "925 Silver",  "7113.11.00"," 7113.19.00")</f>
        <v>7113.11.00</v>
      </c>
      <c r="L271" t="str">
        <f>IFERROR(VLOOKUP(quantInv[[#This Row],[Description for New Invoice]],Map!$G$12:$H$32,2,FALSE), IF(quantInv[[#This Row],[Metal]] = "925 Silver", "7113.11.10.00", "7113.19.29.00"))</f>
        <v>7113.11.10.00</v>
      </c>
      <c r="M271" t="str">
        <f>quantInv[[#This Row],[ASIN]] &amp; " " &amp; quantInv[[#This Row],[Short Description]]</f>
        <v>B00DKCYX2Q Wheat Chain</v>
      </c>
      <c r="N271" s="33">
        <f>quantInv[[#This Row],[UNIT
VALUE]] / EURtoGBP</f>
        <v>5.1166618424114469</v>
      </c>
      <c r="O271" s="33">
        <f>quantInv[[#This Row],[UNIT
VALUE]]/USDtoGBP</f>
        <v>6.1791707277619903</v>
      </c>
      <c r="P271" s="33">
        <f>quantInv[[#This Row],[UNIT
VALUE]] / CADtoGBP</f>
        <v>7.9096937441545014</v>
      </c>
      <c r="Q271" s="33">
        <f>quantInv[[#This Row],[UNIT
VALUE]]/AUDtoGBP</f>
        <v>8.0961275953732308</v>
      </c>
      <c r="R271">
        <f>IFERROR(VLOOKUP(quantInv[[#This Row],[Assigned Item SKU]],skuQuantity[#All],2,FALSE),0)</f>
        <v>5</v>
      </c>
      <c r="S271" t="str">
        <f>PROPER(quantInv[[#This Row],[Metal]] &amp; " " &amp; quantInv[[#This Row],[Item Type]])</f>
        <v>925 Silver Chain</v>
      </c>
      <c r="T271" s="33">
        <f>quantInv[[#This Row],[Quantity]]*quantInv[[#This Row],[WEIGHT]]</f>
        <v>23.143564356435647</v>
      </c>
      <c r="U271" s="33">
        <f>quantInv[[#This Row],[UNIT
VALUE]]*quantInv[[#This Row],[Quantity]]</f>
        <v>22.538</v>
      </c>
      <c r="V271" s="33">
        <f>quantInv[[#This Row],[Total Cost GBP]]/EURtoGBP</f>
        <v>25.583309212057234</v>
      </c>
      <c r="W271" s="33">
        <f>quantInv[[#This Row],[Total Cost GBP]]/USDtoGBP</f>
        <v>30.895853638809953</v>
      </c>
      <c r="X271" s="33">
        <f>quantInv[[#This Row],[Total Cost GBP]]/CADtoGBP</f>
        <v>39.548468720772505</v>
      </c>
      <c r="Y271" s="33">
        <f>quantInv[[#This Row],[Quantity]]*quantInv[[#This Row],[UNIT
VALUE AUD]]</f>
        <v>40.480637976866156</v>
      </c>
      <c r="Z271" s="33"/>
    </row>
    <row r="272" spans="1:26" x14ac:dyDescent="0.25">
      <c r="A272" t="s">
        <v>564</v>
      </c>
      <c r="B272" t="s">
        <v>565</v>
      </c>
      <c r="C272" t="s">
        <v>114</v>
      </c>
      <c r="D272" t="s">
        <v>465</v>
      </c>
      <c r="E272">
        <v>5.6</v>
      </c>
      <c r="F272" s="33">
        <v>5.3803999999999998</v>
      </c>
      <c r="G272" s="33" t="s">
        <v>117</v>
      </c>
      <c r="H272" t="s">
        <v>103</v>
      </c>
      <c r="I272" t="str">
        <f>IF(quantInv[[#This Row],[Metal]] = "925 Silver",  "7113.11.00"," 7113.19.00")</f>
        <v>7113.11.00</v>
      </c>
      <c r="J272" t="str">
        <f>IF(quantInv[[#This Row],[Metal]] = "925 Silver", "7113.11.10.00"," 7113.19.10.00")</f>
        <v>7113.11.10.00</v>
      </c>
      <c r="K272" t="str">
        <f>IF(quantInv[[#This Row],[Metal]] = "925 Silver",  "7113.11.00"," 7113.19.00")</f>
        <v>7113.11.00</v>
      </c>
      <c r="L272" t="str">
        <f>IFERROR(VLOOKUP(quantInv[[#This Row],[Description for New Invoice]],Map!$G$12:$H$32,2,FALSE), IF(quantInv[[#This Row],[Metal]] = "925 Silver", "7113.11.10.00", "7113.19.29.00"))</f>
        <v>7113.11.10.00</v>
      </c>
      <c r="M272" t="str">
        <f>quantInv[[#This Row],[ASIN]] &amp; " " &amp; quantInv[[#This Row],[Short Description]]</f>
        <v>B00DKCYZMO Wheat Chain</v>
      </c>
      <c r="N272" s="33">
        <f>quantInv[[#This Row],[UNIT
VALUE]] / EURtoGBP</f>
        <v>6.1073935967944237</v>
      </c>
      <c r="O272" s="33">
        <f>quantInv[[#This Row],[UNIT
VALUE]]/USDtoGBP</f>
        <v>7.3756345247250445</v>
      </c>
      <c r="P272" s="33">
        <f>quantInv[[#This Row],[UNIT
VALUE]] / CADtoGBP</f>
        <v>9.4412361835675043</v>
      </c>
      <c r="Q272" s="33">
        <f>quantInv[[#This Row],[UNIT
VALUE]]/AUDtoGBP</f>
        <v>9.6637689489187437</v>
      </c>
      <c r="R272">
        <f>IFERROR(VLOOKUP(quantInv[[#This Row],[Assigned Item SKU]],skuQuantity[#All],2,FALSE),0)</f>
        <v>5</v>
      </c>
      <c r="S272" t="str">
        <f>PROPER(quantInv[[#This Row],[Metal]] &amp; " " &amp; quantInv[[#This Row],[Item Type]])</f>
        <v>925 Silver Chain</v>
      </c>
      <c r="T272" s="33">
        <f>quantInv[[#This Row],[Quantity]]*quantInv[[#This Row],[WEIGHT]]</f>
        <v>28</v>
      </c>
      <c r="U272" s="33">
        <f>quantInv[[#This Row],[UNIT
VALUE]]*quantInv[[#This Row],[Quantity]]</f>
        <v>26.902000000000001</v>
      </c>
      <c r="V272" s="33">
        <f>quantInv[[#This Row],[Total Cost GBP]]/EURtoGBP</f>
        <v>30.536967983972122</v>
      </c>
      <c r="W272" s="33">
        <f>quantInv[[#This Row],[Total Cost GBP]]/USDtoGBP</f>
        <v>36.878172623625225</v>
      </c>
      <c r="X272" s="33">
        <f>quantInv[[#This Row],[Total Cost GBP]]/CADtoGBP</f>
        <v>47.206180917837521</v>
      </c>
      <c r="Y272" s="33">
        <f>quantInv[[#This Row],[Quantity]]*quantInv[[#This Row],[UNIT
VALUE AUD]]</f>
        <v>48.318844744593719</v>
      </c>
      <c r="Z272" s="33"/>
    </row>
    <row r="273" spans="1:26" x14ac:dyDescent="0.25">
      <c r="A273" t="s">
        <v>12</v>
      </c>
      <c r="B273" t="s">
        <v>664</v>
      </c>
      <c r="C273" t="s">
        <v>114</v>
      </c>
      <c r="D273" t="s">
        <v>626</v>
      </c>
      <c r="E273">
        <v>4.78</v>
      </c>
      <c r="F273" s="33">
        <v>4.5692000000000004</v>
      </c>
      <c r="G273" s="33" t="s">
        <v>117</v>
      </c>
      <c r="H273" t="s">
        <v>103</v>
      </c>
      <c r="I273" t="str">
        <f>IF(quantInv[[#This Row],[Metal]] = "925 Silver",  "7113.11.00"," 7113.19.00")</f>
        <v>7113.11.00</v>
      </c>
      <c r="J273" t="str">
        <f>IF(quantInv[[#This Row],[Metal]] = "925 Silver", "7113.11.10.00"," 7113.19.10.00")</f>
        <v>7113.11.10.00</v>
      </c>
      <c r="K273" t="str">
        <f>IF(quantInv[[#This Row],[Metal]] = "925 Silver",  "7113.11.00"," 7113.19.00")</f>
        <v>7113.11.00</v>
      </c>
      <c r="L273" t="str">
        <f>IFERROR(VLOOKUP(quantInv[[#This Row],[Description for New Invoice]],Map!$G$12:$H$32,2,FALSE), IF(quantInv[[#This Row],[Metal]] = "925 Silver", "7113.11.10.00", "7113.19.29.00"))</f>
        <v>7113.11.10.00</v>
      </c>
      <c r="M273" t="str">
        <f>quantInv[[#This Row],[ASIN]] &amp; " " &amp; quantInv[[#This Row],[Short Description]]</f>
        <v>B01N6RQT3T Popcorn Chain</v>
      </c>
      <c r="N273" s="33">
        <f>quantInv[[#This Row],[UNIT
VALUE]] / EURtoGBP</f>
        <v>5.1865851651314188</v>
      </c>
      <c r="O273" s="33">
        <f>quantInv[[#This Row],[UNIT
VALUE]]/USDtoGBP</f>
        <v>6.2636140938171287</v>
      </c>
      <c r="P273" s="33">
        <f>quantInv[[#This Row],[UNIT
VALUE]] / CADtoGBP</f>
        <v>8.0177861069728351</v>
      </c>
      <c r="Q273" s="33">
        <f>quantInv[[#This Row],[UNIT
VALUE]]/AUDtoGBP</f>
        <v>8.2067677275666355</v>
      </c>
      <c r="R273">
        <f>IFERROR(VLOOKUP(quantInv[[#This Row],[Assigned Item SKU]],skuQuantity[#All],2,FALSE),0)</f>
        <v>5</v>
      </c>
      <c r="S273" t="str">
        <f>PROPER(quantInv[[#This Row],[Metal]] &amp; " " &amp; quantInv[[#This Row],[Item Type]])</f>
        <v>925 Silver Chain</v>
      </c>
      <c r="T273" s="33">
        <f>quantInv[[#This Row],[Quantity]]*quantInv[[#This Row],[WEIGHT]]</f>
        <v>23.900000000000002</v>
      </c>
      <c r="U273" s="33">
        <f>quantInv[[#This Row],[UNIT
VALUE]]*quantInv[[#This Row],[Quantity]]</f>
        <v>22.846000000000004</v>
      </c>
      <c r="V273" s="33">
        <f>quantInv[[#This Row],[Total Cost GBP]]/EURtoGBP</f>
        <v>25.932925825657097</v>
      </c>
      <c r="W273" s="33">
        <f>quantInv[[#This Row],[Total Cost GBP]]/USDtoGBP</f>
        <v>31.318070469085644</v>
      </c>
      <c r="X273" s="33">
        <f>quantInv[[#This Row],[Total Cost GBP]]/CADtoGBP</f>
        <v>40.088930534864176</v>
      </c>
      <c r="Y273" s="33">
        <f>quantInv[[#This Row],[Quantity]]*quantInv[[#This Row],[UNIT
VALUE AUD]]</f>
        <v>41.033838637833178</v>
      </c>
      <c r="Z273" s="33"/>
    </row>
    <row r="274" spans="1:26" x14ac:dyDescent="0.25">
      <c r="A274" t="s">
        <v>667</v>
      </c>
      <c r="B274" t="s">
        <v>668</v>
      </c>
      <c r="C274" t="s">
        <v>114</v>
      </c>
      <c r="D274" t="s">
        <v>242</v>
      </c>
      <c r="E274">
        <v>1.3</v>
      </c>
      <c r="F274" s="33">
        <v>1.587</v>
      </c>
      <c r="G274" s="33" t="s">
        <v>117</v>
      </c>
      <c r="H274" t="s">
        <v>1426</v>
      </c>
      <c r="I274" t="str">
        <f>IF(quantInv[[#This Row],[Metal]] = "925 Silver",  "7113.11.00"," 7113.19.00")</f>
        <v>7113.11.00</v>
      </c>
      <c r="J274" t="str">
        <f>IF(quantInv[[#This Row],[Metal]] = "925 Silver", "7113.11.10.00"," 7113.19.10.00")</f>
        <v>7113.11.10.00</v>
      </c>
      <c r="K274" t="str">
        <f>IF(quantInv[[#This Row],[Metal]] = "925 Silver",  "7113.11.00"," 7113.19.00")</f>
        <v>7113.11.00</v>
      </c>
      <c r="L274" t="str">
        <f>IFERROR(VLOOKUP(quantInv[[#This Row],[Description for New Invoice]],Map!$G$12:$H$32,2,FALSE), IF(quantInv[[#This Row],[Metal]] = "925 Silver", "7113.11.10.00", "7113.19.29.00"))</f>
        <v>7113.11.10.00</v>
      </c>
      <c r="M274" t="str">
        <f>quantInv[[#This Row],[ASIN]] &amp; " " &amp; quantInv[[#This Row],[Short Description]]</f>
        <v>B077N8W3RM Heart Chain</v>
      </c>
      <c r="N274" s="33">
        <f>quantInv[[#This Row],[UNIT
VALUE]] / EURtoGBP</f>
        <v>1.8014336551395345</v>
      </c>
      <c r="O274" s="33">
        <f>quantInv[[#This Row],[UNIT
VALUE]]/USDtoGBP</f>
        <v>2.1755133430114202</v>
      </c>
      <c r="P274" s="33">
        <f>quantInv[[#This Row],[UNIT
VALUE]] / CADtoGBP</f>
        <v>2.7847821394917904</v>
      </c>
      <c r="Q274" s="33">
        <f>quantInv[[#This Row],[UNIT
VALUE]]/AUDtoGBP</f>
        <v>2.8504202888138512</v>
      </c>
      <c r="R274">
        <f>IFERROR(VLOOKUP(quantInv[[#This Row],[Assigned Item SKU]],skuQuantity[#All],2,FALSE),0)</f>
        <v>0</v>
      </c>
      <c r="S274" t="str">
        <f>PROPER(quantInv[[#This Row],[Metal]] &amp; " " &amp; quantInv[[#This Row],[Item Type]])</f>
        <v>925 Silver Anklet</v>
      </c>
      <c r="T274" s="33">
        <f>quantInv[[#This Row],[Quantity]]*quantInv[[#This Row],[WEIGHT]]</f>
        <v>0</v>
      </c>
      <c r="U274" s="33">
        <f>quantInv[[#This Row],[UNIT
VALUE]]*quantInv[[#This Row],[Quantity]]</f>
        <v>0</v>
      </c>
      <c r="V274" s="33">
        <f>quantInv[[#This Row],[Total Cost GBP]]/EURtoGBP</f>
        <v>0</v>
      </c>
      <c r="W274" s="33">
        <f>quantInv[[#This Row],[Total Cost GBP]]/USDtoGBP</f>
        <v>0</v>
      </c>
      <c r="X274" s="33">
        <f>quantInv[[#This Row],[Total Cost GBP]]/CADtoGBP</f>
        <v>0</v>
      </c>
      <c r="Y274" s="33">
        <f>quantInv[[#This Row],[Quantity]]*quantInv[[#This Row],[UNIT
VALUE AUD]]</f>
        <v>0</v>
      </c>
      <c r="Z274" s="33"/>
    </row>
    <row r="275" spans="1:26" x14ac:dyDescent="0.25">
      <c r="A275" t="s">
        <v>669</v>
      </c>
      <c r="B275" t="s">
        <v>670</v>
      </c>
      <c r="C275" t="s">
        <v>114</v>
      </c>
      <c r="D275" t="s">
        <v>242</v>
      </c>
      <c r="E275">
        <v>2.97</v>
      </c>
      <c r="F275" s="33">
        <v>3.3818999999999999</v>
      </c>
      <c r="G275" s="33" t="s">
        <v>117</v>
      </c>
      <c r="H275" t="s">
        <v>103</v>
      </c>
      <c r="I275" t="str">
        <f>IF(quantInv[[#This Row],[Metal]] = "925 Silver",  "7113.11.00"," 7113.19.00")</f>
        <v>7113.11.00</v>
      </c>
      <c r="J275" t="str">
        <f>IF(quantInv[[#This Row],[Metal]] = "925 Silver", "7113.11.10.00"," 7113.19.10.00")</f>
        <v>7113.11.10.00</v>
      </c>
      <c r="K275" t="str">
        <f>IF(quantInv[[#This Row],[Metal]] = "925 Silver",  "7113.11.00"," 7113.19.00")</f>
        <v>7113.11.00</v>
      </c>
      <c r="L275" t="str">
        <f>IFERROR(VLOOKUP(quantInv[[#This Row],[Description for New Invoice]],Map!$G$12:$H$32,2,FALSE), IF(quantInv[[#This Row],[Metal]] = "925 Silver", "7113.11.10.00", "7113.19.29.00"))</f>
        <v>7113.11.10.00</v>
      </c>
      <c r="M275" t="str">
        <f>quantInv[[#This Row],[ASIN]] &amp; " " &amp; quantInv[[#This Row],[Short Description]]</f>
        <v>B01N24FXQU Heart Chain</v>
      </c>
      <c r="N275" s="33">
        <f>quantInv[[#This Row],[UNIT
VALUE]] / EURtoGBP</f>
        <v>3.8388585244589737</v>
      </c>
      <c r="O275" s="33">
        <f>quantInv[[#This Row],[UNIT
VALUE]]/USDtoGBP</f>
        <v>4.6360230464589307</v>
      </c>
      <c r="P275" s="33">
        <f>quantInv[[#This Row],[UNIT
VALUE]] / CADtoGBP</f>
        <v>5.934376003495454</v>
      </c>
      <c r="Q275" s="33">
        <f>quantInv[[#This Row],[UNIT
VALUE]]/AUDtoGBP</f>
        <v>6.0742510237804437</v>
      </c>
      <c r="R275">
        <f>IFERROR(VLOOKUP(quantInv[[#This Row],[Assigned Item SKU]],skuQuantity[#All],2,FALSE),0)</f>
        <v>0</v>
      </c>
      <c r="S275" t="str">
        <f>PROPER(quantInv[[#This Row],[Metal]] &amp; " " &amp; quantInv[[#This Row],[Item Type]])</f>
        <v>925 Silver Chain</v>
      </c>
      <c r="T275" s="33">
        <f>quantInv[[#This Row],[Quantity]]*quantInv[[#This Row],[WEIGHT]]</f>
        <v>0</v>
      </c>
      <c r="U275" s="33">
        <f>quantInv[[#This Row],[UNIT
VALUE]]*quantInv[[#This Row],[Quantity]]</f>
        <v>0</v>
      </c>
      <c r="V275" s="33">
        <f>quantInv[[#This Row],[Total Cost GBP]]/EURtoGBP</f>
        <v>0</v>
      </c>
      <c r="W275" s="33">
        <f>quantInv[[#This Row],[Total Cost GBP]]/USDtoGBP</f>
        <v>0</v>
      </c>
      <c r="X275" s="33">
        <f>quantInv[[#This Row],[Total Cost GBP]]/CADtoGBP</f>
        <v>0</v>
      </c>
      <c r="Y275" s="33">
        <f>quantInv[[#This Row],[Quantity]]*quantInv[[#This Row],[UNIT
VALUE AUD]]</f>
        <v>0</v>
      </c>
      <c r="Z275" s="33"/>
    </row>
    <row r="276" spans="1:26" x14ac:dyDescent="0.25">
      <c r="A276" t="s">
        <v>9</v>
      </c>
      <c r="B276" t="s">
        <v>687</v>
      </c>
      <c r="C276" t="s">
        <v>114</v>
      </c>
      <c r="D276" t="s">
        <v>688</v>
      </c>
      <c r="E276">
        <v>14.61</v>
      </c>
      <c r="F276" s="33">
        <v>14.4892</v>
      </c>
      <c r="G276" s="33" t="s">
        <v>117</v>
      </c>
      <c r="H276" t="s">
        <v>103</v>
      </c>
      <c r="I276" t="str">
        <f>IF(quantInv[[#This Row],[Metal]] = "925 Silver",  "7113.11.00"," 7113.19.00")</f>
        <v>7113.11.00</v>
      </c>
      <c r="J276" t="str">
        <f>IF(quantInv[[#This Row],[Metal]] = "925 Silver", "7113.11.10.00"," 7113.19.10.00")</f>
        <v>7113.11.10.00</v>
      </c>
      <c r="K276" t="str">
        <f>IF(quantInv[[#This Row],[Metal]] = "925 Silver",  "7113.11.00"," 7113.19.00")</f>
        <v>7113.11.00</v>
      </c>
      <c r="L276" t="str">
        <f>IFERROR(VLOOKUP(quantInv[[#This Row],[Description for New Invoice]],Map!$G$12:$H$32,2,FALSE), IF(quantInv[[#This Row],[Metal]] = "925 Silver", "7113.11.10.00", "7113.19.29.00"))</f>
        <v>7113.11.10.00</v>
      </c>
      <c r="M276" t="str">
        <f>quantInv[[#This Row],[ASIN]] &amp; " " &amp; quantInv[[#This Row],[Short Description]]</f>
        <v>B06Y58ZYC6 Franco Chain</v>
      </c>
      <c r="N276" s="33">
        <f>quantInv[[#This Row],[UNIT
VALUE]] / EURtoGBP</f>
        <v>16.446964408347664</v>
      </c>
      <c r="O276" s="33">
        <f>quantInv[[#This Row],[UNIT
VALUE]]/USDtoGBP</f>
        <v>19.862286029969169</v>
      </c>
      <c r="P276" s="33">
        <f>quantInv[[#This Row],[UNIT
VALUE]] / CADtoGBP</f>
        <v>25.424867911483584</v>
      </c>
      <c r="Q276" s="33">
        <f>quantInv[[#This Row],[UNIT
VALUE]]/AUDtoGBP</f>
        <v>26.024139665205833</v>
      </c>
      <c r="R276">
        <f>IFERROR(VLOOKUP(quantInv[[#This Row],[Assigned Item SKU]],skuQuantity[#All],2,FALSE),0)</f>
        <v>5</v>
      </c>
      <c r="S276" t="str">
        <f>PROPER(quantInv[[#This Row],[Metal]] &amp; " " &amp; quantInv[[#This Row],[Item Type]])</f>
        <v>925 Silver Chain</v>
      </c>
      <c r="T276" s="33">
        <f>quantInv[[#This Row],[Quantity]]*quantInv[[#This Row],[WEIGHT]]</f>
        <v>73.05</v>
      </c>
      <c r="U276" s="33">
        <f>quantInv[[#This Row],[UNIT
VALUE]]*quantInv[[#This Row],[Quantity]]</f>
        <v>72.445999999999998</v>
      </c>
      <c r="V276" s="33">
        <f>quantInv[[#This Row],[Total Cost GBP]]/EURtoGBP</f>
        <v>82.234822041738326</v>
      </c>
      <c r="W276" s="33">
        <f>quantInv[[#This Row],[Total Cost GBP]]/USDtoGBP</f>
        <v>99.311430149845847</v>
      </c>
      <c r="X276" s="33">
        <f>quantInv[[#This Row],[Total Cost GBP]]/CADtoGBP</f>
        <v>127.12433955741791</v>
      </c>
      <c r="Y276" s="33">
        <f>quantInv[[#This Row],[Quantity]]*quantInv[[#This Row],[UNIT
VALUE AUD]]</f>
        <v>130.12069832602916</v>
      </c>
      <c r="Z276" s="33"/>
    </row>
    <row r="277" spans="1:26" x14ac:dyDescent="0.25">
      <c r="A277" t="s">
        <v>673</v>
      </c>
      <c r="B277" t="s">
        <v>674</v>
      </c>
      <c r="C277" t="s">
        <v>114</v>
      </c>
      <c r="D277" t="s">
        <v>675</v>
      </c>
      <c r="E277">
        <v>5.1100000000000003</v>
      </c>
      <c r="F277" s="33">
        <v>4.8715999999999999</v>
      </c>
      <c r="G277" s="33" t="s">
        <v>117</v>
      </c>
      <c r="H277" t="s">
        <v>103</v>
      </c>
      <c r="I277" t="str">
        <f>IF(quantInv[[#This Row],[Metal]] = "925 Silver",  "7113.11.00"," 7113.19.00")</f>
        <v>7113.11.00</v>
      </c>
      <c r="J277" t="str">
        <f>IF(quantInv[[#This Row],[Metal]] = "925 Silver", "7113.11.10.00"," 7113.19.10.00")</f>
        <v>7113.11.10.00</v>
      </c>
      <c r="K277" t="str">
        <f>IF(quantInv[[#This Row],[Metal]] = "925 Silver",  "7113.11.00"," 7113.19.00")</f>
        <v>7113.11.00</v>
      </c>
      <c r="L277" t="str">
        <f>IFERROR(VLOOKUP(quantInv[[#This Row],[Description for New Invoice]],Map!$G$12:$H$32,2,FALSE), IF(quantInv[[#This Row],[Metal]] = "925 Silver", "7113.11.10.00", "7113.19.29.00"))</f>
        <v>7113.11.10.00</v>
      </c>
      <c r="M277" t="str">
        <f>quantInv[[#This Row],[ASIN]] &amp; " " &amp; quantInv[[#This Row],[Short Description]]</f>
        <v>B01NBWAF5K Herringbone 1 Braid Chain</v>
      </c>
      <c r="N277" s="33">
        <f>quantInv[[#This Row],[UNIT
VALUE]] / EURtoGBP</f>
        <v>5.5298451130294621</v>
      </c>
      <c r="O277" s="33">
        <f>quantInv[[#This Row],[UNIT
VALUE]]/USDtoGBP</f>
        <v>6.6781542544514405</v>
      </c>
      <c r="P277" s="33">
        <f>quantInv[[#This Row],[UNIT
VALUE]] / CADtoGBP</f>
        <v>8.5484213426264688</v>
      </c>
      <c r="Q277" s="33">
        <f>quantInv[[#This Row],[UNIT
VALUE]]/AUDtoGBP</f>
        <v>8.749910194697895</v>
      </c>
      <c r="R277">
        <f>IFERROR(VLOOKUP(quantInv[[#This Row],[Assigned Item SKU]],skuQuantity[#All],2,FALSE),0)</f>
        <v>0</v>
      </c>
      <c r="S277" t="str">
        <f>PROPER(quantInv[[#This Row],[Metal]] &amp; " " &amp; quantInv[[#This Row],[Item Type]])</f>
        <v>925 Silver Chain</v>
      </c>
      <c r="T277" s="33">
        <f>quantInv[[#This Row],[Quantity]]*quantInv[[#This Row],[WEIGHT]]</f>
        <v>0</v>
      </c>
      <c r="U277" s="33">
        <f>quantInv[[#This Row],[UNIT
VALUE]]*quantInv[[#This Row],[Quantity]]</f>
        <v>0</v>
      </c>
      <c r="V277" s="33">
        <f>quantInv[[#This Row],[Total Cost GBP]]/EURtoGBP</f>
        <v>0</v>
      </c>
      <c r="W277" s="33">
        <f>quantInv[[#This Row],[Total Cost GBP]]/USDtoGBP</f>
        <v>0</v>
      </c>
      <c r="X277" s="33">
        <f>quantInv[[#This Row],[Total Cost GBP]]/CADtoGBP</f>
        <v>0</v>
      </c>
      <c r="Y277" s="33">
        <f>quantInv[[#This Row],[Quantity]]*quantInv[[#This Row],[UNIT
VALUE AUD]]</f>
        <v>0</v>
      </c>
      <c r="Z277" s="33"/>
    </row>
    <row r="278" spans="1:26" x14ac:dyDescent="0.25">
      <c r="A278" t="s">
        <v>676</v>
      </c>
      <c r="B278" t="s">
        <v>677</v>
      </c>
      <c r="C278" t="s">
        <v>114</v>
      </c>
      <c r="D278" t="s">
        <v>675</v>
      </c>
      <c r="E278">
        <v>5.8</v>
      </c>
      <c r="F278" s="33">
        <v>5.5037000000000003</v>
      </c>
      <c r="G278" s="33" t="s">
        <v>117</v>
      </c>
      <c r="H278" t="s">
        <v>103</v>
      </c>
      <c r="I278" t="str">
        <f>IF(quantInv[[#This Row],[Metal]] = "925 Silver",  "7113.11.00"," 7113.19.00")</f>
        <v>7113.11.00</v>
      </c>
      <c r="J278" t="str">
        <f>IF(quantInv[[#This Row],[Metal]] = "925 Silver", "7113.11.10.00"," 7113.19.10.00")</f>
        <v>7113.11.10.00</v>
      </c>
      <c r="K278" t="str">
        <f>IF(quantInv[[#This Row],[Metal]] = "925 Silver",  "7113.11.00"," 7113.19.00")</f>
        <v>7113.11.00</v>
      </c>
      <c r="L278" t="str">
        <f>IFERROR(VLOOKUP(quantInv[[#This Row],[Description for New Invoice]],Map!$G$12:$H$32,2,FALSE), IF(quantInv[[#This Row],[Metal]] = "925 Silver", "7113.11.10.00", "7113.19.29.00"))</f>
        <v>7113.11.10.00</v>
      </c>
      <c r="M278" t="str">
        <f>quantInv[[#This Row],[ASIN]] &amp; " " &amp; quantInv[[#This Row],[Short Description]]</f>
        <v>B01NAVCECQ Herringbone 1 Braid Chain</v>
      </c>
      <c r="N278" s="33">
        <f>quantInv[[#This Row],[UNIT
VALUE]] / EURtoGBP</f>
        <v>6.2473537541219004</v>
      </c>
      <c r="O278" s="33">
        <f>quantInv[[#This Row],[UNIT
VALUE]]/USDtoGBP</f>
        <v>7.5446583402217735</v>
      </c>
      <c r="P278" s="33">
        <f>quantInv[[#This Row],[UNIT
VALUE]] / CADtoGBP</f>
        <v>9.6575963838191345</v>
      </c>
      <c r="Q278" s="33">
        <f>quantInv[[#This Row],[UNIT
VALUE]]/AUDtoGBP</f>
        <v>9.8852288239097632</v>
      </c>
      <c r="R278">
        <f>IFERROR(VLOOKUP(quantInv[[#This Row],[Assigned Item SKU]],skuQuantity[#All],2,FALSE),0)</f>
        <v>0</v>
      </c>
      <c r="S278" t="str">
        <f>PROPER(quantInv[[#This Row],[Metal]] &amp; " " &amp; quantInv[[#This Row],[Item Type]])</f>
        <v>925 Silver Chain</v>
      </c>
      <c r="T278" s="33">
        <f>quantInv[[#This Row],[Quantity]]*quantInv[[#This Row],[WEIGHT]]</f>
        <v>0</v>
      </c>
      <c r="U278" s="33">
        <f>quantInv[[#This Row],[UNIT
VALUE]]*quantInv[[#This Row],[Quantity]]</f>
        <v>0</v>
      </c>
      <c r="V278" s="33">
        <f>quantInv[[#This Row],[Total Cost GBP]]/EURtoGBP</f>
        <v>0</v>
      </c>
      <c r="W278" s="33">
        <f>quantInv[[#This Row],[Total Cost GBP]]/USDtoGBP</f>
        <v>0</v>
      </c>
      <c r="X278" s="33">
        <f>quantInv[[#This Row],[Total Cost GBP]]/CADtoGBP</f>
        <v>0</v>
      </c>
      <c r="Y278" s="33">
        <f>quantInv[[#This Row],[Quantity]]*quantInv[[#This Row],[UNIT
VALUE AUD]]</f>
        <v>0</v>
      </c>
      <c r="Z278" s="33"/>
    </row>
    <row r="279" spans="1:26" x14ac:dyDescent="0.25">
      <c r="A279" t="s">
        <v>678</v>
      </c>
      <c r="B279" t="s">
        <v>679</v>
      </c>
      <c r="C279" t="s">
        <v>114</v>
      </c>
      <c r="D279" t="s">
        <v>675</v>
      </c>
      <c r="E279">
        <v>6.75</v>
      </c>
      <c r="F279" s="33">
        <v>6.3741000000000003</v>
      </c>
      <c r="G279" s="33" t="s">
        <v>117</v>
      </c>
      <c r="H279" t="s">
        <v>103</v>
      </c>
      <c r="I279" t="str">
        <f>IF(quantInv[[#This Row],[Metal]] = "925 Silver",  "7113.11.00"," 7113.19.00")</f>
        <v>7113.11.00</v>
      </c>
      <c r="J279" t="str">
        <f>IF(quantInv[[#This Row],[Metal]] = "925 Silver", "7113.11.10.00"," 7113.19.10.00")</f>
        <v>7113.11.10.00</v>
      </c>
      <c r="K279" t="str">
        <f>IF(quantInv[[#This Row],[Metal]] = "925 Silver",  "7113.11.00"," 7113.19.00")</f>
        <v>7113.11.00</v>
      </c>
      <c r="L279" t="str">
        <f>IFERROR(VLOOKUP(quantInv[[#This Row],[Description for New Invoice]],Map!$G$12:$H$32,2,FALSE), IF(quantInv[[#This Row],[Metal]] = "925 Silver", "7113.11.10.00", "7113.19.29.00"))</f>
        <v>7113.11.10.00</v>
      </c>
      <c r="M279" t="str">
        <f>quantInv[[#This Row],[ASIN]] &amp; " " &amp; quantInv[[#This Row],[Short Description]]</f>
        <v>B01NAV77B4 Herringbone 1 Braid Chain</v>
      </c>
      <c r="N279" s="33">
        <f>quantInv[[#This Row],[UNIT
VALUE]] / EURtoGBP</f>
        <v>7.2353612232041007</v>
      </c>
      <c r="O279" s="33">
        <f>quantInv[[#This Row],[UNIT
VALUE]]/USDtoGBP</f>
        <v>8.7378321359099527</v>
      </c>
      <c r="P279" s="33">
        <f>quantInv[[#This Row],[UNIT
VALUE]] / CADtoGBP</f>
        <v>11.184927432472982</v>
      </c>
      <c r="Q279" s="33">
        <f>quantInv[[#This Row],[UNIT
VALUE]]/AUDtoGBP</f>
        <v>11.448559522954236</v>
      </c>
      <c r="R279">
        <f>IFERROR(VLOOKUP(quantInv[[#This Row],[Assigned Item SKU]],skuQuantity[#All],2,FALSE),0)</f>
        <v>0</v>
      </c>
      <c r="S279" t="str">
        <f>PROPER(quantInv[[#This Row],[Metal]] &amp; " " &amp; quantInv[[#This Row],[Item Type]])</f>
        <v>925 Silver Chain</v>
      </c>
      <c r="T279" s="33">
        <f>quantInv[[#This Row],[Quantity]]*quantInv[[#This Row],[WEIGHT]]</f>
        <v>0</v>
      </c>
      <c r="U279" s="33">
        <f>quantInv[[#This Row],[UNIT
VALUE]]*quantInv[[#This Row],[Quantity]]</f>
        <v>0</v>
      </c>
      <c r="V279" s="33">
        <f>quantInv[[#This Row],[Total Cost GBP]]/EURtoGBP</f>
        <v>0</v>
      </c>
      <c r="W279" s="33">
        <f>quantInv[[#This Row],[Total Cost GBP]]/USDtoGBP</f>
        <v>0</v>
      </c>
      <c r="X279" s="33">
        <f>quantInv[[#This Row],[Total Cost GBP]]/CADtoGBP</f>
        <v>0</v>
      </c>
      <c r="Y279" s="33">
        <f>quantInv[[#This Row],[Quantity]]*quantInv[[#This Row],[UNIT
VALUE AUD]]</f>
        <v>0</v>
      </c>
      <c r="Z279" s="33"/>
    </row>
    <row r="280" spans="1:26" x14ac:dyDescent="0.25">
      <c r="A280" t="s">
        <v>680</v>
      </c>
      <c r="B280" t="s">
        <v>681</v>
      </c>
      <c r="C280" t="s">
        <v>114</v>
      </c>
      <c r="D280" t="s">
        <v>682</v>
      </c>
      <c r="E280">
        <v>5.04</v>
      </c>
      <c r="F280" s="33">
        <v>7.2495000000000003</v>
      </c>
      <c r="G280" s="33" t="s">
        <v>117</v>
      </c>
      <c r="H280" t="s">
        <v>103</v>
      </c>
      <c r="I280" t="str">
        <f>IF(quantInv[[#This Row],[Metal]] = "925 Silver",  "7113.11.00"," 7113.19.00")</f>
        <v>7113.11.00</v>
      </c>
      <c r="J280" t="str">
        <f>IF(quantInv[[#This Row],[Metal]] = "925 Silver", "7113.11.10.00"," 7113.19.10.00")</f>
        <v>7113.11.10.00</v>
      </c>
      <c r="K280" t="str">
        <f>IF(quantInv[[#This Row],[Metal]] = "925 Silver",  "7113.11.00"," 7113.19.00")</f>
        <v>7113.11.00</v>
      </c>
      <c r="L280" t="str">
        <f>IFERROR(VLOOKUP(quantInv[[#This Row],[Description for New Invoice]],Map!$G$12:$H$32,2,FALSE), IF(quantInv[[#This Row],[Metal]] = "925 Silver", "7113.11.10.00", "7113.19.29.00"))</f>
        <v>7113.11.10.00</v>
      </c>
      <c r="M280" t="str">
        <f>quantInv[[#This Row],[ASIN]] &amp; " " &amp; quantInv[[#This Row],[Short Description]]</f>
        <v>B01N4OUN1W Flat Popcorn Chain</v>
      </c>
      <c r="N280" s="33">
        <f>quantInv[[#This Row],[UNIT
VALUE]] / EURtoGBP</f>
        <v>8.229044286662921</v>
      </c>
      <c r="O280" s="33">
        <f>quantInv[[#This Row],[UNIT
VALUE]]/USDtoGBP</f>
        <v>9.9378601009207888</v>
      </c>
      <c r="P280" s="33">
        <f>quantInv[[#This Row],[UNIT
VALUE]] / CADtoGBP</f>
        <v>12.72103221187507</v>
      </c>
      <c r="Q280" s="33">
        <f>quantInv[[#This Row],[UNIT
VALUE]]/AUDtoGBP</f>
        <v>13.020870752209211</v>
      </c>
      <c r="R280">
        <f>IFERROR(VLOOKUP(quantInv[[#This Row],[Assigned Item SKU]],skuQuantity[#All],2,FALSE),0)</f>
        <v>0</v>
      </c>
      <c r="S280" t="str">
        <f>PROPER(quantInv[[#This Row],[Metal]] &amp; " " &amp; quantInv[[#This Row],[Item Type]])</f>
        <v>925 Silver Chain</v>
      </c>
      <c r="T280" s="33">
        <f>quantInv[[#This Row],[Quantity]]*quantInv[[#This Row],[WEIGHT]]</f>
        <v>0</v>
      </c>
      <c r="U280" s="33">
        <f>quantInv[[#This Row],[UNIT
VALUE]]*quantInv[[#This Row],[Quantity]]</f>
        <v>0</v>
      </c>
      <c r="V280" s="33">
        <f>quantInv[[#This Row],[Total Cost GBP]]/EURtoGBP</f>
        <v>0</v>
      </c>
      <c r="W280" s="33">
        <f>quantInv[[#This Row],[Total Cost GBP]]/USDtoGBP</f>
        <v>0</v>
      </c>
      <c r="X280" s="33">
        <f>quantInv[[#This Row],[Total Cost GBP]]/CADtoGBP</f>
        <v>0</v>
      </c>
      <c r="Y280" s="33">
        <f>quantInv[[#This Row],[Quantity]]*quantInv[[#This Row],[UNIT
VALUE AUD]]</f>
        <v>0</v>
      </c>
      <c r="Z280" s="33"/>
    </row>
    <row r="281" spans="1:26" x14ac:dyDescent="0.25">
      <c r="A281" t="s">
        <v>683</v>
      </c>
      <c r="B281" t="s">
        <v>684</v>
      </c>
      <c r="C281" t="s">
        <v>114</v>
      </c>
      <c r="D281" t="s">
        <v>682</v>
      </c>
      <c r="E281">
        <v>5.55</v>
      </c>
      <c r="F281" s="33">
        <v>7.9638</v>
      </c>
      <c r="G281" s="33" t="s">
        <v>117</v>
      </c>
      <c r="H281" t="s">
        <v>103</v>
      </c>
      <c r="I281" t="str">
        <f>IF(quantInv[[#This Row],[Metal]] = "925 Silver",  "7113.11.00"," 7113.19.00")</f>
        <v>7113.11.00</v>
      </c>
      <c r="J281" t="str">
        <f>IF(quantInv[[#This Row],[Metal]] = "925 Silver", "7113.11.10.00"," 7113.19.10.00")</f>
        <v>7113.11.10.00</v>
      </c>
      <c r="K281" t="str">
        <f>IF(quantInv[[#This Row],[Metal]] = "925 Silver",  "7113.11.00"," 7113.19.00")</f>
        <v>7113.11.00</v>
      </c>
      <c r="L281" t="str">
        <f>IFERROR(VLOOKUP(quantInv[[#This Row],[Description for New Invoice]],Map!$G$12:$H$32,2,FALSE), IF(quantInv[[#This Row],[Metal]] = "925 Silver", "7113.11.10.00", "7113.19.29.00"))</f>
        <v>7113.11.10.00</v>
      </c>
      <c r="M281" t="str">
        <f>quantInv[[#This Row],[ASIN]] &amp; " " &amp; quantInv[[#This Row],[Short Description]]</f>
        <v>B01NBVJCCE Flat Popcorn Chain</v>
      </c>
      <c r="N281" s="33">
        <f>quantInv[[#This Row],[UNIT
VALUE]] / EURtoGBP</f>
        <v>9.0398596993070104</v>
      </c>
      <c r="O281" s="33">
        <f>quantInv[[#This Row],[UNIT
VALUE]]/USDtoGBP</f>
        <v>10.917046730355608</v>
      </c>
      <c r="P281" s="33">
        <f>quantInv[[#This Row],[UNIT
VALUE]] / CADtoGBP</f>
        <v>13.974447386568821</v>
      </c>
      <c r="Q281" s="33">
        <f>quantInv[[#This Row],[UNIT
VALUE]]/AUDtoGBP</f>
        <v>14.303829298081759</v>
      </c>
      <c r="R281">
        <f>IFERROR(VLOOKUP(quantInv[[#This Row],[Assigned Item SKU]],skuQuantity[#All],2,FALSE),0)</f>
        <v>0</v>
      </c>
      <c r="S281" t="str">
        <f>PROPER(quantInv[[#This Row],[Metal]] &amp; " " &amp; quantInv[[#This Row],[Item Type]])</f>
        <v>925 Silver Chain</v>
      </c>
      <c r="T281" s="33">
        <f>quantInv[[#This Row],[Quantity]]*quantInv[[#This Row],[WEIGHT]]</f>
        <v>0</v>
      </c>
      <c r="U281" s="33">
        <f>quantInv[[#This Row],[UNIT
VALUE]]*quantInv[[#This Row],[Quantity]]</f>
        <v>0</v>
      </c>
      <c r="V281" s="33">
        <f>quantInv[[#This Row],[Total Cost GBP]]/EURtoGBP</f>
        <v>0</v>
      </c>
      <c r="W281" s="33">
        <f>quantInv[[#This Row],[Total Cost GBP]]/USDtoGBP</f>
        <v>0</v>
      </c>
      <c r="X281" s="33">
        <f>quantInv[[#This Row],[Total Cost GBP]]/CADtoGBP</f>
        <v>0</v>
      </c>
      <c r="Y281" s="33">
        <f>quantInv[[#This Row],[Quantity]]*quantInv[[#This Row],[UNIT
VALUE AUD]]</f>
        <v>0</v>
      </c>
      <c r="Z281" s="33"/>
    </row>
    <row r="282" spans="1:26" x14ac:dyDescent="0.25">
      <c r="A282" t="s">
        <v>685</v>
      </c>
      <c r="B282" t="s">
        <v>686</v>
      </c>
      <c r="C282" t="s">
        <v>114</v>
      </c>
      <c r="D282" t="s">
        <v>682</v>
      </c>
      <c r="E282">
        <v>6.18</v>
      </c>
      <c r="F282" s="33">
        <v>8.8462999999999994</v>
      </c>
      <c r="G282" s="33" t="s">
        <v>117</v>
      </c>
      <c r="H282" t="s">
        <v>103</v>
      </c>
      <c r="I282" t="str">
        <f>IF(quantInv[[#This Row],[Metal]] = "925 Silver",  "7113.11.00"," 7113.19.00")</f>
        <v>7113.11.00</v>
      </c>
      <c r="J282" t="str">
        <f>IF(quantInv[[#This Row],[Metal]] = "925 Silver", "7113.11.10.00"," 7113.19.10.00")</f>
        <v>7113.11.10.00</v>
      </c>
      <c r="K282" t="str">
        <f>IF(quantInv[[#This Row],[Metal]] = "925 Silver",  "7113.11.00"," 7113.19.00")</f>
        <v>7113.11.00</v>
      </c>
      <c r="L282" t="str">
        <f>IFERROR(VLOOKUP(quantInv[[#This Row],[Description for New Invoice]],Map!$G$12:$H$32,2,FALSE), IF(quantInv[[#This Row],[Metal]] = "925 Silver", "7113.11.10.00", "7113.19.29.00"))</f>
        <v>7113.11.10.00</v>
      </c>
      <c r="M282" t="str">
        <f>quantInv[[#This Row],[ASIN]] &amp; " " &amp; quantInv[[#This Row],[Short Description]]</f>
        <v>B01N6RQTZB Flat Popcorn Chain</v>
      </c>
      <c r="N282" s="33">
        <f>quantInv[[#This Row],[UNIT
VALUE]] / EURtoGBP</f>
        <v>10.041602106780632</v>
      </c>
      <c r="O282" s="33">
        <f>quantInv[[#This Row],[UNIT
VALUE]]/USDtoGBP</f>
        <v>12.126807615804617</v>
      </c>
      <c r="P282" s="33">
        <f>quantInv[[#This Row],[UNIT
VALUE]] / CADtoGBP</f>
        <v>15.523010863633411</v>
      </c>
      <c r="Q282" s="33">
        <f>quantInv[[#This Row],[UNIT
VALUE]]/AUDtoGBP</f>
        <v>15.888892880235646</v>
      </c>
      <c r="R282">
        <f>IFERROR(VLOOKUP(quantInv[[#This Row],[Assigned Item SKU]],skuQuantity[#All],2,FALSE),0)</f>
        <v>0</v>
      </c>
      <c r="S282" t="str">
        <f>PROPER(quantInv[[#This Row],[Metal]] &amp; " " &amp; quantInv[[#This Row],[Item Type]])</f>
        <v>925 Silver Chain</v>
      </c>
      <c r="T282" s="33">
        <f>quantInv[[#This Row],[Quantity]]*quantInv[[#This Row],[WEIGHT]]</f>
        <v>0</v>
      </c>
      <c r="U282" s="33">
        <f>quantInv[[#This Row],[UNIT
VALUE]]*quantInv[[#This Row],[Quantity]]</f>
        <v>0</v>
      </c>
      <c r="V282" s="33">
        <f>quantInv[[#This Row],[Total Cost GBP]]/EURtoGBP</f>
        <v>0</v>
      </c>
      <c r="W282" s="33">
        <f>quantInv[[#This Row],[Total Cost GBP]]/USDtoGBP</f>
        <v>0</v>
      </c>
      <c r="X282" s="33">
        <f>quantInv[[#This Row],[Total Cost GBP]]/CADtoGBP</f>
        <v>0</v>
      </c>
      <c r="Y282" s="33">
        <f>quantInv[[#This Row],[Quantity]]*quantInv[[#This Row],[UNIT
VALUE AUD]]</f>
        <v>0</v>
      </c>
      <c r="Z282" s="33"/>
    </row>
    <row r="283" spans="1:26" x14ac:dyDescent="0.25">
      <c r="A283" t="s">
        <v>6</v>
      </c>
      <c r="B283" t="s">
        <v>702</v>
      </c>
      <c r="C283" t="s">
        <v>113</v>
      </c>
      <c r="D283" t="s">
        <v>701</v>
      </c>
      <c r="E283">
        <v>2.6571428571428601</v>
      </c>
      <c r="F283" s="33">
        <v>2.9754</v>
      </c>
      <c r="G283" s="33" t="s">
        <v>117</v>
      </c>
      <c r="H283" t="s">
        <v>1310</v>
      </c>
      <c r="I283" t="str">
        <f>IF(quantInv[[#This Row],[Metal]] = "925 Silver",  "7113.11.00"," 7113.19.00")</f>
        <v>7113.11.00</v>
      </c>
      <c r="J283" t="str">
        <f>IF(quantInv[[#This Row],[Metal]] = "925 Silver", "7113.11.10.00"," 7113.19.10.00")</f>
        <v>7113.11.10.00</v>
      </c>
      <c r="K283" t="str">
        <f>IF(quantInv[[#This Row],[Metal]] = "925 Silver",  "7113.11.00"," 7113.19.00")</f>
        <v>7113.11.00</v>
      </c>
      <c r="L283" t="str">
        <f>IFERROR(VLOOKUP(quantInv[[#This Row],[Description for New Invoice]],Map!$G$12:$H$32,2,FALSE), IF(quantInv[[#This Row],[Metal]] = "925 Silver", "7113.11.10.00", "7113.19.29.00"))</f>
        <v>7113.11.50.00</v>
      </c>
      <c r="M283" t="str">
        <f>quantInv[[#This Row],[ASIN]] &amp; " " &amp; quantInv[[#This Row],[Short Description]]</f>
        <v>B00D0TO4G4 Circle Hoop Earrings</v>
      </c>
      <c r="N283" s="33">
        <f>quantInv[[#This Row],[UNIT
VALUE]] / EURtoGBP</f>
        <v>3.3774327016396795</v>
      </c>
      <c r="O283" s="33">
        <f>quantInv[[#This Row],[UNIT
VALUE]]/USDtoGBP</f>
        <v>4.0787790805268935</v>
      </c>
      <c r="P283" s="33">
        <f>quantInv[[#This Row],[UNIT
VALUE]] / CADtoGBP</f>
        <v>5.2210716936634363</v>
      </c>
      <c r="Q283" s="33">
        <f>quantInv[[#This Row],[UNIT
VALUE]]/AUDtoGBP</f>
        <v>5.3441339176664986</v>
      </c>
      <c r="R283">
        <f>IFERROR(VLOOKUP(quantInv[[#This Row],[Assigned Item SKU]],skuQuantity[#All],2,FALSE),0)</f>
        <v>20</v>
      </c>
      <c r="S283" t="str">
        <f>PROPER(quantInv[[#This Row],[Metal]] &amp; " " &amp; quantInv[[#This Row],[Item Type]])</f>
        <v>925 Silver Earrings</v>
      </c>
      <c r="T283" s="33">
        <f>quantInv[[#This Row],[Quantity]]*quantInv[[#This Row],[WEIGHT]]</f>
        <v>53.142857142857203</v>
      </c>
      <c r="U283" s="33">
        <f>quantInv[[#This Row],[UNIT
VALUE]]*quantInv[[#This Row],[Quantity]]</f>
        <v>59.508000000000003</v>
      </c>
      <c r="V283" s="33">
        <f>quantInv[[#This Row],[Total Cost GBP]]/EURtoGBP</f>
        <v>67.548654032793593</v>
      </c>
      <c r="W283" s="33">
        <f>quantInv[[#This Row],[Total Cost GBP]]/USDtoGBP</f>
        <v>81.575581610537881</v>
      </c>
      <c r="X283" s="33">
        <f>quantInv[[#This Row],[Total Cost GBP]]/CADtoGBP</f>
        <v>104.42143387326873</v>
      </c>
      <c r="Y283" s="33">
        <f>quantInv[[#This Row],[Quantity]]*quantInv[[#This Row],[UNIT
VALUE AUD]]</f>
        <v>106.88267835332996</v>
      </c>
      <c r="Z283" s="33"/>
    </row>
    <row r="284" spans="1:26" x14ac:dyDescent="0.25">
      <c r="A284" t="s">
        <v>8</v>
      </c>
      <c r="B284" t="s">
        <v>689</v>
      </c>
      <c r="C284" t="s">
        <v>114</v>
      </c>
      <c r="D284" t="s">
        <v>688</v>
      </c>
      <c r="E284">
        <v>19.86</v>
      </c>
      <c r="F284" s="33">
        <v>19.345500000000001</v>
      </c>
      <c r="G284" s="33" t="s">
        <v>117</v>
      </c>
      <c r="H284" t="s">
        <v>103</v>
      </c>
      <c r="I284" t="str">
        <f>IF(quantInv[[#This Row],[Metal]] = "925 Silver",  "7113.11.00"," 7113.19.00")</f>
        <v>7113.11.00</v>
      </c>
      <c r="J284" t="str">
        <f>IF(quantInv[[#This Row],[Metal]] = "925 Silver", "7113.11.10.00"," 7113.19.10.00")</f>
        <v>7113.11.10.00</v>
      </c>
      <c r="K284" t="str">
        <f>IF(quantInv[[#This Row],[Metal]] = "925 Silver",  "7113.11.00"," 7113.19.00")</f>
        <v>7113.11.00</v>
      </c>
      <c r="L284" t="str">
        <f>IFERROR(VLOOKUP(quantInv[[#This Row],[Description for New Invoice]],Map!$G$12:$H$32,2,FALSE), IF(quantInv[[#This Row],[Metal]] = "925 Silver", "7113.11.10.00", "7113.19.29.00"))</f>
        <v>7113.11.10.00</v>
      </c>
      <c r="M284" t="str">
        <f>quantInv[[#This Row],[ASIN]] &amp; " " &amp; quantInv[[#This Row],[Short Description]]</f>
        <v>B06Y5STLNM Franco Chain</v>
      </c>
      <c r="N284" s="33">
        <f>quantInv[[#This Row],[UNIT
VALUE]] / EURtoGBP</f>
        <v>21.959442202584668</v>
      </c>
      <c r="O284" s="33">
        <f>quantInv[[#This Row],[UNIT
VALUE]]/USDtoGBP</f>
        <v>26.519466526293282</v>
      </c>
      <c r="P284" s="33">
        <f>quantInv[[#This Row],[UNIT
VALUE]] / CADtoGBP</f>
        <v>33.946441638020438</v>
      </c>
      <c r="Q284" s="33">
        <f>quantInv[[#This Row],[UNIT
VALUE]]/AUDtoGBP</f>
        <v>34.746569437459591</v>
      </c>
      <c r="R284">
        <f>IFERROR(VLOOKUP(quantInv[[#This Row],[Assigned Item SKU]],skuQuantity[#All],2,FALSE),0)</f>
        <v>0</v>
      </c>
      <c r="S284" t="str">
        <f>PROPER(quantInv[[#This Row],[Metal]] &amp; " " &amp; quantInv[[#This Row],[Item Type]])</f>
        <v>925 Silver Chain</v>
      </c>
      <c r="T284" s="33">
        <f>quantInv[[#This Row],[Quantity]]*quantInv[[#This Row],[WEIGHT]]</f>
        <v>0</v>
      </c>
      <c r="U284" s="33">
        <f>quantInv[[#This Row],[UNIT
VALUE]]*quantInv[[#This Row],[Quantity]]</f>
        <v>0</v>
      </c>
      <c r="V284" s="33">
        <f>quantInv[[#This Row],[Total Cost GBP]]/EURtoGBP</f>
        <v>0</v>
      </c>
      <c r="W284" s="33">
        <f>quantInv[[#This Row],[Total Cost GBP]]/USDtoGBP</f>
        <v>0</v>
      </c>
      <c r="X284" s="33">
        <f>quantInv[[#This Row],[Total Cost GBP]]/CADtoGBP</f>
        <v>0</v>
      </c>
      <c r="Y284" s="33">
        <f>quantInv[[#This Row],[Quantity]]*quantInv[[#This Row],[UNIT
VALUE AUD]]</f>
        <v>0</v>
      </c>
      <c r="Z284" s="33"/>
    </row>
    <row r="285" spans="1:26" x14ac:dyDescent="0.25">
      <c r="A285" t="s">
        <v>60</v>
      </c>
      <c r="B285" t="s">
        <v>799</v>
      </c>
      <c r="C285" t="s">
        <v>113</v>
      </c>
      <c r="D285" t="s">
        <v>793</v>
      </c>
      <c r="E285">
        <v>1</v>
      </c>
      <c r="F285" s="33">
        <v>1.6081000000000001</v>
      </c>
      <c r="G285" s="33" t="s">
        <v>117</v>
      </c>
      <c r="H285" t="s">
        <v>1451</v>
      </c>
      <c r="I285" t="str">
        <f>IF(quantInv[[#This Row],[Metal]] = "925 Silver",  "7113.11.00"," 7113.19.00")</f>
        <v>7113.11.00</v>
      </c>
      <c r="J285" t="str">
        <f>IF(quantInv[[#This Row],[Metal]] = "925 Silver", "7113.11.10.00"," 7113.19.10.00")</f>
        <v>7113.11.10.00</v>
      </c>
      <c r="K285" t="str">
        <f>IF(quantInv[[#This Row],[Metal]] = "925 Silver",  "7113.11.00"," 7113.19.00")</f>
        <v>7113.11.00</v>
      </c>
      <c r="L285" t="str">
        <f>IFERROR(VLOOKUP(quantInv[[#This Row],[Description for New Invoice]],Map!$G$12:$H$32,2,FALSE), IF(quantInv[[#This Row],[Metal]] = "925 Silver", "7113.11.10.00", "7113.19.29.00"))</f>
        <v>7113.11.50.00</v>
      </c>
      <c r="M285" t="str">
        <f>quantInv[[#This Row],[ASIN]] &amp; " " &amp; quantInv[[#This Row],[Short Description]]</f>
        <v>B06ZYPR9BF Pen - Oval</v>
      </c>
      <c r="N285" s="33">
        <f>quantInv[[#This Row],[UNIT
VALUE]] / EURtoGBP</f>
        <v>1.8253846634088755</v>
      </c>
      <c r="O285" s="33">
        <f>quantInv[[#This Row],[UNIT
VALUE]]/USDtoGBP</f>
        <v>2.2044379375530343</v>
      </c>
      <c r="P285" s="33">
        <f>quantInv[[#This Row],[UNIT
VALUE]] / CADtoGBP</f>
        <v>2.8218072832493686</v>
      </c>
      <c r="Q285" s="33">
        <f>quantInv[[#This Row],[UNIT
VALUE]]/AUDtoGBP</f>
        <v>2.8883181263021767</v>
      </c>
      <c r="R285">
        <f>IFERROR(VLOOKUP(quantInv[[#This Row],[Assigned Item SKU]],skuQuantity[#All],2,FALSE),0)</f>
        <v>0</v>
      </c>
      <c r="S285" t="str">
        <f>PROPER(quantInv[[#This Row],[Metal]] &amp; " " &amp; quantInv[[#This Row],[Item Type]])</f>
        <v>925 Silver Pendant</v>
      </c>
      <c r="T285" s="33">
        <f>quantInv[[#This Row],[Quantity]]*quantInv[[#This Row],[WEIGHT]]</f>
        <v>0</v>
      </c>
      <c r="U285" s="33">
        <f>quantInv[[#This Row],[UNIT
VALUE]]*quantInv[[#This Row],[Quantity]]</f>
        <v>0</v>
      </c>
      <c r="V285" s="33">
        <f>quantInv[[#This Row],[Total Cost GBP]]/EURtoGBP</f>
        <v>0</v>
      </c>
      <c r="W285" s="33">
        <f>quantInv[[#This Row],[Total Cost GBP]]/USDtoGBP</f>
        <v>0</v>
      </c>
      <c r="X285" s="33">
        <f>quantInv[[#This Row],[Total Cost GBP]]/CADtoGBP</f>
        <v>0</v>
      </c>
      <c r="Y285" s="33">
        <f>quantInv[[#This Row],[Quantity]]*quantInv[[#This Row],[UNIT
VALUE AUD]]</f>
        <v>0</v>
      </c>
      <c r="Z285" s="33"/>
    </row>
    <row r="286" spans="1:26" x14ac:dyDescent="0.25">
      <c r="A286" t="s">
        <v>693</v>
      </c>
      <c r="B286" t="s">
        <v>694</v>
      </c>
      <c r="C286" t="s">
        <v>114</v>
      </c>
      <c r="D286" t="s">
        <v>692</v>
      </c>
      <c r="E286">
        <v>12.48</v>
      </c>
      <c r="F286" s="33">
        <v>10.8698</v>
      </c>
      <c r="G286" s="33" t="s">
        <v>117</v>
      </c>
      <c r="H286" t="s">
        <v>103</v>
      </c>
      <c r="I286" t="str">
        <f>IF(quantInv[[#This Row],[Metal]] = "925 Silver",  "7113.11.00"," 7113.19.00")</f>
        <v>7113.11.00</v>
      </c>
      <c r="J286" t="str">
        <f>IF(quantInv[[#This Row],[Metal]] = "925 Silver", "7113.11.10.00"," 7113.19.10.00")</f>
        <v>7113.11.10.00</v>
      </c>
      <c r="K286" t="str">
        <f>IF(quantInv[[#This Row],[Metal]] = "925 Silver",  "7113.11.00"," 7113.19.00")</f>
        <v>7113.11.00</v>
      </c>
      <c r="L286" t="str">
        <f>IFERROR(VLOOKUP(quantInv[[#This Row],[Description for New Invoice]],Map!$G$12:$H$32,2,FALSE), IF(quantInv[[#This Row],[Metal]] = "925 Silver", "7113.11.10.00", "7113.19.29.00"))</f>
        <v>7113.11.10.00</v>
      </c>
      <c r="M286" t="str">
        <f>quantInv[[#This Row],[ASIN]] &amp; " " &amp; quantInv[[#This Row],[Short Description]]</f>
        <v>B06Y5RMHD3 Flat Figaro Chain</v>
      </c>
      <c r="N286" s="33">
        <f>quantInv[[#This Row],[UNIT
VALUE]] / EURtoGBP</f>
        <v>12.338515150999187</v>
      </c>
      <c r="O286" s="33">
        <f>quantInv[[#This Row],[UNIT
VALUE]]/USDtoGBP</f>
        <v>14.900689940684018</v>
      </c>
      <c r="P286" s="33">
        <f>quantInv[[#This Row],[UNIT
VALUE]] / CADtoGBP</f>
        <v>19.073739697446669</v>
      </c>
      <c r="Q286" s="33">
        <f>quantInv[[#This Row],[UNIT
VALUE]]/AUDtoGBP</f>
        <v>19.523313456426465</v>
      </c>
      <c r="R286">
        <f>IFERROR(VLOOKUP(quantInv[[#This Row],[Assigned Item SKU]],skuQuantity[#All],2,FALSE),0)</f>
        <v>0</v>
      </c>
      <c r="S286" t="str">
        <f>PROPER(quantInv[[#This Row],[Metal]] &amp; " " &amp; quantInv[[#This Row],[Item Type]])</f>
        <v>925 Silver Chain</v>
      </c>
      <c r="T286" s="33">
        <f>quantInv[[#This Row],[Quantity]]*quantInv[[#This Row],[WEIGHT]]</f>
        <v>0</v>
      </c>
      <c r="U286" s="33">
        <f>quantInv[[#This Row],[UNIT
VALUE]]*quantInv[[#This Row],[Quantity]]</f>
        <v>0</v>
      </c>
      <c r="V286" s="33">
        <f>quantInv[[#This Row],[Total Cost GBP]]/EURtoGBP</f>
        <v>0</v>
      </c>
      <c r="W286" s="33">
        <f>quantInv[[#This Row],[Total Cost GBP]]/USDtoGBP</f>
        <v>0</v>
      </c>
      <c r="X286" s="33">
        <f>quantInv[[#This Row],[Total Cost GBP]]/CADtoGBP</f>
        <v>0</v>
      </c>
      <c r="Y286" s="33">
        <f>quantInv[[#This Row],[Quantity]]*quantInv[[#This Row],[UNIT
VALUE AUD]]</f>
        <v>0</v>
      </c>
      <c r="Z286" s="33"/>
    </row>
    <row r="287" spans="1:26" x14ac:dyDescent="0.25">
      <c r="A287" t="s">
        <v>695</v>
      </c>
      <c r="B287" t="s">
        <v>696</v>
      </c>
      <c r="C287" t="s">
        <v>114</v>
      </c>
      <c r="D287" t="s">
        <v>697</v>
      </c>
      <c r="E287">
        <v>12.2</v>
      </c>
      <c r="F287" s="33">
        <v>11.0777</v>
      </c>
      <c r="G287" s="33" t="s">
        <v>117</v>
      </c>
      <c r="H287" t="s">
        <v>103</v>
      </c>
      <c r="I287" t="str">
        <f>IF(quantInv[[#This Row],[Metal]] = "925 Silver",  "7113.11.00"," 7113.19.00")</f>
        <v>7113.11.00</v>
      </c>
      <c r="J287" t="str">
        <f>IF(quantInv[[#This Row],[Metal]] = "925 Silver", "7113.11.10.00"," 7113.19.10.00")</f>
        <v>7113.11.10.00</v>
      </c>
      <c r="K287" t="str">
        <f>IF(quantInv[[#This Row],[Metal]] = "925 Silver",  "7113.11.00"," 7113.19.00")</f>
        <v>7113.11.00</v>
      </c>
      <c r="L287" t="str">
        <f>IFERROR(VLOOKUP(quantInv[[#This Row],[Description for New Invoice]],Map!$G$12:$H$32,2,FALSE), IF(quantInv[[#This Row],[Metal]] = "925 Silver", "7113.11.10.00", "7113.19.29.00"))</f>
        <v>7113.11.10.00</v>
      </c>
      <c r="M287" t="str">
        <f>quantInv[[#This Row],[ASIN]] &amp; " " &amp; quantInv[[#This Row],[Short Description]]</f>
        <v>B06Y5HNZVB Flat Curb Chain</v>
      </c>
      <c r="N287" s="33">
        <f>quantInv[[#This Row],[UNIT
VALUE]] / EURtoGBP</f>
        <v>12.574506365179094</v>
      </c>
      <c r="O287" s="33">
        <f>quantInv[[#This Row],[UNIT
VALUE]]/USDtoGBP</f>
        <v>15.185686301120109</v>
      </c>
      <c r="P287" s="33">
        <f>quantInv[[#This Row],[UNIT
VALUE]] / CADtoGBP</f>
        <v>19.438551421958543</v>
      </c>
      <c r="Q287" s="33">
        <f>quantInv[[#This Row],[UNIT
VALUE]]/AUDtoGBP</f>
        <v>19.896723902579208</v>
      </c>
      <c r="R287">
        <f>IFERROR(VLOOKUP(quantInv[[#This Row],[Assigned Item SKU]],skuQuantity[#All],2,FALSE),0)</f>
        <v>0</v>
      </c>
      <c r="S287" t="str">
        <f>PROPER(quantInv[[#This Row],[Metal]] &amp; " " &amp; quantInv[[#This Row],[Item Type]])</f>
        <v>925 Silver Chain</v>
      </c>
      <c r="T287" s="33">
        <f>quantInv[[#This Row],[Quantity]]*quantInv[[#This Row],[WEIGHT]]</f>
        <v>0</v>
      </c>
      <c r="U287" s="33">
        <f>quantInv[[#This Row],[UNIT
VALUE]]*quantInv[[#This Row],[Quantity]]</f>
        <v>0</v>
      </c>
      <c r="V287" s="33">
        <f>quantInv[[#This Row],[Total Cost GBP]]/EURtoGBP</f>
        <v>0</v>
      </c>
      <c r="W287" s="33">
        <f>quantInv[[#This Row],[Total Cost GBP]]/USDtoGBP</f>
        <v>0</v>
      </c>
      <c r="X287" s="33">
        <f>quantInv[[#This Row],[Total Cost GBP]]/CADtoGBP</f>
        <v>0</v>
      </c>
      <c r="Y287" s="33">
        <f>quantInv[[#This Row],[Quantity]]*quantInv[[#This Row],[UNIT
VALUE AUD]]</f>
        <v>0</v>
      </c>
      <c r="Z287" s="33"/>
    </row>
    <row r="288" spans="1:26" x14ac:dyDescent="0.25">
      <c r="A288" t="s">
        <v>1132</v>
      </c>
      <c r="B288" t="s">
        <v>1133</v>
      </c>
      <c r="C288" t="s">
        <v>114</v>
      </c>
      <c r="D288" t="s">
        <v>2949</v>
      </c>
      <c r="E288">
        <v>4.0999999999999996</v>
      </c>
      <c r="F288" s="33">
        <v>5.1870000000000003</v>
      </c>
      <c r="G288" s="33" t="s">
        <v>117</v>
      </c>
      <c r="H288" t="s">
        <v>1414</v>
      </c>
      <c r="I288" t="str">
        <f>IF(quantInv[[#This Row],[Metal]] = "925 Silver",  "7113.11.00"," 7113.19.00")</f>
        <v>7113.11.00</v>
      </c>
      <c r="J288" t="str">
        <f>IF(quantInv[[#This Row],[Metal]] = "925 Silver", "7113.11.10.00"," 7113.19.10.00")</f>
        <v>7113.11.10.00</v>
      </c>
      <c r="K288" t="str">
        <f>IF(quantInv[[#This Row],[Metal]] = "925 Silver",  "7113.11.00"," 7113.19.00")</f>
        <v>7113.11.00</v>
      </c>
      <c r="L288" t="str">
        <f>IFERROR(VLOOKUP(quantInv[[#This Row],[Description for New Invoice]],Map!$G$12:$H$32,2,FALSE), IF(quantInv[[#This Row],[Metal]] = "925 Silver", "7113.11.10.00", "7113.19.29.00"))</f>
        <v>7113.11.10.00</v>
      </c>
      <c r="M288" t="str">
        <f>quantInv[[#This Row],[ASIN]] &amp; " " &amp; quantInv[[#This Row],[Short Description]]</f>
        <v>B078C7ZT6Z trace with beads chain  none  none  none 5 lines</v>
      </c>
      <c r="N288" s="33">
        <f>quantInv[[#This Row],[UNIT
VALUE]] / EURtoGBP</f>
        <v>5.8878616063067204</v>
      </c>
      <c r="O288" s="33">
        <f>quantInv[[#This Row],[UNIT
VALUE]]/USDtoGBP</f>
        <v>7.1105152553246622</v>
      </c>
      <c r="P288" s="33">
        <f>quantInv[[#This Row],[UNIT
VALUE]] / CADtoGBP</f>
        <v>9.1018682782255311</v>
      </c>
      <c r="Q288" s="33">
        <f>quantInv[[#This Row],[UNIT
VALUE]]/AUDtoGBP</f>
        <v>9.3164020403764631</v>
      </c>
      <c r="R288">
        <f>IFERROR(VLOOKUP(quantInv[[#This Row],[Assigned Item SKU]],skuQuantity[#All],2,FALSE),0)</f>
        <v>5</v>
      </c>
      <c r="S288" t="str">
        <f>PROPER(quantInv[[#This Row],[Metal]] &amp; " " &amp; quantInv[[#This Row],[Item Type]])</f>
        <v>925 Silver Bracelet</v>
      </c>
      <c r="T288" s="33">
        <f>quantInv[[#This Row],[Quantity]]*quantInv[[#This Row],[WEIGHT]]</f>
        <v>20.5</v>
      </c>
      <c r="U288" s="33">
        <f>quantInv[[#This Row],[UNIT
VALUE]]*quantInv[[#This Row],[Quantity]]</f>
        <v>25.935000000000002</v>
      </c>
      <c r="V288" s="33">
        <f>quantInv[[#This Row],[Total Cost GBP]]/EURtoGBP</f>
        <v>29.439308031533606</v>
      </c>
      <c r="W288" s="33">
        <f>quantInv[[#This Row],[Total Cost GBP]]/USDtoGBP</f>
        <v>35.552576276623313</v>
      </c>
      <c r="X288" s="33">
        <f>quantInv[[#This Row],[Total Cost GBP]]/CADtoGBP</f>
        <v>45.509341391127656</v>
      </c>
      <c r="Y288" s="33">
        <f>quantInv[[#This Row],[Quantity]]*quantInv[[#This Row],[UNIT
VALUE AUD]]</f>
        <v>46.582010201882312</v>
      </c>
      <c r="Z288" s="33"/>
    </row>
    <row r="289" spans="1:26" x14ac:dyDescent="0.25">
      <c r="A289" t="s">
        <v>1360</v>
      </c>
      <c r="B289" t="s">
        <v>1361</v>
      </c>
      <c r="C289" t="s">
        <v>114</v>
      </c>
      <c r="D289" t="s">
        <v>1359</v>
      </c>
      <c r="E289">
        <v>12.6</v>
      </c>
      <c r="F289" s="33">
        <v>13.242699999999999</v>
      </c>
      <c r="G289" s="33" t="s">
        <v>117</v>
      </c>
      <c r="H289" t="s">
        <v>1414</v>
      </c>
      <c r="I289" t="str">
        <f>IF(quantInv[[#This Row],[Metal]] = "925 Silver",  "7113.11.00"," 7113.19.00")</f>
        <v>7113.11.00</v>
      </c>
      <c r="J289" t="str">
        <f>IF(quantInv[[#This Row],[Metal]] = "925 Silver", "7113.11.10.00"," 7113.19.10.00")</f>
        <v>7113.11.10.00</v>
      </c>
      <c r="K289" t="str">
        <f>IF(quantInv[[#This Row],[Metal]] = "925 Silver",  "7113.11.00"," 7113.19.00")</f>
        <v>7113.11.00</v>
      </c>
      <c r="L289" t="str">
        <f>IFERROR(VLOOKUP(quantInv[[#This Row],[Description for New Invoice]],Map!$G$12:$H$32,2,FALSE), IF(quantInv[[#This Row],[Metal]] = "925 Silver", "7113.11.10.00", "7113.19.29.00"))</f>
        <v>7113.11.10.00</v>
      </c>
      <c r="M289" t="str">
        <f>quantInv[[#This Row],[ASIN]] &amp; " " &amp; quantInv[[#This Row],[Short Description]]</f>
        <v>B07T6ZCW3K Chain Bracelet - Super Flat Curb - Gauge 200 - Width 8 mm</v>
      </c>
      <c r="N289" s="33">
        <f>quantInv[[#This Row],[UNIT
VALUE]] / EURtoGBP</f>
        <v>15.032038730256025</v>
      </c>
      <c r="O289" s="33">
        <f>quantInv[[#This Row],[UNIT
VALUE]]/USDtoGBP</f>
        <v>18.153541617830708</v>
      </c>
      <c r="P289" s="33">
        <f>quantInv[[#This Row],[UNIT
VALUE]] / CADtoGBP</f>
        <v>23.237576835947024</v>
      </c>
      <c r="Q289" s="33">
        <f>quantInv[[#This Row],[UNIT
VALUE]]/AUDtoGBP</f>
        <v>23.785293483727276</v>
      </c>
      <c r="R289">
        <f>IFERROR(VLOOKUP(quantInv[[#This Row],[Assigned Item SKU]],skuQuantity[#All],2,FALSE),0)</f>
        <v>0</v>
      </c>
      <c r="S289" t="str">
        <f>PROPER(quantInv[[#This Row],[Metal]] &amp; " " &amp; quantInv[[#This Row],[Item Type]])</f>
        <v>925 Silver Bracelet</v>
      </c>
      <c r="T289" s="33">
        <f>quantInv[[#This Row],[Quantity]]*quantInv[[#This Row],[WEIGHT]]</f>
        <v>0</v>
      </c>
      <c r="U289" s="33">
        <f>quantInv[[#This Row],[UNIT
VALUE]]*quantInv[[#This Row],[Quantity]]</f>
        <v>0</v>
      </c>
      <c r="V289" s="33">
        <f>quantInv[[#This Row],[Total Cost GBP]]/EURtoGBP</f>
        <v>0</v>
      </c>
      <c r="W289" s="33">
        <f>quantInv[[#This Row],[Total Cost GBP]]/USDtoGBP</f>
        <v>0</v>
      </c>
      <c r="X289" s="33">
        <f>quantInv[[#This Row],[Total Cost GBP]]/CADtoGBP</f>
        <v>0</v>
      </c>
      <c r="Y289" s="33">
        <f>quantInv[[#This Row],[Quantity]]*quantInv[[#This Row],[UNIT
VALUE AUD]]</f>
        <v>0</v>
      </c>
      <c r="Z289" s="33"/>
    </row>
    <row r="290" spans="1:26" x14ac:dyDescent="0.25">
      <c r="A290" t="s">
        <v>1433</v>
      </c>
      <c r="B290" t="s">
        <v>1434</v>
      </c>
      <c r="C290" t="s">
        <v>114</v>
      </c>
      <c r="D290" t="s">
        <v>1435</v>
      </c>
      <c r="E290">
        <v>7.1</v>
      </c>
      <c r="F290" s="33">
        <v>7.0701000000000001</v>
      </c>
      <c r="G290" s="33" t="s">
        <v>117</v>
      </c>
      <c r="H290" t="s">
        <v>1414</v>
      </c>
      <c r="I290" t="str">
        <f>IF(quantInv[[#This Row],[Metal]] = "925 Silver",  "7113.11.00"," 7113.19.00")</f>
        <v>7113.11.00</v>
      </c>
      <c r="J290" t="str">
        <f>IF(quantInv[[#This Row],[Metal]] = "925 Silver", "7113.11.10.00"," 7113.19.10.00")</f>
        <v>7113.11.10.00</v>
      </c>
      <c r="K290" t="str">
        <f>IF(quantInv[[#This Row],[Metal]] = "925 Silver",  "7113.11.00"," 7113.19.00")</f>
        <v>7113.11.00</v>
      </c>
      <c r="L290" t="str">
        <f>IFERROR(VLOOKUP(quantInv[[#This Row],[Description for New Invoice]],Map!$G$12:$H$32,2,FALSE), IF(quantInv[[#This Row],[Metal]] = "925 Silver", "7113.11.10.00", "7113.19.29.00"))</f>
        <v>7113.11.10.00</v>
      </c>
      <c r="M290" t="str">
        <f>quantInv[[#This Row],[ASIN]] &amp; " " &amp; quantInv[[#This Row],[Short Description]]</f>
        <v>B07WP5VZDF Silver Bracelet - Hollow - Thick and Heavy - Oval Patterned Wire</v>
      </c>
      <c r="N290" s="33">
        <f>quantInv[[#This Row],[UNIT
VALUE]] / EURtoGBP</f>
        <v>8.025403960429756</v>
      </c>
      <c r="O290" s="33">
        <f>quantInv[[#This Row],[UNIT
VALUE]]/USDtoGBP</f>
        <v>9.6919325056238463</v>
      </c>
      <c r="P290" s="33">
        <f>quantInv[[#This Row],[UNIT
VALUE]] / CADtoGBP</f>
        <v>12.40623075262817</v>
      </c>
      <c r="Q290" s="33">
        <f>quantInv[[#This Row],[UNIT
VALUE]]/AUDtoGBP</f>
        <v>12.698649328256339</v>
      </c>
      <c r="R290">
        <f>IFERROR(VLOOKUP(quantInv[[#This Row],[Assigned Item SKU]],skuQuantity[#All],2,FALSE),0)</f>
        <v>5</v>
      </c>
      <c r="S290" t="str">
        <f>PROPER(quantInv[[#This Row],[Metal]] &amp; " " &amp; quantInv[[#This Row],[Item Type]])</f>
        <v>925 Silver Bracelet</v>
      </c>
      <c r="T290" s="33">
        <f>quantInv[[#This Row],[Quantity]]*quantInv[[#This Row],[WEIGHT]]</f>
        <v>35.5</v>
      </c>
      <c r="U290" s="33">
        <f>quantInv[[#This Row],[UNIT
VALUE]]*quantInv[[#This Row],[Quantity]]</f>
        <v>35.350499999999997</v>
      </c>
      <c r="V290" s="33">
        <f>quantInv[[#This Row],[Total Cost GBP]]/EURtoGBP</f>
        <v>40.127019802148773</v>
      </c>
      <c r="W290" s="33">
        <f>quantInv[[#This Row],[Total Cost GBP]]/USDtoGBP</f>
        <v>48.459662528119225</v>
      </c>
      <c r="X290" s="33">
        <f>quantInv[[#This Row],[Total Cost GBP]]/CADtoGBP</f>
        <v>62.03115376314085</v>
      </c>
      <c r="Y290" s="33">
        <f>quantInv[[#This Row],[Quantity]]*quantInv[[#This Row],[UNIT
VALUE AUD]]</f>
        <v>63.493246641281694</v>
      </c>
      <c r="Z290" s="33"/>
    </row>
    <row r="291" spans="1:26" x14ac:dyDescent="0.25">
      <c r="A291" t="s">
        <v>1469</v>
      </c>
      <c r="B291" t="s">
        <v>1470</v>
      </c>
      <c r="C291" t="s">
        <v>115</v>
      </c>
      <c r="D291" t="s">
        <v>1471</v>
      </c>
      <c r="E291">
        <v>0.9</v>
      </c>
      <c r="F291" s="33">
        <v>2.5486</v>
      </c>
      <c r="G291" s="33" t="s">
        <v>117</v>
      </c>
      <c r="H291" t="s">
        <v>1310</v>
      </c>
      <c r="I291" t="str">
        <f>IF(quantInv[[#This Row],[Metal]] = "925 Silver",  "7113.11.00"," 7113.19.00")</f>
        <v>7113.11.00</v>
      </c>
      <c r="J291" t="str">
        <f>IF(quantInv[[#This Row],[Metal]] = "925 Silver", "7113.11.10.00"," 7113.19.10.00")</f>
        <v>7113.11.10.00</v>
      </c>
      <c r="K291" t="str">
        <f>IF(quantInv[[#This Row],[Metal]] = "925 Silver",  "7113.11.00"," 7113.19.00")</f>
        <v>7113.11.00</v>
      </c>
      <c r="L291" t="str">
        <f>IFERROR(VLOOKUP(quantInv[[#This Row],[Description for New Invoice]],Map!$G$12:$H$32,2,FALSE), IF(quantInv[[#This Row],[Metal]] = "925 Silver", "7113.11.10.00", "7113.19.29.00"))</f>
        <v>7113.11.50.00</v>
      </c>
      <c r="M291" t="str">
        <f>quantInv[[#This Row],[ASIN]] &amp; " " &amp; quantInv[[#This Row],[Short Description]]</f>
        <v>B07Z56N8H6 Earrings - Crawler - Wavy Vine Line</v>
      </c>
      <c r="N291" s="33">
        <f>quantInv[[#This Row],[UNIT
VALUE]] / EURtoGBP</f>
        <v>2.8929639656513029</v>
      </c>
      <c r="O291" s="33">
        <f>quantInv[[#This Row],[UNIT
VALUE]]/USDtoGBP</f>
        <v>3.4937071871448682</v>
      </c>
      <c r="P291" s="33">
        <f>quantInv[[#This Row],[UNIT
VALUE]] / CADtoGBP</f>
        <v>4.4721460369935579</v>
      </c>
      <c r="Q291" s="33">
        <f>quantInv[[#This Row],[UNIT
VALUE]]/AUDtoGBP</f>
        <v>4.5775558588979086</v>
      </c>
      <c r="R291">
        <f>IFERROR(VLOOKUP(quantInv[[#This Row],[Assigned Item SKU]],skuQuantity[#All],2,FALSE),0)</f>
        <v>0</v>
      </c>
      <c r="S291" t="str">
        <f>PROPER(quantInv[[#This Row],[Metal]] &amp; " " &amp; quantInv[[#This Row],[Item Type]])</f>
        <v>925 Silver Earrings</v>
      </c>
      <c r="T291" s="33">
        <f>quantInv[[#This Row],[Quantity]]*quantInv[[#This Row],[WEIGHT]]</f>
        <v>0</v>
      </c>
      <c r="U291" s="33">
        <f>quantInv[[#This Row],[UNIT
VALUE]]*quantInv[[#This Row],[Quantity]]</f>
        <v>0</v>
      </c>
      <c r="V291" s="33">
        <f>quantInv[[#This Row],[Total Cost GBP]]/EURtoGBP</f>
        <v>0</v>
      </c>
      <c r="W291" s="33">
        <f>quantInv[[#This Row],[Total Cost GBP]]/USDtoGBP</f>
        <v>0</v>
      </c>
      <c r="X291" s="33">
        <f>quantInv[[#This Row],[Total Cost GBP]]/CADtoGBP</f>
        <v>0</v>
      </c>
      <c r="Y291" s="33">
        <f>quantInv[[#This Row],[Quantity]]*quantInv[[#This Row],[UNIT
VALUE AUD]]</f>
        <v>0</v>
      </c>
      <c r="Z291" s="33"/>
    </row>
    <row r="292" spans="1:26" x14ac:dyDescent="0.25">
      <c r="A292" t="s">
        <v>1868</v>
      </c>
      <c r="B292" t="s">
        <v>1869</v>
      </c>
      <c r="C292" t="s">
        <v>115</v>
      </c>
      <c r="D292" t="s">
        <v>1870</v>
      </c>
      <c r="E292">
        <v>1.63</v>
      </c>
      <c r="F292" s="33">
        <v>3.9683000000000002</v>
      </c>
      <c r="G292" s="33" t="s">
        <v>117</v>
      </c>
      <c r="H292" t="s">
        <v>3302</v>
      </c>
      <c r="I292" t="str">
        <f>IF(quantInv[[#This Row],[Metal]] = "925 Silver",  "7113.11.00"," 7113.19.00")</f>
        <v>7113.11.00</v>
      </c>
      <c r="J292" t="str">
        <f>IF(quantInv[[#This Row],[Metal]] = "925 Silver", "7113.11.10.00"," 7113.19.10.00")</f>
        <v>7113.11.10.00</v>
      </c>
      <c r="K292" t="str">
        <f>IF(quantInv[[#This Row],[Metal]] = "925 Silver",  "7113.11.00"," 7113.19.00")</f>
        <v>7113.11.00</v>
      </c>
      <c r="L292" t="str">
        <f>IFERROR(VLOOKUP(quantInv[[#This Row],[Description for New Invoice]],Map!$G$12:$H$32,2,FALSE), IF(quantInv[[#This Row],[Metal]] = "925 Silver", "7113.11.10.00", "7113.19.29.00"))</f>
        <v>7113.11.50.00</v>
      </c>
      <c r="M292" t="str">
        <f>quantInv[[#This Row],[ASIN]] &amp; " " &amp; quantInv[[#This Row],[Short Description]]</f>
        <v>B08C33X17L Ring with CZ - N</v>
      </c>
      <c r="N292" s="33">
        <f>quantInv[[#This Row],[UNIT
VALUE]] / EURtoGBP</f>
        <v>4.5044922329490955</v>
      </c>
      <c r="O292" s="33">
        <f>quantInv[[#This Row],[UNIT
VALUE]]/USDtoGBP</f>
        <v>5.4398800246201766</v>
      </c>
      <c r="P292" s="33">
        <f>quantInv[[#This Row],[UNIT
VALUE]] / CADtoGBP</f>
        <v>6.9633591456491946</v>
      </c>
      <c r="Q292" s="33">
        <f>quantInv[[#This Row],[UNIT
VALUE]]/AUDtoGBP</f>
        <v>7.1274876068683097</v>
      </c>
      <c r="R292">
        <f>IFERROR(VLOOKUP(quantInv[[#This Row],[Assigned Item SKU]],skuQuantity[#All],2,FALSE),0)</f>
        <v>5</v>
      </c>
      <c r="S292" t="str">
        <f>PROPER(quantInv[[#This Row],[Metal]] &amp; " " &amp; quantInv[[#This Row],[Item Type]])</f>
        <v>925 Silver Ring</v>
      </c>
      <c r="T292" s="33">
        <f>quantInv[[#This Row],[Quantity]]*quantInv[[#This Row],[WEIGHT]]</f>
        <v>8.1499999999999986</v>
      </c>
      <c r="U292" s="33">
        <f>quantInv[[#This Row],[UNIT
VALUE]]*quantInv[[#This Row],[Quantity]]</f>
        <v>19.8415</v>
      </c>
      <c r="V292" s="33">
        <f>quantInv[[#This Row],[Total Cost GBP]]/EURtoGBP</f>
        <v>22.522461164745479</v>
      </c>
      <c r="W292" s="33">
        <f>quantInv[[#This Row],[Total Cost GBP]]/USDtoGBP</f>
        <v>27.19940012310088</v>
      </c>
      <c r="X292" s="33">
        <f>quantInv[[#This Row],[Total Cost GBP]]/CADtoGBP</f>
        <v>34.816795728245971</v>
      </c>
      <c r="Y292" s="33">
        <f>quantInv[[#This Row],[Quantity]]*quantInv[[#This Row],[UNIT
VALUE AUD]]</f>
        <v>35.63743803434155</v>
      </c>
      <c r="Z292" s="33"/>
    </row>
    <row r="293" spans="1:26" x14ac:dyDescent="0.25">
      <c r="A293" t="s">
        <v>1871</v>
      </c>
      <c r="B293" t="s">
        <v>1872</v>
      </c>
      <c r="C293" t="s">
        <v>115</v>
      </c>
      <c r="D293" t="s">
        <v>1873</v>
      </c>
      <c r="E293">
        <v>1.64</v>
      </c>
      <c r="F293" s="33">
        <v>3.9683000000000002</v>
      </c>
      <c r="G293" s="33" t="s">
        <v>117</v>
      </c>
      <c r="H293" t="s">
        <v>3302</v>
      </c>
      <c r="I293" t="str">
        <f>IF(quantInv[[#This Row],[Metal]] = "925 Silver",  "7113.11.00"," 7113.19.00")</f>
        <v>7113.11.00</v>
      </c>
      <c r="J293" t="str">
        <f>IF(quantInv[[#This Row],[Metal]] = "925 Silver", "7113.11.10.00"," 7113.19.10.00")</f>
        <v>7113.11.10.00</v>
      </c>
      <c r="K293" t="str">
        <f>IF(quantInv[[#This Row],[Metal]] = "925 Silver",  "7113.11.00"," 7113.19.00")</f>
        <v>7113.11.00</v>
      </c>
      <c r="L293" t="str">
        <f>IFERROR(VLOOKUP(quantInv[[#This Row],[Description for New Invoice]],Map!$G$12:$H$32,2,FALSE), IF(quantInv[[#This Row],[Metal]] = "925 Silver", "7113.11.10.00", "7113.19.29.00"))</f>
        <v>7113.11.50.00</v>
      </c>
      <c r="M293" t="str">
        <f>quantInv[[#This Row],[ASIN]] &amp; " " &amp; quantInv[[#This Row],[Short Description]]</f>
        <v>B08C3661GY Ring with CZ - O</v>
      </c>
      <c r="N293" s="33">
        <f>quantInv[[#This Row],[UNIT
VALUE]] / EURtoGBP</f>
        <v>4.5044922329490955</v>
      </c>
      <c r="O293" s="33">
        <f>quantInv[[#This Row],[UNIT
VALUE]]/USDtoGBP</f>
        <v>5.4398800246201766</v>
      </c>
      <c r="P293" s="33">
        <f>quantInv[[#This Row],[UNIT
VALUE]] / CADtoGBP</f>
        <v>6.9633591456491946</v>
      </c>
      <c r="Q293" s="33">
        <f>quantInv[[#This Row],[UNIT
VALUE]]/AUDtoGBP</f>
        <v>7.1274876068683097</v>
      </c>
      <c r="R293">
        <f>IFERROR(VLOOKUP(quantInv[[#This Row],[Assigned Item SKU]],skuQuantity[#All],2,FALSE),0)</f>
        <v>0</v>
      </c>
      <c r="S293" t="str">
        <f>PROPER(quantInv[[#This Row],[Metal]] &amp; " " &amp; quantInv[[#This Row],[Item Type]])</f>
        <v>925 Silver Ring</v>
      </c>
      <c r="T293" s="33">
        <f>quantInv[[#This Row],[Quantity]]*quantInv[[#This Row],[WEIGHT]]</f>
        <v>0</v>
      </c>
      <c r="U293" s="33">
        <f>quantInv[[#This Row],[UNIT
VALUE]]*quantInv[[#This Row],[Quantity]]</f>
        <v>0</v>
      </c>
      <c r="V293" s="33">
        <f>quantInv[[#This Row],[Total Cost GBP]]/EURtoGBP</f>
        <v>0</v>
      </c>
      <c r="W293" s="33">
        <f>quantInv[[#This Row],[Total Cost GBP]]/USDtoGBP</f>
        <v>0</v>
      </c>
      <c r="X293" s="33">
        <f>quantInv[[#This Row],[Total Cost GBP]]/CADtoGBP</f>
        <v>0</v>
      </c>
      <c r="Y293" s="33">
        <f>quantInv[[#This Row],[Quantity]]*quantInv[[#This Row],[UNIT
VALUE AUD]]</f>
        <v>0</v>
      </c>
      <c r="Z293" s="33"/>
    </row>
    <row r="294" spans="1:26" x14ac:dyDescent="0.25">
      <c r="A294" t="s">
        <v>90</v>
      </c>
      <c r="B294" t="s">
        <v>706</v>
      </c>
      <c r="C294" t="s">
        <v>113</v>
      </c>
      <c r="D294" t="s">
        <v>707</v>
      </c>
      <c r="E294">
        <v>1.2</v>
      </c>
      <c r="F294" s="33">
        <v>2.0503999999999998</v>
      </c>
      <c r="G294" s="33" t="s">
        <v>117</v>
      </c>
      <c r="H294" t="s">
        <v>1310</v>
      </c>
      <c r="I294" t="str">
        <f>IF(quantInv[[#This Row],[Metal]] = "925 Silver",  "7113.11.00"," 7113.19.00")</f>
        <v>7113.11.00</v>
      </c>
      <c r="J294" t="str">
        <f>IF(quantInv[[#This Row],[Metal]] = "925 Silver", "7113.11.10.00"," 7113.19.10.00")</f>
        <v>7113.11.10.00</v>
      </c>
      <c r="K294" t="str">
        <f>IF(quantInv[[#This Row],[Metal]] = "925 Silver",  "7113.11.00"," 7113.19.00")</f>
        <v>7113.11.00</v>
      </c>
      <c r="L294" t="str">
        <f>IFERROR(VLOOKUP(quantInv[[#This Row],[Description for New Invoice]],Map!$G$12:$H$32,2,FALSE), IF(quantInv[[#This Row],[Metal]] = "925 Silver", "7113.11.10.00", "7113.19.29.00"))</f>
        <v>7113.11.50.00</v>
      </c>
      <c r="M294" t="str">
        <f>quantInv[[#This Row],[ASIN]] &amp; " " &amp; quantInv[[#This Row],[Short Description]]</f>
        <v>B077MCX3VZ Hinged Hoop Earrings</v>
      </c>
      <c r="N294" s="33">
        <f>quantInv[[#This Row],[UNIT
VALUE]] / EURtoGBP</f>
        <v>2.327447741964777</v>
      </c>
      <c r="O294" s="33">
        <f>quantInv[[#This Row],[UNIT
VALUE]]/USDtoGBP</f>
        <v>2.8107577558352967</v>
      </c>
      <c r="P294" s="33">
        <f>quantInv[[#This Row],[UNIT
VALUE]] / CADtoGBP</f>
        <v>3.5979315052387939</v>
      </c>
      <c r="Q294" s="33">
        <f>quantInv[[#This Row],[UNIT
VALUE]]/AUDtoGBP</f>
        <v>3.6827358287233274</v>
      </c>
      <c r="R294">
        <f>IFERROR(VLOOKUP(quantInv[[#This Row],[Assigned Item SKU]],skuQuantity[#All],2,FALSE),0)</f>
        <v>0</v>
      </c>
      <c r="S294" t="str">
        <f>PROPER(quantInv[[#This Row],[Metal]] &amp; " " &amp; quantInv[[#This Row],[Item Type]])</f>
        <v>925 Silver Earrings</v>
      </c>
      <c r="T294" s="33">
        <f>quantInv[[#This Row],[Quantity]]*quantInv[[#This Row],[WEIGHT]]</f>
        <v>0</v>
      </c>
      <c r="U294" s="33">
        <f>quantInv[[#This Row],[UNIT
VALUE]]*quantInv[[#This Row],[Quantity]]</f>
        <v>0</v>
      </c>
      <c r="V294" s="33">
        <f>quantInv[[#This Row],[Total Cost GBP]]/EURtoGBP</f>
        <v>0</v>
      </c>
      <c r="W294" s="33">
        <f>quantInv[[#This Row],[Total Cost GBP]]/USDtoGBP</f>
        <v>0</v>
      </c>
      <c r="X294" s="33">
        <f>quantInv[[#This Row],[Total Cost GBP]]/CADtoGBP</f>
        <v>0</v>
      </c>
      <c r="Y294" s="33">
        <f>quantInv[[#This Row],[Quantity]]*quantInv[[#This Row],[UNIT
VALUE AUD]]</f>
        <v>0</v>
      </c>
      <c r="Z294" s="33"/>
    </row>
    <row r="295" spans="1:26" x14ac:dyDescent="0.25">
      <c r="A295" t="s">
        <v>1892</v>
      </c>
      <c r="B295" t="s">
        <v>1893</v>
      </c>
      <c r="C295" t="s">
        <v>115</v>
      </c>
      <c r="D295" t="s">
        <v>1894</v>
      </c>
      <c r="E295">
        <v>1.05</v>
      </c>
      <c r="F295" s="33">
        <v>2.7757999999999998</v>
      </c>
      <c r="G295" s="33" t="s">
        <v>117</v>
      </c>
      <c r="H295" t="s">
        <v>1451</v>
      </c>
      <c r="I295" t="str">
        <f>IF(quantInv[[#This Row],[Metal]] = "925 Silver",  "7113.11.00"," 7113.19.00")</f>
        <v>7113.11.00</v>
      </c>
      <c r="J295" t="str">
        <f>IF(quantInv[[#This Row],[Metal]] = "925 Silver", "7113.11.10.00"," 7113.19.10.00")</f>
        <v>7113.11.10.00</v>
      </c>
      <c r="K295" t="str">
        <f>IF(quantInv[[#This Row],[Metal]] = "925 Silver",  "7113.11.00"," 7113.19.00")</f>
        <v>7113.11.00</v>
      </c>
      <c r="L295" t="str">
        <f>IFERROR(VLOOKUP(quantInv[[#This Row],[Description for New Invoice]],Map!$G$12:$H$32,2,FALSE), IF(quantInv[[#This Row],[Metal]] = "925 Silver", "7113.11.10.00", "7113.19.29.00"))</f>
        <v>7113.11.50.00</v>
      </c>
      <c r="M295" t="str">
        <f>quantInv[[#This Row],[ASIN]] &amp; " " &amp; quantInv[[#This Row],[Short Description]]</f>
        <v>B091FRLRDB Pendant - Stars - David Star</v>
      </c>
      <c r="N295" s="33">
        <f>quantInv[[#This Row],[UNIT
VALUE]] / EURtoGBP</f>
        <v>3.1508629741249652</v>
      </c>
      <c r="O295" s="33">
        <f>quantInv[[#This Row],[UNIT
VALUE]]/USDtoGBP</f>
        <v>3.8051606411664149</v>
      </c>
      <c r="P295" s="33">
        <f>quantInv[[#This Row],[UNIT
VALUE]] / CADtoGBP</f>
        <v>4.8708243621936429</v>
      </c>
      <c r="Q295" s="33">
        <f>quantInv[[#This Row],[UNIT
VALUE]]/AUDtoGBP</f>
        <v>4.9856311516631937</v>
      </c>
      <c r="R295">
        <f>IFERROR(VLOOKUP(quantInv[[#This Row],[Assigned Item SKU]],skuQuantity[#All],2,FALSE),0)</f>
        <v>0</v>
      </c>
      <c r="S295" t="str">
        <f>PROPER(quantInv[[#This Row],[Metal]] &amp; " " &amp; quantInv[[#This Row],[Item Type]])</f>
        <v>925 Silver Pendant</v>
      </c>
      <c r="T295" s="33">
        <f>quantInv[[#This Row],[Quantity]]*quantInv[[#This Row],[WEIGHT]]</f>
        <v>0</v>
      </c>
      <c r="U295" s="33">
        <f>quantInv[[#This Row],[UNIT
VALUE]]*quantInv[[#This Row],[Quantity]]</f>
        <v>0</v>
      </c>
      <c r="V295" s="33">
        <f>quantInv[[#This Row],[Total Cost GBP]]/EURtoGBP</f>
        <v>0</v>
      </c>
      <c r="W295" s="33">
        <f>quantInv[[#This Row],[Total Cost GBP]]/USDtoGBP</f>
        <v>0</v>
      </c>
      <c r="X295" s="33">
        <f>quantInv[[#This Row],[Total Cost GBP]]/CADtoGBP</f>
        <v>0</v>
      </c>
      <c r="Y295" s="33">
        <f>quantInv[[#This Row],[Quantity]]*quantInv[[#This Row],[UNIT
VALUE AUD]]</f>
        <v>0</v>
      </c>
      <c r="Z295" s="33"/>
    </row>
    <row r="296" spans="1:26" x14ac:dyDescent="0.25">
      <c r="A296" t="s">
        <v>709</v>
      </c>
      <c r="B296" t="s">
        <v>710</v>
      </c>
      <c r="C296" t="s">
        <v>113</v>
      </c>
      <c r="D296" t="s">
        <v>707</v>
      </c>
      <c r="E296">
        <v>9.5</v>
      </c>
      <c r="F296" s="33">
        <v>14.6152</v>
      </c>
      <c r="G296" s="33" t="s">
        <v>117</v>
      </c>
      <c r="H296" t="s">
        <v>1310</v>
      </c>
      <c r="I296" t="str">
        <f>IF(quantInv[[#This Row],[Metal]] = "925 Silver",  "7113.11.00"," 7113.19.00")</f>
        <v>7113.11.00</v>
      </c>
      <c r="J296" t="str">
        <f>IF(quantInv[[#This Row],[Metal]] = "925 Silver", "7113.11.10.00"," 7113.19.10.00")</f>
        <v>7113.11.10.00</v>
      </c>
      <c r="K296" t="str">
        <f>IF(quantInv[[#This Row],[Metal]] = "925 Silver",  "7113.11.00"," 7113.19.00")</f>
        <v>7113.11.00</v>
      </c>
      <c r="L296" t="str">
        <f>IFERROR(VLOOKUP(quantInv[[#This Row],[Description for New Invoice]],Map!$G$12:$H$32,2,FALSE), IF(quantInv[[#This Row],[Metal]] = "925 Silver", "7113.11.10.00", "7113.19.29.00"))</f>
        <v>7113.11.50.00</v>
      </c>
      <c r="M296" t="str">
        <f>quantInv[[#This Row],[ASIN]] &amp; " " &amp; quantInv[[#This Row],[Short Description]]</f>
        <v>B077MFPNPY Hinged Hoop Earrings</v>
      </c>
      <c r="N296" s="33">
        <f>quantInv[[#This Row],[UNIT
VALUE]] / EURtoGBP</f>
        <v>16.589989386638514</v>
      </c>
      <c r="O296" s="33">
        <f>quantInv[[#This Row],[UNIT
VALUE]]/USDtoGBP</f>
        <v>20.035011096900135</v>
      </c>
      <c r="P296" s="33">
        <f>quantInv[[#This Row],[UNIT
VALUE]] / CADtoGBP</f>
        <v>25.645965926339265</v>
      </c>
      <c r="Q296" s="33">
        <f>quantInv[[#This Row],[UNIT
VALUE]]/AUDtoGBP</f>
        <v>26.250449026510523</v>
      </c>
      <c r="R296">
        <f>IFERROR(VLOOKUP(quantInv[[#This Row],[Assigned Item SKU]],skuQuantity[#All],2,FALSE),0)</f>
        <v>0</v>
      </c>
      <c r="S296" t="str">
        <f>PROPER(quantInv[[#This Row],[Metal]] &amp; " " &amp; quantInv[[#This Row],[Item Type]])</f>
        <v>925 Silver Earrings</v>
      </c>
      <c r="T296" s="33">
        <f>quantInv[[#This Row],[Quantity]]*quantInv[[#This Row],[WEIGHT]]</f>
        <v>0</v>
      </c>
      <c r="U296" s="33">
        <f>quantInv[[#This Row],[UNIT
VALUE]]*quantInv[[#This Row],[Quantity]]</f>
        <v>0</v>
      </c>
      <c r="V296" s="33">
        <f>quantInv[[#This Row],[Total Cost GBP]]/EURtoGBP</f>
        <v>0</v>
      </c>
      <c r="W296" s="33">
        <f>quantInv[[#This Row],[Total Cost GBP]]/USDtoGBP</f>
        <v>0</v>
      </c>
      <c r="X296" s="33">
        <f>quantInv[[#This Row],[Total Cost GBP]]/CADtoGBP</f>
        <v>0</v>
      </c>
      <c r="Y296" s="33">
        <f>quantInv[[#This Row],[Quantity]]*quantInv[[#This Row],[UNIT
VALUE AUD]]</f>
        <v>0</v>
      </c>
      <c r="Z296" s="33"/>
    </row>
    <row r="297" spans="1:26" x14ac:dyDescent="0.25">
      <c r="A297" t="s">
        <v>711</v>
      </c>
      <c r="B297" t="s">
        <v>712</v>
      </c>
      <c r="C297" t="s">
        <v>113</v>
      </c>
      <c r="D297" t="s">
        <v>707</v>
      </c>
      <c r="E297">
        <v>14</v>
      </c>
      <c r="F297" s="33">
        <v>21.116700000000002</v>
      </c>
      <c r="G297" s="33" t="s">
        <v>117</v>
      </c>
      <c r="H297" t="s">
        <v>1310</v>
      </c>
      <c r="I297" t="str">
        <f>IF(quantInv[[#This Row],[Metal]] = "925 Silver",  "7113.11.00"," 7113.19.00")</f>
        <v>7113.11.00</v>
      </c>
      <c r="J297" t="str">
        <f>IF(quantInv[[#This Row],[Metal]] = "925 Silver", "7113.11.10.00"," 7113.19.10.00")</f>
        <v>7113.11.10.00</v>
      </c>
      <c r="K297" t="str">
        <f>IF(quantInv[[#This Row],[Metal]] = "925 Silver",  "7113.11.00"," 7113.19.00")</f>
        <v>7113.11.00</v>
      </c>
      <c r="L297" t="str">
        <f>IFERROR(VLOOKUP(quantInv[[#This Row],[Description for New Invoice]],Map!$G$12:$H$32,2,FALSE), IF(quantInv[[#This Row],[Metal]] = "925 Silver", "7113.11.10.00", "7113.19.29.00"))</f>
        <v>7113.11.50.00</v>
      </c>
      <c r="M297" t="str">
        <f>quantInv[[#This Row],[ASIN]] &amp; " " &amp; quantInv[[#This Row],[Short Description]]</f>
        <v>B077MD1JGX Hinged Hoop Earrings</v>
      </c>
      <c r="N297" s="33">
        <f>quantInv[[#This Row],[UNIT
VALUE]] / EURtoGBP</f>
        <v>23.969964754558923</v>
      </c>
      <c r="O297" s="33">
        <f>quantInv[[#This Row],[UNIT
VALUE]]/USDtoGBP</f>
        <v>28.947487467151397</v>
      </c>
      <c r="P297" s="33">
        <f>quantInv[[#This Row],[UNIT
VALUE]] / CADtoGBP</f>
        <v>37.054448018277434</v>
      </c>
      <c r="Q297" s="33">
        <f>quantInv[[#This Row],[UNIT
VALUE]]/AUDtoGBP</f>
        <v>37.927832459228391</v>
      </c>
      <c r="R297">
        <f>IFERROR(VLOOKUP(quantInv[[#This Row],[Assigned Item SKU]],skuQuantity[#All],2,FALSE),0)</f>
        <v>0</v>
      </c>
      <c r="S297" t="str">
        <f>PROPER(quantInv[[#This Row],[Metal]] &amp; " " &amp; quantInv[[#This Row],[Item Type]])</f>
        <v>925 Silver Earrings</v>
      </c>
      <c r="T297" s="33">
        <f>quantInv[[#This Row],[Quantity]]*quantInv[[#This Row],[WEIGHT]]</f>
        <v>0</v>
      </c>
      <c r="U297" s="33">
        <f>quantInv[[#This Row],[UNIT
VALUE]]*quantInv[[#This Row],[Quantity]]</f>
        <v>0</v>
      </c>
      <c r="V297" s="33">
        <f>quantInv[[#This Row],[Total Cost GBP]]/EURtoGBP</f>
        <v>0</v>
      </c>
      <c r="W297" s="33">
        <f>quantInv[[#This Row],[Total Cost GBP]]/USDtoGBP</f>
        <v>0</v>
      </c>
      <c r="X297" s="33">
        <f>quantInv[[#This Row],[Total Cost GBP]]/CADtoGBP</f>
        <v>0</v>
      </c>
      <c r="Y297" s="33">
        <f>quantInv[[#This Row],[Quantity]]*quantInv[[#This Row],[UNIT
VALUE AUD]]</f>
        <v>0</v>
      </c>
      <c r="Z297" s="33"/>
    </row>
    <row r="298" spans="1:26" x14ac:dyDescent="0.25">
      <c r="A298" t="s">
        <v>713</v>
      </c>
      <c r="B298" t="s">
        <v>714</v>
      </c>
      <c r="C298" t="s">
        <v>113</v>
      </c>
      <c r="D298" t="s">
        <v>707</v>
      </c>
      <c r="E298">
        <v>1.2</v>
      </c>
      <c r="F298" s="33">
        <v>2.0609000000000002</v>
      </c>
      <c r="G298" s="33" t="s">
        <v>117</v>
      </c>
      <c r="H298" t="s">
        <v>1310</v>
      </c>
      <c r="I298" t="str">
        <f>IF(quantInv[[#This Row],[Metal]] = "925 Silver",  "7113.11.00"," 7113.19.00")</f>
        <v>7113.11.00</v>
      </c>
      <c r="J298" t="str">
        <f>IF(quantInv[[#This Row],[Metal]] = "925 Silver", "7113.11.10.00"," 7113.19.10.00")</f>
        <v>7113.11.10.00</v>
      </c>
      <c r="K298" t="str">
        <f>IF(quantInv[[#This Row],[Metal]] = "925 Silver",  "7113.11.00"," 7113.19.00")</f>
        <v>7113.11.00</v>
      </c>
      <c r="L298" t="str">
        <f>IFERROR(VLOOKUP(quantInv[[#This Row],[Description for New Invoice]],Map!$G$12:$H$32,2,FALSE), IF(quantInv[[#This Row],[Metal]] = "925 Silver", "7113.11.10.00", "7113.19.29.00"))</f>
        <v>7113.11.50.00</v>
      </c>
      <c r="M298" t="str">
        <f>quantInv[[#This Row],[ASIN]] &amp; " " &amp; quantInv[[#This Row],[Short Description]]</f>
        <v>B077MLRTD5 Hinged Hoop Earrings</v>
      </c>
      <c r="N298" s="33">
        <f>quantInv[[#This Row],[UNIT
VALUE]] / EURtoGBP</f>
        <v>2.3393664901556819</v>
      </c>
      <c r="O298" s="33">
        <f>quantInv[[#This Row],[UNIT
VALUE]]/USDtoGBP</f>
        <v>2.8251515114128778</v>
      </c>
      <c r="P298" s="33">
        <f>quantInv[[#This Row],[UNIT
VALUE]] / CADtoGBP</f>
        <v>3.6163563398101015</v>
      </c>
      <c r="Q298" s="33">
        <f>quantInv[[#This Row],[UNIT
VALUE]]/AUDtoGBP</f>
        <v>3.7015949421653858</v>
      </c>
      <c r="R298">
        <f>IFERROR(VLOOKUP(quantInv[[#This Row],[Assigned Item SKU]],skuQuantity[#All],2,FALSE),0)</f>
        <v>0</v>
      </c>
      <c r="S298" t="str">
        <f>PROPER(quantInv[[#This Row],[Metal]] &amp; " " &amp; quantInv[[#This Row],[Item Type]])</f>
        <v>925 Silver Earrings</v>
      </c>
      <c r="T298" s="33">
        <f>quantInv[[#This Row],[Quantity]]*quantInv[[#This Row],[WEIGHT]]</f>
        <v>0</v>
      </c>
      <c r="U298" s="33">
        <f>quantInv[[#This Row],[UNIT
VALUE]]*quantInv[[#This Row],[Quantity]]</f>
        <v>0</v>
      </c>
      <c r="V298" s="33">
        <f>quantInv[[#This Row],[Total Cost GBP]]/EURtoGBP</f>
        <v>0</v>
      </c>
      <c r="W298" s="33">
        <f>quantInv[[#This Row],[Total Cost GBP]]/USDtoGBP</f>
        <v>0</v>
      </c>
      <c r="X298" s="33">
        <f>quantInv[[#This Row],[Total Cost GBP]]/CADtoGBP</f>
        <v>0</v>
      </c>
      <c r="Y298" s="33">
        <f>quantInv[[#This Row],[Quantity]]*quantInv[[#This Row],[UNIT
VALUE AUD]]</f>
        <v>0</v>
      </c>
      <c r="Z298" s="33"/>
    </row>
    <row r="299" spans="1:26" x14ac:dyDescent="0.25">
      <c r="A299" t="s">
        <v>715</v>
      </c>
      <c r="B299" t="s">
        <v>716</v>
      </c>
      <c r="C299" t="s">
        <v>113</v>
      </c>
      <c r="D299" t="s">
        <v>707</v>
      </c>
      <c r="E299">
        <v>2.5</v>
      </c>
      <c r="F299" s="33">
        <v>3.9779</v>
      </c>
      <c r="G299" s="33" t="s">
        <v>117</v>
      </c>
      <c r="H299" t="s">
        <v>1310</v>
      </c>
      <c r="I299" t="str">
        <f>IF(quantInv[[#This Row],[Metal]] = "925 Silver",  "7113.11.00"," 7113.19.00")</f>
        <v>7113.11.00</v>
      </c>
      <c r="J299" t="str">
        <f>IF(quantInv[[#This Row],[Metal]] = "925 Silver", "7113.11.10.00"," 7113.19.10.00")</f>
        <v>7113.11.10.00</v>
      </c>
      <c r="K299" t="str">
        <f>IF(quantInv[[#This Row],[Metal]] = "925 Silver",  "7113.11.00"," 7113.19.00")</f>
        <v>7113.11.00</v>
      </c>
      <c r="L299" t="str">
        <f>IFERROR(VLOOKUP(quantInv[[#This Row],[Description for New Invoice]],Map!$G$12:$H$32,2,FALSE), IF(quantInv[[#This Row],[Metal]] = "925 Silver", "7113.11.10.00", "7113.19.29.00"))</f>
        <v>7113.11.50.00</v>
      </c>
      <c r="M299" t="str">
        <f>quantInv[[#This Row],[ASIN]] &amp; " " &amp; quantInv[[#This Row],[Short Description]]</f>
        <v>B077MM67Y1 Hinged Hoop Earrings</v>
      </c>
      <c r="N299" s="33">
        <f>quantInv[[#This Row],[UNIT
VALUE]] / EURtoGBP</f>
        <v>4.5153893741522078</v>
      </c>
      <c r="O299" s="33">
        <f>quantInv[[#This Row],[UNIT
VALUE]]/USDtoGBP</f>
        <v>5.4530400297196779</v>
      </c>
      <c r="P299" s="33">
        <f>quantInv[[#This Row],[UNIT
VALUE]] / CADtoGBP</f>
        <v>6.9802047086858172</v>
      </c>
      <c r="Q299" s="33">
        <f>quantInv[[#This Row],[UNIT
VALUE]]/AUDtoGBP</f>
        <v>7.1447302248724762</v>
      </c>
      <c r="R299">
        <f>IFERROR(VLOOKUP(quantInv[[#This Row],[Assigned Item SKU]],skuQuantity[#All],2,FALSE),0)</f>
        <v>0</v>
      </c>
      <c r="S299" t="str">
        <f>PROPER(quantInv[[#This Row],[Metal]] &amp; " " &amp; quantInv[[#This Row],[Item Type]])</f>
        <v>925 Silver Earrings</v>
      </c>
      <c r="T299" s="33">
        <f>quantInv[[#This Row],[Quantity]]*quantInv[[#This Row],[WEIGHT]]</f>
        <v>0</v>
      </c>
      <c r="U299" s="33">
        <f>quantInv[[#This Row],[UNIT
VALUE]]*quantInv[[#This Row],[Quantity]]</f>
        <v>0</v>
      </c>
      <c r="V299" s="33">
        <f>quantInv[[#This Row],[Total Cost GBP]]/EURtoGBP</f>
        <v>0</v>
      </c>
      <c r="W299" s="33">
        <f>quantInv[[#This Row],[Total Cost GBP]]/USDtoGBP</f>
        <v>0</v>
      </c>
      <c r="X299" s="33">
        <f>quantInv[[#This Row],[Total Cost GBP]]/CADtoGBP</f>
        <v>0</v>
      </c>
      <c r="Y299" s="33">
        <f>quantInv[[#This Row],[Quantity]]*quantInv[[#This Row],[UNIT
VALUE AUD]]</f>
        <v>0</v>
      </c>
      <c r="Z299" s="33"/>
    </row>
    <row r="300" spans="1:26" x14ac:dyDescent="0.25">
      <c r="A300" t="s">
        <v>717</v>
      </c>
      <c r="B300" t="s">
        <v>718</v>
      </c>
      <c r="C300" t="s">
        <v>113</v>
      </c>
      <c r="D300" t="s">
        <v>707</v>
      </c>
      <c r="E300">
        <v>9.5</v>
      </c>
      <c r="F300" s="33">
        <v>14.6989</v>
      </c>
      <c r="G300" s="33" t="s">
        <v>117</v>
      </c>
      <c r="H300" t="s">
        <v>1310</v>
      </c>
      <c r="I300" t="str">
        <f>IF(quantInv[[#This Row],[Metal]] = "925 Silver",  "7113.11.00"," 7113.19.00")</f>
        <v>7113.11.00</v>
      </c>
      <c r="J300" t="str">
        <f>IF(quantInv[[#This Row],[Metal]] = "925 Silver", "7113.11.10.00"," 7113.19.10.00")</f>
        <v>7113.11.10.00</v>
      </c>
      <c r="K300" t="str">
        <f>IF(quantInv[[#This Row],[Metal]] = "925 Silver",  "7113.11.00"," 7113.19.00")</f>
        <v>7113.11.00</v>
      </c>
      <c r="L300" t="str">
        <f>IFERROR(VLOOKUP(quantInv[[#This Row],[Description for New Invoice]],Map!$G$12:$H$32,2,FALSE), IF(quantInv[[#This Row],[Metal]] = "925 Silver", "7113.11.10.00", "7113.19.29.00"))</f>
        <v>7113.11.50.00</v>
      </c>
      <c r="M300" t="str">
        <f>quantInv[[#This Row],[ASIN]] &amp; " " &amp; quantInv[[#This Row],[Short Description]]</f>
        <v>B077MGPHD9 Hinged Hoop Earrings</v>
      </c>
      <c r="N300" s="33">
        <f>quantInv[[#This Row],[UNIT
VALUE]] / EURtoGBP</f>
        <v>16.684998836503151</v>
      </c>
      <c r="O300" s="33">
        <f>quantInv[[#This Row],[UNIT
VALUE]]/USDtoGBP</f>
        <v>20.149749891361417</v>
      </c>
      <c r="P300" s="33">
        <f>quantInv[[#This Row],[UNIT
VALUE]] / CADtoGBP</f>
        <v>25.792838179064823</v>
      </c>
      <c r="Q300" s="33">
        <f>quantInv[[#This Row],[UNIT
VALUE]]/AUDtoGBP</f>
        <v>26.400783102234353</v>
      </c>
      <c r="R300">
        <f>IFERROR(VLOOKUP(quantInv[[#This Row],[Assigned Item SKU]],skuQuantity[#All],2,FALSE),0)</f>
        <v>0</v>
      </c>
      <c r="S300" t="str">
        <f>PROPER(quantInv[[#This Row],[Metal]] &amp; " " &amp; quantInv[[#This Row],[Item Type]])</f>
        <v>925 Silver Earrings</v>
      </c>
      <c r="T300" s="33">
        <f>quantInv[[#This Row],[Quantity]]*quantInv[[#This Row],[WEIGHT]]</f>
        <v>0</v>
      </c>
      <c r="U300" s="33">
        <f>quantInv[[#This Row],[UNIT
VALUE]]*quantInv[[#This Row],[Quantity]]</f>
        <v>0</v>
      </c>
      <c r="V300" s="33">
        <f>quantInv[[#This Row],[Total Cost GBP]]/EURtoGBP</f>
        <v>0</v>
      </c>
      <c r="W300" s="33">
        <f>quantInv[[#This Row],[Total Cost GBP]]/USDtoGBP</f>
        <v>0</v>
      </c>
      <c r="X300" s="33">
        <f>quantInv[[#This Row],[Total Cost GBP]]/CADtoGBP</f>
        <v>0</v>
      </c>
      <c r="Y300" s="33">
        <f>quantInv[[#This Row],[Quantity]]*quantInv[[#This Row],[UNIT
VALUE AUD]]</f>
        <v>0</v>
      </c>
      <c r="Z300" s="33"/>
    </row>
    <row r="301" spans="1:26" x14ac:dyDescent="0.25">
      <c r="A301" t="s">
        <v>719</v>
      </c>
      <c r="B301" t="s">
        <v>720</v>
      </c>
      <c r="C301" t="s">
        <v>113</v>
      </c>
      <c r="D301" t="s">
        <v>707</v>
      </c>
      <c r="E301">
        <v>14</v>
      </c>
      <c r="F301" s="33">
        <v>21.240100000000002</v>
      </c>
      <c r="G301" s="33" t="s">
        <v>117</v>
      </c>
      <c r="H301" t="s">
        <v>1310</v>
      </c>
      <c r="I301" t="str">
        <f>IF(quantInv[[#This Row],[Metal]] = "925 Silver",  "7113.11.00"," 7113.19.00")</f>
        <v>7113.11.00</v>
      </c>
      <c r="J301" t="str">
        <f>IF(quantInv[[#This Row],[Metal]] = "925 Silver", "7113.11.10.00"," 7113.19.10.00")</f>
        <v>7113.11.10.00</v>
      </c>
      <c r="K301" t="str">
        <f>IF(quantInv[[#This Row],[Metal]] = "925 Silver",  "7113.11.00"," 7113.19.00")</f>
        <v>7113.11.00</v>
      </c>
      <c r="L301" t="str">
        <f>IFERROR(VLOOKUP(quantInv[[#This Row],[Description for New Invoice]],Map!$G$12:$H$32,2,FALSE), IF(quantInv[[#This Row],[Metal]] = "925 Silver", "7113.11.10.00", "7113.19.29.00"))</f>
        <v>7113.11.50.00</v>
      </c>
      <c r="M301" t="str">
        <f>quantInv[[#This Row],[ASIN]] &amp; " " &amp; quantInv[[#This Row],[Short Description]]</f>
        <v>B077MCZC4G Hinged Hoop Earrings</v>
      </c>
      <c r="N301" s="33">
        <f>quantInv[[#This Row],[UNIT
VALUE]] / EURtoGBP</f>
        <v>24.110038423773933</v>
      </c>
      <c r="O301" s="33">
        <f>quantInv[[#This Row],[UNIT
VALUE]]/USDtoGBP</f>
        <v>29.116648366034578</v>
      </c>
      <c r="P301" s="33">
        <f>quantInv[[#This Row],[UNIT
VALUE]] / CADtoGBP</f>
        <v>37.270983693144032</v>
      </c>
      <c r="Q301" s="33">
        <f>quantInv[[#This Row],[UNIT
VALUE]]/AUDtoGBP</f>
        <v>38.149471944823624</v>
      </c>
      <c r="R301">
        <f>IFERROR(VLOOKUP(quantInv[[#This Row],[Assigned Item SKU]],skuQuantity[#All],2,FALSE),0)</f>
        <v>0</v>
      </c>
      <c r="S301" t="str">
        <f>PROPER(quantInv[[#This Row],[Metal]] &amp; " " &amp; quantInv[[#This Row],[Item Type]])</f>
        <v>925 Silver Earrings</v>
      </c>
      <c r="T301" s="33">
        <f>quantInv[[#This Row],[Quantity]]*quantInv[[#This Row],[WEIGHT]]</f>
        <v>0</v>
      </c>
      <c r="U301" s="33">
        <f>quantInv[[#This Row],[UNIT
VALUE]]*quantInv[[#This Row],[Quantity]]</f>
        <v>0</v>
      </c>
      <c r="V301" s="33">
        <f>quantInv[[#This Row],[Total Cost GBP]]/EURtoGBP</f>
        <v>0</v>
      </c>
      <c r="W301" s="33">
        <f>quantInv[[#This Row],[Total Cost GBP]]/USDtoGBP</f>
        <v>0</v>
      </c>
      <c r="X301" s="33">
        <f>quantInv[[#This Row],[Total Cost GBP]]/CADtoGBP</f>
        <v>0</v>
      </c>
      <c r="Y301" s="33">
        <f>quantInv[[#This Row],[Quantity]]*quantInv[[#This Row],[UNIT
VALUE AUD]]</f>
        <v>0</v>
      </c>
      <c r="Z301" s="33"/>
    </row>
    <row r="302" spans="1:26" x14ac:dyDescent="0.25">
      <c r="A302" t="s">
        <v>1937</v>
      </c>
      <c r="B302" t="s">
        <v>1938</v>
      </c>
      <c r="C302" t="s">
        <v>115</v>
      </c>
      <c r="D302" t="s">
        <v>1939</v>
      </c>
      <c r="E302">
        <v>0.68</v>
      </c>
      <c r="F302" s="33">
        <v>2.0619000000000001</v>
      </c>
      <c r="G302" s="33" t="s">
        <v>117</v>
      </c>
      <c r="H302" t="s">
        <v>1310</v>
      </c>
      <c r="I302" t="str">
        <f>IF(quantInv[[#This Row],[Metal]] = "925 Silver",  "7113.11.00"," 7113.19.00")</f>
        <v>7113.11.00</v>
      </c>
      <c r="J302" t="str">
        <f>IF(quantInv[[#This Row],[Metal]] = "925 Silver", "7113.11.10.00"," 7113.19.10.00")</f>
        <v>7113.11.10.00</v>
      </c>
      <c r="K302" t="str">
        <f>IF(quantInv[[#This Row],[Metal]] = "925 Silver",  "7113.11.00"," 7113.19.00")</f>
        <v>7113.11.00</v>
      </c>
      <c r="L302" t="str">
        <f>IFERROR(VLOOKUP(quantInv[[#This Row],[Description for New Invoice]],Map!$G$12:$H$32,2,FALSE), IF(quantInv[[#This Row],[Metal]] = "925 Silver", "7113.11.10.00", "7113.19.29.00"))</f>
        <v>7113.11.50.00</v>
      </c>
      <c r="M302" t="str">
        <f>quantInv[[#This Row],[ASIN]] &amp; " " &amp; quantInv[[#This Row],[Short Description]]</f>
        <v>B08J89ZYXP Stud Earrings - Snake</v>
      </c>
      <c r="N302" s="33">
        <f>quantInv[[#This Row],[UNIT
VALUE]] / EURtoGBP</f>
        <v>2.3405016090310058</v>
      </c>
      <c r="O302" s="33">
        <f>quantInv[[#This Row],[UNIT
VALUE]]/USDtoGBP</f>
        <v>2.8265223452774091</v>
      </c>
      <c r="P302" s="33">
        <f>quantInv[[#This Row],[UNIT
VALUE]] / CADtoGBP</f>
        <v>3.6181110859597494</v>
      </c>
      <c r="Q302" s="33">
        <f>quantInv[[#This Row],[UNIT
VALUE]]/AUDtoGBP</f>
        <v>3.7033910482074859</v>
      </c>
      <c r="R302">
        <f>IFERROR(VLOOKUP(quantInv[[#This Row],[Assigned Item SKU]],skuQuantity[#All],2,FALSE),0)</f>
        <v>5</v>
      </c>
      <c r="S302" t="str">
        <f>PROPER(quantInv[[#This Row],[Metal]] &amp; " " &amp; quantInv[[#This Row],[Item Type]])</f>
        <v>925 Silver Earrings</v>
      </c>
      <c r="T302" s="33">
        <f>quantInv[[#This Row],[Quantity]]*quantInv[[#This Row],[WEIGHT]]</f>
        <v>3.4000000000000004</v>
      </c>
      <c r="U302" s="33">
        <f>quantInv[[#This Row],[UNIT
VALUE]]*quantInv[[#This Row],[Quantity]]</f>
        <v>10.3095</v>
      </c>
      <c r="V302" s="33">
        <f>quantInv[[#This Row],[Total Cost GBP]]/EURtoGBP</f>
        <v>11.702508045155028</v>
      </c>
      <c r="W302" s="33">
        <f>quantInv[[#This Row],[Total Cost GBP]]/USDtoGBP</f>
        <v>14.132611726387044</v>
      </c>
      <c r="X302" s="33">
        <f>quantInv[[#This Row],[Total Cost GBP]]/CADtoGBP</f>
        <v>18.090555429798748</v>
      </c>
      <c r="Y302" s="33">
        <f>quantInv[[#This Row],[Quantity]]*quantInv[[#This Row],[UNIT
VALUE AUD]]</f>
        <v>18.516955241037429</v>
      </c>
      <c r="Z302" s="33"/>
    </row>
    <row r="303" spans="1:26" x14ac:dyDescent="0.25">
      <c r="A303" t="s">
        <v>2072</v>
      </c>
      <c r="B303" t="s">
        <v>2073</v>
      </c>
      <c r="C303" t="s">
        <v>115</v>
      </c>
      <c r="D303" t="s">
        <v>2074</v>
      </c>
      <c r="E303">
        <v>1.1599999999999999</v>
      </c>
      <c r="F303" s="33">
        <v>2.3458000000000001</v>
      </c>
      <c r="G303" s="33" t="s">
        <v>117</v>
      </c>
      <c r="H303" t="s">
        <v>1451</v>
      </c>
      <c r="I303" t="str">
        <f>IF(quantInv[[#This Row],[Metal]] = "925 Silver",  "7113.11.00"," 7113.19.00")</f>
        <v>7113.11.00</v>
      </c>
      <c r="J303" t="str">
        <f>IF(quantInv[[#This Row],[Metal]] = "925 Silver", "7113.11.10.00"," 7113.19.10.00")</f>
        <v>7113.11.10.00</v>
      </c>
      <c r="K303" t="str">
        <f>IF(quantInv[[#This Row],[Metal]] = "925 Silver",  "7113.11.00"," 7113.19.00")</f>
        <v>7113.11.00</v>
      </c>
      <c r="L303" t="str">
        <f>IFERROR(VLOOKUP(quantInv[[#This Row],[Description for New Invoice]],Map!$G$12:$H$32,2,FALSE), IF(quantInv[[#This Row],[Metal]] = "925 Silver", "7113.11.10.00", "7113.19.29.00"))</f>
        <v>7113.11.50.00</v>
      </c>
      <c r="M303" t="str">
        <f>quantInv[[#This Row],[ASIN]] &amp; " " &amp; quantInv[[#This Row],[Short Description]]</f>
        <v>B08MFPMK65 Polished Small Flat Cross Pendant for Kids</v>
      </c>
      <c r="N303" s="33">
        <f>quantInv[[#This Row],[UNIT
VALUE]] / EURtoGBP</f>
        <v>2.6627618577355516</v>
      </c>
      <c r="O303" s="33">
        <f>quantInv[[#This Row],[UNIT
VALUE]]/USDtoGBP</f>
        <v>3.2157020794178894</v>
      </c>
      <c r="P303" s="33">
        <f>quantInv[[#This Row],[UNIT
VALUE]] / CADtoGBP</f>
        <v>4.1162835178448907</v>
      </c>
      <c r="Q303" s="33">
        <f>quantInv[[#This Row],[UNIT
VALUE]]/AUDtoGBP</f>
        <v>4.2133055535598825</v>
      </c>
      <c r="R303">
        <f>IFERROR(VLOOKUP(quantInv[[#This Row],[Assigned Item SKU]],skuQuantity[#All],2,FALSE),0)</f>
        <v>0</v>
      </c>
      <c r="S303" t="str">
        <f>PROPER(quantInv[[#This Row],[Metal]] &amp; " " &amp; quantInv[[#This Row],[Item Type]])</f>
        <v>925 Silver Pendant</v>
      </c>
      <c r="T303" s="33">
        <f>quantInv[[#This Row],[Quantity]]*quantInv[[#This Row],[WEIGHT]]</f>
        <v>0</v>
      </c>
      <c r="U303" s="33">
        <f>quantInv[[#This Row],[UNIT
VALUE]]*quantInv[[#This Row],[Quantity]]</f>
        <v>0</v>
      </c>
      <c r="V303" s="33">
        <f>quantInv[[#This Row],[Total Cost GBP]]/EURtoGBP</f>
        <v>0</v>
      </c>
      <c r="W303" s="33">
        <f>quantInv[[#This Row],[Total Cost GBP]]/USDtoGBP</f>
        <v>0</v>
      </c>
      <c r="X303" s="33">
        <f>quantInv[[#This Row],[Total Cost GBP]]/CADtoGBP</f>
        <v>0</v>
      </c>
      <c r="Y303" s="33">
        <f>quantInv[[#This Row],[Quantity]]*quantInv[[#This Row],[UNIT
VALUE AUD]]</f>
        <v>0</v>
      </c>
      <c r="Z303" s="33"/>
    </row>
    <row r="304" spans="1:26" x14ac:dyDescent="0.25">
      <c r="A304" t="s">
        <v>723</v>
      </c>
      <c r="B304" t="s">
        <v>724</v>
      </c>
      <c r="C304" t="s">
        <v>113</v>
      </c>
      <c r="D304" t="s">
        <v>707</v>
      </c>
      <c r="E304">
        <v>9.5</v>
      </c>
      <c r="F304" s="33">
        <v>11.3512</v>
      </c>
      <c r="G304" s="33" t="s">
        <v>117</v>
      </c>
      <c r="H304" t="s">
        <v>1310</v>
      </c>
      <c r="I304" t="str">
        <f>IF(quantInv[[#This Row],[Metal]] = "925 Silver",  "7113.11.00"," 7113.19.00")</f>
        <v>7113.11.00</v>
      </c>
      <c r="J304" t="str">
        <f>IF(quantInv[[#This Row],[Metal]] = "925 Silver", "7113.11.10.00"," 7113.19.10.00")</f>
        <v>7113.11.10.00</v>
      </c>
      <c r="K304" t="str">
        <f>IF(quantInv[[#This Row],[Metal]] = "925 Silver",  "7113.11.00"," 7113.19.00")</f>
        <v>7113.11.00</v>
      </c>
      <c r="L304" t="str">
        <f>IFERROR(VLOOKUP(quantInv[[#This Row],[Description for New Invoice]],Map!$G$12:$H$32,2,FALSE), IF(quantInv[[#This Row],[Metal]] = "925 Silver", "7113.11.10.00", "7113.19.29.00"))</f>
        <v>7113.11.50.00</v>
      </c>
      <c r="M304" t="str">
        <f>quantInv[[#This Row],[ASIN]] &amp; " " &amp; quantInv[[#This Row],[Short Description]]</f>
        <v>B077MH9RM9 Hinged Hoop Earrings</v>
      </c>
      <c r="N304" s="33">
        <f>quantInv[[#This Row],[UNIT
VALUE]] / EURtoGBP</f>
        <v>12.884961377580268</v>
      </c>
      <c r="O304" s="33">
        <f>quantInv[[#This Row],[UNIT
VALUE]]/USDtoGBP</f>
        <v>15.560609363069462</v>
      </c>
      <c r="P304" s="33">
        <f>quantInv[[#This Row],[UNIT
VALUE]] / CADtoGBP</f>
        <v>19.918474493887341</v>
      </c>
      <c r="Q304" s="33">
        <f>quantInv[[#This Row],[UNIT
VALUE]]/AUDtoGBP</f>
        <v>20.387958905093758</v>
      </c>
      <c r="R304">
        <f>IFERROR(VLOOKUP(quantInv[[#This Row],[Assigned Item SKU]],skuQuantity[#All],2,FALSE),0)</f>
        <v>0</v>
      </c>
      <c r="S304" t="str">
        <f>PROPER(quantInv[[#This Row],[Metal]] &amp; " " &amp; quantInv[[#This Row],[Item Type]])</f>
        <v>925 Silver Earrings</v>
      </c>
      <c r="T304" s="33">
        <f>quantInv[[#This Row],[Quantity]]*quantInv[[#This Row],[WEIGHT]]</f>
        <v>0</v>
      </c>
      <c r="U304" s="33">
        <f>quantInv[[#This Row],[UNIT
VALUE]]*quantInv[[#This Row],[Quantity]]</f>
        <v>0</v>
      </c>
      <c r="V304" s="33">
        <f>quantInv[[#This Row],[Total Cost GBP]]/EURtoGBP</f>
        <v>0</v>
      </c>
      <c r="W304" s="33">
        <f>quantInv[[#This Row],[Total Cost GBP]]/USDtoGBP</f>
        <v>0</v>
      </c>
      <c r="X304" s="33">
        <f>quantInv[[#This Row],[Total Cost GBP]]/CADtoGBP</f>
        <v>0</v>
      </c>
      <c r="Y304" s="33">
        <f>quantInv[[#This Row],[Quantity]]*quantInv[[#This Row],[UNIT
VALUE AUD]]</f>
        <v>0</v>
      </c>
      <c r="Z304" s="33"/>
    </row>
    <row r="305" spans="1:26" x14ac:dyDescent="0.25">
      <c r="A305" t="s">
        <v>725</v>
      </c>
      <c r="B305" t="s">
        <v>726</v>
      </c>
      <c r="C305" t="s">
        <v>113</v>
      </c>
      <c r="D305" t="s">
        <v>707</v>
      </c>
      <c r="E305">
        <v>14</v>
      </c>
      <c r="F305" s="33">
        <v>16.306699999999999</v>
      </c>
      <c r="G305" s="33" t="s">
        <v>117</v>
      </c>
      <c r="H305" t="s">
        <v>1310</v>
      </c>
      <c r="I305" t="str">
        <f>IF(quantInv[[#This Row],[Metal]] = "925 Silver",  "7113.11.00"," 7113.19.00")</f>
        <v>7113.11.00</v>
      </c>
      <c r="J305" t="str">
        <f>IF(quantInv[[#This Row],[Metal]] = "925 Silver", "7113.11.10.00"," 7113.19.10.00")</f>
        <v>7113.11.10.00</v>
      </c>
      <c r="K305" t="str">
        <f>IF(quantInv[[#This Row],[Metal]] = "925 Silver",  "7113.11.00"," 7113.19.00")</f>
        <v>7113.11.00</v>
      </c>
      <c r="L305" t="str">
        <f>IFERROR(VLOOKUP(quantInv[[#This Row],[Description for New Invoice]],Map!$G$12:$H$32,2,FALSE), IF(quantInv[[#This Row],[Metal]] = "925 Silver", "7113.11.10.00", "7113.19.29.00"))</f>
        <v>7113.11.50.00</v>
      </c>
      <c r="M305" t="str">
        <f>quantInv[[#This Row],[ASIN]] &amp; " " &amp; quantInv[[#This Row],[Short Description]]</f>
        <v>B077MFVWW3 Hinged Hoop Earrings</v>
      </c>
      <c r="N305" s="33">
        <f>quantInv[[#This Row],[UNIT
VALUE]] / EURtoGBP</f>
        <v>18.510042964249429</v>
      </c>
      <c r="O305" s="33">
        <f>quantInv[[#This Row],[UNIT
VALUE]]/USDtoGBP</f>
        <v>22.353776578755092</v>
      </c>
      <c r="P305" s="33">
        <f>quantInv[[#This Row],[UNIT
VALUE]] / CADtoGBP</f>
        <v>28.614119038469298</v>
      </c>
      <c r="Q305" s="33">
        <f>quantInv[[#This Row],[UNIT
VALUE]]/AUDtoGBP</f>
        <v>29.288562396723901</v>
      </c>
      <c r="R305">
        <f>IFERROR(VLOOKUP(quantInv[[#This Row],[Assigned Item SKU]],skuQuantity[#All],2,FALSE),0)</f>
        <v>0</v>
      </c>
      <c r="S305" t="str">
        <f>PROPER(quantInv[[#This Row],[Metal]] &amp; " " &amp; quantInv[[#This Row],[Item Type]])</f>
        <v>925 Silver Earrings</v>
      </c>
      <c r="T305" s="33">
        <f>quantInv[[#This Row],[Quantity]]*quantInv[[#This Row],[WEIGHT]]</f>
        <v>0</v>
      </c>
      <c r="U305" s="33">
        <f>quantInv[[#This Row],[UNIT
VALUE]]*quantInv[[#This Row],[Quantity]]</f>
        <v>0</v>
      </c>
      <c r="V305" s="33">
        <f>quantInv[[#This Row],[Total Cost GBP]]/EURtoGBP</f>
        <v>0</v>
      </c>
      <c r="W305" s="33">
        <f>quantInv[[#This Row],[Total Cost GBP]]/USDtoGBP</f>
        <v>0</v>
      </c>
      <c r="X305" s="33">
        <f>quantInv[[#This Row],[Total Cost GBP]]/CADtoGBP</f>
        <v>0</v>
      </c>
      <c r="Y305" s="33">
        <f>quantInv[[#This Row],[Quantity]]*quantInv[[#This Row],[UNIT
VALUE AUD]]</f>
        <v>0</v>
      </c>
      <c r="Z305" s="33"/>
    </row>
    <row r="306" spans="1:26" x14ac:dyDescent="0.25">
      <c r="A306" t="s">
        <v>727</v>
      </c>
      <c r="B306" t="s">
        <v>728</v>
      </c>
      <c r="C306" t="s">
        <v>114</v>
      </c>
      <c r="D306" t="s">
        <v>707</v>
      </c>
      <c r="E306">
        <v>1.2</v>
      </c>
      <c r="F306" s="33">
        <v>2.2724000000000002</v>
      </c>
      <c r="G306" s="33" t="s">
        <v>117</v>
      </c>
      <c r="H306" t="s">
        <v>1310</v>
      </c>
      <c r="I306" t="str">
        <f>IF(quantInv[[#This Row],[Metal]] = "925 Silver",  "7113.11.00"," 7113.19.00")</f>
        <v>7113.11.00</v>
      </c>
      <c r="J306" t="str">
        <f>IF(quantInv[[#This Row],[Metal]] = "925 Silver", "7113.11.10.00"," 7113.19.10.00")</f>
        <v>7113.11.10.00</v>
      </c>
      <c r="K306" t="str">
        <f>IF(quantInv[[#This Row],[Metal]] = "925 Silver",  "7113.11.00"," 7113.19.00")</f>
        <v>7113.11.00</v>
      </c>
      <c r="L306" t="str">
        <f>IFERROR(VLOOKUP(quantInv[[#This Row],[Description for New Invoice]],Map!$G$12:$H$32,2,FALSE), IF(quantInv[[#This Row],[Metal]] = "925 Silver", "7113.11.10.00", "7113.19.29.00"))</f>
        <v>7113.11.50.00</v>
      </c>
      <c r="M306" t="str">
        <f>quantInv[[#This Row],[ASIN]] &amp; " " &amp; quantInv[[#This Row],[Short Description]]</f>
        <v>B077MJNRVM Hinged Hoop Earrings</v>
      </c>
      <c r="N306" s="33">
        <f>quantInv[[#This Row],[UNIT
VALUE]] / EURtoGBP</f>
        <v>2.5794441322867541</v>
      </c>
      <c r="O306" s="33">
        <f>quantInv[[#This Row],[UNIT
VALUE]]/USDtoGBP</f>
        <v>3.1150828737612803</v>
      </c>
      <c r="P306" s="33">
        <f>quantInv[[#This Row],[UNIT
VALUE]] / CADtoGBP</f>
        <v>3.9874851504607087</v>
      </c>
      <c r="Q306" s="33">
        <f>quantInv[[#This Row],[UNIT
VALUE]]/AUDtoGBP</f>
        <v>4.0814713700696892</v>
      </c>
      <c r="R306">
        <f>IFERROR(VLOOKUP(quantInv[[#This Row],[Assigned Item SKU]],skuQuantity[#All],2,FALSE),0)</f>
        <v>0</v>
      </c>
      <c r="S306" t="str">
        <f>PROPER(quantInv[[#This Row],[Metal]] &amp; " " &amp; quantInv[[#This Row],[Item Type]])</f>
        <v>925 Silver Earrings</v>
      </c>
      <c r="T306" s="33">
        <f>quantInv[[#This Row],[Quantity]]*quantInv[[#This Row],[WEIGHT]]</f>
        <v>0</v>
      </c>
      <c r="U306" s="33">
        <f>quantInv[[#This Row],[UNIT
VALUE]]*quantInv[[#This Row],[Quantity]]</f>
        <v>0</v>
      </c>
      <c r="V306" s="33">
        <f>quantInv[[#This Row],[Total Cost GBP]]/EURtoGBP</f>
        <v>0</v>
      </c>
      <c r="W306" s="33">
        <f>quantInv[[#This Row],[Total Cost GBP]]/USDtoGBP</f>
        <v>0</v>
      </c>
      <c r="X306" s="33">
        <f>quantInv[[#This Row],[Total Cost GBP]]/CADtoGBP</f>
        <v>0</v>
      </c>
      <c r="Y306" s="33">
        <f>quantInv[[#This Row],[Quantity]]*quantInv[[#This Row],[UNIT
VALUE AUD]]</f>
        <v>0</v>
      </c>
      <c r="Z306" s="33"/>
    </row>
    <row r="307" spans="1:26" x14ac:dyDescent="0.25">
      <c r="A307" t="s">
        <v>729</v>
      </c>
      <c r="B307" t="s">
        <v>730</v>
      </c>
      <c r="C307" t="s">
        <v>114</v>
      </c>
      <c r="D307" t="s">
        <v>707</v>
      </c>
      <c r="E307">
        <v>2.16</v>
      </c>
      <c r="F307" s="33">
        <v>3.5579000000000001</v>
      </c>
      <c r="G307" s="33" t="s">
        <v>117</v>
      </c>
      <c r="H307" t="s">
        <v>1310</v>
      </c>
      <c r="I307" t="str">
        <f>IF(quantInv[[#This Row],[Metal]] = "925 Silver",  "7113.11.00"," 7113.19.00")</f>
        <v>7113.11.00</v>
      </c>
      <c r="J307" t="str">
        <f>IF(quantInv[[#This Row],[Metal]] = "925 Silver", "7113.11.10.00"," 7113.19.10.00")</f>
        <v>7113.11.10.00</v>
      </c>
      <c r="K307" t="str">
        <f>IF(quantInv[[#This Row],[Metal]] = "925 Silver",  "7113.11.00"," 7113.19.00")</f>
        <v>7113.11.00</v>
      </c>
      <c r="L307" t="str">
        <f>IFERROR(VLOOKUP(quantInv[[#This Row],[Description for New Invoice]],Map!$G$12:$H$32,2,FALSE), IF(quantInv[[#This Row],[Metal]] = "925 Silver", "7113.11.10.00", "7113.19.29.00"))</f>
        <v>7113.11.50.00</v>
      </c>
      <c r="M307" t="str">
        <f>quantInv[[#This Row],[ASIN]] &amp; " " &amp; quantInv[[#This Row],[Short Description]]</f>
        <v>B077MJP61M Hinged Hoop Earrings</v>
      </c>
      <c r="N307" s="33">
        <f>quantInv[[#This Row],[UNIT
VALUE]] / EURtoGBP</f>
        <v>4.0386394465160365</v>
      </c>
      <c r="O307" s="33">
        <f>quantInv[[#This Row],[UNIT
VALUE]]/USDtoGBP</f>
        <v>4.8772898066164672</v>
      </c>
      <c r="P307" s="33">
        <f>quantInv[[#This Row],[UNIT
VALUE]] / CADtoGBP</f>
        <v>6.2432113258335482</v>
      </c>
      <c r="Q307" s="33">
        <f>quantInv[[#This Row],[UNIT
VALUE]]/AUDtoGBP</f>
        <v>6.3903656871901715</v>
      </c>
      <c r="R307">
        <f>IFERROR(VLOOKUP(quantInv[[#This Row],[Assigned Item SKU]],skuQuantity[#All],2,FALSE),0)</f>
        <v>0</v>
      </c>
      <c r="S307" t="str">
        <f>PROPER(quantInv[[#This Row],[Metal]] &amp; " " &amp; quantInv[[#This Row],[Item Type]])</f>
        <v>925 Silver Earrings</v>
      </c>
      <c r="T307" s="33">
        <f>quantInv[[#This Row],[Quantity]]*quantInv[[#This Row],[WEIGHT]]</f>
        <v>0</v>
      </c>
      <c r="U307" s="33">
        <f>quantInv[[#This Row],[UNIT
VALUE]]*quantInv[[#This Row],[Quantity]]</f>
        <v>0</v>
      </c>
      <c r="V307" s="33">
        <f>quantInv[[#This Row],[Total Cost GBP]]/EURtoGBP</f>
        <v>0</v>
      </c>
      <c r="W307" s="33">
        <f>quantInv[[#This Row],[Total Cost GBP]]/USDtoGBP</f>
        <v>0</v>
      </c>
      <c r="X307" s="33">
        <f>quantInv[[#This Row],[Total Cost GBP]]/CADtoGBP</f>
        <v>0</v>
      </c>
      <c r="Y307" s="33">
        <f>quantInv[[#This Row],[Quantity]]*quantInv[[#This Row],[UNIT
VALUE AUD]]</f>
        <v>0</v>
      </c>
      <c r="Z307" s="33"/>
    </row>
    <row r="308" spans="1:26" x14ac:dyDescent="0.25">
      <c r="A308" t="s">
        <v>731</v>
      </c>
      <c r="B308" t="s">
        <v>732</v>
      </c>
      <c r="C308" t="s">
        <v>114</v>
      </c>
      <c r="D308" t="s">
        <v>707</v>
      </c>
      <c r="E308">
        <v>3.1</v>
      </c>
      <c r="F308" s="33">
        <v>4.9690000000000003</v>
      </c>
      <c r="G308" s="33" t="s">
        <v>117</v>
      </c>
      <c r="H308" t="s">
        <v>1310</v>
      </c>
      <c r="I308" t="str">
        <f>IF(quantInv[[#This Row],[Metal]] = "925 Silver",  "7113.11.00"," 7113.19.00")</f>
        <v>7113.11.00</v>
      </c>
      <c r="J308" t="str">
        <f>IF(quantInv[[#This Row],[Metal]] = "925 Silver", "7113.11.10.00"," 7113.19.10.00")</f>
        <v>7113.11.10.00</v>
      </c>
      <c r="K308" t="str">
        <f>IF(quantInv[[#This Row],[Metal]] = "925 Silver",  "7113.11.00"," 7113.19.00")</f>
        <v>7113.11.00</v>
      </c>
      <c r="L308" t="str">
        <f>IFERROR(VLOOKUP(quantInv[[#This Row],[Description for New Invoice]],Map!$G$12:$H$32,2,FALSE), IF(quantInv[[#This Row],[Metal]] = "925 Silver", "7113.11.10.00", "7113.19.29.00"))</f>
        <v>7113.11.50.00</v>
      </c>
      <c r="M308" t="str">
        <f>quantInv[[#This Row],[ASIN]] &amp; " " &amp; quantInv[[#This Row],[Short Description]]</f>
        <v>B077MJMP5Z Hinged Hoop Earrings</v>
      </c>
      <c r="N308" s="33">
        <f>quantInv[[#This Row],[UNIT
VALUE]] / EURtoGBP</f>
        <v>5.6404056914860412</v>
      </c>
      <c r="O308" s="33">
        <f>quantInv[[#This Row],[UNIT
VALUE]]/USDtoGBP</f>
        <v>6.8116734728568042</v>
      </c>
      <c r="P308" s="33">
        <f>quantInv[[#This Row],[UNIT
VALUE]] / CADtoGBP</f>
        <v>8.71933361760221</v>
      </c>
      <c r="Q308" s="33">
        <f>quantInv[[#This Row],[UNIT
VALUE]]/AUDtoGBP</f>
        <v>8.9248509231985054</v>
      </c>
      <c r="R308">
        <f>IFERROR(VLOOKUP(quantInv[[#This Row],[Assigned Item SKU]],skuQuantity[#All],2,FALSE),0)</f>
        <v>0</v>
      </c>
      <c r="S308" t="str">
        <f>PROPER(quantInv[[#This Row],[Metal]] &amp; " " &amp; quantInv[[#This Row],[Item Type]])</f>
        <v>925 Silver Earrings</v>
      </c>
      <c r="T308" s="33">
        <f>quantInv[[#This Row],[Quantity]]*quantInv[[#This Row],[WEIGHT]]</f>
        <v>0</v>
      </c>
      <c r="U308" s="33">
        <f>quantInv[[#This Row],[UNIT
VALUE]]*quantInv[[#This Row],[Quantity]]</f>
        <v>0</v>
      </c>
      <c r="V308" s="33">
        <f>quantInv[[#This Row],[Total Cost GBP]]/EURtoGBP</f>
        <v>0</v>
      </c>
      <c r="W308" s="33">
        <f>quantInv[[#This Row],[Total Cost GBP]]/USDtoGBP</f>
        <v>0</v>
      </c>
      <c r="X308" s="33">
        <f>quantInv[[#This Row],[Total Cost GBP]]/CADtoGBP</f>
        <v>0</v>
      </c>
      <c r="Y308" s="33">
        <f>quantInv[[#This Row],[Quantity]]*quantInv[[#This Row],[UNIT
VALUE AUD]]</f>
        <v>0</v>
      </c>
      <c r="Z308" s="33"/>
    </row>
    <row r="309" spans="1:26" x14ac:dyDescent="0.25">
      <c r="A309" t="s">
        <v>733</v>
      </c>
      <c r="B309" t="s">
        <v>734</v>
      </c>
      <c r="C309" t="s">
        <v>114</v>
      </c>
      <c r="D309" t="s">
        <v>707</v>
      </c>
      <c r="E309">
        <v>4.29</v>
      </c>
      <c r="F309" s="33">
        <v>6.2366999999999999</v>
      </c>
      <c r="G309" s="33" t="s">
        <v>117</v>
      </c>
      <c r="H309" t="s">
        <v>1310</v>
      </c>
      <c r="I309" t="str">
        <f>IF(quantInv[[#This Row],[Metal]] = "925 Silver",  "7113.11.00"," 7113.19.00")</f>
        <v>7113.11.00</v>
      </c>
      <c r="J309" t="str">
        <f>IF(quantInv[[#This Row],[Metal]] = "925 Silver", "7113.11.10.00"," 7113.19.10.00")</f>
        <v>7113.11.10.00</v>
      </c>
      <c r="K309" t="str">
        <f>IF(quantInv[[#This Row],[Metal]] = "925 Silver",  "7113.11.00"," 7113.19.00")</f>
        <v>7113.11.00</v>
      </c>
      <c r="L309" t="str">
        <f>IFERROR(VLOOKUP(quantInv[[#This Row],[Description for New Invoice]],Map!$G$12:$H$32,2,FALSE), IF(quantInv[[#This Row],[Metal]] = "925 Silver", "7113.11.10.00", "7113.19.29.00"))</f>
        <v>7113.11.50.00</v>
      </c>
      <c r="M309" t="str">
        <f>quantInv[[#This Row],[ASIN]] &amp; " " &amp; quantInv[[#This Row],[Short Description]]</f>
        <v>B077MQLMZ5 Hinged Hoop Earrings</v>
      </c>
      <c r="N309" s="33">
        <f>quantInv[[#This Row],[UNIT
VALUE]] / EURtoGBP</f>
        <v>7.0793958897345526</v>
      </c>
      <c r="O309" s="33">
        <f>quantInv[[#This Row],[UNIT
VALUE]]/USDtoGBP</f>
        <v>8.5494795629233309</v>
      </c>
      <c r="P309" s="33">
        <f>quantInv[[#This Row],[UNIT
VALUE]] / CADtoGBP</f>
        <v>10.94382531151131</v>
      </c>
      <c r="Q309" s="33">
        <f>quantInv[[#This Row],[UNIT
VALUE]]/AUDtoGBP</f>
        <v>11.201774552769594</v>
      </c>
      <c r="R309">
        <f>IFERROR(VLOOKUP(quantInv[[#This Row],[Assigned Item SKU]],skuQuantity[#All],2,FALSE),0)</f>
        <v>0</v>
      </c>
      <c r="S309" t="str">
        <f>PROPER(quantInv[[#This Row],[Metal]] &amp; " " &amp; quantInv[[#This Row],[Item Type]])</f>
        <v>925 Silver Earrings</v>
      </c>
      <c r="T309" s="33">
        <f>quantInv[[#This Row],[Quantity]]*quantInv[[#This Row],[WEIGHT]]</f>
        <v>0</v>
      </c>
      <c r="U309" s="33">
        <f>quantInv[[#This Row],[UNIT
VALUE]]*quantInv[[#This Row],[Quantity]]</f>
        <v>0</v>
      </c>
      <c r="V309" s="33">
        <f>quantInv[[#This Row],[Total Cost GBP]]/EURtoGBP</f>
        <v>0</v>
      </c>
      <c r="W309" s="33">
        <f>quantInv[[#This Row],[Total Cost GBP]]/USDtoGBP</f>
        <v>0</v>
      </c>
      <c r="X309" s="33">
        <f>quantInv[[#This Row],[Total Cost GBP]]/CADtoGBP</f>
        <v>0</v>
      </c>
      <c r="Y309" s="33">
        <f>quantInv[[#This Row],[Quantity]]*quantInv[[#This Row],[UNIT
VALUE AUD]]</f>
        <v>0</v>
      </c>
      <c r="Z309" s="33"/>
    </row>
    <row r="310" spans="1:26" x14ac:dyDescent="0.25">
      <c r="A310" t="s">
        <v>735</v>
      </c>
      <c r="B310" t="s">
        <v>736</v>
      </c>
      <c r="C310" t="s">
        <v>114</v>
      </c>
      <c r="D310" t="s">
        <v>707</v>
      </c>
      <c r="E310">
        <v>5.94</v>
      </c>
      <c r="F310" s="33">
        <v>8.3008000000000006</v>
      </c>
      <c r="G310" s="33" t="s">
        <v>117</v>
      </c>
      <c r="H310" t="s">
        <v>1310</v>
      </c>
      <c r="I310" t="str">
        <f>IF(quantInv[[#This Row],[Metal]] = "925 Silver",  "7113.11.00"," 7113.19.00")</f>
        <v>7113.11.00</v>
      </c>
      <c r="J310" t="str">
        <f>IF(quantInv[[#This Row],[Metal]] = "925 Silver", "7113.11.10.00"," 7113.19.10.00")</f>
        <v>7113.11.10.00</v>
      </c>
      <c r="K310" t="str">
        <f>IF(quantInv[[#This Row],[Metal]] = "925 Silver",  "7113.11.00"," 7113.19.00")</f>
        <v>7113.11.00</v>
      </c>
      <c r="L310" t="str">
        <f>IFERROR(VLOOKUP(quantInv[[#This Row],[Description for New Invoice]],Map!$G$12:$H$32,2,FALSE), IF(quantInv[[#This Row],[Metal]] = "925 Silver", "7113.11.10.00", "7113.19.29.00"))</f>
        <v>7113.11.50.00</v>
      </c>
      <c r="M310" t="str">
        <f>quantInv[[#This Row],[ASIN]] &amp; " " &amp; quantInv[[#This Row],[Short Description]]</f>
        <v>B077MB4KG9 Hinged Hoop Earrings</v>
      </c>
      <c r="N310" s="33">
        <f>quantInv[[#This Row],[UNIT
VALUE]] / EURtoGBP</f>
        <v>9.4223947602912723</v>
      </c>
      <c r="O310" s="33">
        <f>quantInv[[#This Row],[UNIT
VALUE]]/USDtoGBP</f>
        <v>11.379017742702709</v>
      </c>
      <c r="P310" s="33">
        <f>quantInv[[#This Row],[UNIT
VALUE]] / CADtoGBP</f>
        <v>14.565796839000287</v>
      </c>
      <c r="Q310" s="33">
        <f>quantInv[[#This Row],[UNIT
VALUE]]/AUDtoGBP</f>
        <v>14.909117034269704</v>
      </c>
      <c r="R310">
        <f>IFERROR(VLOOKUP(quantInv[[#This Row],[Assigned Item SKU]],skuQuantity[#All],2,FALSE),0)</f>
        <v>0</v>
      </c>
      <c r="S310" t="str">
        <f>PROPER(quantInv[[#This Row],[Metal]] &amp; " " &amp; quantInv[[#This Row],[Item Type]])</f>
        <v>925 Silver Earrings</v>
      </c>
      <c r="T310" s="33">
        <f>quantInv[[#This Row],[Quantity]]*quantInv[[#This Row],[WEIGHT]]</f>
        <v>0</v>
      </c>
      <c r="U310" s="33">
        <f>quantInv[[#This Row],[UNIT
VALUE]]*quantInv[[#This Row],[Quantity]]</f>
        <v>0</v>
      </c>
      <c r="V310" s="33">
        <f>quantInv[[#This Row],[Total Cost GBP]]/EURtoGBP</f>
        <v>0</v>
      </c>
      <c r="W310" s="33">
        <f>quantInv[[#This Row],[Total Cost GBP]]/USDtoGBP</f>
        <v>0</v>
      </c>
      <c r="X310" s="33">
        <f>quantInv[[#This Row],[Total Cost GBP]]/CADtoGBP</f>
        <v>0</v>
      </c>
      <c r="Y310" s="33">
        <f>quantInv[[#This Row],[Quantity]]*quantInv[[#This Row],[UNIT
VALUE AUD]]</f>
        <v>0</v>
      </c>
      <c r="Z310" s="33"/>
    </row>
    <row r="311" spans="1:26" x14ac:dyDescent="0.25">
      <c r="A311" t="s">
        <v>737</v>
      </c>
      <c r="B311" t="s">
        <v>738</v>
      </c>
      <c r="C311" t="s">
        <v>114</v>
      </c>
      <c r="D311" t="s">
        <v>707</v>
      </c>
      <c r="E311">
        <v>6.73</v>
      </c>
      <c r="F311" s="33">
        <v>9.4646000000000008</v>
      </c>
      <c r="G311" s="33" t="s">
        <v>117</v>
      </c>
      <c r="H311" t="s">
        <v>1310</v>
      </c>
      <c r="I311" t="str">
        <f>IF(quantInv[[#This Row],[Metal]] = "925 Silver",  "7113.11.00"," 7113.19.00")</f>
        <v>7113.11.00</v>
      </c>
      <c r="J311" t="str">
        <f>IF(quantInv[[#This Row],[Metal]] = "925 Silver", "7113.11.10.00"," 7113.19.10.00")</f>
        <v>7113.11.10.00</v>
      </c>
      <c r="K311" t="str">
        <f>IF(quantInv[[#This Row],[Metal]] = "925 Silver",  "7113.11.00"," 7113.19.00")</f>
        <v>7113.11.00</v>
      </c>
      <c r="L311" t="str">
        <f>IFERROR(VLOOKUP(quantInv[[#This Row],[Description for New Invoice]],Map!$G$12:$H$32,2,FALSE), IF(quantInv[[#This Row],[Metal]] = "925 Silver", "7113.11.10.00", "7113.19.29.00"))</f>
        <v>7113.11.50.00</v>
      </c>
      <c r="M311" t="str">
        <f>quantInv[[#This Row],[ASIN]] &amp; " " &amp; quantInv[[#This Row],[Short Description]]</f>
        <v>B077MNB6CY Hinged Hoop Earrings</v>
      </c>
      <c r="N311" s="33">
        <f>quantInv[[#This Row],[UNIT
VALUE]] / EURtoGBP</f>
        <v>10.743446107393599</v>
      </c>
      <c r="O311" s="33">
        <f>quantInv[[#This Row],[UNIT
VALUE]]/USDtoGBP</f>
        <v>12.974394194244418</v>
      </c>
      <c r="P311" s="33">
        <f>quantInv[[#This Row],[UNIT
VALUE]] / CADtoGBP</f>
        <v>16.607970407960934</v>
      </c>
      <c r="Q311" s="33">
        <f>quantInv[[#This Row],[UNIT
VALUE]]/AUDtoGBP</f>
        <v>16.999425246066529</v>
      </c>
      <c r="R311">
        <f>IFERROR(VLOOKUP(quantInv[[#This Row],[Assigned Item SKU]],skuQuantity[#All],2,FALSE),0)</f>
        <v>0</v>
      </c>
      <c r="S311" t="str">
        <f>PROPER(quantInv[[#This Row],[Metal]] &amp; " " &amp; quantInv[[#This Row],[Item Type]])</f>
        <v>925 Silver Earrings</v>
      </c>
      <c r="T311" s="33">
        <f>quantInv[[#This Row],[Quantity]]*quantInv[[#This Row],[WEIGHT]]</f>
        <v>0</v>
      </c>
      <c r="U311" s="33">
        <f>quantInv[[#This Row],[UNIT
VALUE]]*quantInv[[#This Row],[Quantity]]</f>
        <v>0</v>
      </c>
      <c r="V311" s="33">
        <f>quantInv[[#This Row],[Total Cost GBP]]/EURtoGBP</f>
        <v>0</v>
      </c>
      <c r="W311" s="33">
        <f>quantInv[[#This Row],[Total Cost GBP]]/USDtoGBP</f>
        <v>0</v>
      </c>
      <c r="X311" s="33">
        <f>quantInv[[#This Row],[Total Cost GBP]]/CADtoGBP</f>
        <v>0</v>
      </c>
      <c r="Y311" s="33">
        <f>quantInv[[#This Row],[Quantity]]*quantInv[[#This Row],[UNIT
VALUE AUD]]</f>
        <v>0</v>
      </c>
      <c r="Z311" s="33"/>
    </row>
    <row r="312" spans="1:26" x14ac:dyDescent="0.25">
      <c r="A312" t="s">
        <v>739</v>
      </c>
      <c r="B312" t="s">
        <v>740</v>
      </c>
      <c r="C312" t="s">
        <v>114</v>
      </c>
      <c r="D312" t="s">
        <v>707</v>
      </c>
      <c r="E312">
        <v>1.2</v>
      </c>
      <c r="F312" s="33">
        <v>2.2724000000000002</v>
      </c>
      <c r="G312" s="33" t="s">
        <v>117</v>
      </c>
      <c r="H312" t="s">
        <v>1310</v>
      </c>
      <c r="I312" t="str">
        <f>IF(quantInv[[#This Row],[Metal]] = "925 Silver",  "7113.11.00"," 7113.19.00")</f>
        <v>7113.11.00</v>
      </c>
      <c r="J312" t="str">
        <f>IF(quantInv[[#This Row],[Metal]] = "925 Silver", "7113.11.10.00"," 7113.19.10.00")</f>
        <v>7113.11.10.00</v>
      </c>
      <c r="K312" t="str">
        <f>IF(quantInv[[#This Row],[Metal]] = "925 Silver",  "7113.11.00"," 7113.19.00")</f>
        <v>7113.11.00</v>
      </c>
      <c r="L312" t="str">
        <f>IFERROR(VLOOKUP(quantInv[[#This Row],[Description for New Invoice]],Map!$G$12:$H$32,2,FALSE), IF(quantInv[[#This Row],[Metal]] = "925 Silver", "7113.11.10.00", "7113.19.29.00"))</f>
        <v>7113.11.50.00</v>
      </c>
      <c r="M312" t="str">
        <f>quantInv[[#This Row],[ASIN]] &amp; " " &amp; quantInv[[#This Row],[Short Description]]</f>
        <v>B0783Q3T1V Hinged Hoop Earrings</v>
      </c>
      <c r="N312" s="33">
        <f>quantInv[[#This Row],[UNIT
VALUE]] / EURtoGBP</f>
        <v>2.5794441322867541</v>
      </c>
      <c r="O312" s="33">
        <f>quantInv[[#This Row],[UNIT
VALUE]]/USDtoGBP</f>
        <v>3.1150828737612803</v>
      </c>
      <c r="P312" s="33">
        <f>quantInv[[#This Row],[UNIT
VALUE]] / CADtoGBP</f>
        <v>3.9874851504607087</v>
      </c>
      <c r="Q312" s="33">
        <f>quantInv[[#This Row],[UNIT
VALUE]]/AUDtoGBP</f>
        <v>4.0814713700696892</v>
      </c>
      <c r="R312">
        <f>IFERROR(VLOOKUP(quantInv[[#This Row],[Assigned Item SKU]],skuQuantity[#All],2,FALSE),0)</f>
        <v>0</v>
      </c>
      <c r="S312" t="str">
        <f>PROPER(quantInv[[#This Row],[Metal]] &amp; " " &amp; quantInv[[#This Row],[Item Type]])</f>
        <v>925 Silver Earrings</v>
      </c>
      <c r="T312" s="33">
        <f>quantInv[[#This Row],[Quantity]]*quantInv[[#This Row],[WEIGHT]]</f>
        <v>0</v>
      </c>
      <c r="U312" s="33">
        <f>quantInv[[#This Row],[UNIT
VALUE]]*quantInv[[#This Row],[Quantity]]</f>
        <v>0</v>
      </c>
      <c r="V312" s="33">
        <f>quantInv[[#This Row],[Total Cost GBP]]/EURtoGBP</f>
        <v>0</v>
      </c>
      <c r="W312" s="33">
        <f>quantInv[[#This Row],[Total Cost GBP]]/USDtoGBP</f>
        <v>0</v>
      </c>
      <c r="X312" s="33">
        <f>quantInv[[#This Row],[Total Cost GBP]]/CADtoGBP</f>
        <v>0</v>
      </c>
      <c r="Y312" s="33">
        <f>quantInv[[#This Row],[Quantity]]*quantInv[[#This Row],[UNIT
VALUE AUD]]</f>
        <v>0</v>
      </c>
      <c r="Z312" s="33"/>
    </row>
    <row r="313" spans="1:26" x14ac:dyDescent="0.25">
      <c r="A313" t="s">
        <v>741</v>
      </c>
      <c r="B313" t="s">
        <v>742</v>
      </c>
      <c r="C313" t="s">
        <v>114</v>
      </c>
      <c r="D313" t="s">
        <v>707</v>
      </c>
      <c r="E313">
        <v>2.16</v>
      </c>
      <c r="F313" s="33">
        <v>3.5579000000000001</v>
      </c>
      <c r="G313" s="33" t="s">
        <v>117</v>
      </c>
      <c r="H313" t="s">
        <v>1310</v>
      </c>
      <c r="I313" t="str">
        <f>IF(quantInv[[#This Row],[Metal]] = "925 Silver",  "7113.11.00"," 7113.19.00")</f>
        <v>7113.11.00</v>
      </c>
      <c r="J313" t="str">
        <f>IF(quantInv[[#This Row],[Metal]] = "925 Silver", "7113.11.10.00"," 7113.19.10.00")</f>
        <v>7113.11.10.00</v>
      </c>
      <c r="K313" t="str">
        <f>IF(quantInv[[#This Row],[Metal]] = "925 Silver",  "7113.11.00"," 7113.19.00")</f>
        <v>7113.11.00</v>
      </c>
      <c r="L313" t="str">
        <f>IFERROR(VLOOKUP(quantInv[[#This Row],[Description for New Invoice]],Map!$G$12:$H$32,2,FALSE), IF(quantInv[[#This Row],[Metal]] = "925 Silver", "7113.11.10.00", "7113.19.29.00"))</f>
        <v>7113.11.50.00</v>
      </c>
      <c r="M313" t="str">
        <f>quantInv[[#This Row],[ASIN]] &amp; " " &amp; quantInv[[#This Row],[Short Description]]</f>
        <v>B077MJN75W Hinged Hoop Earrings</v>
      </c>
      <c r="N313" s="33">
        <f>quantInv[[#This Row],[UNIT
VALUE]] / EURtoGBP</f>
        <v>4.0386394465160365</v>
      </c>
      <c r="O313" s="33">
        <f>quantInv[[#This Row],[UNIT
VALUE]]/USDtoGBP</f>
        <v>4.8772898066164672</v>
      </c>
      <c r="P313" s="33">
        <f>quantInv[[#This Row],[UNIT
VALUE]] / CADtoGBP</f>
        <v>6.2432113258335482</v>
      </c>
      <c r="Q313" s="33">
        <f>quantInv[[#This Row],[UNIT
VALUE]]/AUDtoGBP</f>
        <v>6.3903656871901715</v>
      </c>
      <c r="R313">
        <f>IFERROR(VLOOKUP(quantInv[[#This Row],[Assigned Item SKU]],skuQuantity[#All],2,FALSE),0)</f>
        <v>0</v>
      </c>
      <c r="S313" t="str">
        <f>PROPER(quantInv[[#This Row],[Metal]] &amp; " " &amp; quantInv[[#This Row],[Item Type]])</f>
        <v>925 Silver Earrings</v>
      </c>
      <c r="T313" s="33">
        <f>quantInv[[#This Row],[Quantity]]*quantInv[[#This Row],[WEIGHT]]</f>
        <v>0</v>
      </c>
      <c r="U313" s="33">
        <f>quantInv[[#This Row],[UNIT
VALUE]]*quantInv[[#This Row],[Quantity]]</f>
        <v>0</v>
      </c>
      <c r="V313" s="33">
        <f>quantInv[[#This Row],[Total Cost GBP]]/EURtoGBP</f>
        <v>0</v>
      </c>
      <c r="W313" s="33">
        <f>quantInv[[#This Row],[Total Cost GBP]]/USDtoGBP</f>
        <v>0</v>
      </c>
      <c r="X313" s="33">
        <f>quantInv[[#This Row],[Total Cost GBP]]/CADtoGBP</f>
        <v>0</v>
      </c>
      <c r="Y313" s="33">
        <f>quantInv[[#This Row],[Quantity]]*quantInv[[#This Row],[UNIT
VALUE AUD]]</f>
        <v>0</v>
      </c>
      <c r="Z313" s="33"/>
    </row>
    <row r="314" spans="1:26" x14ac:dyDescent="0.25">
      <c r="A314" t="s">
        <v>743</v>
      </c>
      <c r="B314" t="s">
        <v>744</v>
      </c>
      <c r="C314" t="s">
        <v>114</v>
      </c>
      <c r="D314" t="s">
        <v>707</v>
      </c>
      <c r="E314">
        <v>3.1</v>
      </c>
      <c r="F314" s="33">
        <v>4.9690000000000003</v>
      </c>
      <c r="G314" s="33" t="s">
        <v>117</v>
      </c>
      <c r="H314" t="s">
        <v>1310</v>
      </c>
      <c r="I314" t="str">
        <f>IF(quantInv[[#This Row],[Metal]] = "925 Silver",  "7113.11.00"," 7113.19.00")</f>
        <v>7113.11.00</v>
      </c>
      <c r="J314" t="str">
        <f>IF(quantInv[[#This Row],[Metal]] = "925 Silver", "7113.11.10.00"," 7113.19.10.00")</f>
        <v>7113.11.10.00</v>
      </c>
      <c r="K314" t="str">
        <f>IF(quantInv[[#This Row],[Metal]] = "925 Silver",  "7113.11.00"," 7113.19.00")</f>
        <v>7113.11.00</v>
      </c>
      <c r="L314" t="str">
        <f>IFERROR(VLOOKUP(quantInv[[#This Row],[Description for New Invoice]],Map!$G$12:$H$32,2,FALSE), IF(quantInv[[#This Row],[Metal]] = "925 Silver", "7113.11.10.00", "7113.19.29.00"))</f>
        <v>7113.11.50.00</v>
      </c>
      <c r="M314" t="str">
        <f>quantInv[[#This Row],[ASIN]] &amp; " " &amp; quantInv[[#This Row],[Short Description]]</f>
        <v>B077MQDBZ4 Hinged Hoop Earrings</v>
      </c>
      <c r="N314" s="33">
        <f>quantInv[[#This Row],[UNIT
VALUE]] / EURtoGBP</f>
        <v>5.6404056914860412</v>
      </c>
      <c r="O314" s="33">
        <f>quantInv[[#This Row],[UNIT
VALUE]]/USDtoGBP</f>
        <v>6.8116734728568042</v>
      </c>
      <c r="P314" s="33">
        <f>quantInv[[#This Row],[UNIT
VALUE]] / CADtoGBP</f>
        <v>8.71933361760221</v>
      </c>
      <c r="Q314" s="33">
        <f>quantInv[[#This Row],[UNIT
VALUE]]/AUDtoGBP</f>
        <v>8.9248509231985054</v>
      </c>
      <c r="R314">
        <f>IFERROR(VLOOKUP(quantInv[[#This Row],[Assigned Item SKU]],skuQuantity[#All],2,FALSE),0)</f>
        <v>0</v>
      </c>
      <c r="S314" t="str">
        <f>PROPER(quantInv[[#This Row],[Metal]] &amp; " " &amp; quantInv[[#This Row],[Item Type]])</f>
        <v>925 Silver Earrings</v>
      </c>
      <c r="T314" s="33">
        <f>quantInv[[#This Row],[Quantity]]*quantInv[[#This Row],[WEIGHT]]</f>
        <v>0</v>
      </c>
      <c r="U314" s="33">
        <f>quantInv[[#This Row],[UNIT
VALUE]]*quantInv[[#This Row],[Quantity]]</f>
        <v>0</v>
      </c>
      <c r="V314" s="33">
        <f>quantInv[[#This Row],[Total Cost GBP]]/EURtoGBP</f>
        <v>0</v>
      </c>
      <c r="W314" s="33">
        <f>quantInv[[#This Row],[Total Cost GBP]]/USDtoGBP</f>
        <v>0</v>
      </c>
      <c r="X314" s="33">
        <f>quantInv[[#This Row],[Total Cost GBP]]/CADtoGBP</f>
        <v>0</v>
      </c>
      <c r="Y314" s="33">
        <f>quantInv[[#This Row],[Quantity]]*quantInv[[#This Row],[UNIT
VALUE AUD]]</f>
        <v>0</v>
      </c>
      <c r="Z314" s="33"/>
    </row>
    <row r="315" spans="1:26" x14ac:dyDescent="0.25">
      <c r="A315" t="s">
        <v>745</v>
      </c>
      <c r="B315" t="s">
        <v>746</v>
      </c>
      <c r="C315" t="s">
        <v>114</v>
      </c>
      <c r="D315" t="s">
        <v>707</v>
      </c>
      <c r="E315">
        <v>4.29</v>
      </c>
      <c r="F315" s="33">
        <v>6.2366999999999999</v>
      </c>
      <c r="G315" s="33" t="s">
        <v>117</v>
      </c>
      <c r="H315" t="s">
        <v>1310</v>
      </c>
      <c r="I315" t="str">
        <f>IF(quantInv[[#This Row],[Metal]] = "925 Silver",  "7113.11.00"," 7113.19.00")</f>
        <v>7113.11.00</v>
      </c>
      <c r="J315" t="str">
        <f>IF(quantInv[[#This Row],[Metal]] = "925 Silver", "7113.11.10.00"," 7113.19.10.00")</f>
        <v>7113.11.10.00</v>
      </c>
      <c r="K315" t="str">
        <f>IF(quantInv[[#This Row],[Metal]] = "925 Silver",  "7113.11.00"," 7113.19.00")</f>
        <v>7113.11.00</v>
      </c>
      <c r="L315" t="str">
        <f>IFERROR(VLOOKUP(quantInv[[#This Row],[Description for New Invoice]],Map!$G$12:$H$32,2,FALSE), IF(quantInv[[#This Row],[Metal]] = "925 Silver", "7113.11.10.00", "7113.19.29.00"))</f>
        <v>7113.11.50.00</v>
      </c>
      <c r="M315" t="str">
        <f>quantInv[[#This Row],[ASIN]] &amp; " " &amp; quantInv[[#This Row],[Short Description]]</f>
        <v>B077MJNZC7 Hinged Hoop Earrings</v>
      </c>
      <c r="N315" s="33">
        <f>quantInv[[#This Row],[UNIT
VALUE]] / EURtoGBP</f>
        <v>7.0793958897345526</v>
      </c>
      <c r="O315" s="33">
        <f>quantInv[[#This Row],[UNIT
VALUE]]/USDtoGBP</f>
        <v>8.5494795629233309</v>
      </c>
      <c r="P315" s="33">
        <f>quantInv[[#This Row],[UNIT
VALUE]] / CADtoGBP</f>
        <v>10.94382531151131</v>
      </c>
      <c r="Q315" s="33">
        <f>quantInv[[#This Row],[UNIT
VALUE]]/AUDtoGBP</f>
        <v>11.201774552769594</v>
      </c>
      <c r="R315">
        <f>IFERROR(VLOOKUP(quantInv[[#This Row],[Assigned Item SKU]],skuQuantity[#All],2,FALSE),0)</f>
        <v>0</v>
      </c>
      <c r="S315" t="str">
        <f>PROPER(quantInv[[#This Row],[Metal]] &amp; " " &amp; quantInv[[#This Row],[Item Type]])</f>
        <v>925 Silver Earrings</v>
      </c>
      <c r="T315" s="33">
        <f>quantInv[[#This Row],[Quantity]]*quantInv[[#This Row],[WEIGHT]]</f>
        <v>0</v>
      </c>
      <c r="U315" s="33">
        <f>quantInv[[#This Row],[UNIT
VALUE]]*quantInv[[#This Row],[Quantity]]</f>
        <v>0</v>
      </c>
      <c r="V315" s="33">
        <f>quantInv[[#This Row],[Total Cost GBP]]/EURtoGBP</f>
        <v>0</v>
      </c>
      <c r="W315" s="33">
        <f>quantInv[[#This Row],[Total Cost GBP]]/USDtoGBP</f>
        <v>0</v>
      </c>
      <c r="X315" s="33">
        <f>quantInv[[#This Row],[Total Cost GBP]]/CADtoGBP</f>
        <v>0</v>
      </c>
      <c r="Y315" s="33">
        <f>quantInv[[#This Row],[Quantity]]*quantInv[[#This Row],[UNIT
VALUE AUD]]</f>
        <v>0</v>
      </c>
      <c r="Z315" s="33"/>
    </row>
    <row r="316" spans="1:26" x14ac:dyDescent="0.25">
      <c r="A316" t="s">
        <v>747</v>
      </c>
      <c r="B316" t="s">
        <v>748</v>
      </c>
      <c r="C316" t="s">
        <v>114</v>
      </c>
      <c r="D316" t="s">
        <v>707</v>
      </c>
      <c r="E316">
        <v>5.94</v>
      </c>
      <c r="F316" s="33">
        <v>8.3008000000000006</v>
      </c>
      <c r="G316" s="33" t="s">
        <v>117</v>
      </c>
      <c r="H316" t="s">
        <v>1310</v>
      </c>
      <c r="I316" t="str">
        <f>IF(quantInv[[#This Row],[Metal]] = "925 Silver",  "7113.11.00"," 7113.19.00")</f>
        <v>7113.11.00</v>
      </c>
      <c r="J316" t="str">
        <f>IF(quantInv[[#This Row],[Metal]] = "925 Silver", "7113.11.10.00"," 7113.19.10.00")</f>
        <v>7113.11.10.00</v>
      </c>
      <c r="K316" t="str">
        <f>IF(quantInv[[#This Row],[Metal]] = "925 Silver",  "7113.11.00"," 7113.19.00")</f>
        <v>7113.11.00</v>
      </c>
      <c r="L316" t="str">
        <f>IFERROR(VLOOKUP(quantInv[[#This Row],[Description for New Invoice]],Map!$G$12:$H$32,2,FALSE), IF(quantInv[[#This Row],[Metal]] = "925 Silver", "7113.11.10.00", "7113.19.29.00"))</f>
        <v>7113.11.50.00</v>
      </c>
      <c r="M316" t="str">
        <f>quantInv[[#This Row],[ASIN]] &amp; " " &amp; quantInv[[#This Row],[Short Description]]</f>
        <v>B077MGCJCQ Hinged Hoop Earrings</v>
      </c>
      <c r="N316" s="33">
        <f>quantInv[[#This Row],[UNIT
VALUE]] / EURtoGBP</f>
        <v>9.4223947602912723</v>
      </c>
      <c r="O316" s="33">
        <f>quantInv[[#This Row],[UNIT
VALUE]]/USDtoGBP</f>
        <v>11.379017742702709</v>
      </c>
      <c r="P316" s="33">
        <f>quantInv[[#This Row],[UNIT
VALUE]] / CADtoGBP</f>
        <v>14.565796839000287</v>
      </c>
      <c r="Q316" s="33">
        <f>quantInv[[#This Row],[UNIT
VALUE]]/AUDtoGBP</f>
        <v>14.909117034269704</v>
      </c>
      <c r="R316">
        <f>IFERROR(VLOOKUP(quantInv[[#This Row],[Assigned Item SKU]],skuQuantity[#All],2,FALSE),0)</f>
        <v>0</v>
      </c>
      <c r="S316" t="str">
        <f>PROPER(quantInv[[#This Row],[Metal]] &amp; " " &amp; quantInv[[#This Row],[Item Type]])</f>
        <v>925 Silver Earrings</v>
      </c>
      <c r="T316" s="33">
        <f>quantInv[[#This Row],[Quantity]]*quantInv[[#This Row],[WEIGHT]]</f>
        <v>0</v>
      </c>
      <c r="U316" s="33">
        <f>quantInv[[#This Row],[UNIT
VALUE]]*quantInv[[#This Row],[Quantity]]</f>
        <v>0</v>
      </c>
      <c r="V316" s="33">
        <f>quantInv[[#This Row],[Total Cost GBP]]/EURtoGBP</f>
        <v>0</v>
      </c>
      <c r="W316" s="33">
        <f>quantInv[[#This Row],[Total Cost GBP]]/USDtoGBP</f>
        <v>0</v>
      </c>
      <c r="X316" s="33">
        <f>quantInv[[#This Row],[Total Cost GBP]]/CADtoGBP</f>
        <v>0</v>
      </c>
      <c r="Y316" s="33">
        <f>quantInv[[#This Row],[Quantity]]*quantInv[[#This Row],[UNIT
VALUE AUD]]</f>
        <v>0</v>
      </c>
      <c r="Z316" s="33"/>
    </row>
    <row r="317" spans="1:26" x14ac:dyDescent="0.25">
      <c r="A317" t="s">
        <v>749</v>
      </c>
      <c r="B317" t="s">
        <v>750</v>
      </c>
      <c r="C317" t="s">
        <v>114</v>
      </c>
      <c r="D317" t="s">
        <v>707</v>
      </c>
      <c r="E317">
        <v>6.73</v>
      </c>
      <c r="F317" s="33">
        <v>9.4646000000000008</v>
      </c>
      <c r="G317" s="33" t="s">
        <v>117</v>
      </c>
      <c r="H317" t="s">
        <v>1310</v>
      </c>
      <c r="I317" t="str">
        <f>IF(quantInv[[#This Row],[Metal]] = "925 Silver",  "7113.11.00"," 7113.19.00")</f>
        <v>7113.11.00</v>
      </c>
      <c r="J317" t="str">
        <f>IF(quantInv[[#This Row],[Metal]] = "925 Silver", "7113.11.10.00"," 7113.19.10.00")</f>
        <v>7113.11.10.00</v>
      </c>
      <c r="K317" t="str">
        <f>IF(quantInv[[#This Row],[Metal]] = "925 Silver",  "7113.11.00"," 7113.19.00")</f>
        <v>7113.11.00</v>
      </c>
      <c r="L317" t="str">
        <f>IFERROR(VLOOKUP(quantInv[[#This Row],[Description for New Invoice]],Map!$G$12:$H$32,2,FALSE), IF(quantInv[[#This Row],[Metal]] = "925 Silver", "7113.11.10.00", "7113.19.29.00"))</f>
        <v>7113.11.50.00</v>
      </c>
      <c r="M317" t="str">
        <f>quantInv[[#This Row],[ASIN]] &amp; " " &amp; quantInv[[#This Row],[Short Description]]</f>
        <v>B077MRKFV9 Hinged Hoop Earrings</v>
      </c>
      <c r="N317" s="33">
        <f>quantInv[[#This Row],[UNIT
VALUE]] / EURtoGBP</f>
        <v>10.743446107393599</v>
      </c>
      <c r="O317" s="33">
        <f>quantInv[[#This Row],[UNIT
VALUE]]/USDtoGBP</f>
        <v>12.974394194244418</v>
      </c>
      <c r="P317" s="33">
        <f>quantInv[[#This Row],[UNIT
VALUE]] / CADtoGBP</f>
        <v>16.607970407960934</v>
      </c>
      <c r="Q317" s="33">
        <f>quantInv[[#This Row],[UNIT
VALUE]]/AUDtoGBP</f>
        <v>16.999425246066529</v>
      </c>
      <c r="R317">
        <f>IFERROR(VLOOKUP(quantInv[[#This Row],[Assigned Item SKU]],skuQuantity[#All],2,FALSE),0)</f>
        <v>0</v>
      </c>
      <c r="S317" t="str">
        <f>PROPER(quantInv[[#This Row],[Metal]] &amp; " " &amp; quantInv[[#This Row],[Item Type]])</f>
        <v>925 Silver Earrings</v>
      </c>
      <c r="T317" s="33">
        <f>quantInv[[#This Row],[Quantity]]*quantInv[[#This Row],[WEIGHT]]</f>
        <v>0</v>
      </c>
      <c r="U317" s="33">
        <f>quantInv[[#This Row],[UNIT
VALUE]]*quantInv[[#This Row],[Quantity]]</f>
        <v>0</v>
      </c>
      <c r="V317" s="33">
        <f>quantInv[[#This Row],[Total Cost GBP]]/EURtoGBP</f>
        <v>0</v>
      </c>
      <c r="W317" s="33">
        <f>quantInv[[#This Row],[Total Cost GBP]]/USDtoGBP</f>
        <v>0</v>
      </c>
      <c r="X317" s="33">
        <f>quantInv[[#This Row],[Total Cost GBP]]/CADtoGBP</f>
        <v>0</v>
      </c>
      <c r="Y317" s="33">
        <f>quantInv[[#This Row],[Quantity]]*quantInv[[#This Row],[UNIT
VALUE AUD]]</f>
        <v>0</v>
      </c>
      <c r="Z317" s="33"/>
    </row>
    <row r="318" spans="1:26" x14ac:dyDescent="0.25">
      <c r="A318" t="s">
        <v>2075</v>
      </c>
      <c r="B318" t="s">
        <v>2076</v>
      </c>
      <c r="C318" t="s">
        <v>115</v>
      </c>
      <c r="D318" t="s">
        <v>2077</v>
      </c>
      <c r="E318">
        <v>5.39</v>
      </c>
      <c r="F318" s="33">
        <v>8.1461000000000006</v>
      </c>
      <c r="G318" s="33" t="s">
        <v>117</v>
      </c>
      <c r="H318" t="s">
        <v>1451</v>
      </c>
      <c r="I318" t="str">
        <f>IF(quantInv[[#This Row],[Metal]] = "925 Silver",  "7113.11.00"," 7113.19.00")</f>
        <v>7113.11.00</v>
      </c>
      <c r="J318" t="str">
        <f>IF(quantInv[[#This Row],[Metal]] = "925 Silver", "7113.11.10.00"," 7113.19.10.00")</f>
        <v>7113.11.10.00</v>
      </c>
      <c r="K318" t="str">
        <f>IF(quantInv[[#This Row],[Metal]] = "925 Silver",  "7113.11.00"," 7113.19.00")</f>
        <v>7113.11.00</v>
      </c>
      <c r="L318" t="str">
        <f>IFERROR(VLOOKUP(quantInv[[#This Row],[Description for New Invoice]],Map!$G$12:$H$32,2,FALSE), IF(quantInv[[#This Row],[Metal]] = "925 Silver", "7113.11.10.00", "7113.19.29.00"))</f>
        <v>7113.11.50.00</v>
      </c>
      <c r="M318" t="str">
        <f>quantInv[[#This Row],[ASIN]] &amp; " " &amp; quantInv[[#This Row],[Short Description]]</f>
        <v>B08MFPGSKG Polished Big Cross Pendant</v>
      </c>
      <c r="N318" s="33">
        <f>quantInv[[#This Row],[UNIT
VALUE]] / EURtoGBP</f>
        <v>9.2467918702786154</v>
      </c>
      <c r="O318" s="33">
        <f>quantInv[[#This Row],[UNIT
VALUE]]/USDtoGBP</f>
        <v>11.166949743859693</v>
      </c>
      <c r="P318" s="33">
        <f>quantInv[[#This Row],[UNIT
VALUE]] / CADtoGBP</f>
        <v>14.2943376096497</v>
      </c>
      <c r="Q318" s="33">
        <f>quantInv[[#This Row],[UNIT
VALUE]]/AUDtoGBP</f>
        <v>14.631259429556721</v>
      </c>
      <c r="R318">
        <f>IFERROR(VLOOKUP(quantInv[[#This Row],[Assigned Item SKU]],skuQuantity[#All],2,FALSE),0)</f>
        <v>0</v>
      </c>
      <c r="S318" t="str">
        <f>PROPER(quantInv[[#This Row],[Metal]] &amp; " " &amp; quantInv[[#This Row],[Item Type]])</f>
        <v>925 Silver Pendant</v>
      </c>
      <c r="T318" s="33">
        <f>quantInv[[#This Row],[Quantity]]*quantInv[[#This Row],[WEIGHT]]</f>
        <v>0</v>
      </c>
      <c r="U318" s="33">
        <f>quantInv[[#This Row],[UNIT
VALUE]]*quantInv[[#This Row],[Quantity]]</f>
        <v>0</v>
      </c>
      <c r="V318" s="33">
        <f>quantInv[[#This Row],[Total Cost GBP]]/EURtoGBP</f>
        <v>0</v>
      </c>
      <c r="W318" s="33">
        <f>quantInv[[#This Row],[Total Cost GBP]]/USDtoGBP</f>
        <v>0</v>
      </c>
      <c r="X318" s="33">
        <f>quantInv[[#This Row],[Total Cost GBP]]/CADtoGBP</f>
        <v>0</v>
      </c>
      <c r="Y318" s="33">
        <f>quantInv[[#This Row],[Quantity]]*quantInv[[#This Row],[UNIT
VALUE AUD]]</f>
        <v>0</v>
      </c>
      <c r="Z318" s="33"/>
    </row>
    <row r="319" spans="1:26" x14ac:dyDescent="0.25">
      <c r="A319" t="s">
        <v>2189</v>
      </c>
      <c r="B319" t="s">
        <v>2190</v>
      </c>
      <c r="C319" t="s">
        <v>114</v>
      </c>
      <c r="D319" t="s">
        <v>2191</v>
      </c>
      <c r="E319">
        <v>9.27</v>
      </c>
      <c r="F319" s="33">
        <v>8.5686999999999998</v>
      </c>
      <c r="G319" s="33" t="s">
        <v>117</v>
      </c>
      <c r="H319" t="s">
        <v>103</v>
      </c>
      <c r="I319" t="str">
        <f>IF(quantInv[[#This Row],[Metal]] = "925 Silver",  "7113.11.00"," 7113.19.00")</f>
        <v>7113.11.00</v>
      </c>
      <c r="J319" t="str">
        <f>IF(quantInv[[#This Row],[Metal]] = "925 Silver", "7113.11.10.00"," 7113.19.10.00")</f>
        <v>7113.11.10.00</v>
      </c>
      <c r="K319" t="str">
        <f>IF(quantInv[[#This Row],[Metal]] = "925 Silver",  "7113.11.00"," 7113.19.00")</f>
        <v>7113.11.00</v>
      </c>
      <c r="L319" t="str">
        <f>IFERROR(VLOOKUP(quantInv[[#This Row],[Description for New Invoice]],Map!$G$12:$H$32,2,FALSE), IF(quantInv[[#This Row],[Metal]] = "925 Silver", "7113.11.10.00", "7113.19.29.00"))</f>
        <v>7113.11.10.00</v>
      </c>
      <c r="M319" t="str">
        <f>quantInv[[#This Row],[ASIN]] &amp; " " &amp; quantInv[[#This Row],[Short Description]]</f>
        <v>B08LW53JQ3 Chain - Super Flat Figaro - Gauge 120 - Width 4.7 mm - Length 45 cm</v>
      </c>
      <c r="N319" s="33">
        <f>quantInv[[#This Row],[UNIT
VALUE]] / EURtoGBP</f>
        <v>9.7264931069906293</v>
      </c>
      <c r="O319" s="33">
        <f>quantInv[[#This Row],[UNIT
VALUE]]/USDtoGBP</f>
        <v>11.746264135010685</v>
      </c>
      <c r="P319" s="33">
        <f>quantInv[[#This Row],[UNIT
VALUE]] / CADtoGBP</f>
        <v>15.035893332491055</v>
      </c>
      <c r="Q319" s="33">
        <f>quantInv[[#This Row],[UNIT
VALUE]]/AUDtoGBP</f>
        <v>15.390293842948486</v>
      </c>
      <c r="R319">
        <f>IFERROR(VLOOKUP(quantInv[[#This Row],[Assigned Item SKU]],skuQuantity[#All],2,FALSE),0)</f>
        <v>5</v>
      </c>
      <c r="S319" t="str">
        <f>PROPER(quantInv[[#This Row],[Metal]] &amp; " " &amp; quantInv[[#This Row],[Item Type]])</f>
        <v>925 Silver Chain</v>
      </c>
      <c r="T319" s="33">
        <f>quantInv[[#This Row],[Quantity]]*quantInv[[#This Row],[WEIGHT]]</f>
        <v>46.349999999999994</v>
      </c>
      <c r="U319" s="33">
        <f>quantInv[[#This Row],[UNIT
VALUE]]*quantInv[[#This Row],[Quantity]]</f>
        <v>42.843499999999999</v>
      </c>
      <c r="V319" s="33">
        <f>quantInv[[#This Row],[Total Cost GBP]]/EURtoGBP</f>
        <v>48.632465534953148</v>
      </c>
      <c r="W319" s="33">
        <f>quantInv[[#This Row],[Total Cost GBP]]/USDtoGBP</f>
        <v>58.731320675053425</v>
      </c>
      <c r="X319" s="33">
        <f>quantInv[[#This Row],[Total Cost GBP]]/CADtoGBP</f>
        <v>75.179466662455269</v>
      </c>
      <c r="Y319" s="33">
        <f>quantInv[[#This Row],[Quantity]]*quantInv[[#This Row],[UNIT
VALUE AUD]]</f>
        <v>76.951469214742431</v>
      </c>
      <c r="Z319" s="33"/>
    </row>
    <row r="320" spans="1:26" x14ac:dyDescent="0.25">
      <c r="A320" t="s">
        <v>1</v>
      </c>
      <c r="B320" t="s">
        <v>754</v>
      </c>
      <c r="C320" t="s">
        <v>114</v>
      </c>
      <c r="D320" t="s">
        <v>707</v>
      </c>
      <c r="E320">
        <v>2.65</v>
      </c>
      <c r="F320" s="33">
        <v>3.5749</v>
      </c>
      <c r="G320" s="33" t="s">
        <v>117</v>
      </c>
      <c r="H320" t="s">
        <v>1310</v>
      </c>
      <c r="I320" t="str">
        <f>IF(quantInv[[#This Row],[Metal]] = "925 Silver",  "7113.11.00"," 7113.19.00")</f>
        <v>7113.11.00</v>
      </c>
      <c r="J320" t="str">
        <f>IF(quantInv[[#This Row],[Metal]] = "925 Silver", "7113.11.10.00"," 7113.19.10.00")</f>
        <v>7113.11.10.00</v>
      </c>
      <c r="K320" t="str">
        <f>IF(quantInv[[#This Row],[Metal]] = "925 Silver",  "7113.11.00"," 7113.19.00")</f>
        <v>7113.11.00</v>
      </c>
      <c r="L320" t="str">
        <f>IFERROR(VLOOKUP(quantInv[[#This Row],[Description for New Invoice]],Map!$G$12:$H$32,2,FALSE), IF(quantInv[[#This Row],[Metal]] = "925 Silver", "7113.11.10.00", "7113.19.29.00"))</f>
        <v>7113.11.50.00</v>
      </c>
      <c r="M320" t="str">
        <f>quantInv[[#This Row],[ASIN]] &amp; " " &amp; quantInv[[#This Row],[Short Description]]</f>
        <v>B06XZ8ZM2L Hinged Hoop Earrings</v>
      </c>
      <c r="N320" s="33">
        <f>quantInv[[#This Row],[UNIT
VALUE]] / EURtoGBP</f>
        <v>4.0579364673965479</v>
      </c>
      <c r="O320" s="33">
        <f>quantInv[[#This Row],[UNIT
VALUE]]/USDtoGBP</f>
        <v>4.9005939823135014</v>
      </c>
      <c r="P320" s="33">
        <f>quantInv[[#This Row],[UNIT
VALUE]] / CADtoGBP</f>
        <v>6.2730420103775684</v>
      </c>
      <c r="Q320" s="33">
        <f>quantInv[[#This Row],[UNIT
VALUE]]/AUDtoGBP</f>
        <v>6.4208994899058833</v>
      </c>
      <c r="R320">
        <f>IFERROR(VLOOKUP(quantInv[[#This Row],[Assigned Item SKU]],skuQuantity[#All],2,FALSE),0)</f>
        <v>5</v>
      </c>
      <c r="S320" t="str">
        <f>PROPER(quantInv[[#This Row],[Metal]] &amp; " " &amp; quantInv[[#This Row],[Item Type]])</f>
        <v>925 Silver Earrings</v>
      </c>
      <c r="T320" s="33">
        <f>quantInv[[#This Row],[Quantity]]*quantInv[[#This Row],[WEIGHT]]</f>
        <v>13.25</v>
      </c>
      <c r="U320" s="33">
        <f>quantInv[[#This Row],[UNIT
VALUE]]*quantInv[[#This Row],[Quantity]]</f>
        <v>17.874500000000001</v>
      </c>
      <c r="V320" s="33">
        <f>quantInv[[#This Row],[Total Cost GBP]]/EURtoGBP</f>
        <v>20.289682336982743</v>
      </c>
      <c r="W320" s="33">
        <f>quantInv[[#This Row],[Total Cost GBP]]/USDtoGBP</f>
        <v>24.502969911567508</v>
      </c>
      <c r="X320" s="33">
        <f>quantInv[[#This Row],[Total Cost GBP]]/CADtoGBP</f>
        <v>31.365210051887843</v>
      </c>
      <c r="Y320" s="33">
        <f>quantInv[[#This Row],[Quantity]]*quantInv[[#This Row],[UNIT
VALUE AUD]]</f>
        <v>32.104497449529418</v>
      </c>
      <c r="Z320" s="33"/>
    </row>
    <row r="321" spans="1:26" x14ac:dyDescent="0.25">
      <c r="A321" t="s">
        <v>2243</v>
      </c>
      <c r="B321" t="s">
        <v>2244</v>
      </c>
      <c r="C321" t="s">
        <v>114</v>
      </c>
      <c r="D321" t="s">
        <v>2245</v>
      </c>
      <c r="E321">
        <v>1.37</v>
      </c>
      <c r="F321" s="33">
        <v>1.9639</v>
      </c>
      <c r="G321" s="33" t="s">
        <v>117</v>
      </c>
      <c r="H321" t="s">
        <v>1414</v>
      </c>
      <c r="I321" t="str">
        <f>IF(quantInv[[#This Row],[Metal]] = "925 Silver",  "7113.11.00"," 7113.19.00")</f>
        <v>7113.11.00</v>
      </c>
      <c r="J321" t="str">
        <f>IF(quantInv[[#This Row],[Metal]] = "925 Silver", "7113.11.10.00"," 7113.19.10.00")</f>
        <v>7113.11.10.00</v>
      </c>
      <c r="K321" t="str">
        <f>IF(quantInv[[#This Row],[Metal]] = "925 Silver",  "7113.11.00"," 7113.19.00")</f>
        <v>7113.11.00</v>
      </c>
      <c r="L321" t="str">
        <f>IFERROR(VLOOKUP(quantInv[[#This Row],[Description for New Invoice]],Map!$G$12:$H$32,2,FALSE), IF(quantInv[[#This Row],[Metal]] = "925 Silver", "7113.11.10.00", "7113.19.29.00"))</f>
        <v>7113.11.10.00</v>
      </c>
      <c r="M321" t="str">
        <f>quantInv[[#This Row],[ASIN]] &amp; " " &amp; quantInv[[#This Row],[Short Description]]</f>
        <v>B091V3TMGW Rose Plated Heart Chain</v>
      </c>
      <c r="N321" s="33">
        <f>quantInv[[#This Row],[UNIT
VALUE]] / EURtoGBP</f>
        <v>2.2292599592492324</v>
      </c>
      <c r="O321" s="33">
        <f>quantInv[[#This Row],[UNIT
VALUE]]/USDtoGBP</f>
        <v>2.6921806265533261</v>
      </c>
      <c r="P321" s="33">
        <f>quantInv[[#This Row],[UNIT
VALUE]] / CADtoGBP</f>
        <v>3.44614596329422</v>
      </c>
      <c r="Q321" s="33">
        <f>quantInv[[#This Row],[UNIT
VALUE]]/AUDtoGBP</f>
        <v>3.527372656081615</v>
      </c>
      <c r="R321">
        <f>IFERROR(VLOOKUP(quantInv[[#This Row],[Assigned Item SKU]],skuQuantity[#All],2,FALSE),0)</f>
        <v>10</v>
      </c>
      <c r="S321" t="str">
        <f>PROPER(quantInv[[#This Row],[Metal]] &amp; " " &amp; quantInv[[#This Row],[Item Type]])</f>
        <v>925 Silver Bracelet</v>
      </c>
      <c r="T321" s="33">
        <f>quantInv[[#This Row],[Quantity]]*quantInv[[#This Row],[WEIGHT]]</f>
        <v>13.700000000000001</v>
      </c>
      <c r="U321" s="33">
        <f>quantInv[[#This Row],[UNIT
VALUE]]*quantInv[[#This Row],[Quantity]]</f>
        <v>19.638999999999999</v>
      </c>
      <c r="V321" s="33">
        <f>quantInv[[#This Row],[Total Cost GBP]]/EURtoGBP</f>
        <v>22.292599592492323</v>
      </c>
      <c r="W321" s="33">
        <f>quantInv[[#This Row],[Total Cost GBP]]/USDtoGBP</f>
        <v>26.92180626553326</v>
      </c>
      <c r="X321" s="33">
        <f>quantInv[[#This Row],[Total Cost GBP]]/CADtoGBP</f>
        <v>34.461459632942194</v>
      </c>
      <c r="Y321" s="33">
        <f>quantInv[[#This Row],[Quantity]]*quantInv[[#This Row],[UNIT
VALUE AUD]]</f>
        <v>35.273726560816151</v>
      </c>
      <c r="Z321" s="33"/>
    </row>
    <row r="322" spans="1:26" x14ac:dyDescent="0.25">
      <c r="A322" t="s">
        <v>2258</v>
      </c>
      <c r="B322" t="s">
        <v>2259</v>
      </c>
      <c r="C322" t="s">
        <v>115</v>
      </c>
      <c r="D322" t="s">
        <v>2260</v>
      </c>
      <c r="E322">
        <v>1.6</v>
      </c>
      <c r="F322" s="33">
        <v>2.5729000000000002</v>
      </c>
      <c r="G322" s="33" t="s">
        <v>117</v>
      </c>
      <c r="H322" t="s">
        <v>1310</v>
      </c>
      <c r="I322" t="str">
        <f>IF(quantInv[[#This Row],[Metal]] = "925 Silver",  "7113.11.00"," 7113.19.00")</f>
        <v>7113.11.00</v>
      </c>
      <c r="J322" t="str">
        <f>IF(quantInv[[#This Row],[Metal]] = "925 Silver", "7113.11.10.00"," 7113.19.10.00")</f>
        <v>7113.11.10.00</v>
      </c>
      <c r="K322" t="str">
        <f>IF(quantInv[[#This Row],[Metal]] = "925 Silver",  "7113.11.00"," 7113.19.00")</f>
        <v>7113.11.00</v>
      </c>
      <c r="L322" t="str">
        <f>IFERROR(VLOOKUP(quantInv[[#This Row],[Description for New Invoice]],Map!$G$12:$H$32,2,FALSE), IF(quantInv[[#This Row],[Metal]] = "925 Silver", "7113.11.10.00", "7113.19.29.00"))</f>
        <v>7113.11.50.00</v>
      </c>
      <c r="M322" t="str">
        <f>quantInv[[#This Row],[ASIN]] &amp; " " &amp; quantInv[[#This Row],[Short Description]]</f>
        <v>B08ZSTPC2F Yellow Gold Plated Pearl Studs (white) - 7 to 8 mm</v>
      </c>
      <c r="N322" s="33">
        <f>quantInv[[#This Row],[UNIT
VALUE]] / EURtoGBP</f>
        <v>2.9205473543216818</v>
      </c>
      <c r="O322" s="33">
        <f>quantInv[[#This Row],[UNIT
VALUE]]/USDtoGBP</f>
        <v>3.5270184500529829</v>
      </c>
      <c r="P322" s="33">
        <f>quantInv[[#This Row],[UNIT
VALUE]] / CADtoGBP</f>
        <v>4.5147863684300109</v>
      </c>
      <c r="Q322" s="33">
        <f>quantInv[[#This Row],[UNIT
VALUE]]/AUDtoGBP</f>
        <v>4.6212012357209566</v>
      </c>
      <c r="R322">
        <f>IFERROR(VLOOKUP(quantInv[[#This Row],[Assigned Item SKU]],skuQuantity[#All],2,FALSE),0)</f>
        <v>5</v>
      </c>
      <c r="S322" t="str">
        <f>PROPER(quantInv[[#This Row],[Metal]] &amp; " " &amp; quantInv[[#This Row],[Item Type]])</f>
        <v>925 Silver Earrings</v>
      </c>
      <c r="T322" s="33">
        <f>quantInv[[#This Row],[Quantity]]*quantInv[[#This Row],[WEIGHT]]</f>
        <v>8</v>
      </c>
      <c r="U322" s="33">
        <f>quantInv[[#This Row],[UNIT
VALUE]]*quantInv[[#This Row],[Quantity]]</f>
        <v>12.864500000000001</v>
      </c>
      <c r="V322" s="33">
        <f>quantInv[[#This Row],[Total Cost GBP]]/EURtoGBP</f>
        <v>14.602736771608408</v>
      </c>
      <c r="W322" s="33">
        <f>quantInv[[#This Row],[Total Cost GBP]]/USDtoGBP</f>
        <v>17.635092250264915</v>
      </c>
      <c r="X322" s="33">
        <f>quantInv[[#This Row],[Total Cost GBP]]/CADtoGBP</f>
        <v>22.573931842150056</v>
      </c>
      <c r="Y322" s="33">
        <f>quantInv[[#This Row],[Quantity]]*quantInv[[#This Row],[UNIT
VALUE AUD]]</f>
        <v>23.106006178604783</v>
      </c>
      <c r="Z322" s="33"/>
    </row>
    <row r="323" spans="1:26" x14ac:dyDescent="0.25">
      <c r="A323" t="s">
        <v>758</v>
      </c>
      <c r="B323" t="s">
        <v>759</v>
      </c>
      <c r="C323" t="s">
        <v>114</v>
      </c>
      <c r="D323" t="s">
        <v>707</v>
      </c>
      <c r="E323">
        <v>6.73</v>
      </c>
      <c r="F323" s="33">
        <v>7.2709000000000001</v>
      </c>
      <c r="G323" s="33" t="s">
        <v>117</v>
      </c>
      <c r="H323" t="s">
        <v>1310</v>
      </c>
      <c r="I323" t="str">
        <f>IF(quantInv[[#This Row],[Metal]] = "925 Silver",  "7113.11.00"," 7113.19.00")</f>
        <v>7113.11.00</v>
      </c>
      <c r="J323" t="str">
        <f>IF(quantInv[[#This Row],[Metal]] = "925 Silver", "7113.11.10.00"," 7113.19.10.00")</f>
        <v>7113.11.10.00</v>
      </c>
      <c r="K323" t="str">
        <f>IF(quantInv[[#This Row],[Metal]] = "925 Silver",  "7113.11.00"," 7113.19.00")</f>
        <v>7113.11.00</v>
      </c>
      <c r="L323" t="str">
        <f>IFERROR(VLOOKUP(quantInv[[#This Row],[Description for New Invoice]],Map!$G$12:$H$32,2,FALSE), IF(quantInv[[#This Row],[Metal]] = "925 Silver", "7113.11.10.00", "7113.19.29.00"))</f>
        <v>7113.11.50.00</v>
      </c>
      <c r="M323" t="str">
        <f>quantInv[[#This Row],[ASIN]] &amp; " " &amp; quantInv[[#This Row],[Short Description]]</f>
        <v>B06XZC1RWB Hinged Hoop Earrings</v>
      </c>
      <c r="N323" s="33">
        <f>quantInv[[#This Row],[UNIT
VALUE]] / EURtoGBP</f>
        <v>8.2533358305948585</v>
      </c>
      <c r="O323" s="33">
        <f>quantInv[[#This Row],[UNIT
VALUE]]/USDtoGBP</f>
        <v>9.9671959456217625</v>
      </c>
      <c r="P323" s="33">
        <f>quantInv[[#This Row],[UNIT
VALUE]] / CADtoGBP</f>
        <v>12.758583779477542</v>
      </c>
      <c r="Q323" s="33">
        <f>quantInv[[#This Row],[UNIT
VALUE]]/AUDtoGBP</f>
        <v>13.059307421510166</v>
      </c>
      <c r="R323">
        <f>IFERROR(VLOOKUP(quantInv[[#This Row],[Assigned Item SKU]],skuQuantity[#All],2,FALSE),0)</f>
        <v>10</v>
      </c>
      <c r="S323" t="str">
        <f>PROPER(quantInv[[#This Row],[Metal]] &amp; " " &amp; quantInv[[#This Row],[Item Type]])</f>
        <v>925 Silver Earrings</v>
      </c>
      <c r="T323" s="33">
        <f>quantInv[[#This Row],[Quantity]]*quantInv[[#This Row],[WEIGHT]]</f>
        <v>67.300000000000011</v>
      </c>
      <c r="U323" s="33">
        <f>quantInv[[#This Row],[UNIT
VALUE]]*quantInv[[#This Row],[Quantity]]</f>
        <v>72.709000000000003</v>
      </c>
      <c r="V323" s="33">
        <f>quantInv[[#This Row],[Total Cost GBP]]/EURtoGBP</f>
        <v>82.533358305948596</v>
      </c>
      <c r="W323" s="33">
        <f>quantInv[[#This Row],[Total Cost GBP]]/USDtoGBP</f>
        <v>99.671959456217621</v>
      </c>
      <c r="X323" s="33">
        <f>quantInv[[#This Row],[Total Cost GBP]]/CADtoGBP</f>
        <v>127.58583779477541</v>
      </c>
      <c r="Y323" s="33">
        <f>quantInv[[#This Row],[Quantity]]*quantInv[[#This Row],[UNIT
VALUE AUD]]</f>
        <v>130.59307421510167</v>
      </c>
      <c r="Z323" s="33"/>
    </row>
    <row r="324" spans="1:26" x14ac:dyDescent="0.25">
      <c r="A324" t="s">
        <v>760</v>
      </c>
      <c r="B324" t="s">
        <v>761</v>
      </c>
      <c r="C324" t="s">
        <v>113</v>
      </c>
      <c r="D324" t="s">
        <v>762</v>
      </c>
      <c r="E324">
        <v>1.8</v>
      </c>
      <c r="F324" s="33">
        <v>2.4098000000000002</v>
      </c>
      <c r="G324" s="33" t="s">
        <v>117</v>
      </c>
      <c r="H324" t="s">
        <v>1451</v>
      </c>
      <c r="I324" t="str">
        <f>IF(quantInv[[#This Row],[Metal]] = "925 Silver",  "7113.11.00"," 7113.19.00")</f>
        <v>7113.11.00</v>
      </c>
      <c r="J324" t="str">
        <f>IF(quantInv[[#This Row],[Metal]] = "925 Silver", "7113.11.10.00"," 7113.19.10.00")</f>
        <v>7113.11.10.00</v>
      </c>
      <c r="K324" t="str">
        <f>IF(quantInv[[#This Row],[Metal]] = "925 Silver",  "7113.11.00"," 7113.19.00")</f>
        <v>7113.11.00</v>
      </c>
      <c r="L324" t="str">
        <f>IFERROR(VLOOKUP(quantInv[[#This Row],[Description for New Invoice]],Map!$G$12:$H$32,2,FALSE), IF(quantInv[[#This Row],[Metal]] = "925 Silver", "7113.11.10.00", "7113.19.29.00"))</f>
        <v>7113.11.50.00</v>
      </c>
      <c r="M324" t="str">
        <f>quantInv[[#This Row],[ASIN]] &amp; " " &amp; quantInv[[#This Row],[Short Description]]</f>
        <v>B06ZXVBWKW Pen - Rectangular</v>
      </c>
      <c r="N324" s="33">
        <f>quantInv[[#This Row],[UNIT
VALUE]] / EURtoGBP</f>
        <v>2.7354094657563017</v>
      </c>
      <c r="O324" s="33">
        <f>quantInv[[#This Row],[UNIT
VALUE]]/USDtoGBP</f>
        <v>3.3034354467479026</v>
      </c>
      <c r="P324" s="33">
        <f>quantInv[[#This Row],[UNIT
VALUE]] / CADtoGBP</f>
        <v>4.2285872714223798</v>
      </c>
      <c r="Q324" s="33">
        <f>quantInv[[#This Row],[UNIT
VALUE]]/AUDtoGBP</f>
        <v>4.3282563402543284</v>
      </c>
      <c r="R324">
        <f>IFERROR(VLOOKUP(quantInv[[#This Row],[Assigned Item SKU]],skuQuantity[#All],2,FALSE),0)</f>
        <v>0</v>
      </c>
      <c r="S324" t="str">
        <f>PROPER(quantInv[[#This Row],[Metal]] &amp; " " &amp; quantInv[[#This Row],[Item Type]])</f>
        <v>925 Silver Pendant</v>
      </c>
      <c r="T324" s="33">
        <f>quantInv[[#This Row],[Quantity]]*quantInv[[#This Row],[WEIGHT]]</f>
        <v>0</v>
      </c>
      <c r="U324" s="33">
        <f>quantInv[[#This Row],[UNIT
VALUE]]*quantInv[[#This Row],[Quantity]]</f>
        <v>0</v>
      </c>
      <c r="V324" s="33">
        <f>quantInv[[#This Row],[Total Cost GBP]]/EURtoGBP</f>
        <v>0</v>
      </c>
      <c r="W324" s="33">
        <f>quantInv[[#This Row],[Total Cost GBP]]/USDtoGBP</f>
        <v>0</v>
      </c>
      <c r="X324" s="33">
        <f>quantInv[[#This Row],[Total Cost GBP]]/CADtoGBP</f>
        <v>0</v>
      </c>
      <c r="Y324" s="33">
        <f>quantInv[[#This Row],[Quantity]]*quantInv[[#This Row],[UNIT
VALUE AUD]]</f>
        <v>0</v>
      </c>
      <c r="Z324" s="33"/>
    </row>
    <row r="325" spans="1:26" x14ac:dyDescent="0.25">
      <c r="A325" t="s">
        <v>763</v>
      </c>
      <c r="B325" t="s">
        <v>764</v>
      </c>
      <c r="C325" t="s">
        <v>113</v>
      </c>
      <c r="D325" t="s">
        <v>762</v>
      </c>
      <c r="E325">
        <v>1.8</v>
      </c>
      <c r="F325" s="33">
        <v>2.4098000000000002</v>
      </c>
      <c r="G325" s="33" t="s">
        <v>117</v>
      </c>
      <c r="H325" t="s">
        <v>1451</v>
      </c>
      <c r="I325" t="str">
        <f>IF(quantInv[[#This Row],[Metal]] = "925 Silver",  "7113.11.00"," 7113.19.00")</f>
        <v>7113.11.00</v>
      </c>
      <c r="J325" t="str">
        <f>IF(quantInv[[#This Row],[Metal]] = "925 Silver", "7113.11.10.00"," 7113.19.10.00")</f>
        <v>7113.11.10.00</v>
      </c>
      <c r="K325" t="str">
        <f>IF(quantInv[[#This Row],[Metal]] = "925 Silver",  "7113.11.00"," 7113.19.00")</f>
        <v>7113.11.00</v>
      </c>
      <c r="L325" t="str">
        <f>IFERROR(VLOOKUP(quantInv[[#This Row],[Description for New Invoice]],Map!$G$12:$H$32,2,FALSE), IF(quantInv[[#This Row],[Metal]] = "925 Silver", "7113.11.10.00", "7113.19.29.00"))</f>
        <v>7113.11.50.00</v>
      </c>
      <c r="M325" t="str">
        <f>quantInv[[#This Row],[ASIN]] &amp; " " &amp; quantInv[[#This Row],[Short Description]]</f>
        <v>B071XRRQMS Pen - Rectangular</v>
      </c>
      <c r="N325" s="33">
        <f>quantInv[[#This Row],[UNIT
VALUE]] / EURtoGBP</f>
        <v>2.7354094657563017</v>
      </c>
      <c r="O325" s="33">
        <f>quantInv[[#This Row],[UNIT
VALUE]]/USDtoGBP</f>
        <v>3.3034354467479026</v>
      </c>
      <c r="P325" s="33">
        <f>quantInv[[#This Row],[UNIT
VALUE]] / CADtoGBP</f>
        <v>4.2285872714223798</v>
      </c>
      <c r="Q325" s="33">
        <f>quantInv[[#This Row],[UNIT
VALUE]]/AUDtoGBP</f>
        <v>4.3282563402543284</v>
      </c>
      <c r="R325">
        <f>IFERROR(VLOOKUP(quantInv[[#This Row],[Assigned Item SKU]],skuQuantity[#All],2,FALSE),0)</f>
        <v>0</v>
      </c>
      <c r="S325" t="str">
        <f>PROPER(quantInv[[#This Row],[Metal]] &amp; " " &amp; quantInv[[#This Row],[Item Type]])</f>
        <v>925 Silver Pendant</v>
      </c>
      <c r="T325" s="33">
        <f>quantInv[[#This Row],[Quantity]]*quantInv[[#This Row],[WEIGHT]]</f>
        <v>0</v>
      </c>
      <c r="U325" s="33">
        <f>quantInv[[#This Row],[UNIT
VALUE]]*quantInv[[#This Row],[Quantity]]</f>
        <v>0</v>
      </c>
      <c r="V325" s="33">
        <f>quantInv[[#This Row],[Total Cost GBP]]/EURtoGBP</f>
        <v>0</v>
      </c>
      <c r="W325" s="33">
        <f>quantInv[[#This Row],[Total Cost GBP]]/USDtoGBP</f>
        <v>0</v>
      </c>
      <c r="X325" s="33">
        <f>quantInv[[#This Row],[Total Cost GBP]]/CADtoGBP</f>
        <v>0</v>
      </c>
      <c r="Y325" s="33">
        <f>quantInv[[#This Row],[Quantity]]*quantInv[[#This Row],[UNIT
VALUE AUD]]</f>
        <v>0</v>
      </c>
      <c r="Z325" s="33"/>
    </row>
    <row r="326" spans="1:26" x14ac:dyDescent="0.25">
      <c r="A326" t="s">
        <v>765</v>
      </c>
      <c r="B326" t="s">
        <v>766</v>
      </c>
      <c r="C326" t="s">
        <v>113</v>
      </c>
      <c r="D326" t="s">
        <v>762</v>
      </c>
      <c r="E326">
        <v>1.8</v>
      </c>
      <c r="F326" s="33">
        <v>2.4098000000000002</v>
      </c>
      <c r="G326" s="33" t="s">
        <v>117</v>
      </c>
      <c r="H326" t="s">
        <v>1451</v>
      </c>
      <c r="I326" t="str">
        <f>IF(quantInv[[#This Row],[Metal]] = "925 Silver",  "7113.11.00"," 7113.19.00")</f>
        <v>7113.11.00</v>
      </c>
      <c r="J326" t="str">
        <f>IF(quantInv[[#This Row],[Metal]] = "925 Silver", "7113.11.10.00"," 7113.19.10.00")</f>
        <v>7113.11.10.00</v>
      </c>
      <c r="K326" t="str">
        <f>IF(quantInv[[#This Row],[Metal]] = "925 Silver",  "7113.11.00"," 7113.19.00")</f>
        <v>7113.11.00</v>
      </c>
      <c r="L326" t="str">
        <f>IFERROR(VLOOKUP(quantInv[[#This Row],[Description for New Invoice]],Map!$G$12:$H$32,2,FALSE), IF(quantInv[[#This Row],[Metal]] = "925 Silver", "7113.11.10.00", "7113.19.29.00"))</f>
        <v>7113.11.50.00</v>
      </c>
      <c r="M326" t="str">
        <f>quantInv[[#This Row],[ASIN]] &amp; " " &amp; quantInv[[#This Row],[Short Description]]</f>
        <v>B071R99735 Pen - Rectangular</v>
      </c>
      <c r="N326" s="33">
        <f>quantInv[[#This Row],[UNIT
VALUE]] / EURtoGBP</f>
        <v>2.7354094657563017</v>
      </c>
      <c r="O326" s="33">
        <f>quantInv[[#This Row],[UNIT
VALUE]]/USDtoGBP</f>
        <v>3.3034354467479026</v>
      </c>
      <c r="P326" s="33">
        <f>quantInv[[#This Row],[UNIT
VALUE]] / CADtoGBP</f>
        <v>4.2285872714223798</v>
      </c>
      <c r="Q326" s="33">
        <f>quantInv[[#This Row],[UNIT
VALUE]]/AUDtoGBP</f>
        <v>4.3282563402543284</v>
      </c>
      <c r="R326">
        <f>IFERROR(VLOOKUP(quantInv[[#This Row],[Assigned Item SKU]],skuQuantity[#All],2,FALSE),0)</f>
        <v>0</v>
      </c>
      <c r="S326" t="str">
        <f>PROPER(quantInv[[#This Row],[Metal]] &amp; " " &amp; quantInv[[#This Row],[Item Type]])</f>
        <v>925 Silver Pendant</v>
      </c>
      <c r="T326" s="33">
        <f>quantInv[[#This Row],[Quantity]]*quantInv[[#This Row],[WEIGHT]]</f>
        <v>0</v>
      </c>
      <c r="U326" s="33">
        <f>quantInv[[#This Row],[UNIT
VALUE]]*quantInv[[#This Row],[Quantity]]</f>
        <v>0</v>
      </c>
      <c r="V326" s="33">
        <f>quantInv[[#This Row],[Total Cost GBP]]/EURtoGBP</f>
        <v>0</v>
      </c>
      <c r="W326" s="33">
        <f>quantInv[[#This Row],[Total Cost GBP]]/USDtoGBP</f>
        <v>0</v>
      </c>
      <c r="X326" s="33">
        <f>quantInv[[#This Row],[Total Cost GBP]]/CADtoGBP</f>
        <v>0</v>
      </c>
      <c r="Y326" s="33">
        <f>quantInv[[#This Row],[Quantity]]*quantInv[[#This Row],[UNIT
VALUE AUD]]</f>
        <v>0</v>
      </c>
      <c r="Z326" s="33"/>
    </row>
    <row r="327" spans="1:26" x14ac:dyDescent="0.25">
      <c r="A327" t="s">
        <v>767</v>
      </c>
      <c r="B327" t="s">
        <v>768</v>
      </c>
      <c r="C327" t="s">
        <v>113</v>
      </c>
      <c r="D327" t="s">
        <v>762</v>
      </c>
      <c r="E327">
        <v>1.8</v>
      </c>
      <c r="F327" s="33">
        <v>2.4098000000000002</v>
      </c>
      <c r="G327" s="33" t="s">
        <v>117</v>
      </c>
      <c r="H327" t="s">
        <v>1451</v>
      </c>
      <c r="I327" t="str">
        <f>IF(quantInv[[#This Row],[Metal]] = "925 Silver",  "7113.11.00"," 7113.19.00")</f>
        <v>7113.11.00</v>
      </c>
      <c r="J327" t="str">
        <f>IF(quantInv[[#This Row],[Metal]] = "925 Silver", "7113.11.10.00"," 7113.19.10.00")</f>
        <v>7113.11.10.00</v>
      </c>
      <c r="K327" t="str">
        <f>IF(quantInv[[#This Row],[Metal]] = "925 Silver",  "7113.11.00"," 7113.19.00")</f>
        <v>7113.11.00</v>
      </c>
      <c r="L327" t="str">
        <f>IFERROR(VLOOKUP(quantInv[[#This Row],[Description for New Invoice]],Map!$G$12:$H$32,2,FALSE), IF(quantInv[[#This Row],[Metal]] = "925 Silver", "7113.11.10.00", "7113.19.29.00"))</f>
        <v>7113.11.50.00</v>
      </c>
      <c r="M327" t="str">
        <f>quantInv[[#This Row],[ASIN]] &amp; " " &amp; quantInv[[#This Row],[Short Description]]</f>
        <v>B06ZY4RJ3L Pen - Rectangular</v>
      </c>
      <c r="N327" s="33">
        <f>quantInv[[#This Row],[UNIT
VALUE]] / EURtoGBP</f>
        <v>2.7354094657563017</v>
      </c>
      <c r="O327" s="33">
        <f>quantInv[[#This Row],[UNIT
VALUE]]/USDtoGBP</f>
        <v>3.3034354467479026</v>
      </c>
      <c r="P327" s="33">
        <f>quantInv[[#This Row],[UNIT
VALUE]] / CADtoGBP</f>
        <v>4.2285872714223798</v>
      </c>
      <c r="Q327" s="33">
        <f>quantInv[[#This Row],[UNIT
VALUE]]/AUDtoGBP</f>
        <v>4.3282563402543284</v>
      </c>
      <c r="R327">
        <f>IFERROR(VLOOKUP(quantInv[[#This Row],[Assigned Item SKU]],skuQuantity[#All],2,FALSE),0)</f>
        <v>0</v>
      </c>
      <c r="S327" t="str">
        <f>PROPER(quantInv[[#This Row],[Metal]] &amp; " " &amp; quantInv[[#This Row],[Item Type]])</f>
        <v>925 Silver Pendant</v>
      </c>
      <c r="T327" s="33">
        <f>quantInv[[#This Row],[Quantity]]*quantInv[[#This Row],[WEIGHT]]</f>
        <v>0</v>
      </c>
      <c r="U327" s="33">
        <f>quantInv[[#This Row],[UNIT
VALUE]]*quantInv[[#This Row],[Quantity]]</f>
        <v>0</v>
      </c>
      <c r="V327" s="33">
        <f>quantInv[[#This Row],[Total Cost GBP]]/EURtoGBP</f>
        <v>0</v>
      </c>
      <c r="W327" s="33">
        <f>quantInv[[#This Row],[Total Cost GBP]]/USDtoGBP</f>
        <v>0</v>
      </c>
      <c r="X327" s="33">
        <f>quantInv[[#This Row],[Total Cost GBP]]/CADtoGBP</f>
        <v>0</v>
      </c>
      <c r="Y327" s="33">
        <f>quantInv[[#This Row],[Quantity]]*quantInv[[#This Row],[UNIT
VALUE AUD]]</f>
        <v>0</v>
      </c>
      <c r="Z327" s="33"/>
    </row>
    <row r="328" spans="1:26" x14ac:dyDescent="0.25">
      <c r="A328" t="s">
        <v>769</v>
      </c>
      <c r="B328" t="s">
        <v>770</v>
      </c>
      <c r="C328" t="s">
        <v>113</v>
      </c>
      <c r="D328" t="s">
        <v>762</v>
      </c>
      <c r="E328">
        <v>1.8</v>
      </c>
      <c r="F328" s="33">
        <v>2.4098000000000002</v>
      </c>
      <c r="G328" s="33" t="s">
        <v>117</v>
      </c>
      <c r="H328" t="s">
        <v>1451</v>
      </c>
      <c r="I328" t="str">
        <f>IF(quantInv[[#This Row],[Metal]] = "925 Silver",  "7113.11.00"," 7113.19.00")</f>
        <v>7113.11.00</v>
      </c>
      <c r="J328" t="str">
        <f>IF(quantInv[[#This Row],[Metal]] = "925 Silver", "7113.11.10.00"," 7113.19.10.00")</f>
        <v>7113.11.10.00</v>
      </c>
      <c r="K328" t="str">
        <f>IF(quantInv[[#This Row],[Metal]] = "925 Silver",  "7113.11.00"," 7113.19.00")</f>
        <v>7113.11.00</v>
      </c>
      <c r="L328" t="str">
        <f>IFERROR(VLOOKUP(quantInv[[#This Row],[Description for New Invoice]],Map!$G$12:$H$32,2,FALSE), IF(quantInv[[#This Row],[Metal]] = "925 Silver", "7113.11.10.00", "7113.19.29.00"))</f>
        <v>7113.11.50.00</v>
      </c>
      <c r="M328" t="str">
        <f>quantInv[[#This Row],[ASIN]] &amp; " " &amp; quantInv[[#This Row],[Short Description]]</f>
        <v>B06ZXVBWL2 Pen - Rectangular</v>
      </c>
      <c r="N328" s="33">
        <f>quantInv[[#This Row],[UNIT
VALUE]] / EURtoGBP</f>
        <v>2.7354094657563017</v>
      </c>
      <c r="O328" s="33">
        <f>quantInv[[#This Row],[UNIT
VALUE]]/USDtoGBP</f>
        <v>3.3034354467479026</v>
      </c>
      <c r="P328" s="33">
        <f>quantInv[[#This Row],[UNIT
VALUE]] / CADtoGBP</f>
        <v>4.2285872714223798</v>
      </c>
      <c r="Q328" s="33">
        <f>quantInv[[#This Row],[UNIT
VALUE]]/AUDtoGBP</f>
        <v>4.3282563402543284</v>
      </c>
      <c r="R328">
        <f>IFERROR(VLOOKUP(quantInv[[#This Row],[Assigned Item SKU]],skuQuantity[#All],2,FALSE),0)</f>
        <v>0</v>
      </c>
      <c r="S328" t="str">
        <f>PROPER(quantInv[[#This Row],[Metal]] &amp; " " &amp; quantInv[[#This Row],[Item Type]])</f>
        <v>925 Silver Pendant</v>
      </c>
      <c r="T328" s="33">
        <f>quantInv[[#This Row],[Quantity]]*quantInv[[#This Row],[WEIGHT]]</f>
        <v>0</v>
      </c>
      <c r="U328" s="33">
        <f>quantInv[[#This Row],[UNIT
VALUE]]*quantInv[[#This Row],[Quantity]]</f>
        <v>0</v>
      </c>
      <c r="V328" s="33">
        <f>quantInv[[#This Row],[Total Cost GBP]]/EURtoGBP</f>
        <v>0</v>
      </c>
      <c r="W328" s="33">
        <f>quantInv[[#This Row],[Total Cost GBP]]/USDtoGBP</f>
        <v>0</v>
      </c>
      <c r="X328" s="33">
        <f>quantInv[[#This Row],[Total Cost GBP]]/CADtoGBP</f>
        <v>0</v>
      </c>
      <c r="Y328" s="33">
        <f>quantInv[[#This Row],[Quantity]]*quantInv[[#This Row],[UNIT
VALUE AUD]]</f>
        <v>0</v>
      </c>
      <c r="Z328" s="33"/>
    </row>
    <row r="329" spans="1:26" x14ac:dyDescent="0.25">
      <c r="A329" t="s">
        <v>771</v>
      </c>
      <c r="B329" t="s">
        <v>772</v>
      </c>
      <c r="C329" t="s">
        <v>113</v>
      </c>
      <c r="D329" t="s">
        <v>762</v>
      </c>
      <c r="E329">
        <v>1.6</v>
      </c>
      <c r="F329" s="33">
        <v>2.1543000000000001</v>
      </c>
      <c r="G329" s="33" t="s">
        <v>117</v>
      </c>
      <c r="H329" t="s">
        <v>1451</v>
      </c>
      <c r="I329" t="str">
        <f>IF(quantInv[[#This Row],[Metal]] = "925 Silver",  "7113.11.00"," 7113.19.00")</f>
        <v>7113.11.00</v>
      </c>
      <c r="J329" t="str">
        <f>IF(quantInv[[#This Row],[Metal]] = "925 Silver", "7113.11.10.00"," 7113.19.10.00")</f>
        <v>7113.11.10.00</v>
      </c>
      <c r="K329" t="str">
        <f>IF(quantInv[[#This Row],[Metal]] = "925 Silver",  "7113.11.00"," 7113.19.00")</f>
        <v>7113.11.00</v>
      </c>
      <c r="L329" t="str">
        <f>IFERROR(VLOOKUP(quantInv[[#This Row],[Description for New Invoice]],Map!$G$12:$H$32,2,FALSE), IF(quantInv[[#This Row],[Metal]] = "925 Silver", "7113.11.10.00", "7113.19.29.00"))</f>
        <v>7113.11.50.00</v>
      </c>
      <c r="M329" t="str">
        <f>quantInv[[#This Row],[ASIN]] &amp; " " &amp; quantInv[[#This Row],[Short Description]]</f>
        <v>B06ZYPVPMB Pen - Rectangular</v>
      </c>
      <c r="N329" s="33">
        <f>quantInv[[#This Row],[UNIT
VALUE]] / EURtoGBP</f>
        <v>2.4453865931109635</v>
      </c>
      <c r="O329" s="33">
        <f>quantInv[[#This Row],[UNIT
VALUE]]/USDtoGBP</f>
        <v>2.9531873943601155</v>
      </c>
      <c r="P329" s="33">
        <f>quantInv[[#This Row],[UNIT
VALUE]] / CADtoGBP</f>
        <v>3.780249630187249</v>
      </c>
      <c r="Q329" s="33">
        <f>quantInv[[#This Row],[UNIT
VALUE]]/AUDtoGBP</f>
        <v>3.869351246497593</v>
      </c>
      <c r="R329">
        <f>IFERROR(VLOOKUP(quantInv[[#This Row],[Assigned Item SKU]],skuQuantity[#All],2,FALSE),0)</f>
        <v>0</v>
      </c>
      <c r="S329" t="str">
        <f>PROPER(quantInv[[#This Row],[Metal]] &amp; " " &amp; quantInv[[#This Row],[Item Type]])</f>
        <v>925 Silver Pendant</v>
      </c>
      <c r="T329" s="33">
        <f>quantInv[[#This Row],[Quantity]]*quantInv[[#This Row],[WEIGHT]]</f>
        <v>0</v>
      </c>
      <c r="U329" s="33">
        <f>quantInv[[#This Row],[UNIT
VALUE]]*quantInv[[#This Row],[Quantity]]</f>
        <v>0</v>
      </c>
      <c r="V329" s="33">
        <f>quantInv[[#This Row],[Total Cost GBP]]/EURtoGBP</f>
        <v>0</v>
      </c>
      <c r="W329" s="33">
        <f>quantInv[[#This Row],[Total Cost GBP]]/USDtoGBP</f>
        <v>0</v>
      </c>
      <c r="X329" s="33">
        <f>quantInv[[#This Row],[Total Cost GBP]]/CADtoGBP</f>
        <v>0</v>
      </c>
      <c r="Y329" s="33">
        <f>quantInv[[#This Row],[Quantity]]*quantInv[[#This Row],[UNIT
VALUE AUD]]</f>
        <v>0</v>
      </c>
      <c r="Z329" s="33"/>
    </row>
    <row r="330" spans="1:26" x14ac:dyDescent="0.25">
      <c r="A330" t="s">
        <v>773</v>
      </c>
      <c r="B330" t="s">
        <v>774</v>
      </c>
      <c r="C330" t="s">
        <v>113</v>
      </c>
      <c r="D330" t="s">
        <v>762</v>
      </c>
      <c r="E330">
        <v>1.6</v>
      </c>
      <c r="F330" s="33">
        <v>2.1543000000000001</v>
      </c>
      <c r="G330" s="33" t="s">
        <v>117</v>
      </c>
      <c r="H330" t="s">
        <v>1451</v>
      </c>
      <c r="I330" t="str">
        <f>IF(quantInv[[#This Row],[Metal]] = "925 Silver",  "7113.11.00"," 7113.19.00")</f>
        <v>7113.11.00</v>
      </c>
      <c r="J330" t="str">
        <f>IF(quantInv[[#This Row],[Metal]] = "925 Silver", "7113.11.10.00"," 7113.19.10.00")</f>
        <v>7113.11.10.00</v>
      </c>
      <c r="K330" t="str">
        <f>IF(quantInv[[#This Row],[Metal]] = "925 Silver",  "7113.11.00"," 7113.19.00")</f>
        <v>7113.11.00</v>
      </c>
      <c r="L330" t="str">
        <f>IFERROR(VLOOKUP(quantInv[[#This Row],[Description for New Invoice]],Map!$G$12:$H$32,2,FALSE), IF(quantInv[[#This Row],[Metal]] = "925 Silver", "7113.11.10.00", "7113.19.29.00"))</f>
        <v>7113.11.50.00</v>
      </c>
      <c r="M330" t="str">
        <f>quantInv[[#This Row],[ASIN]] &amp; " " &amp; quantInv[[#This Row],[Short Description]]</f>
        <v>B071D2XHGR Pen - Rectangular</v>
      </c>
      <c r="N330" s="33">
        <f>quantInv[[#This Row],[UNIT
VALUE]] / EURtoGBP</f>
        <v>2.4453865931109635</v>
      </c>
      <c r="O330" s="33">
        <f>quantInv[[#This Row],[UNIT
VALUE]]/USDtoGBP</f>
        <v>2.9531873943601155</v>
      </c>
      <c r="P330" s="33">
        <f>quantInv[[#This Row],[UNIT
VALUE]] / CADtoGBP</f>
        <v>3.780249630187249</v>
      </c>
      <c r="Q330" s="33">
        <f>quantInv[[#This Row],[UNIT
VALUE]]/AUDtoGBP</f>
        <v>3.869351246497593</v>
      </c>
      <c r="R330">
        <f>IFERROR(VLOOKUP(quantInv[[#This Row],[Assigned Item SKU]],skuQuantity[#All],2,FALSE),0)</f>
        <v>0</v>
      </c>
      <c r="S330" t="str">
        <f>PROPER(quantInv[[#This Row],[Metal]] &amp; " " &amp; quantInv[[#This Row],[Item Type]])</f>
        <v>925 Silver Pendant</v>
      </c>
      <c r="T330" s="33">
        <f>quantInv[[#This Row],[Quantity]]*quantInv[[#This Row],[WEIGHT]]</f>
        <v>0</v>
      </c>
      <c r="U330" s="33">
        <f>quantInv[[#This Row],[UNIT
VALUE]]*quantInv[[#This Row],[Quantity]]</f>
        <v>0</v>
      </c>
      <c r="V330" s="33">
        <f>quantInv[[#This Row],[Total Cost GBP]]/EURtoGBP</f>
        <v>0</v>
      </c>
      <c r="W330" s="33">
        <f>quantInv[[#This Row],[Total Cost GBP]]/USDtoGBP</f>
        <v>0</v>
      </c>
      <c r="X330" s="33">
        <f>quantInv[[#This Row],[Total Cost GBP]]/CADtoGBP</f>
        <v>0</v>
      </c>
      <c r="Y330" s="33">
        <f>quantInv[[#This Row],[Quantity]]*quantInv[[#This Row],[UNIT
VALUE AUD]]</f>
        <v>0</v>
      </c>
      <c r="Z330" s="33"/>
    </row>
    <row r="331" spans="1:26" x14ac:dyDescent="0.25">
      <c r="A331" t="s">
        <v>775</v>
      </c>
      <c r="B331" t="s">
        <v>776</v>
      </c>
      <c r="C331" t="s">
        <v>113</v>
      </c>
      <c r="D331" t="s">
        <v>762</v>
      </c>
      <c r="E331">
        <v>1.6</v>
      </c>
      <c r="F331" s="33">
        <v>2.1543000000000001</v>
      </c>
      <c r="G331" s="33" t="s">
        <v>117</v>
      </c>
      <c r="H331" t="s">
        <v>1451</v>
      </c>
      <c r="I331" t="str">
        <f>IF(quantInv[[#This Row],[Metal]] = "925 Silver",  "7113.11.00"," 7113.19.00")</f>
        <v>7113.11.00</v>
      </c>
      <c r="J331" t="str">
        <f>IF(quantInv[[#This Row],[Metal]] = "925 Silver", "7113.11.10.00"," 7113.19.10.00")</f>
        <v>7113.11.10.00</v>
      </c>
      <c r="K331" t="str">
        <f>IF(quantInv[[#This Row],[Metal]] = "925 Silver",  "7113.11.00"," 7113.19.00")</f>
        <v>7113.11.00</v>
      </c>
      <c r="L331" t="str">
        <f>IFERROR(VLOOKUP(quantInv[[#This Row],[Description for New Invoice]],Map!$G$12:$H$32,2,FALSE), IF(quantInv[[#This Row],[Metal]] = "925 Silver", "7113.11.10.00", "7113.19.29.00"))</f>
        <v>7113.11.50.00</v>
      </c>
      <c r="M331" t="str">
        <f>quantInv[[#This Row],[ASIN]] &amp; " " &amp; quantInv[[#This Row],[Short Description]]</f>
        <v>B071R11V8W Pen - Rectangular</v>
      </c>
      <c r="N331" s="33">
        <f>quantInv[[#This Row],[UNIT
VALUE]] / EURtoGBP</f>
        <v>2.4453865931109635</v>
      </c>
      <c r="O331" s="33">
        <f>quantInv[[#This Row],[UNIT
VALUE]]/USDtoGBP</f>
        <v>2.9531873943601155</v>
      </c>
      <c r="P331" s="33">
        <f>quantInv[[#This Row],[UNIT
VALUE]] / CADtoGBP</f>
        <v>3.780249630187249</v>
      </c>
      <c r="Q331" s="33">
        <f>quantInv[[#This Row],[UNIT
VALUE]]/AUDtoGBP</f>
        <v>3.869351246497593</v>
      </c>
      <c r="R331">
        <f>IFERROR(VLOOKUP(quantInv[[#This Row],[Assigned Item SKU]],skuQuantity[#All],2,FALSE),0)</f>
        <v>0</v>
      </c>
      <c r="S331" t="str">
        <f>PROPER(quantInv[[#This Row],[Metal]] &amp; " " &amp; quantInv[[#This Row],[Item Type]])</f>
        <v>925 Silver Pendant</v>
      </c>
      <c r="T331" s="33">
        <f>quantInv[[#This Row],[Quantity]]*quantInv[[#This Row],[WEIGHT]]</f>
        <v>0</v>
      </c>
      <c r="U331" s="33">
        <f>quantInv[[#This Row],[UNIT
VALUE]]*quantInv[[#This Row],[Quantity]]</f>
        <v>0</v>
      </c>
      <c r="V331" s="33">
        <f>quantInv[[#This Row],[Total Cost GBP]]/EURtoGBP</f>
        <v>0</v>
      </c>
      <c r="W331" s="33">
        <f>quantInv[[#This Row],[Total Cost GBP]]/USDtoGBP</f>
        <v>0</v>
      </c>
      <c r="X331" s="33">
        <f>quantInv[[#This Row],[Total Cost GBP]]/CADtoGBP</f>
        <v>0</v>
      </c>
      <c r="Y331" s="33">
        <f>quantInv[[#This Row],[Quantity]]*quantInv[[#This Row],[UNIT
VALUE AUD]]</f>
        <v>0</v>
      </c>
      <c r="Z331" s="33"/>
    </row>
    <row r="332" spans="1:26" x14ac:dyDescent="0.25">
      <c r="A332" t="s">
        <v>777</v>
      </c>
      <c r="B332" t="s">
        <v>778</v>
      </c>
      <c r="C332" t="s">
        <v>113</v>
      </c>
      <c r="D332" t="s">
        <v>762</v>
      </c>
      <c r="E332">
        <v>1.6</v>
      </c>
      <c r="F332" s="33">
        <v>2.1543000000000001</v>
      </c>
      <c r="G332" s="33" t="s">
        <v>117</v>
      </c>
      <c r="H332" t="s">
        <v>1451</v>
      </c>
      <c r="I332" t="str">
        <f>IF(quantInv[[#This Row],[Metal]] = "925 Silver",  "7113.11.00"," 7113.19.00")</f>
        <v>7113.11.00</v>
      </c>
      <c r="J332" t="str">
        <f>IF(quantInv[[#This Row],[Metal]] = "925 Silver", "7113.11.10.00"," 7113.19.10.00")</f>
        <v>7113.11.10.00</v>
      </c>
      <c r="K332" t="str">
        <f>IF(quantInv[[#This Row],[Metal]] = "925 Silver",  "7113.11.00"," 7113.19.00")</f>
        <v>7113.11.00</v>
      </c>
      <c r="L332" t="str">
        <f>IFERROR(VLOOKUP(quantInv[[#This Row],[Description for New Invoice]],Map!$G$12:$H$32,2,FALSE), IF(quantInv[[#This Row],[Metal]] = "925 Silver", "7113.11.10.00", "7113.19.29.00"))</f>
        <v>7113.11.50.00</v>
      </c>
      <c r="M332" t="str">
        <f>quantInv[[#This Row],[ASIN]] &amp; " " &amp; quantInv[[#This Row],[Short Description]]</f>
        <v>B071XRCMCZ Pen - Rectangular</v>
      </c>
      <c r="N332" s="33">
        <f>quantInv[[#This Row],[UNIT
VALUE]] / EURtoGBP</f>
        <v>2.4453865931109635</v>
      </c>
      <c r="O332" s="33">
        <f>quantInv[[#This Row],[UNIT
VALUE]]/USDtoGBP</f>
        <v>2.9531873943601155</v>
      </c>
      <c r="P332" s="33">
        <f>quantInv[[#This Row],[UNIT
VALUE]] / CADtoGBP</f>
        <v>3.780249630187249</v>
      </c>
      <c r="Q332" s="33">
        <f>quantInv[[#This Row],[UNIT
VALUE]]/AUDtoGBP</f>
        <v>3.869351246497593</v>
      </c>
      <c r="R332">
        <f>IFERROR(VLOOKUP(quantInv[[#This Row],[Assigned Item SKU]],skuQuantity[#All],2,FALSE),0)</f>
        <v>0</v>
      </c>
      <c r="S332" t="str">
        <f>PROPER(quantInv[[#This Row],[Metal]] &amp; " " &amp; quantInv[[#This Row],[Item Type]])</f>
        <v>925 Silver Pendant</v>
      </c>
      <c r="T332" s="33">
        <f>quantInv[[#This Row],[Quantity]]*quantInv[[#This Row],[WEIGHT]]</f>
        <v>0</v>
      </c>
      <c r="U332" s="33">
        <f>quantInv[[#This Row],[UNIT
VALUE]]*quantInv[[#This Row],[Quantity]]</f>
        <v>0</v>
      </c>
      <c r="V332" s="33">
        <f>quantInv[[#This Row],[Total Cost GBP]]/EURtoGBP</f>
        <v>0</v>
      </c>
      <c r="W332" s="33">
        <f>quantInv[[#This Row],[Total Cost GBP]]/USDtoGBP</f>
        <v>0</v>
      </c>
      <c r="X332" s="33">
        <f>quantInv[[#This Row],[Total Cost GBP]]/CADtoGBP</f>
        <v>0</v>
      </c>
      <c r="Y332" s="33">
        <f>quantInv[[#This Row],[Quantity]]*quantInv[[#This Row],[UNIT
VALUE AUD]]</f>
        <v>0</v>
      </c>
      <c r="Z332" s="33"/>
    </row>
    <row r="333" spans="1:26" x14ac:dyDescent="0.25">
      <c r="A333" t="s">
        <v>779</v>
      </c>
      <c r="B333" t="s">
        <v>780</v>
      </c>
      <c r="C333" t="s">
        <v>113</v>
      </c>
      <c r="D333" t="s">
        <v>762</v>
      </c>
      <c r="E333">
        <v>1.6</v>
      </c>
      <c r="F333" s="33">
        <v>2.1543000000000001</v>
      </c>
      <c r="G333" s="33" t="s">
        <v>117</v>
      </c>
      <c r="H333" t="s">
        <v>1451</v>
      </c>
      <c r="I333" t="str">
        <f>IF(quantInv[[#This Row],[Metal]] = "925 Silver",  "7113.11.00"," 7113.19.00")</f>
        <v>7113.11.00</v>
      </c>
      <c r="J333" t="str">
        <f>IF(quantInv[[#This Row],[Metal]] = "925 Silver", "7113.11.10.00"," 7113.19.10.00")</f>
        <v>7113.11.10.00</v>
      </c>
      <c r="K333" t="str">
        <f>IF(quantInv[[#This Row],[Metal]] = "925 Silver",  "7113.11.00"," 7113.19.00")</f>
        <v>7113.11.00</v>
      </c>
      <c r="L333" t="str">
        <f>IFERROR(VLOOKUP(quantInv[[#This Row],[Description for New Invoice]],Map!$G$12:$H$32,2,FALSE), IF(quantInv[[#This Row],[Metal]] = "925 Silver", "7113.11.10.00", "7113.19.29.00"))</f>
        <v>7113.11.50.00</v>
      </c>
      <c r="M333" t="str">
        <f>quantInv[[#This Row],[ASIN]] &amp; " " &amp; quantInv[[#This Row],[Short Description]]</f>
        <v>B071R9K7TW Pen - Rectangular</v>
      </c>
      <c r="N333" s="33">
        <f>quantInv[[#This Row],[UNIT
VALUE]] / EURtoGBP</f>
        <v>2.4453865931109635</v>
      </c>
      <c r="O333" s="33">
        <f>quantInv[[#This Row],[UNIT
VALUE]]/USDtoGBP</f>
        <v>2.9531873943601155</v>
      </c>
      <c r="P333" s="33">
        <f>quantInv[[#This Row],[UNIT
VALUE]] / CADtoGBP</f>
        <v>3.780249630187249</v>
      </c>
      <c r="Q333" s="33">
        <f>quantInv[[#This Row],[UNIT
VALUE]]/AUDtoGBP</f>
        <v>3.869351246497593</v>
      </c>
      <c r="R333">
        <f>IFERROR(VLOOKUP(quantInv[[#This Row],[Assigned Item SKU]],skuQuantity[#All],2,FALSE),0)</f>
        <v>0</v>
      </c>
      <c r="S333" t="str">
        <f>PROPER(quantInv[[#This Row],[Metal]] &amp; " " &amp; quantInv[[#This Row],[Item Type]])</f>
        <v>925 Silver Pendant</v>
      </c>
      <c r="T333" s="33">
        <f>quantInv[[#This Row],[Quantity]]*quantInv[[#This Row],[WEIGHT]]</f>
        <v>0</v>
      </c>
      <c r="U333" s="33">
        <f>quantInv[[#This Row],[UNIT
VALUE]]*quantInv[[#This Row],[Quantity]]</f>
        <v>0</v>
      </c>
      <c r="V333" s="33">
        <f>quantInv[[#This Row],[Total Cost GBP]]/EURtoGBP</f>
        <v>0</v>
      </c>
      <c r="W333" s="33">
        <f>quantInv[[#This Row],[Total Cost GBP]]/USDtoGBP</f>
        <v>0</v>
      </c>
      <c r="X333" s="33">
        <f>quantInv[[#This Row],[Total Cost GBP]]/CADtoGBP</f>
        <v>0</v>
      </c>
      <c r="Y333" s="33">
        <f>quantInv[[#This Row],[Quantity]]*quantInv[[#This Row],[UNIT
VALUE AUD]]</f>
        <v>0</v>
      </c>
      <c r="Z333" s="33"/>
    </row>
    <row r="334" spans="1:26" x14ac:dyDescent="0.25">
      <c r="A334" t="s">
        <v>781</v>
      </c>
      <c r="B334" t="s">
        <v>782</v>
      </c>
      <c r="C334" t="s">
        <v>113</v>
      </c>
      <c r="D334" t="s">
        <v>762</v>
      </c>
      <c r="E334">
        <v>1.2</v>
      </c>
      <c r="F334" s="33">
        <v>1.6434</v>
      </c>
      <c r="G334" s="33" t="s">
        <v>117</v>
      </c>
      <c r="H334" t="s">
        <v>1451</v>
      </c>
      <c r="I334" t="str">
        <f>IF(quantInv[[#This Row],[Metal]] = "925 Silver",  "7113.11.00"," 7113.19.00")</f>
        <v>7113.11.00</v>
      </c>
      <c r="J334" t="str">
        <f>IF(quantInv[[#This Row],[Metal]] = "925 Silver", "7113.11.10.00"," 7113.19.10.00")</f>
        <v>7113.11.10.00</v>
      </c>
      <c r="K334" t="str">
        <f>IF(quantInv[[#This Row],[Metal]] = "925 Silver",  "7113.11.00"," 7113.19.00")</f>
        <v>7113.11.00</v>
      </c>
      <c r="L334" t="str">
        <f>IFERROR(VLOOKUP(quantInv[[#This Row],[Description for New Invoice]],Map!$G$12:$H$32,2,FALSE), IF(quantInv[[#This Row],[Metal]] = "925 Silver", "7113.11.10.00", "7113.19.29.00"))</f>
        <v>7113.11.50.00</v>
      </c>
      <c r="M334" t="str">
        <f>quantInv[[#This Row],[ASIN]] &amp; " " &amp; quantInv[[#This Row],[Short Description]]</f>
        <v>B071XR9Z52 Pen - Rectangular</v>
      </c>
      <c r="N334" s="33">
        <f>quantInv[[#This Row],[UNIT
VALUE]] / EURtoGBP</f>
        <v>1.8654543597078204</v>
      </c>
      <c r="O334" s="33">
        <f>quantInv[[#This Row],[UNIT
VALUE]]/USDtoGBP</f>
        <v>2.2528283729709946</v>
      </c>
      <c r="P334" s="33">
        <f>quantInv[[#This Row],[UNIT
VALUE]] / CADtoGBP</f>
        <v>2.8837498223319522</v>
      </c>
      <c r="Q334" s="33">
        <f>quantInv[[#This Row],[UNIT
VALUE]]/AUDtoGBP</f>
        <v>2.9517206695883322</v>
      </c>
      <c r="R334">
        <f>IFERROR(VLOOKUP(quantInv[[#This Row],[Assigned Item SKU]],skuQuantity[#All],2,FALSE),0)</f>
        <v>0</v>
      </c>
      <c r="S334" t="str">
        <f>PROPER(quantInv[[#This Row],[Metal]] &amp; " " &amp; quantInv[[#This Row],[Item Type]])</f>
        <v>925 Silver Pendant</v>
      </c>
      <c r="T334" s="33">
        <f>quantInv[[#This Row],[Quantity]]*quantInv[[#This Row],[WEIGHT]]</f>
        <v>0</v>
      </c>
      <c r="U334" s="33">
        <f>quantInv[[#This Row],[UNIT
VALUE]]*quantInv[[#This Row],[Quantity]]</f>
        <v>0</v>
      </c>
      <c r="V334" s="33">
        <f>quantInv[[#This Row],[Total Cost GBP]]/EURtoGBP</f>
        <v>0</v>
      </c>
      <c r="W334" s="33">
        <f>quantInv[[#This Row],[Total Cost GBP]]/USDtoGBP</f>
        <v>0</v>
      </c>
      <c r="X334" s="33">
        <f>quantInv[[#This Row],[Total Cost GBP]]/CADtoGBP</f>
        <v>0</v>
      </c>
      <c r="Y334" s="33">
        <f>quantInv[[#This Row],[Quantity]]*quantInv[[#This Row],[UNIT
VALUE AUD]]</f>
        <v>0</v>
      </c>
      <c r="Z334" s="33"/>
    </row>
    <row r="335" spans="1:26" x14ac:dyDescent="0.25">
      <c r="A335" t="s">
        <v>783</v>
      </c>
      <c r="B335" t="s">
        <v>784</v>
      </c>
      <c r="C335" t="s">
        <v>113</v>
      </c>
      <c r="D335" t="s">
        <v>762</v>
      </c>
      <c r="E335">
        <v>1.2</v>
      </c>
      <c r="F335" s="33">
        <v>1.6434</v>
      </c>
      <c r="G335" s="33" t="s">
        <v>117</v>
      </c>
      <c r="H335" t="s">
        <v>1451</v>
      </c>
      <c r="I335" t="str">
        <f>IF(quantInv[[#This Row],[Metal]] = "925 Silver",  "7113.11.00"," 7113.19.00")</f>
        <v>7113.11.00</v>
      </c>
      <c r="J335" t="str">
        <f>IF(quantInv[[#This Row],[Metal]] = "925 Silver", "7113.11.10.00"," 7113.19.10.00")</f>
        <v>7113.11.10.00</v>
      </c>
      <c r="K335" t="str">
        <f>IF(quantInv[[#This Row],[Metal]] = "925 Silver",  "7113.11.00"," 7113.19.00")</f>
        <v>7113.11.00</v>
      </c>
      <c r="L335" t="str">
        <f>IFERROR(VLOOKUP(quantInv[[#This Row],[Description for New Invoice]],Map!$G$12:$H$32,2,FALSE), IF(quantInv[[#This Row],[Metal]] = "925 Silver", "7113.11.10.00", "7113.19.29.00"))</f>
        <v>7113.11.50.00</v>
      </c>
      <c r="M335" t="str">
        <f>quantInv[[#This Row],[ASIN]] &amp; " " &amp; quantInv[[#This Row],[Short Description]]</f>
        <v>B071R11ZZR Pen - Rectangular</v>
      </c>
      <c r="N335" s="33">
        <f>quantInv[[#This Row],[UNIT
VALUE]] / EURtoGBP</f>
        <v>1.8654543597078204</v>
      </c>
      <c r="O335" s="33">
        <f>quantInv[[#This Row],[UNIT
VALUE]]/USDtoGBP</f>
        <v>2.2528283729709946</v>
      </c>
      <c r="P335" s="33">
        <f>quantInv[[#This Row],[UNIT
VALUE]] / CADtoGBP</f>
        <v>2.8837498223319522</v>
      </c>
      <c r="Q335" s="33">
        <f>quantInv[[#This Row],[UNIT
VALUE]]/AUDtoGBP</f>
        <v>2.9517206695883322</v>
      </c>
      <c r="R335">
        <f>IFERROR(VLOOKUP(quantInv[[#This Row],[Assigned Item SKU]],skuQuantity[#All],2,FALSE),0)</f>
        <v>0</v>
      </c>
      <c r="S335" t="str">
        <f>PROPER(quantInv[[#This Row],[Metal]] &amp; " " &amp; quantInv[[#This Row],[Item Type]])</f>
        <v>925 Silver Pendant</v>
      </c>
      <c r="T335" s="33">
        <f>quantInv[[#This Row],[Quantity]]*quantInv[[#This Row],[WEIGHT]]</f>
        <v>0</v>
      </c>
      <c r="U335" s="33">
        <f>quantInv[[#This Row],[UNIT
VALUE]]*quantInv[[#This Row],[Quantity]]</f>
        <v>0</v>
      </c>
      <c r="V335" s="33">
        <f>quantInv[[#This Row],[Total Cost GBP]]/EURtoGBP</f>
        <v>0</v>
      </c>
      <c r="W335" s="33">
        <f>quantInv[[#This Row],[Total Cost GBP]]/USDtoGBP</f>
        <v>0</v>
      </c>
      <c r="X335" s="33">
        <f>quantInv[[#This Row],[Total Cost GBP]]/CADtoGBP</f>
        <v>0</v>
      </c>
      <c r="Y335" s="33">
        <f>quantInv[[#This Row],[Quantity]]*quantInv[[#This Row],[UNIT
VALUE AUD]]</f>
        <v>0</v>
      </c>
      <c r="Z335" s="33"/>
    </row>
    <row r="336" spans="1:26" x14ac:dyDescent="0.25">
      <c r="A336" t="s">
        <v>785</v>
      </c>
      <c r="B336" t="s">
        <v>786</v>
      </c>
      <c r="C336" t="s">
        <v>113</v>
      </c>
      <c r="D336" t="s">
        <v>762</v>
      </c>
      <c r="E336">
        <v>1.2</v>
      </c>
      <c r="F336" s="33">
        <v>1.6434</v>
      </c>
      <c r="G336" s="33" t="s">
        <v>117</v>
      </c>
      <c r="H336" t="s">
        <v>1451</v>
      </c>
      <c r="I336" t="str">
        <f>IF(quantInv[[#This Row],[Metal]] = "925 Silver",  "7113.11.00"," 7113.19.00")</f>
        <v>7113.11.00</v>
      </c>
      <c r="J336" t="str">
        <f>IF(quantInv[[#This Row],[Metal]] = "925 Silver", "7113.11.10.00"," 7113.19.10.00")</f>
        <v>7113.11.10.00</v>
      </c>
      <c r="K336" t="str">
        <f>IF(quantInv[[#This Row],[Metal]] = "925 Silver",  "7113.11.00"," 7113.19.00")</f>
        <v>7113.11.00</v>
      </c>
      <c r="L336" t="str">
        <f>IFERROR(VLOOKUP(quantInv[[#This Row],[Description for New Invoice]],Map!$G$12:$H$32,2,FALSE), IF(quantInv[[#This Row],[Metal]] = "925 Silver", "7113.11.10.00", "7113.19.29.00"))</f>
        <v>7113.11.50.00</v>
      </c>
      <c r="M336" t="str">
        <f>quantInv[[#This Row],[ASIN]] &amp; " " &amp; quantInv[[#This Row],[Short Description]]</f>
        <v>B06ZYF9WX8 Pen - Rectangular</v>
      </c>
      <c r="N336" s="33">
        <f>quantInv[[#This Row],[UNIT
VALUE]] / EURtoGBP</f>
        <v>1.8654543597078204</v>
      </c>
      <c r="O336" s="33">
        <f>quantInv[[#This Row],[UNIT
VALUE]]/USDtoGBP</f>
        <v>2.2528283729709946</v>
      </c>
      <c r="P336" s="33">
        <f>quantInv[[#This Row],[UNIT
VALUE]] / CADtoGBP</f>
        <v>2.8837498223319522</v>
      </c>
      <c r="Q336" s="33">
        <f>quantInv[[#This Row],[UNIT
VALUE]]/AUDtoGBP</f>
        <v>2.9517206695883322</v>
      </c>
      <c r="R336">
        <f>IFERROR(VLOOKUP(quantInv[[#This Row],[Assigned Item SKU]],skuQuantity[#All],2,FALSE),0)</f>
        <v>0</v>
      </c>
      <c r="S336" t="str">
        <f>PROPER(quantInv[[#This Row],[Metal]] &amp; " " &amp; quantInv[[#This Row],[Item Type]])</f>
        <v>925 Silver Pendant</v>
      </c>
      <c r="T336" s="33">
        <f>quantInv[[#This Row],[Quantity]]*quantInv[[#This Row],[WEIGHT]]</f>
        <v>0</v>
      </c>
      <c r="U336" s="33">
        <f>quantInv[[#This Row],[UNIT
VALUE]]*quantInv[[#This Row],[Quantity]]</f>
        <v>0</v>
      </c>
      <c r="V336" s="33">
        <f>quantInv[[#This Row],[Total Cost GBP]]/EURtoGBP</f>
        <v>0</v>
      </c>
      <c r="W336" s="33">
        <f>quantInv[[#This Row],[Total Cost GBP]]/USDtoGBP</f>
        <v>0</v>
      </c>
      <c r="X336" s="33">
        <f>quantInv[[#This Row],[Total Cost GBP]]/CADtoGBP</f>
        <v>0</v>
      </c>
      <c r="Y336" s="33">
        <f>quantInv[[#This Row],[Quantity]]*quantInv[[#This Row],[UNIT
VALUE AUD]]</f>
        <v>0</v>
      </c>
      <c r="Z336" s="33"/>
    </row>
    <row r="337" spans="1:26" x14ac:dyDescent="0.25">
      <c r="A337" t="s">
        <v>787</v>
      </c>
      <c r="B337" t="s">
        <v>788</v>
      </c>
      <c r="C337" t="s">
        <v>113</v>
      </c>
      <c r="D337" t="s">
        <v>762</v>
      </c>
      <c r="E337">
        <v>1.2</v>
      </c>
      <c r="F337" s="33">
        <v>1.6434</v>
      </c>
      <c r="G337" s="33" t="s">
        <v>117</v>
      </c>
      <c r="H337" t="s">
        <v>1451</v>
      </c>
      <c r="I337" t="str">
        <f>IF(quantInv[[#This Row],[Metal]] = "925 Silver",  "7113.11.00"," 7113.19.00")</f>
        <v>7113.11.00</v>
      </c>
      <c r="J337" t="str">
        <f>IF(quantInv[[#This Row],[Metal]] = "925 Silver", "7113.11.10.00"," 7113.19.10.00")</f>
        <v>7113.11.10.00</v>
      </c>
      <c r="K337" t="str">
        <f>IF(quantInv[[#This Row],[Metal]] = "925 Silver",  "7113.11.00"," 7113.19.00")</f>
        <v>7113.11.00</v>
      </c>
      <c r="L337" t="str">
        <f>IFERROR(VLOOKUP(quantInv[[#This Row],[Description for New Invoice]],Map!$G$12:$H$32,2,FALSE), IF(quantInv[[#This Row],[Metal]] = "925 Silver", "7113.11.10.00", "7113.19.29.00"))</f>
        <v>7113.11.50.00</v>
      </c>
      <c r="M337" t="str">
        <f>quantInv[[#This Row],[ASIN]] &amp; " " &amp; quantInv[[#This Row],[Short Description]]</f>
        <v>B06ZYPVQKR Pen - Rectangular</v>
      </c>
      <c r="N337" s="33">
        <f>quantInv[[#This Row],[UNIT
VALUE]] / EURtoGBP</f>
        <v>1.8654543597078204</v>
      </c>
      <c r="O337" s="33">
        <f>quantInv[[#This Row],[UNIT
VALUE]]/USDtoGBP</f>
        <v>2.2528283729709946</v>
      </c>
      <c r="P337" s="33">
        <f>quantInv[[#This Row],[UNIT
VALUE]] / CADtoGBP</f>
        <v>2.8837498223319522</v>
      </c>
      <c r="Q337" s="33">
        <f>quantInv[[#This Row],[UNIT
VALUE]]/AUDtoGBP</f>
        <v>2.9517206695883322</v>
      </c>
      <c r="R337">
        <f>IFERROR(VLOOKUP(quantInv[[#This Row],[Assigned Item SKU]],skuQuantity[#All],2,FALSE),0)</f>
        <v>0</v>
      </c>
      <c r="S337" t="str">
        <f>PROPER(quantInv[[#This Row],[Metal]] &amp; " " &amp; quantInv[[#This Row],[Item Type]])</f>
        <v>925 Silver Pendant</v>
      </c>
      <c r="T337" s="33">
        <f>quantInv[[#This Row],[Quantity]]*quantInv[[#This Row],[WEIGHT]]</f>
        <v>0</v>
      </c>
      <c r="U337" s="33">
        <f>quantInv[[#This Row],[UNIT
VALUE]]*quantInv[[#This Row],[Quantity]]</f>
        <v>0</v>
      </c>
      <c r="V337" s="33">
        <f>quantInv[[#This Row],[Total Cost GBP]]/EURtoGBP</f>
        <v>0</v>
      </c>
      <c r="W337" s="33">
        <f>quantInv[[#This Row],[Total Cost GBP]]/USDtoGBP</f>
        <v>0</v>
      </c>
      <c r="X337" s="33">
        <f>quantInv[[#This Row],[Total Cost GBP]]/CADtoGBP</f>
        <v>0</v>
      </c>
      <c r="Y337" s="33">
        <f>quantInv[[#This Row],[Quantity]]*quantInv[[#This Row],[UNIT
VALUE AUD]]</f>
        <v>0</v>
      </c>
      <c r="Z337" s="33"/>
    </row>
    <row r="338" spans="1:26" x14ac:dyDescent="0.25">
      <c r="A338" t="s">
        <v>789</v>
      </c>
      <c r="B338" t="s">
        <v>790</v>
      </c>
      <c r="C338" t="s">
        <v>113</v>
      </c>
      <c r="D338" t="s">
        <v>762</v>
      </c>
      <c r="E338">
        <v>1.2</v>
      </c>
      <c r="F338" s="33">
        <v>1.6434</v>
      </c>
      <c r="G338" s="33" t="s">
        <v>117</v>
      </c>
      <c r="H338" t="s">
        <v>1451</v>
      </c>
      <c r="I338" t="str">
        <f>IF(quantInv[[#This Row],[Metal]] = "925 Silver",  "7113.11.00"," 7113.19.00")</f>
        <v>7113.11.00</v>
      </c>
      <c r="J338" t="str">
        <f>IF(quantInv[[#This Row],[Metal]] = "925 Silver", "7113.11.10.00"," 7113.19.10.00")</f>
        <v>7113.11.10.00</v>
      </c>
      <c r="K338" t="str">
        <f>IF(quantInv[[#This Row],[Metal]] = "925 Silver",  "7113.11.00"," 7113.19.00")</f>
        <v>7113.11.00</v>
      </c>
      <c r="L338" t="str">
        <f>IFERROR(VLOOKUP(quantInv[[#This Row],[Description for New Invoice]],Map!$G$12:$H$32,2,FALSE), IF(quantInv[[#This Row],[Metal]] = "925 Silver", "7113.11.10.00", "7113.19.29.00"))</f>
        <v>7113.11.50.00</v>
      </c>
      <c r="M338" t="str">
        <f>quantInv[[#This Row],[ASIN]] &amp; " " &amp; quantInv[[#This Row],[Short Description]]</f>
        <v>B06ZYZTCTF Pen - Rectangular</v>
      </c>
      <c r="N338" s="33">
        <f>quantInv[[#This Row],[UNIT
VALUE]] / EURtoGBP</f>
        <v>1.8654543597078204</v>
      </c>
      <c r="O338" s="33">
        <f>quantInv[[#This Row],[UNIT
VALUE]]/USDtoGBP</f>
        <v>2.2528283729709946</v>
      </c>
      <c r="P338" s="33">
        <f>quantInv[[#This Row],[UNIT
VALUE]] / CADtoGBP</f>
        <v>2.8837498223319522</v>
      </c>
      <c r="Q338" s="33">
        <f>quantInv[[#This Row],[UNIT
VALUE]]/AUDtoGBP</f>
        <v>2.9517206695883322</v>
      </c>
      <c r="R338">
        <f>IFERROR(VLOOKUP(quantInv[[#This Row],[Assigned Item SKU]],skuQuantity[#All],2,FALSE),0)</f>
        <v>0</v>
      </c>
      <c r="S338" t="str">
        <f>PROPER(quantInv[[#This Row],[Metal]] &amp; " " &amp; quantInv[[#This Row],[Item Type]])</f>
        <v>925 Silver Pendant</v>
      </c>
      <c r="T338" s="33">
        <f>quantInv[[#This Row],[Quantity]]*quantInv[[#This Row],[WEIGHT]]</f>
        <v>0</v>
      </c>
      <c r="U338" s="33">
        <f>quantInv[[#This Row],[UNIT
VALUE]]*quantInv[[#This Row],[Quantity]]</f>
        <v>0</v>
      </c>
      <c r="V338" s="33">
        <f>quantInv[[#This Row],[Total Cost GBP]]/EURtoGBP</f>
        <v>0</v>
      </c>
      <c r="W338" s="33">
        <f>quantInv[[#This Row],[Total Cost GBP]]/USDtoGBP</f>
        <v>0</v>
      </c>
      <c r="X338" s="33">
        <f>quantInv[[#This Row],[Total Cost GBP]]/CADtoGBP</f>
        <v>0</v>
      </c>
      <c r="Y338" s="33">
        <f>quantInv[[#This Row],[Quantity]]*quantInv[[#This Row],[UNIT
VALUE AUD]]</f>
        <v>0</v>
      </c>
      <c r="Z338" s="33"/>
    </row>
    <row r="339" spans="1:26" x14ac:dyDescent="0.25">
      <c r="A339" t="s">
        <v>791</v>
      </c>
      <c r="B339" t="s">
        <v>792</v>
      </c>
      <c r="C339" t="s">
        <v>113</v>
      </c>
      <c r="D339" t="s">
        <v>793</v>
      </c>
      <c r="E339">
        <v>1</v>
      </c>
      <c r="F339" s="33">
        <v>1.3878999999999999</v>
      </c>
      <c r="G339" s="33" t="s">
        <v>117</v>
      </c>
      <c r="H339" t="s">
        <v>1451</v>
      </c>
      <c r="I339" t="str">
        <f>IF(quantInv[[#This Row],[Metal]] = "925 Silver",  "7113.11.00"," 7113.19.00")</f>
        <v>7113.11.00</v>
      </c>
      <c r="J339" t="str">
        <f>IF(quantInv[[#This Row],[Metal]] = "925 Silver", "7113.11.10.00"," 7113.19.10.00")</f>
        <v>7113.11.10.00</v>
      </c>
      <c r="K339" t="str">
        <f>IF(quantInv[[#This Row],[Metal]] = "925 Silver",  "7113.11.00"," 7113.19.00")</f>
        <v>7113.11.00</v>
      </c>
      <c r="L339" t="str">
        <f>IFERROR(VLOOKUP(quantInv[[#This Row],[Description for New Invoice]],Map!$G$12:$H$32,2,FALSE), IF(quantInv[[#This Row],[Metal]] = "925 Silver", "7113.11.10.00", "7113.19.29.00"))</f>
        <v>7113.11.50.00</v>
      </c>
      <c r="M339" t="str">
        <f>quantInv[[#This Row],[ASIN]] &amp; " " &amp; quantInv[[#This Row],[Short Description]]</f>
        <v>B071R9K7TY Pen - Oval</v>
      </c>
      <c r="N339" s="33">
        <f>quantInv[[#This Row],[UNIT
VALUE]] / EURtoGBP</f>
        <v>1.5754314870624826</v>
      </c>
      <c r="O339" s="33">
        <f>quantInv[[#This Row],[UNIT
VALUE]]/USDtoGBP</f>
        <v>1.9025803205832075</v>
      </c>
      <c r="P339" s="33">
        <f>quantInv[[#This Row],[UNIT
VALUE]] / CADtoGBP</f>
        <v>2.4354121810968214</v>
      </c>
      <c r="Q339" s="33">
        <f>quantInv[[#This Row],[UNIT
VALUE]]/AUDtoGBP</f>
        <v>2.4928155758315969</v>
      </c>
      <c r="R339">
        <f>IFERROR(VLOOKUP(quantInv[[#This Row],[Assigned Item SKU]],skuQuantity[#All],2,FALSE),0)</f>
        <v>0</v>
      </c>
      <c r="S339" t="str">
        <f>PROPER(quantInv[[#This Row],[Metal]] &amp; " " &amp; quantInv[[#This Row],[Item Type]])</f>
        <v>925 Silver Pendant</v>
      </c>
      <c r="T339" s="33">
        <f>quantInv[[#This Row],[Quantity]]*quantInv[[#This Row],[WEIGHT]]</f>
        <v>0</v>
      </c>
      <c r="U339" s="33">
        <f>quantInv[[#This Row],[UNIT
VALUE]]*quantInv[[#This Row],[Quantity]]</f>
        <v>0</v>
      </c>
      <c r="V339" s="33">
        <f>quantInv[[#This Row],[Total Cost GBP]]/EURtoGBP</f>
        <v>0</v>
      </c>
      <c r="W339" s="33">
        <f>quantInv[[#This Row],[Total Cost GBP]]/USDtoGBP</f>
        <v>0</v>
      </c>
      <c r="X339" s="33">
        <f>quantInv[[#This Row],[Total Cost GBP]]/CADtoGBP</f>
        <v>0</v>
      </c>
      <c r="Y339" s="33">
        <f>quantInv[[#This Row],[Quantity]]*quantInv[[#This Row],[UNIT
VALUE AUD]]</f>
        <v>0</v>
      </c>
      <c r="Z339" s="33"/>
    </row>
    <row r="340" spans="1:26" x14ac:dyDescent="0.25">
      <c r="A340" t="s">
        <v>794</v>
      </c>
      <c r="B340" t="s">
        <v>795</v>
      </c>
      <c r="C340" t="s">
        <v>113</v>
      </c>
      <c r="D340" t="s">
        <v>793</v>
      </c>
      <c r="E340">
        <v>1</v>
      </c>
      <c r="F340" s="33">
        <v>1.3878999999999999</v>
      </c>
      <c r="G340" s="33" t="s">
        <v>117</v>
      </c>
      <c r="H340" t="s">
        <v>1451</v>
      </c>
      <c r="I340" t="str">
        <f>IF(quantInv[[#This Row],[Metal]] = "925 Silver",  "7113.11.00"," 7113.19.00")</f>
        <v>7113.11.00</v>
      </c>
      <c r="J340" t="str">
        <f>IF(quantInv[[#This Row],[Metal]] = "925 Silver", "7113.11.10.00"," 7113.19.10.00")</f>
        <v>7113.11.10.00</v>
      </c>
      <c r="K340" t="str">
        <f>IF(quantInv[[#This Row],[Metal]] = "925 Silver",  "7113.11.00"," 7113.19.00")</f>
        <v>7113.11.00</v>
      </c>
      <c r="L340" t="str">
        <f>IFERROR(VLOOKUP(quantInv[[#This Row],[Description for New Invoice]],Map!$G$12:$H$32,2,FALSE), IF(quantInv[[#This Row],[Metal]] = "925 Silver", "7113.11.10.00", "7113.19.29.00"))</f>
        <v>7113.11.50.00</v>
      </c>
      <c r="M340" t="str">
        <f>quantInv[[#This Row],[ASIN]] &amp; " " &amp; quantInv[[#This Row],[Short Description]]</f>
        <v>B06ZXVBZHT Pen - Oval</v>
      </c>
      <c r="N340" s="33">
        <f>quantInv[[#This Row],[UNIT
VALUE]] / EURtoGBP</f>
        <v>1.5754314870624826</v>
      </c>
      <c r="O340" s="33">
        <f>quantInv[[#This Row],[UNIT
VALUE]]/USDtoGBP</f>
        <v>1.9025803205832075</v>
      </c>
      <c r="P340" s="33">
        <f>quantInv[[#This Row],[UNIT
VALUE]] / CADtoGBP</f>
        <v>2.4354121810968214</v>
      </c>
      <c r="Q340" s="33">
        <f>quantInv[[#This Row],[UNIT
VALUE]]/AUDtoGBP</f>
        <v>2.4928155758315969</v>
      </c>
      <c r="R340">
        <f>IFERROR(VLOOKUP(quantInv[[#This Row],[Assigned Item SKU]],skuQuantity[#All],2,FALSE),0)</f>
        <v>0</v>
      </c>
      <c r="S340" t="str">
        <f>PROPER(quantInv[[#This Row],[Metal]] &amp; " " &amp; quantInv[[#This Row],[Item Type]])</f>
        <v>925 Silver Pendant</v>
      </c>
      <c r="T340" s="33">
        <f>quantInv[[#This Row],[Quantity]]*quantInv[[#This Row],[WEIGHT]]</f>
        <v>0</v>
      </c>
      <c r="U340" s="33">
        <f>quantInv[[#This Row],[UNIT
VALUE]]*quantInv[[#This Row],[Quantity]]</f>
        <v>0</v>
      </c>
      <c r="V340" s="33">
        <f>quantInv[[#This Row],[Total Cost GBP]]/EURtoGBP</f>
        <v>0</v>
      </c>
      <c r="W340" s="33">
        <f>quantInv[[#This Row],[Total Cost GBP]]/USDtoGBP</f>
        <v>0</v>
      </c>
      <c r="X340" s="33">
        <f>quantInv[[#This Row],[Total Cost GBP]]/CADtoGBP</f>
        <v>0</v>
      </c>
      <c r="Y340" s="33">
        <f>quantInv[[#This Row],[Quantity]]*quantInv[[#This Row],[UNIT
VALUE AUD]]</f>
        <v>0</v>
      </c>
      <c r="Z340" s="33"/>
    </row>
    <row r="341" spans="1:26" x14ac:dyDescent="0.25">
      <c r="A341" t="s">
        <v>2402</v>
      </c>
      <c r="B341" t="s">
        <v>2403</v>
      </c>
      <c r="C341" t="s">
        <v>115</v>
      </c>
      <c r="D341" t="s">
        <v>2404</v>
      </c>
      <c r="E341">
        <v>0.99</v>
      </c>
      <c r="F341" s="33">
        <v>2.9281999999999999</v>
      </c>
      <c r="G341" s="33" t="s">
        <v>117</v>
      </c>
      <c r="H341" t="s">
        <v>1310</v>
      </c>
      <c r="I341" t="str">
        <f>IF(quantInv[[#This Row],[Metal]] = "925 Silver",  "7113.11.00"," 7113.19.00")</f>
        <v>7113.11.00</v>
      </c>
      <c r="J341" t="str">
        <f>IF(quantInv[[#This Row],[Metal]] = "925 Silver", "7113.11.10.00"," 7113.19.10.00")</f>
        <v>7113.11.10.00</v>
      </c>
      <c r="K341" t="str">
        <f>IF(quantInv[[#This Row],[Metal]] = "925 Silver",  "7113.11.00"," 7113.19.00")</f>
        <v>7113.11.00</v>
      </c>
      <c r="L341" t="str">
        <f>IFERROR(VLOOKUP(quantInv[[#This Row],[Description for New Invoice]],Map!$G$12:$H$32,2,FALSE), IF(quantInv[[#This Row],[Metal]] = "925 Silver", "7113.11.10.00", "7113.19.29.00"))</f>
        <v>7113.11.50.00</v>
      </c>
      <c r="M341" t="str">
        <f>quantInv[[#This Row],[ASIN]] &amp; " " &amp; quantInv[[#This Row],[Short Description]]</f>
        <v>B09J5GTMTZ Silver Zodiac Stud: Scorpio</v>
      </c>
      <c r="N341" s="33">
        <f>quantInv[[#This Row],[UNIT
VALUE]] / EURtoGBP</f>
        <v>3.323855090724376</v>
      </c>
      <c r="O341" s="33">
        <f>quantInv[[#This Row],[UNIT
VALUE]]/USDtoGBP</f>
        <v>4.0140757221210093</v>
      </c>
      <c r="P341" s="33">
        <f>quantInv[[#This Row],[UNIT
VALUE]] / CADtoGBP</f>
        <v>5.1382476754000379</v>
      </c>
      <c r="Q341" s="33">
        <f>quantInv[[#This Row],[UNIT
VALUE]]/AUDtoGBP</f>
        <v>5.2593577124793445</v>
      </c>
      <c r="R341">
        <f>IFERROR(VLOOKUP(quantInv[[#This Row],[Assigned Item SKU]],skuQuantity[#All],2,FALSE),0)</f>
        <v>5</v>
      </c>
      <c r="S341" t="str">
        <f>PROPER(quantInv[[#This Row],[Metal]] &amp; " " &amp; quantInv[[#This Row],[Item Type]])</f>
        <v>925 Silver Earrings</v>
      </c>
      <c r="T341" s="33">
        <f>quantInv[[#This Row],[Quantity]]*quantInv[[#This Row],[WEIGHT]]</f>
        <v>4.95</v>
      </c>
      <c r="U341" s="33">
        <f>quantInv[[#This Row],[UNIT
VALUE]]*quantInv[[#This Row],[Quantity]]</f>
        <v>14.641</v>
      </c>
      <c r="V341" s="33">
        <f>quantInv[[#This Row],[Total Cost GBP]]/EURtoGBP</f>
        <v>16.619275453621881</v>
      </c>
      <c r="W341" s="33">
        <f>quantInv[[#This Row],[Total Cost GBP]]/USDtoGBP</f>
        <v>20.070378610605044</v>
      </c>
      <c r="X341" s="33">
        <f>quantInv[[#This Row],[Total Cost GBP]]/CADtoGBP</f>
        <v>25.69123837700019</v>
      </c>
      <c r="Y341" s="33">
        <f>quantInv[[#This Row],[Quantity]]*quantInv[[#This Row],[UNIT
VALUE AUD]]</f>
        <v>26.296788562396721</v>
      </c>
      <c r="Z341" s="33"/>
    </row>
    <row r="342" spans="1:26" x14ac:dyDescent="0.25">
      <c r="A342" t="s">
        <v>797</v>
      </c>
      <c r="B342" t="s">
        <v>798</v>
      </c>
      <c r="C342" t="s">
        <v>113</v>
      </c>
      <c r="D342" t="s">
        <v>793</v>
      </c>
      <c r="E342">
        <v>1</v>
      </c>
      <c r="F342" s="33">
        <v>1.3878999999999999</v>
      </c>
      <c r="G342" s="33" t="s">
        <v>117</v>
      </c>
      <c r="H342" t="s">
        <v>1451</v>
      </c>
      <c r="I342" t="str">
        <f>IF(quantInv[[#This Row],[Metal]] = "925 Silver",  "7113.11.00"," 7113.19.00")</f>
        <v>7113.11.00</v>
      </c>
      <c r="J342" t="str">
        <f>IF(quantInv[[#This Row],[Metal]] = "925 Silver", "7113.11.10.00"," 7113.19.10.00")</f>
        <v>7113.11.10.00</v>
      </c>
      <c r="K342" t="str">
        <f>IF(quantInv[[#This Row],[Metal]] = "925 Silver",  "7113.11.00"," 7113.19.00")</f>
        <v>7113.11.00</v>
      </c>
      <c r="L342" t="str">
        <f>IFERROR(VLOOKUP(quantInv[[#This Row],[Description for New Invoice]],Map!$G$12:$H$32,2,FALSE), IF(quantInv[[#This Row],[Metal]] = "925 Silver", "7113.11.10.00", "7113.19.29.00"))</f>
        <v>7113.11.50.00</v>
      </c>
      <c r="M342" t="str">
        <f>quantInv[[#This Row],[ASIN]] &amp; " " &amp; quantInv[[#This Row],[Short Description]]</f>
        <v>B071XRPDN3 Pen - Oval</v>
      </c>
      <c r="N342" s="33">
        <f>quantInv[[#This Row],[UNIT
VALUE]] / EURtoGBP</f>
        <v>1.5754314870624826</v>
      </c>
      <c r="O342" s="33">
        <f>quantInv[[#This Row],[UNIT
VALUE]]/USDtoGBP</f>
        <v>1.9025803205832075</v>
      </c>
      <c r="P342" s="33">
        <f>quantInv[[#This Row],[UNIT
VALUE]] / CADtoGBP</f>
        <v>2.4354121810968214</v>
      </c>
      <c r="Q342" s="33">
        <f>quantInv[[#This Row],[UNIT
VALUE]]/AUDtoGBP</f>
        <v>2.4928155758315969</v>
      </c>
      <c r="R342">
        <f>IFERROR(VLOOKUP(quantInv[[#This Row],[Assigned Item SKU]],skuQuantity[#All],2,FALSE),0)</f>
        <v>0</v>
      </c>
      <c r="S342" t="str">
        <f>PROPER(quantInv[[#This Row],[Metal]] &amp; " " &amp; quantInv[[#This Row],[Item Type]])</f>
        <v>925 Silver Pendant</v>
      </c>
      <c r="T342" s="33">
        <f>quantInv[[#This Row],[Quantity]]*quantInv[[#This Row],[WEIGHT]]</f>
        <v>0</v>
      </c>
      <c r="U342" s="33">
        <f>quantInv[[#This Row],[UNIT
VALUE]]*quantInv[[#This Row],[Quantity]]</f>
        <v>0</v>
      </c>
      <c r="V342" s="33">
        <f>quantInv[[#This Row],[Total Cost GBP]]/EURtoGBP</f>
        <v>0</v>
      </c>
      <c r="W342" s="33">
        <f>quantInv[[#This Row],[Total Cost GBP]]/USDtoGBP</f>
        <v>0</v>
      </c>
      <c r="X342" s="33">
        <f>quantInv[[#This Row],[Total Cost GBP]]/CADtoGBP</f>
        <v>0</v>
      </c>
      <c r="Y342" s="33">
        <f>quantInv[[#This Row],[Quantity]]*quantInv[[#This Row],[UNIT
VALUE AUD]]</f>
        <v>0</v>
      </c>
      <c r="Z342" s="33"/>
    </row>
    <row r="343" spans="1:26" x14ac:dyDescent="0.25">
      <c r="A343" t="s">
        <v>73</v>
      </c>
      <c r="B343" t="s">
        <v>214</v>
      </c>
      <c r="C343" t="s">
        <v>114</v>
      </c>
      <c r="D343" t="s">
        <v>213</v>
      </c>
      <c r="E343">
        <v>2.1659999999999999</v>
      </c>
      <c r="F343" s="33">
        <v>3.0007000000000001</v>
      </c>
      <c r="G343" s="33" t="s">
        <v>117</v>
      </c>
      <c r="H343" t="s">
        <v>103</v>
      </c>
      <c r="I343" t="str">
        <f>IF(quantInv[[#This Row],[Metal]] = "925 Silver",  "7113.11.00"," 7113.19.00")</f>
        <v>7113.11.00</v>
      </c>
      <c r="J343" t="str">
        <f>IF(quantInv[[#This Row],[Metal]] = "925 Silver", "7113.11.10.00"," 7113.19.10.00")</f>
        <v>7113.11.10.00</v>
      </c>
      <c r="K343" t="str">
        <f>IF(quantInv[[#This Row],[Metal]] = "925 Silver",  "7113.11.00"," 7113.19.00")</f>
        <v>7113.11.00</v>
      </c>
      <c r="L343" t="str">
        <f>IFERROR(VLOOKUP(quantInv[[#This Row],[Description for New Invoice]],Map!$G$12:$H$32,2,FALSE), IF(quantInv[[#This Row],[Metal]] = "925 Silver", "7113.11.10.00", "7113.19.29.00"))</f>
        <v>7113.11.10.00</v>
      </c>
      <c r="M343" t="str">
        <f>quantInv[[#This Row],[ASIN]] &amp; " " &amp; quantInv[[#This Row],[Short Description]]</f>
        <v>B073G7MZ8G Ball Chain</v>
      </c>
      <c r="N343" s="33">
        <f>quantInv[[#This Row],[UNIT
VALUE]] / EURtoGBP</f>
        <v>3.4061512091853823</v>
      </c>
      <c r="O343" s="33">
        <f>quantInv[[#This Row],[UNIT
VALUE]]/USDtoGBP</f>
        <v>4.1134611772995395</v>
      </c>
      <c r="P343" s="33">
        <f>quantInv[[#This Row],[UNIT
VALUE]] / CADtoGBP</f>
        <v>5.2654667712495371</v>
      </c>
      <c r="Q343" s="33">
        <f>quantInv[[#This Row],[UNIT
VALUE]]/AUDtoGBP</f>
        <v>5.3895754005316476</v>
      </c>
      <c r="R343">
        <f>IFERROR(VLOOKUP(quantInv[[#This Row],[Assigned Item SKU]],skuQuantity[#All],2,FALSE),0)</f>
        <v>0</v>
      </c>
      <c r="S343" t="str">
        <f>PROPER(quantInv[[#This Row],[Metal]] &amp; " " &amp; quantInv[[#This Row],[Item Type]])</f>
        <v>925 Silver Chain</v>
      </c>
      <c r="T343" s="33">
        <f>quantInv[[#This Row],[Quantity]]*quantInv[[#This Row],[WEIGHT]]</f>
        <v>0</v>
      </c>
      <c r="U343" s="33">
        <f>quantInv[[#This Row],[UNIT
VALUE]]*quantInv[[#This Row],[Quantity]]</f>
        <v>0</v>
      </c>
      <c r="V343" s="33">
        <f>quantInv[[#This Row],[Total Cost GBP]]/EURtoGBP</f>
        <v>0</v>
      </c>
      <c r="W343" s="33">
        <f>quantInv[[#This Row],[Total Cost GBP]]/USDtoGBP</f>
        <v>0</v>
      </c>
      <c r="X343" s="33">
        <f>quantInv[[#This Row],[Total Cost GBP]]/CADtoGBP</f>
        <v>0</v>
      </c>
      <c r="Y343" s="33">
        <f>quantInv[[#This Row],[Quantity]]*quantInv[[#This Row],[UNIT
VALUE AUD]]</f>
        <v>0</v>
      </c>
      <c r="Z343" s="33"/>
    </row>
    <row r="344" spans="1:26" x14ac:dyDescent="0.25">
      <c r="A344" t="s">
        <v>800</v>
      </c>
      <c r="B344" t="s">
        <v>801</v>
      </c>
      <c r="C344" t="s">
        <v>113</v>
      </c>
      <c r="D344" t="s">
        <v>802</v>
      </c>
      <c r="E344">
        <v>1.9</v>
      </c>
      <c r="F344" s="33">
        <v>2.5375000000000001</v>
      </c>
      <c r="G344" s="33" t="s">
        <v>117</v>
      </c>
      <c r="H344" t="s">
        <v>1451</v>
      </c>
      <c r="I344" t="str">
        <f>IF(quantInv[[#This Row],[Metal]] = "925 Silver",  "7113.11.00"," 7113.19.00")</f>
        <v>7113.11.00</v>
      </c>
      <c r="J344" t="str">
        <f>IF(quantInv[[#This Row],[Metal]] = "925 Silver", "7113.11.10.00"," 7113.19.10.00")</f>
        <v>7113.11.10.00</v>
      </c>
      <c r="K344" t="str">
        <f>IF(quantInv[[#This Row],[Metal]] = "925 Silver",  "7113.11.00"," 7113.19.00")</f>
        <v>7113.11.00</v>
      </c>
      <c r="L344" t="str">
        <f>IFERROR(VLOOKUP(quantInv[[#This Row],[Description for New Invoice]],Map!$G$12:$H$32,2,FALSE), IF(quantInv[[#This Row],[Metal]] = "925 Silver", "7113.11.10.00", "7113.19.29.00"))</f>
        <v>7113.11.50.00</v>
      </c>
      <c r="M344" t="str">
        <f>quantInv[[#This Row],[ASIN]] &amp; " " &amp; quantInv[[#This Row],[Short Description]]</f>
        <v>B071R9LDV4 Pen - Buffalo</v>
      </c>
      <c r="N344" s="33">
        <f>quantInv[[#This Row],[UNIT
VALUE]] / EURtoGBP</f>
        <v>2.8803641461352041</v>
      </c>
      <c r="O344" s="33">
        <f>quantInv[[#This Row],[UNIT
VALUE]]/USDtoGBP</f>
        <v>3.4784909312485692</v>
      </c>
      <c r="P344" s="33">
        <f>quantInv[[#This Row],[UNIT
VALUE]] / CADtoGBP</f>
        <v>4.4526683547324621</v>
      </c>
      <c r="Q344" s="33">
        <f>quantInv[[#This Row],[UNIT
VALUE]]/AUDtoGBP</f>
        <v>4.5576190818305911</v>
      </c>
      <c r="R344">
        <f>IFERROR(VLOOKUP(quantInv[[#This Row],[Assigned Item SKU]],skuQuantity[#All],2,FALSE),0)</f>
        <v>0</v>
      </c>
      <c r="S344" t="str">
        <f>PROPER(quantInv[[#This Row],[Metal]] &amp; " " &amp; quantInv[[#This Row],[Item Type]])</f>
        <v>925 Silver Pendant</v>
      </c>
      <c r="T344" s="33">
        <f>quantInv[[#This Row],[Quantity]]*quantInv[[#This Row],[WEIGHT]]</f>
        <v>0</v>
      </c>
      <c r="U344" s="33">
        <f>quantInv[[#This Row],[UNIT
VALUE]]*quantInv[[#This Row],[Quantity]]</f>
        <v>0</v>
      </c>
      <c r="V344" s="33">
        <f>quantInv[[#This Row],[Total Cost GBP]]/EURtoGBP</f>
        <v>0</v>
      </c>
      <c r="W344" s="33">
        <f>quantInv[[#This Row],[Total Cost GBP]]/USDtoGBP</f>
        <v>0</v>
      </c>
      <c r="X344" s="33">
        <f>quantInv[[#This Row],[Total Cost GBP]]/CADtoGBP</f>
        <v>0</v>
      </c>
      <c r="Y344" s="33">
        <f>quantInv[[#This Row],[Quantity]]*quantInv[[#This Row],[UNIT
VALUE AUD]]</f>
        <v>0</v>
      </c>
      <c r="Z344" s="33"/>
    </row>
    <row r="345" spans="1:26" x14ac:dyDescent="0.25">
      <c r="A345" t="s">
        <v>803</v>
      </c>
      <c r="B345" t="s">
        <v>804</v>
      </c>
      <c r="C345" t="s">
        <v>113</v>
      </c>
      <c r="D345" t="s">
        <v>802</v>
      </c>
      <c r="E345">
        <v>1.9</v>
      </c>
      <c r="F345" s="33">
        <v>2.5375000000000001</v>
      </c>
      <c r="G345" s="33" t="s">
        <v>117</v>
      </c>
      <c r="H345" t="s">
        <v>1451</v>
      </c>
      <c r="I345" t="str">
        <f>IF(quantInv[[#This Row],[Metal]] = "925 Silver",  "7113.11.00"," 7113.19.00")</f>
        <v>7113.11.00</v>
      </c>
      <c r="J345" t="str">
        <f>IF(quantInv[[#This Row],[Metal]] = "925 Silver", "7113.11.10.00"," 7113.19.10.00")</f>
        <v>7113.11.10.00</v>
      </c>
      <c r="K345" t="str">
        <f>IF(quantInv[[#This Row],[Metal]] = "925 Silver",  "7113.11.00"," 7113.19.00")</f>
        <v>7113.11.00</v>
      </c>
      <c r="L345" t="str">
        <f>IFERROR(VLOOKUP(quantInv[[#This Row],[Description for New Invoice]],Map!$G$12:$H$32,2,FALSE), IF(quantInv[[#This Row],[Metal]] = "925 Silver", "7113.11.10.00", "7113.19.29.00"))</f>
        <v>7113.11.50.00</v>
      </c>
      <c r="M345" t="str">
        <f>quantInv[[#This Row],[ASIN]] &amp; " " &amp; quantInv[[#This Row],[Short Description]]</f>
        <v>B071Y19F74 Pen - Buffalo</v>
      </c>
      <c r="N345" s="33">
        <f>quantInv[[#This Row],[UNIT
VALUE]] / EURtoGBP</f>
        <v>2.8803641461352041</v>
      </c>
      <c r="O345" s="33">
        <f>quantInv[[#This Row],[UNIT
VALUE]]/USDtoGBP</f>
        <v>3.4784909312485692</v>
      </c>
      <c r="P345" s="33">
        <f>quantInv[[#This Row],[UNIT
VALUE]] / CADtoGBP</f>
        <v>4.4526683547324621</v>
      </c>
      <c r="Q345" s="33">
        <f>quantInv[[#This Row],[UNIT
VALUE]]/AUDtoGBP</f>
        <v>4.5576190818305911</v>
      </c>
      <c r="R345">
        <f>IFERROR(VLOOKUP(quantInv[[#This Row],[Assigned Item SKU]],skuQuantity[#All],2,FALSE),0)</f>
        <v>0</v>
      </c>
      <c r="S345" t="str">
        <f>PROPER(quantInv[[#This Row],[Metal]] &amp; " " &amp; quantInv[[#This Row],[Item Type]])</f>
        <v>925 Silver Pendant</v>
      </c>
      <c r="T345" s="33">
        <f>quantInv[[#This Row],[Quantity]]*quantInv[[#This Row],[WEIGHT]]</f>
        <v>0</v>
      </c>
      <c r="U345" s="33">
        <f>quantInv[[#This Row],[UNIT
VALUE]]*quantInv[[#This Row],[Quantity]]</f>
        <v>0</v>
      </c>
      <c r="V345" s="33">
        <f>quantInv[[#This Row],[Total Cost GBP]]/EURtoGBP</f>
        <v>0</v>
      </c>
      <c r="W345" s="33">
        <f>quantInv[[#This Row],[Total Cost GBP]]/USDtoGBP</f>
        <v>0</v>
      </c>
      <c r="X345" s="33">
        <f>quantInv[[#This Row],[Total Cost GBP]]/CADtoGBP</f>
        <v>0</v>
      </c>
      <c r="Y345" s="33">
        <f>quantInv[[#This Row],[Quantity]]*quantInv[[#This Row],[UNIT
VALUE AUD]]</f>
        <v>0</v>
      </c>
      <c r="Z345" s="33"/>
    </row>
    <row r="346" spans="1:26" x14ac:dyDescent="0.25">
      <c r="A346" t="s">
        <v>805</v>
      </c>
      <c r="B346" t="s">
        <v>806</v>
      </c>
      <c r="C346" t="s">
        <v>113</v>
      </c>
      <c r="D346" t="s">
        <v>807</v>
      </c>
      <c r="E346">
        <v>6.7</v>
      </c>
      <c r="F346" s="33">
        <v>8.6691000000000003</v>
      </c>
      <c r="G346" s="33" t="s">
        <v>117</v>
      </c>
      <c r="H346" t="s">
        <v>1451</v>
      </c>
      <c r="I346" t="str">
        <f>IF(quantInv[[#This Row],[Metal]] = "925 Silver",  "7113.11.00"," 7113.19.00")</f>
        <v>7113.11.00</v>
      </c>
      <c r="J346" t="str">
        <f>IF(quantInv[[#This Row],[Metal]] = "925 Silver", "7113.11.10.00"," 7113.19.10.00")</f>
        <v>7113.11.10.00</v>
      </c>
      <c r="K346" t="str">
        <f>IF(quantInv[[#This Row],[Metal]] = "925 Silver",  "7113.11.00"," 7113.19.00")</f>
        <v>7113.11.00</v>
      </c>
      <c r="L346" t="str">
        <f>IFERROR(VLOOKUP(quantInv[[#This Row],[Description for New Invoice]],Map!$G$12:$H$32,2,FALSE), IF(quantInv[[#This Row],[Metal]] = "925 Silver", "7113.11.10.00", "7113.19.29.00"))</f>
        <v>7113.11.50.00</v>
      </c>
      <c r="M346" t="str">
        <f>quantInv[[#This Row],[ASIN]] &amp; " " &amp; quantInv[[#This Row],[Short Description]]</f>
        <v>B071R96QD5 Pen - Fairy</v>
      </c>
      <c r="N346" s="33">
        <f>quantInv[[#This Row],[UNIT
VALUE]] / EURtoGBP</f>
        <v>9.8404590420731815</v>
      </c>
      <c r="O346" s="33">
        <f>quantInv[[#This Row],[UNIT
VALUE]]/USDtoGBP</f>
        <v>11.883895855009644</v>
      </c>
      <c r="P346" s="33">
        <f>quantInv[[#This Row],[UNIT
VALUE]] / CADtoGBP</f>
        <v>15.212069845915741</v>
      </c>
      <c r="Q346" s="33">
        <f>quantInv[[#This Row],[UNIT
VALUE]]/AUDtoGBP</f>
        <v>15.5706228895754</v>
      </c>
      <c r="R346">
        <f>IFERROR(VLOOKUP(quantInv[[#This Row],[Assigned Item SKU]],skuQuantity[#All],2,FALSE),0)</f>
        <v>0</v>
      </c>
      <c r="S346" t="str">
        <f>PROPER(quantInv[[#This Row],[Metal]] &amp; " " &amp; quantInv[[#This Row],[Item Type]])</f>
        <v>925 Silver Pendant</v>
      </c>
      <c r="T346" s="33">
        <f>quantInv[[#This Row],[Quantity]]*quantInv[[#This Row],[WEIGHT]]</f>
        <v>0</v>
      </c>
      <c r="U346" s="33">
        <f>quantInv[[#This Row],[UNIT
VALUE]]*quantInv[[#This Row],[Quantity]]</f>
        <v>0</v>
      </c>
      <c r="V346" s="33">
        <f>quantInv[[#This Row],[Total Cost GBP]]/EURtoGBP</f>
        <v>0</v>
      </c>
      <c r="W346" s="33">
        <f>quantInv[[#This Row],[Total Cost GBP]]/USDtoGBP</f>
        <v>0</v>
      </c>
      <c r="X346" s="33">
        <f>quantInv[[#This Row],[Total Cost GBP]]/CADtoGBP</f>
        <v>0</v>
      </c>
      <c r="Y346" s="33">
        <f>quantInv[[#This Row],[Quantity]]*quantInv[[#This Row],[UNIT
VALUE AUD]]</f>
        <v>0</v>
      </c>
      <c r="Z346" s="33"/>
    </row>
    <row r="347" spans="1:26" x14ac:dyDescent="0.25">
      <c r="A347" t="s">
        <v>808</v>
      </c>
      <c r="B347" t="s">
        <v>809</v>
      </c>
      <c r="C347" t="s">
        <v>113</v>
      </c>
      <c r="D347" t="s">
        <v>810</v>
      </c>
      <c r="E347">
        <v>1.9</v>
      </c>
      <c r="F347" s="33">
        <v>2.5375000000000001</v>
      </c>
      <c r="G347" s="33" t="s">
        <v>117</v>
      </c>
      <c r="H347" t="s">
        <v>1451</v>
      </c>
      <c r="I347" t="str">
        <f>IF(quantInv[[#This Row],[Metal]] = "925 Silver",  "7113.11.00"," 7113.19.00")</f>
        <v>7113.11.00</v>
      </c>
      <c r="J347" t="str">
        <f>IF(quantInv[[#This Row],[Metal]] = "925 Silver", "7113.11.10.00"," 7113.19.10.00")</f>
        <v>7113.11.10.00</v>
      </c>
      <c r="K347" t="str">
        <f>IF(quantInv[[#This Row],[Metal]] = "925 Silver",  "7113.11.00"," 7113.19.00")</f>
        <v>7113.11.00</v>
      </c>
      <c r="L347" t="str">
        <f>IFERROR(VLOOKUP(quantInv[[#This Row],[Description for New Invoice]],Map!$G$12:$H$32,2,FALSE), IF(quantInv[[#This Row],[Metal]] = "925 Silver", "7113.11.10.00", "7113.19.29.00"))</f>
        <v>7113.11.50.00</v>
      </c>
      <c r="M347" t="str">
        <f>quantInv[[#This Row],[ASIN]] &amp; " " &amp; quantInv[[#This Row],[Short Description]]</f>
        <v>B06ZXVBWDK Pen - Pig</v>
      </c>
      <c r="N347" s="33">
        <f>quantInv[[#This Row],[UNIT
VALUE]] / EURtoGBP</f>
        <v>2.8803641461352041</v>
      </c>
      <c r="O347" s="33">
        <f>quantInv[[#This Row],[UNIT
VALUE]]/USDtoGBP</f>
        <v>3.4784909312485692</v>
      </c>
      <c r="P347" s="33">
        <f>quantInv[[#This Row],[UNIT
VALUE]] / CADtoGBP</f>
        <v>4.4526683547324621</v>
      </c>
      <c r="Q347" s="33">
        <f>quantInv[[#This Row],[UNIT
VALUE]]/AUDtoGBP</f>
        <v>4.5576190818305911</v>
      </c>
      <c r="R347">
        <f>IFERROR(VLOOKUP(quantInv[[#This Row],[Assigned Item SKU]],skuQuantity[#All],2,FALSE),0)</f>
        <v>0</v>
      </c>
      <c r="S347" t="str">
        <f>PROPER(quantInv[[#This Row],[Metal]] &amp; " " &amp; quantInv[[#This Row],[Item Type]])</f>
        <v>925 Silver Pendant</v>
      </c>
      <c r="T347" s="33">
        <f>quantInv[[#This Row],[Quantity]]*quantInv[[#This Row],[WEIGHT]]</f>
        <v>0</v>
      </c>
      <c r="U347" s="33">
        <f>quantInv[[#This Row],[UNIT
VALUE]]*quantInv[[#This Row],[Quantity]]</f>
        <v>0</v>
      </c>
      <c r="V347" s="33">
        <f>quantInv[[#This Row],[Total Cost GBP]]/EURtoGBP</f>
        <v>0</v>
      </c>
      <c r="W347" s="33">
        <f>quantInv[[#This Row],[Total Cost GBP]]/USDtoGBP</f>
        <v>0</v>
      </c>
      <c r="X347" s="33">
        <f>quantInv[[#This Row],[Total Cost GBP]]/CADtoGBP</f>
        <v>0</v>
      </c>
      <c r="Y347" s="33">
        <f>quantInv[[#This Row],[Quantity]]*quantInv[[#This Row],[UNIT
VALUE AUD]]</f>
        <v>0</v>
      </c>
      <c r="Z347" s="33"/>
    </row>
    <row r="348" spans="1:26" x14ac:dyDescent="0.25">
      <c r="A348" t="s">
        <v>811</v>
      </c>
      <c r="B348" t="s">
        <v>812</v>
      </c>
      <c r="C348" t="s">
        <v>113</v>
      </c>
      <c r="D348" t="s">
        <v>813</v>
      </c>
      <c r="E348">
        <v>1.9</v>
      </c>
      <c r="F348" s="33">
        <v>2.5375000000000001</v>
      </c>
      <c r="G348" s="33" t="s">
        <v>117</v>
      </c>
      <c r="H348" t="s">
        <v>1451</v>
      </c>
      <c r="I348" t="str">
        <f>IF(quantInv[[#This Row],[Metal]] = "925 Silver",  "7113.11.00"," 7113.19.00")</f>
        <v>7113.11.00</v>
      </c>
      <c r="J348" t="str">
        <f>IF(quantInv[[#This Row],[Metal]] = "925 Silver", "7113.11.10.00"," 7113.19.10.00")</f>
        <v>7113.11.10.00</v>
      </c>
      <c r="K348" t="str">
        <f>IF(quantInv[[#This Row],[Metal]] = "925 Silver",  "7113.11.00"," 7113.19.00")</f>
        <v>7113.11.00</v>
      </c>
      <c r="L348" t="str">
        <f>IFERROR(VLOOKUP(quantInv[[#This Row],[Description for New Invoice]],Map!$G$12:$H$32,2,FALSE), IF(quantInv[[#This Row],[Metal]] = "925 Silver", "7113.11.10.00", "7113.19.29.00"))</f>
        <v>7113.11.50.00</v>
      </c>
      <c r="M348" t="str">
        <f>quantInv[[#This Row],[ASIN]] &amp; " " &amp; quantInv[[#This Row],[Short Description]]</f>
        <v>B071R9J5KZ Pen - Squirrel</v>
      </c>
      <c r="N348" s="33">
        <f>quantInv[[#This Row],[UNIT
VALUE]] / EURtoGBP</f>
        <v>2.8803641461352041</v>
      </c>
      <c r="O348" s="33">
        <f>quantInv[[#This Row],[UNIT
VALUE]]/USDtoGBP</f>
        <v>3.4784909312485692</v>
      </c>
      <c r="P348" s="33">
        <f>quantInv[[#This Row],[UNIT
VALUE]] / CADtoGBP</f>
        <v>4.4526683547324621</v>
      </c>
      <c r="Q348" s="33">
        <f>quantInv[[#This Row],[UNIT
VALUE]]/AUDtoGBP</f>
        <v>4.5576190818305911</v>
      </c>
      <c r="R348">
        <f>IFERROR(VLOOKUP(quantInv[[#This Row],[Assigned Item SKU]],skuQuantity[#All],2,FALSE),0)</f>
        <v>0</v>
      </c>
      <c r="S348" t="str">
        <f>PROPER(quantInv[[#This Row],[Metal]] &amp; " " &amp; quantInv[[#This Row],[Item Type]])</f>
        <v>925 Silver Pendant</v>
      </c>
      <c r="T348" s="33">
        <f>quantInv[[#This Row],[Quantity]]*quantInv[[#This Row],[WEIGHT]]</f>
        <v>0</v>
      </c>
      <c r="U348" s="33">
        <f>quantInv[[#This Row],[UNIT
VALUE]]*quantInv[[#This Row],[Quantity]]</f>
        <v>0</v>
      </c>
      <c r="V348" s="33">
        <f>quantInv[[#This Row],[Total Cost GBP]]/EURtoGBP</f>
        <v>0</v>
      </c>
      <c r="W348" s="33">
        <f>quantInv[[#This Row],[Total Cost GBP]]/USDtoGBP</f>
        <v>0</v>
      </c>
      <c r="X348" s="33">
        <f>quantInv[[#This Row],[Total Cost GBP]]/CADtoGBP</f>
        <v>0</v>
      </c>
      <c r="Y348" s="33">
        <f>quantInv[[#This Row],[Quantity]]*quantInv[[#This Row],[UNIT
VALUE AUD]]</f>
        <v>0</v>
      </c>
      <c r="Z348" s="33"/>
    </row>
    <row r="349" spans="1:26" x14ac:dyDescent="0.25">
      <c r="A349" t="s">
        <v>814</v>
      </c>
      <c r="B349" t="s">
        <v>815</v>
      </c>
      <c r="C349" t="s">
        <v>113</v>
      </c>
      <c r="D349" t="s">
        <v>816</v>
      </c>
      <c r="E349">
        <v>3.2</v>
      </c>
      <c r="F349" s="33">
        <v>4.1981999999999999</v>
      </c>
      <c r="G349" s="33" t="s">
        <v>117</v>
      </c>
      <c r="H349" t="s">
        <v>1451</v>
      </c>
      <c r="I349" t="str">
        <f>IF(quantInv[[#This Row],[Metal]] = "925 Silver",  "7113.11.00"," 7113.19.00")</f>
        <v>7113.11.00</v>
      </c>
      <c r="J349" t="str">
        <f>IF(quantInv[[#This Row],[Metal]] = "925 Silver", "7113.11.10.00"," 7113.19.10.00")</f>
        <v>7113.11.10.00</v>
      </c>
      <c r="K349" t="str">
        <f>IF(quantInv[[#This Row],[Metal]] = "925 Silver",  "7113.11.00"," 7113.19.00")</f>
        <v>7113.11.00</v>
      </c>
      <c r="L349" t="str">
        <f>IFERROR(VLOOKUP(quantInv[[#This Row],[Description for New Invoice]],Map!$G$12:$H$32,2,FALSE), IF(quantInv[[#This Row],[Metal]] = "925 Silver", "7113.11.10.00", "7113.19.29.00"))</f>
        <v>7113.11.50.00</v>
      </c>
      <c r="M349" t="str">
        <f>quantInv[[#This Row],[ASIN]] &amp; " " &amp; quantInv[[#This Row],[Short Description]]</f>
        <v>B06ZYF9W54 Pen - Cat</v>
      </c>
      <c r="N349" s="33">
        <f>quantInv[[#This Row],[UNIT
VALUE]] / EURtoGBP</f>
        <v>4.7654560623861331</v>
      </c>
      <c r="O349" s="33">
        <f>quantInv[[#This Row],[UNIT
VALUE]]/USDtoGBP</f>
        <v>5.7550347300759581</v>
      </c>
      <c r="P349" s="33">
        <f>quantInv[[#This Row],[UNIT
VALUE]] / CADtoGBP</f>
        <v>7.366775285453329</v>
      </c>
      <c r="Q349" s="33">
        <f>quantInv[[#This Row],[UNIT
VALUE]]/AUDtoGBP</f>
        <v>7.540412385947266</v>
      </c>
      <c r="R349">
        <f>IFERROR(VLOOKUP(quantInv[[#This Row],[Assigned Item SKU]],skuQuantity[#All],2,FALSE),0)</f>
        <v>0</v>
      </c>
      <c r="S349" t="str">
        <f>PROPER(quantInv[[#This Row],[Metal]] &amp; " " &amp; quantInv[[#This Row],[Item Type]])</f>
        <v>925 Silver Pendant</v>
      </c>
      <c r="T349" s="33">
        <f>quantInv[[#This Row],[Quantity]]*quantInv[[#This Row],[WEIGHT]]</f>
        <v>0</v>
      </c>
      <c r="U349" s="33">
        <f>quantInv[[#This Row],[UNIT
VALUE]]*quantInv[[#This Row],[Quantity]]</f>
        <v>0</v>
      </c>
      <c r="V349" s="33">
        <f>quantInv[[#This Row],[Total Cost GBP]]/EURtoGBP</f>
        <v>0</v>
      </c>
      <c r="W349" s="33">
        <f>quantInv[[#This Row],[Total Cost GBP]]/USDtoGBP</f>
        <v>0</v>
      </c>
      <c r="X349" s="33">
        <f>quantInv[[#This Row],[Total Cost GBP]]/CADtoGBP</f>
        <v>0</v>
      </c>
      <c r="Y349" s="33">
        <f>quantInv[[#This Row],[Quantity]]*quantInv[[#This Row],[UNIT
VALUE AUD]]</f>
        <v>0</v>
      </c>
      <c r="Z349" s="33"/>
    </row>
    <row r="350" spans="1:26" x14ac:dyDescent="0.25">
      <c r="A350" t="s">
        <v>817</v>
      </c>
      <c r="B350" t="s">
        <v>818</v>
      </c>
      <c r="C350" t="s">
        <v>113</v>
      </c>
      <c r="D350" t="s">
        <v>816</v>
      </c>
      <c r="E350">
        <v>3.2</v>
      </c>
      <c r="F350" s="33">
        <v>4.1981999999999999</v>
      </c>
      <c r="G350" s="33" t="s">
        <v>117</v>
      </c>
      <c r="H350" t="s">
        <v>1451</v>
      </c>
      <c r="I350" t="str">
        <f>IF(quantInv[[#This Row],[Metal]] = "925 Silver",  "7113.11.00"," 7113.19.00")</f>
        <v>7113.11.00</v>
      </c>
      <c r="J350" t="str">
        <f>IF(quantInv[[#This Row],[Metal]] = "925 Silver", "7113.11.10.00"," 7113.19.10.00")</f>
        <v>7113.11.10.00</v>
      </c>
      <c r="K350" t="str">
        <f>IF(quantInv[[#This Row],[Metal]] = "925 Silver",  "7113.11.00"," 7113.19.00")</f>
        <v>7113.11.00</v>
      </c>
      <c r="L350" t="str">
        <f>IFERROR(VLOOKUP(quantInv[[#This Row],[Description for New Invoice]],Map!$G$12:$H$32,2,FALSE), IF(quantInv[[#This Row],[Metal]] = "925 Silver", "7113.11.10.00", "7113.19.29.00"))</f>
        <v>7113.11.50.00</v>
      </c>
      <c r="M350" t="str">
        <f>quantInv[[#This Row],[ASIN]] &amp; " " &amp; quantInv[[#This Row],[Short Description]]</f>
        <v>B071R9973S Pen - Cat</v>
      </c>
      <c r="N350" s="33">
        <f>quantInv[[#This Row],[UNIT
VALUE]] / EURtoGBP</f>
        <v>4.7654560623861331</v>
      </c>
      <c r="O350" s="33">
        <f>quantInv[[#This Row],[UNIT
VALUE]]/USDtoGBP</f>
        <v>5.7550347300759581</v>
      </c>
      <c r="P350" s="33">
        <f>quantInv[[#This Row],[UNIT
VALUE]] / CADtoGBP</f>
        <v>7.366775285453329</v>
      </c>
      <c r="Q350" s="33">
        <f>quantInv[[#This Row],[UNIT
VALUE]]/AUDtoGBP</f>
        <v>7.540412385947266</v>
      </c>
      <c r="R350">
        <f>IFERROR(VLOOKUP(quantInv[[#This Row],[Assigned Item SKU]],skuQuantity[#All],2,FALSE),0)</f>
        <v>0</v>
      </c>
      <c r="S350" t="str">
        <f>PROPER(quantInv[[#This Row],[Metal]] &amp; " " &amp; quantInv[[#This Row],[Item Type]])</f>
        <v>925 Silver Pendant</v>
      </c>
      <c r="T350" s="33">
        <f>quantInv[[#This Row],[Quantity]]*quantInv[[#This Row],[WEIGHT]]</f>
        <v>0</v>
      </c>
      <c r="U350" s="33">
        <f>quantInv[[#This Row],[UNIT
VALUE]]*quantInv[[#This Row],[Quantity]]</f>
        <v>0</v>
      </c>
      <c r="V350" s="33">
        <f>quantInv[[#This Row],[Total Cost GBP]]/EURtoGBP</f>
        <v>0</v>
      </c>
      <c r="W350" s="33">
        <f>quantInv[[#This Row],[Total Cost GBP]]/USDtoGBP</f>
        <v>0</v>
      </c>
      <c r="X350" s="33">
        <f>quantInv[[#This Row],[Total Cost GBP]]/CADtoGBP</f>
        <v>0</v>
      </c>
      <c r="Y350" s="33">
        <f>quantInv[[#This Row],[Quantity]]*quantInv[[#This Row],[UNIT
VALUE AUD]]</f>
        <v>0</v>
      </c>
      <c r="Z350" s="33"/>
    </row>
    <row r="351" spans="1:26" x14ac:dyDescent="0.25">
      <c r="A351" t="s">
        <v>819</v>
      </c>
      <c r="B351" t="s">
        <v>820</v>
      </c>
      <c r="C351" t="s">
        <v>113</v>
      </c>
      <c r="D351" t="s">
        <v>821</v>
      </c>
      <c r="E351">
        <v>2</v>
      </c>
      <c r="F351" s="33">
        <v>2.6652999999999998</v>
      </c>
      <c r="G351" s="33" t="s">
        <v>117</v>
      </c>
      <c r="H351" t="s">
        <v>1451</v>
      </c>
      <c r="I351" t="str">
        <f>IF(quantInv[[#This Row],[Metal]] = "925 Silver",  "7113.11.00"," 7113.19.00")</f>
        <v>7113.11.00</v>
      </c>
      <c r="J351" t="str">
        <f>IF(quantInv[[#This Row],[Metal]] = "925 Silver", "7113.11.10.00"," 7113.19.10.00")</f>
        <v>7113.11.10.00</v>
      </c>
      <c r="K351" t="str">
        <f>IF(quantInv[[#This Row],[Metal]] = "925 Silver",  "7113.11.00"," 7113.19.00")</f>
        <v>7113.11.00</v>
      </c>
      <c r="L351" t="str">
        <f>IFERROR(VLOOKUP(quantInv[[#This Row],[Description for New Invoice]],Map!$G$12:$H$32,2,FALSE), IF(quantInv[[#This Row],[Metal]] = "925 Silver", "7113.11.10.00", "7113.19.29.00"))</f>
        <v>7113.11.50.00</v>
      </c>
      <c r="M351" t="str">
        <f>quantInv[[#This Row],[ASIN]] &amp; " " &amp; quantInv[[#This Row],[Short Description]]</f>
        <v>B06ZZ98T9Z Pen - fish</v>
      </c>
      <c r="N351" s="33">
        <f>quantInv[[#This Row],[UNIT
VALUE]] / EURtoGBP</f>
        <v>3.0254323384016391</v>
      </c>
      <c r="O351" s="33">
        <f>quantInv[[#This Row],[UNIT
VALUE]]/USDtoGBP</f>
        <v>3.6536834991356888</v>
      </c>
      <c r="P351" s="33">
        <f>quantInv[[#This Row],[UNIT
VALUE]] / CADtoGBP</f>
        <v>4.6769249126575101</v>
      </c>
      <c r="Q351" s="33">
        <f>quantInv[[#This Row],[UNIT
VALUE]]/AUDtoGBP</f>
        <v>4.7871614340110638</v>
      </c>
      <c r="R351">
        <f>IFERROR(VLOOKUP(quantInv[[#This Row],[Assigned Item SKU]],skuQuantity[#All],2,FALSE),0)</f>
        <v>0</v>
      </c>
      <c r="S351" t="str">
        <f>PROPER(quantInv[[#This Row],[Metal]] &amp; " " &amp; quantInv[[#This Row],[Item Type]])</f>
        <v>925 Silver Pendant</v>
      </c>
      <c r="T351" s="33">
        <f>quantInv[[#This Row],[Quantity]]*quantInv[[#This Row],[WEIGHT]]</f>
        <v>0</v>
      </c>
      <c r="U351" s="33">
        <f>quantInv[[#This Row],[UNIT
VALUE]]*quantInv[[#This Row],[Quantity]]</f>
        <v>0</v>
      </c>
      <c r="V351" s="33">
        <f>quantInv[[#This Row],[Total Cost GBP]]/EURtoGBP</f>
        <v>0</v>
      </c>
      <c r="W351" s="33">
        <f>quantInv[[#This Row],[Total Cost GBP]]/USDtoGBP</f>
        <v>0</v>
      </c>
      <c r="X351" s="33">
        <f>quantInv[[#This Row],[Total Cost GBP]]/CADtoGBP</f>
        <v>0</v>
      </c>
      <c r="Y351" s="33">
        <f>quantInv[[#This Row],[Quantity]]*quantInv[[#This Row],[UNIT
VALUE AUD]]</f>
        <v>0</v>
      </c>
      <c r="Z351" s="33"/>
    </row>
    <row r="352" spans="1:26" x14ac:dyDescent="0.25">
      <c r="A352" t="s">
        <v>822</v>
      </c>
      <c r="B352" t="s">
        <v>823</v>
      </c>
      <c r="C352" t="s">
        <v>113</v>
      </c>
      <c r="D352" t="s">
        <v>821</v>
      </c>
      <c r="E352">
        <v>2</v>
      </c>
      <c r="F352" s="33">
        <v>2.6652999999999998</v>
      </c>
      <c r="G352" s="33" t="s">
        <v>117</v>
      </c>
      <c r="H352" t="s">
        <v>1451</v>
      </c>
      <c r="I352" t="str">
        <f>IF(quantInv[[#This Row],[Metal]] = "925 Silver",  "7113.11.00"," 7113.19.00")</f>
        <v>7113.11.00</v>
      </c>
      <c r="J352" t="str">
        <f>IF(quantInv[[#This Row],[Metal]] = "925 Silver", "7113.11.10.00"," 7113.19.10.00")</f>
        <v>7113.11.10.00</v>
      </c>
      <c r="K352" t="str">
        <f>IF(quantInv[[#This Row],[Metal]] = "925 Silver",  "7113.11.00"," 7113.19.00")</f>
        <v>7113.11.00</v>
      </c>
      <c r="L352" t="str">
        <f>IFERROR(VLOOKUP(quantInv[[#This Row],[Description for New Invoice]],Map!$G$12:$H$32,2,FALSE), IF(quantInv[[#This Row],[Metal]] = "925 Silver", "7113.11.10.00", "7113.19.29.00"))</f>
        <v>7113.11.50.00</v>
      </c>
      <c r="M352" t="str">
        <f>quantInv[[#This Row],[ASIN]] &amp; " " &amp; quantInv[[#This Row],[Short Description]]</f>
        <v>B071Y19PXD Pen - fish</v>
      </c>
      <c r="N352" s="33">
        <f>quantInv[[#This Row],[UNIT
VALUE]] / EURtoGBP</f>
        <v>3.0254323384016391</v>
      </c>
      <c r="O352" s="33">
        <f>quantInv[[#This Row],[UNIT
VALUE]]/USDtoGBP</f>
        <v>3.6536834991356888</v>
      </c>
      <c r="P352" s="33">
        <f>quantInv[[#This Row],[UNIT
VALUE]] / CADtoGBP</f>
        <v>4.6769249126575101</v>
      </c>
      <c r="Q352" s="33">
        <f>quantInv[[#This Row],[UNIT
VALUE]]/AUDtoGBP</f>
        <v>4.7871614340110638</v>
      </c>
      <c r="R352">
        <f>IFERROR(VLOOKUP(quantInv[[#This Row],[Assigned Item SKU]],skuQuantity[#All],2,FALSE),0)</f>
        <v>0</v>
      </c>
      <c r="S352" t="str">
        <f>PROPER(quantInv[[#This Row],[Metal]] &amp; " " &amp; quantInv[[#This Row],[Item Type]])</f>
        <v>925 Silver Pendant</v>
      </c>
      <c r="T352" s="33">
        <f>quantInv[[#This Row],[Quantity]]*quantInv[[#This Row],[WEIGHT]]</f>
        <v>0</v>
      </c>
      <c r="U352" s="33">
        <f>quantInv[[#This Row],[UNIT
VALUE]]*quantInv[[#This Row],[Quantity]]</f>
        <v>0</v>
      </c>
      <c r="V352" s="33">
        <f>quantInv[[#This Row],[Total Cost GBP]]/EURtoGBP</f>
        <v>0</v>
      </c>
      <c r="W352" s="33">
        <f>quantInv[[#This Row],[Total Cost GBP]]/USDtoGBP</f>
        <v>0</v>
      </c>
      <c r="X352" s="33">
        <f>quantInv[[#This Row],[Total Cost GBP]]/CADtoGBP</f>
        <v>0</v>
      </c>
      <c r="Y352" s="33">
        <f>quantInv[[#This Row],[Quantity]]*quantInv[[#This Row],[UNIT
VALUE AUD]]</f>
        <v>0</v>
      </c>
      <c r="Z352" s="33"/>
    </row>
    <row r="353" spans="1:26" x14ac:dyDescent="0.25">
      <c r="A353" t="s">
        <v>824</v>
      </c>
      <c r="B353" t="s">
        <v>825</v>
      </c>
      <c r="C353" t="s">
        <v>113</v>
      </c>
      <c r="D353" t="s">
        <v>826</v>
      </c>
      <c r="E353">
        <v>1.2</v>
      </c>
      <c r="F353" s="33">
        <v>1.6434</v>
      </c>
      <c r="G353" s="33" t="s">
        <v>117</v>
      </c>
      <c r="H353" t="s">
        <v>1451</v>
      </c>
      <c r="I353" t="str">
        <f>IF(quantInv[[#This Row],[Metal]] = "925 Silver",  "7113.11.00"," 7113.19.00")</f>
        <v>7113.11.00</v>
      </c>
      <c r="J353" t="str">
        <f>IF(quantInv[[#This Row],[Metal]] = "925 Silver", "7113.11.10.00"," 7113.19.10.00")</f>
        <v>7113.11.10.00</v>
      </c>
      <c r="K353" t="str">
        <f>IF(quantInv[[#This Row],[Metal]] = "925 Silver",  "7113.11.00"," 7113.19.00")</f>
        <v>7113.11.00</v>
      </c>
      <c r="L353" t="str">
        <f>IFERROR(VLOOKUP(quantInv[[#This Row],[Description for New Invoice]],Map!$G$12:$H$32,2,FALSE), IF(quantInv[[#This Row],[Metal]] = "925 Silver", "7113.11.10.00", "7113.19.29.00"))</f>
        <v>7113.11.50.00</v>
      </c>
      <c r="M353" t="str">
        <f>quantInv[[#This Row],[ASIN]] &amp; " " &amp; quantInv[[#This Row],[Short Description]]</f>
        <v>B071QZZY7P Pen - fairy</v>
      </c>
      <c r="N353" s="33">
        <f>quantInv[[#This Row],[UNIT
VALUE]] / EURtoGBP</f>
        <v>1.8654543597078204</v>
      </c>
      <c r="O353" s="33">
        <f>quantInv[[#This Row],[UNIT
VALUE]]/USDtoGBP</f>
        <v>2.2528283729709946</v>
      </c>
      <c r="P353" s="33">
        <f>quantInv[[#This Row],[UNIT
VALUE]] / CADtoGBP</f>
        <v>2.8837498223319522</v>
      </c>
      <c r="Q353" s="33">
        <f>quantInv[[#This Row],[UNIT
VALUE]]/AUDtoGBP</f>
        <v>2.9517206695883322</v>
      </c>
      <c r="R353">
        <f>IFERROR(VLOOKUP(quantInv[[#This Row],[Assigned Item SKU]],skuQuantity[#All],2,FALSE),0)</f>
        <v>0</v>
      </c>
      <c r="S353" t="str">
        <f>PROPER(quantInv[[#This Row],[Metal]] &amp; " " &amp; quantInv[[#This Row],[Item Type]])</f>
        <v>925 Silver Pendant</v>
      </c>
      <c r="T353" s="33">
        <f>quantInv[[#This Row],[Quantity]]*quantInv[[#This Row],[WEIGHT]]</f>
        <v>0</v>
      </c>
      <c r="U353" s="33">
        <f>quantInv[[#This Row],[UNIT
VALUE]]*quantInv[[#This Row],[Quantity]]</f>
        <v>0</v>
      </c>
      <c r="V353" s="33">
        <f>quantInv[[#This Row],[Total Cost GBP]]/EURtoGBP</f>
        <v>0</v>
      </c>
      <c r="W353" s="33">
        <f>quantInv[[#This Row],[Total Cost GBP]]/USDtoGBP</f>
        <v>0</v>
      </c>
      <c r="X353" s="33">
        <f>quantInv[[#This Row],[Total Cost GBP]]/CADtoGBP</f>
        <v>0</v>
      </c>
      <c r="Y353" s="33">
        <f>quantInv[[#This Row],[Quantity]]*quantInv[[#This Row],[UNIT
VALUE AUD]]</f>
        <v>0</v>
      </c>
      <c r="Z353" s="33"/>
    </row>
    <row r="354" spans="1:26" x14ac:dyDescent="0.25">
      <c r="A354" t="s">
        <v>827</v>
      </c>
      <c r="B354" t="s">
        <v>828</v>
      </c>
      <c r="C354" t="s">
        <v>113</v>
      </c>
      <c r="D354" t="s">
        <v>826</v>
      </c>
      <c r="E354">
        <v>1.2</v>
      </c>
      <c r="F354" s="33">
        <v>1.6434</v>
      </c>
      <c r="G354" s="33" t="s">
        <v>117</v>
      </c>
      <c r="H354" t="s">
        <v>1451</v>
      </c>
      <c r="I354" t="str">
        <f>IF(quantInv[[#This Row],[Metal]] = "925 Silver",  "7113.11.00"," 7113.19.00")</f>
        <v>7113.11.00</v>
      </c>
      <c r="J354" t="str">
        <f>IF(quantInv[[#This Row],[Metal]] = "925 Silver", "7113.11.10.00"," 7113.19.10.00")</f>
        <v>7113.11.10.00</v>
      </c>
      <c r="K354" t="str">
        <f>IF(quantInv[[#This Row],[Metal]] = "925 Silver",  "7113.11.00"," 7113.19.00")</f>
        <v>7113.11.00</v>
      </c>
      <c r="L354" t="str">
        <f>IFERROR(VLOOKUP(quantInv[[#This Row],[Description for New Invoice]],Map!$G$12:$H$32,2,FALSE), IF(quantInv[[#This Row],[Metal]] = "925 Silver", "7113.11.10.00", "7113.19.29.00"))</f>
        <v>7113.11.50.00</v>
      </c>
      <c r="M354" t="str">
        <f>quantInv[[#This Row],[ASIN]] &amp; " " &amp; quantInv[[#This Row],[Short Description]]</f>
        <v>B06ZYPVNPD Pen - fairy</v>
      </c>
      <c r="N354" s="33">
        <f>quantInv[[#This Row],[UNIT
VALUE]] / EURtoGBP</f>
        <v>1.8654543597078204</v>
      </c>
      <c r="O354" s="33">
        <f>quantInv[[#This Row],[UNIT
VALUE]]/USDtoGBP</f>
        <v>2.2528283729709946</v>
      </c>
      <c r="P354" s="33">
        <f>quantInv[[#This Row],[UNIT
VALUE]] / CADtoGBP</f>
        <v>2.8837498223319522</v>
      </c>
      <c r="Q354" s="33">
        <f>quantInv[[#This Row],[UNIT
VALUE]]/AUDtoGBP</f>
        <v>2.9517206695883322</v>
      </c>
      <c r="R354">
        <f>IFERROR(VLOOKUP(quantInv[[#This Row],[Assigned Item SKU]],skuQuantity[#All],2,FALSE),0)</f>
        <v>0</v>
      </c>
      <c r="S354" t="str">
        <f>PROPER(quantInv[[#This Row],[Metal]] &amp; " " &amp; quantInv[[#This Row],[Item Type]])</f>
        <v>925 Silver Pendant</v>
      </c>
      <c r="T354" s="33">
        <f>quantInv[[#This Row],[Quantity]]*quantInv[[#This Row],[WEIGHT]]</f>
        <v>0</v>
      </c>
      <c r="U354" s="33">
        <f>quantInv[[#This Row],[UNIT
VALUE]]*quantInv[[#This Row],[Quantity]]</f>
        <v>0</v>
      </c>
      <c r="V354" s="33">
        <f>quantInv[[#This Row],[Total Cost GBP]]/EURtoGBP</f>
        <v>0</v>
      </c>
      <c r="W354" s="33">
        <f>quantInv[[#This Row],[Total Cost GBP]]/USDtoGBP</f>
        <v>0</v>
      </c>
      <c r="X354" s="33">
        <f>quantInv[[#This Row],[Total Cost GBP]]/CADtoGBP</f>
        <v>0</v>
      </c>
      <c r="Y354" s="33">
        <f>quantInv[[#This Row],[Quantity]]*quantInv[[#This Row],[UNIT
VALUE AUD]]</f>
        <v>0</v>
      </c>
      <c r="Z354" s="33"/>
    </row>
    <row r="355" spans="1:26" x14ac:dyDescent="0.25">
      <c r="A355" t="s">
        <v>829</v>
      </c>
      <c r="B355" t="s">
        <v>830</v>
      </c>
      <c r="C355" t="s">
        <v>113</v>
      </c>
      <c r="D355" t="s">
        <v>826</v>
      </c>
      <c r="E355">
        <v>1.2</v>
      </c>
      <c r="F355" s="33">
        <v>1.6434</v>
      </c>
      <c r="G355" s="33" t="s">
        <v>117</v>
      </c>
      <c r="H355" t="s">
        <v>1451</v>
      </c>
      <c r="I355" t="str">
        <f>IF(quantInv[[#This Row],[Metal]] = "925 Silver",  "7113.11.00"," 7113.19.00")</f>
        <v>7113.11.00</v>
      </c>
      <c r="J355" t="str">
        <f>IF(quantInv[[#This Row],[Metal]] = "925 Silver", "7113.11.10.00"," 7113.19.10.00")</f>
        <v>7113.11.10.00</v>
      </c>
      <c r="K355" t="str">
        <f>IF(quantInv[[#This Row],[Metal]] = "925 Silver",  "7113.11.00"," 7113.19.00")</f>
        <v>7113.11.00</v>
      </c>
      <c r="L355" t="str">
        <f>IFERROR(VLOOKUP(quantInv[[#This Row],[Description for New Invoice]],Map!$G$12:$H$32,2,FALSE), IF(quantInv[[#This Row],[Metal]] = "925 Silver", "7113.11.10.00", "7113.19.29.00"))</f>
        <v>7113.11.50.00</v>
      </c>
      <c r="M355" t="str">
        <f>quantInv[[#This Row],[ASIN]] &amp; " " &amp; quantInv[[#This Row],[Short Description]]</f>
        <v>B06ZY4RJ9R Pen - fairy</v>
      </c>
      <c r="N355" s="33">
        <f>quantInv[[#This Row],[UNIT
VALUE]] / EURtoGBP</f>
        <v>1.8654543597078204</v>
      </c>
      <c r="O355" s="33">
        <f>quantInv[[#This Row],[UNIT
VALUE]]/USDtoGBP</f>
        <v>2.2528283729709946</v>
      </c>
      <c r="P355" s="33">
        <f>quantInv[[#This Row],[UNIT
VALUE]] / CADtoGBP</f>
        <v>2.8837498223319522</v>
      </c>
      <c r="Q355" s="33">
        <f>quantInv[[#This Row],[UNIT
VALUE]]/AUDtoGBP</f>
        <v>2.9517206695883322</v>
      </c>
      <c r="R355">
        <f>IFERROR(VLOOKUP(quantInv[[#This Row],[Assigned Item SKU]],skuQuantity[#All],2,FALSE),0)</f>
        <v>0</v>
      </c>
      <c r="S355" t="str">
        <f>PROPER(quantInv[[#This Row],[Metal]] &amp; " " &amp; quantInv[[#This Row],[Item Type]])</f>
        <v>925 Silver Pendant</v>
      </c>
      <c r="T355" s="33">
        <f>quantInv[[#This Row],[Quantity]]*quantInv[[#This Row],[WEIGHT]]</f>
        <v>0</v>
      </c>
      <c r="U355" s="33">
        <f>quantInv[[#This Row],[UNIT
VALUE]]*quantInv[[#This Row],[Quantity]]</f>
        <v>0</v>
      </c>
      <c r="V355" s="33">
        <f>quantInv[[#This Row],[Total Cost GBP]]/EURtoGBP</f>
        <v>0</v>
      </c>
      <c r="W355" s="33">
        <f>quantInv[[#This Row],[Total Cost GBP]]/USDtoGBP</f>
        <v>0</v>
      </c>
      <c r="X355" s="33">
        <f>quantInv[[#This Row],[Total Cost GBP]]/CADtoGBP</f>
        <v>0</v>
      </c>
      <c r="Y355" s="33">
        <f>quantInv[[#This Row],[Quantity]]*quantInv[[#This Row],[UNIT
VALUE AUD]]</f>
        <v>0</v>
      </c>
      <c r="Z355" s="33"/>
    </row>
    <row r="356" spans="1:26" x14ac:dyDescent="0.25">
      <c r="A356" t="s">
        <v>831</v>
      </c>
      <c r="B356" t="s">
        <v>832</v>
      </c>
      <c r="C356" t="s">
        <v>113</v>
      </c>
      <c r="D356" t="s">
        <v>826</v>
      </c>
      <c r="E356">
        <v>1.2</v>
      </c>
      <c r="F356" s="33">
        <v>1.6434</v>
      </c>
      <c r="G356" s="33" t="s">
        <v>117</v>
      </c>
      <c r="H356" t="s">
        <v>1451</v>
      </c>
      <c r="I356" t="str">
        <f>IF(quantInv[[#This Row],[Metal]] = "925 Silver",  "7113.11.00"," 7113.19.00")</f>
        <v>7113.11.00</v>
      </c>
      <c r="J356" t="str">
        <f>IF(quantInv[[#This Row],[Metal]] = "925 Silver", "7113.11.10.00"," 7113.19.10.00")</f>
        <v>7113.11.10.00</v>
      </c>
      <c r="K356" t="str">
        <f>IF(quantInv[[#This Row],[Metal]] = "925 Silver",  "7113.11.00"," 7113.19.00")</f>
        <v>7113.11.00</v>
      </c>
      <c r="L356" t="str">
        <f>IFERROR(VLOOKUP(quantInv[[#This Row],[Description for New Invoice]],Map!$G$12:$H$32,2,FALSE), IF(quantInv[[#This Row],[Metal]] = "925 Silver", "7113.11.10.00", "7113.19.29.00"))</f>
        <v>7113.11.50.00</v>
      </c>
      <c r="M356" t="str">
        <f>quantInv[[#This Row],[ASIN]] &amp; " " &amp; quantInv[[#This Row],[Short Description]]</f>
        <v>B071DCGFHS Pen - fairy</v>
      </c>
      <c r="N356" s="33">
        <f>quantInv[[#This Row],[UNIT
VALUE]] / EURtoGBP</f>
        <v>1.8654543597078204</v>
      </c>
      <c r="O356" s="33">
        <f>quantInv[[#This Row],[UNIT
VALUE]]/USDtoGBP</f>
        <v>2.2528283729709946</v>
      </c>
      <c r="P356" s="33">
        <f>quantInv[[#This Row],[UNIT
VALUE]] / CADtoGBP</f>
        <v>2.8837498223319522</v>
      </c>
      <c r="Q356" s="33">
        <f>quantInv[[#This Row],[UNIT
VALUE]]/AUDtoGBP</f>
        <v>2.9517206695883322</v>
      </c>
      <c r="R356">
        <f>IFERROR(VLOOKUP(quantInv[[#This Row],[Assigned Item SKU]],skuQuantity[#All],2,FALSE),0)</f>
        <v>0</v>
      </c>
      <c r="S356" t="str">
        <f>PROPER(quantInv[[#This Row],[Metal]] &amp; " " &amp; quantInv[[#This Row],[Item Type]])</f>
        <v>925 Silver Pendant</v>
      </c>
      <c r="T356" s="33">
        <f>quantInv[[#This Row],[Quantity]]*quantInv[[#This Row],[WEIGHT]]</f>
        <v>0</v>
      </c>
      <c r="U356" s="33">
        <f>quantInv[[#This Row],[UNIT
VALUE]]*quantInv[[#This Row],[Quantity]]</f>
        <v>0</v>
      </c>
      <c r="V356" s="33">
        <f>quantInv[[#This Row],[Total Cost GBP]]/EURtoGBP</f>
        <v>0</v>
      </c>
      <c r="W356" s="33">
        <f>quantInv[[#This Row],[Total Cost GBP]]/USDtoGBP</f>
        <v>0</v>
      </c>
      <c r="X356" s="33">
        <f>quantInv[[#This Row],[Total Cost GBP]]/CADtoGBP</f>
        <v>0</v>
      </c>
      <c r="Y356" s="33">
        <f>quantInv[[#This Row],[Quantity]]*quantInv[[#This Row],[UNIT
VALUE AUD]]</f>
        <v>0</v>
      </c>
      <c r="Z356" s="33"/>
    </row>
    <row r="357" spans="1:26" x14ac:dyDescent="0.25">
      <c r="A357" t="s">
        <v>833</v>
      </c>
      <c r="B357" t="s">
        <v>834</v>
      </c>
      <c r="C357" t="s">
        <v>113</v>
      </c>
      <c r="D357" t="s">
        <v>835</v>
      </c>
      <c r="E357">
        <v>2.6</v>
      </c>
      <c r="F357" s="33">
        <v>3.4317000000000002</v>
      </c>
      <c r="G357" s="33" t="s">
        <v>117</v>
      </c>
      <c r="H357" t="s">
        <v>1451</v>
      </c>
      <c r="I357" t="str">
        <f>IF(quantInv[[#This Row],[Metal]] = "925 Silver",  "7113.11.00"," 7113.19.00")</f>
        <v>7113.11.00</v>
      </c>
      <c r="J357" t="str">
        <f>IF(quantInv[[#This Row],[Metal]] = "925 Silver", "7113.11.10.00"," 7113.19.10.00")</f>
        <v>7113.11.10.00</v>
      </c>
      <c r="K357" t="str">
        <f>IF(quantInv[[#This Row],[Metal]] = "925 Silver",  "7113.11.00"," 7113.19.00")</f>
        <v>7113.11.00</v>
      </c>
      <c r="L357" t="str">
        <f>IFERROR(VLOOKUP(quantInv[[#This Row],[Description for New Invoice]],Map!$G$12:$H$32,2,FALSE), IF(quantInv[[#This Row],[Metal]] = "925 Silver", "7113.11.10.00", "7113.19.29.00"))</f>
        <v>7113.11.50.00</v>
      </c>
      <c r="M357" t="str">
        <f>quantInv[[#This Row],[ASIN]] &amp; " " &amp; quantInv[[#This Row],[Short Description]]</f>
        <v>B06ZZV8HD1 Pendant - Mouse</v>
      </c>
      <c r="N357" s="33">
        <f>quantInv[[#This Row],[UNIT
VALUE]] / EURtoGBP</f>
        <v>3.8953874444501202</v>
      </c>
      <c r="O357" s="33">
        <f>quantInv[[#This Row],[UNIT
VALUE]]/USDtoGBP</f>
        <v>4.7042905729125977</v>
      </c>
      <c r="P357" s="33">
        <f>quantInv[[#This Row],[UNIT
VALUE]] / CADtoGBP</f>
        <v>6.0217623617479381</v>
      </c>
      <c r="Q357" s="33">
        <f>quantInv[[#This Row],[UNIT
VALUE]]/AUDtoGBP</f>
        <v>6.1636971046770599</v>
      </c>
      <c r="R357">
        <f>IFERROR(VLOOKUP(quantInv[[#This Row],[Assigned Item SKU]],skuQuantity[#All],2,FALSE),0)</f>
        <v>0</v>
      </c>
      <c r="S357" t="str">
        <f>PROPER(quantInv[[#This Row],[Metal]] &amp; " " &amp; quantInv[[#This Row],[Item Type]])</f>
        <v>925 Silver Pendant</v>
      </c>
      <c r="T357" s="33">
        <f>quantInv[[#This Row],[Quantity]]*quantInv[[#This Row],[WEIGHT]]</f>
        <v>0</v>
      </c>
      <c r="U357" s="33">
        <f>quantInv[[#This Row],[UNIT
VALUE]]*quantInv[[#This Row],[Quantity]]</f>
        <v>0</v>
      </c>
      <c r="V357" s="33">
        <f>quantInv[[#This Row],[Total Cost GBP]]/EURtoGBP</f>
        <v>0</v>
      </c>
      <c r="W357" s="33">
        <f>quantInv[[#This Row],[Total Cost GBP]]/USDtoGBP</f>
        <v>0</v>
      </c>
      <c r="X357" s="33">
        <f>quantInv[[#This Row],[Total Cost GBP]]/CADtoGBP</f>
        <v>0</v>
      </c>
      <c r="Y357" s="33">
        <f>quantInv[[#This Row],[Quantity]]*quantInv[[#This Row],[UNIT
VALUE AUD]]</f>
        <v>0</v>
      </c>
      <c r="Z357" s="33"/>
    </row>
    <row r="358" spans="1:26" x14ac:dyDescent="0.25">
      <c r="A358" t="s">
        <v>836</v>
      </c>
      <c r="B358" t="s">
        <v>837</v>
      </c>
      <c r="C358" t="s">
        <v>113</v>
      </c>
      <c r="D358" t="s">
        <v>835</v>
      </c>
      <c r="E358">
        <v>2.6</v>
      </c>
      <c r="F358" s="33">
        <v>3.4317000000000002</v>
      </c>
      <c r="G358" s="33" t="s">
        <v>117</v>
      </c>
      <c r="H358" t="s">
        <v>1451</v>
      </c>
      <c r="I358" t="str">
        <f>IF(quantInv[[#This Row],[Metal]] = "925 Silver",  "7113.11.00"," 7113.19.00")</f>
        <v>7113.11.00</v>
      </c>
      <c r="J358" t="str">
        <f>IF(quantInv[[#This Row],[Metal]] = "925 Silver", "7113.11.10.00"," 7113.19.10.00")</f>
        <v>7113.11.10.00</v>
      </c>
      <c r="K358" t="str">
        <f>IF(quantInv[[#This Row],[Metal]] = "925 Silver",  "7113.11.00"," 7113.19.00")</f>
        <v>7113.11.00</v>
      </c>
      <c r="L358" t="str">
        <f>IFERROR(VLOOKUP(quantInv[[#This Row],[Description for New Invoice]],Map!$G$12:$H$32,2,FALSE), IF(quantInv[[#This Row],[Metal]] = "925 Silver", "7113.11.10.00", "7113.19.29.00"))</f>
        <v>7113.11.50.00</v>
      </c>
      <c r="M358" t="str">
        <f>quantInv[[#This Row],[ASIN]] &amp; " " &amp; quantInv[[#This Row],[Short Description]]</f>
        <v>B071CSFLLF Pendant - Mouse</v>
      </c>
      <c r="N358" s="33">
        <f>quantInv[[#This Row],[UNIT
VALUE]] / EURtoGBP</f>
        <v>3.8953874444501202</v>
      </c>
      <c r="O358" s="33">
        <f>quantInv[[#This Row],[UNIT
VALUE]]/USDtoGBP</f>
        <v>4.7042905729125977</v>
      </c>
      <c r="P358" s="33">
        <f>quantInv[[#This Row],[UNIT
VALUE]] / CADtoGBP</f>
        <v>6.0217623617479381</v>
      </c>
      <c r="Q358" s="33">
        <f>quantInv[[#This Row],[UNIT
VALUE]]/AUDtoGBP</f>
        <v>6.1636971046770599</v>
      </c>
      <c r="R358">
        <f>IFERROR(VLOOKUP(quantInv[[#This Row],[Assigned Item SKU]],skuQuantity[#All],2,FALSE),0)</f>
        <v>0</v>
      </c>
      <c r="S358" t="str">
        <f>PROPER(quantInv[[#This Row],[Metal]] &amp; " " &amp; quantInv[[#This Row],[Item Type]])</f>
        <v>925 Silver Pendant</v>
      </c>
      <c r="T358" s="33">
        <f>quantInv[[#This Row],[Quantity]]*quantInv[[#This Row],[WEIGHT]]</f>
        <v>0</v>
      </c>
      <c r="U358" s="33">
        <f>quantInv[[#This Row],[UNIT
VALUE]]*quantInv[[#This Row],[Quantity]]</f>
        <v>0</v>
      </c>
      <c r="V358" s="33">
        <f>quantInv[[#This Row],[Total Cost GBP]]/EURtoGBP</f>
        <v>0</v>
      </c>
      <c r="W358" s="33">
        <f>quantInv[[#This Row],[Total Cost GBP]]/USDtoGBP</f>
        <v>0</v>
      </c>
      <c r="X358" s="33">
        <f>quantInv[[#This Row],[Total Cost GBP]]/CADtoGBP</f>
        <v>0</v>
      </c>
      <c r="Y358" s="33">
        <f>quantInv[[#This Row],[Quantity]]*quantInv[[#This Row],[UNIT
VALUE AUD]]</f>
        <v>0</v>
      </c>
      <c r="Z358" s="33"/>
    </row>
    <row r="359" spans="1:26" x14ac:dyDescent="0.25">
      <c r="A359" t="s">
        <v>838</v>
      </c>
      <c r="B359" t="s">
        <v>839</v>
      </c>
      <c r="C359" t="s">
        <v>113</v>
      </c>
      <c r="D359" t="s">
        <v>835</v>
      </c>
      <c r="E359">
        <v>2.6</v>
      </c>
      <c r="F359" s="33">
        <v>3.4317000000000002</v>
      </c>
      <c r="G359" s="33" t="s">
        <v>117</v>
      </c>
      <c r="H359" t="s">
        <v>1451</v>
      </c>
      <c r="I359" t="str">
        <f>IF(quantInv[[#This Row],[Metal]] = "925 Silver",  "7113.11.00"," 7113.19.00")</f>
        <v>7113.11.00</v>
      </c>
      <c r="J359" t="str">
        <f>IF(quantInv[[#This Row],[Metal]] = "925 Silver", "7113.11.10.00"," 7113.19.10.00")</f>
        <v>7113.11.10.00</v>
      </c>
      <c r="K359" t="str">
        <f>IF(quantInv[[#This Row],[Metal]] = "925 Silver",  "7113.11.00"," 7113.19.00")</f>
        <v>7113.11.00</v>
      </c>
      <c r="L359" t="str">
        <f>IFERROR(VLOOKUP(quantInv[[#This Row],[Description for New Invoice]],Map!$G$12:$H$32,2,FALSE), IF(quantInv[[#This Row],[Metal]] = "925 Silver", "7113.11.10.00", "7113.19.29.00"))</f>
        <v>7113.11.50.00</v>
      </c>
      <c r="M359" t="str">
        <f>quantInv[[#This Row],[ASIN]] &amp; " " &amp; quantInv[[#This Row],[Short Description]]</f>
        <v>B071Y1NPSZ Pendant - Mouse</v>
      </c>
      <c r="N359" s="33">
        <f>quantInv[[#This Row],[UNIT
VALUE]] / EURtoGBP</f>
        <v>3.8953874444501202</v>
      </c>
      <c r="O359" s="33">
        <f>quantInv[[#This Row],[UNIT
VALUE]]/USDtoGBP</f>
        <v>4.7042905729125977</v>
      </c>
      <c r="P359" s="33">
        <f>quantInv[[#This Row],[UNIT
VALUE]] / CADtoGBP</f>
        <v>6.0217623617479381</v>
      </c>
      <c r="Q359" s="33">
        <f>quantInv[[#This Row],[UNIT
VALUE]]/AUDtoGBP</f>
        <v>6.1636971046770599</v>
      </c>
      <c r="R359">
        <f>IFERROR(VLOOKUP(quantInv[[#This Row],[Assigned Item SKU]],skuQuantity[#All],2,FALSE),0)</f>
        <v>0</v>
      </c>
      <c r="S359" t="str">
        <f>PROPER(quantInv[[#This Row],[Metal]] &amp; " " &amp; quantInv[[#This Row],[Item Type]])</f>
        <v>925 Silver Pendant</v>
      </c>
      <c r="T359" s="33">
        <f>quantInv[[#This Row],[Quantity]]*quantInv[[#This Row],[WEIGHT]]</f>
        <v>0</v>
      </c>
      <c r="U359" s="33">
        <f>quantInv[[#This Row],[UNIT
VALUE]]*quantInv[[#This Row],[Quantity]]</f>
        <v>0</v>
      </c>
      <c r="V359" s="33">
        <f>quantInv[[#This Row],[Total Cost GBP]]/EURtoGBP</f>
        <v>0</v>
      </c>
      <c r="W359" s="33">
        <f>quantInv[[#This Row],[Total Cost GBP]]/USDtoGBP</f>
        <v>0</v>
      </c>
      <c r="X359" s="33">
        <f>quantInv[[#This Row],[Total Cost GBP]]/CADtoGBP</f>
        <v>0</v>
      </c>
      <c r="Y359" s="33">
        <f>quantInv[[#This Row],[Quantity]]*quantInv[[#This Row],[UNIT
VALUE AUD]]</f>
        <v>0</v>
      </c>
      <c r="Z359" s="33"/>
    </row>
    <row r="360" spans="1:26" x14ac:dyDescent="0.25">
      <c r="A360" t="s">
        <v>840</v>
      </c>
      <c r="B360" t="s">
        <v>841</v>
      </c>
      <c r="C360" t="s">
        <v>113</v>
      </c>
      <c r="D360" t="s">
        <v>835</v>
      </c>
      <c r="E360">
        <v>2.6</v>
      </c>
      <c r="F360" s="33">
        <v>3.4317000000000002</v>
      </c>
      <c r="G360" s="33" t="s">
        <v>117</v>
      </c>
      <c r="H360" t="s">
        <v>1451</v>
      </c>
      <c r="I360" t="str">
        <f>IF(quantInv[[#This Row],[Metal]] = "925 Silver",  "7113.11.00"," 7113.19.00")</f>
        <v>7113.11.00</v>
      </c>
      <c r="J360" t="str">
        <f>IF(quantInv[[#This Row],[Metal]] = "925 Silver", "7113.11.10.00"," 7113.19.10.00")</f>
        <v>7113.11.10.00</v>
      </c>
      <c r="K360" t="str">
        <f>IF(quantInv[[#This Row],[Metal]] = "925 Silver",  "7113.11.00"," 7113.19.00")</f>
        <v>7113.11.00</v>
      </c>
      <c r="L360" t="str">
        <f>IFERROR(VLOOKUP(quantInv[[#This Row],[Description for New Invoice]],Map!$G$12:$H$32,2,FALSE), IF(quantInv[[#This Row],[Metal]] = "925 Silver", "7113.11.10.00", "7113.19.29.00"))</f>
        <v>7113.11.50.00</v>
      </c>
      <c r="M360" t="str">
        <f>quantInv[[#This Row],[ASIN]] &amp; " " &amp; quantInv[[#This Row],[Short Description]]</f>
        <v>B06ZY4RHM7 Pendant - Mouse</v>
      </c>
      <c r="N360" s="33">
        <f>quantInv[[#This Row],[UNIT
VALUE]] / EURtoGBP</f>
        <v>3.8953874444501202</v>
      </c>
      <c r="O360" s="33">
        <f>quantInv[[#This Row],[UNIT
VALUE]]/USDtoGBP</f>
        <v>4.7042905729125977</v>
      </c>
      <c r="P360" s="33">
        <f>quantInv[[#This Row],[UNIT
VALUE]] / CADtoGBP</f>
        <v>6.0217623617479381</v>
      </c>
      <c r="Q360" s="33">
        <f>quantInv[[#This Row],[UNIT
VALUE]]/AUDtoGBP</f>
        <v>6.1636971046770599</v>
      </c>
      <c r="R360">
        <f>IFERROR(VLOOKUP(quantInv[[#This Row],[Assigned Item SKU]],skuQuantity[#All],2,FALSE),0)</f>
        <v>0</v>
      </c>
      <c r="S360" t="str">
        <f>PROPER(quantInv[[#This Row],[Metal]] &amp; " " &amp; quantInv[[#This Row],[Item Type]])</f>
        <v>925 Silver Pendant</v>
      </c>
      <c r="T360" s="33">
        <f>quantInv[[#This Row],[Quantity]]*quantInv[[#This Row],[WEIGHT]]</f>
        <v>0</v>
      </c>
      <c r="U360" s="33">
        <f>quantInv[[#This Row],[UNIT
VALUE]]*quantInv[[#This Row],[Quantity]]</f>
        <v>0</v>
      </c>
      <c r="V360" s="33">
        <f>quantInv[[#This Row],[Total Cost GBP]]/EURtoGBP</f>
        <v>0</v>
      </c>
      <c r="W360" s="33">
        <f>quantInv[[#This Row],[Total Cost GBP]]/USDtoGBP</f>
        <v>0</v>
      </c>
      <c r="X360" s="33">
        <f>quantInv[[#This Row],[Total Cost GBP]]/CADtoGBP</f>
        <v>0</v>
      </c>
      <c r="Y360" s="33">
        <f>quantInv[[#This Row],[Quantity]]*quantInv[[#This Row],[UNIT
VALUE AUD]]</f>
        <v>0</v>
      </c>
      <c r="Z360" s="33"/>
    </row>
    <row r="361" spans="1:26" x14ac:dyDescent="0.25">
      <c r="A361" t="s">
        <v>842</v>
      </c>
      <c r="B361" t="s">
        <v>843</v>
      </c>
      <c r="C361" t="s">
        <v>113</v>
      </c>
      <c r="D361" t="s">
        <v>835</v>
      </c>
      <c r="E361">
        <v>2.6</v>
      </c>
      <c r="F361" s="33">
        <v>3.4317000000000002</v>
      </c>
      <c r="G361" s="33" t="s">
        <v>117</v>
      </c>
      <c r="H361" t="s">
        <v>1451</v>
      </c>
      <c r="I361" t="str">
        <f>IF(quantInv[[#This Row],[Metal]] = "925 Silver",  "7113.11.00"," 7113.19.00")</f>
        <v>7113.11.00</v>
      </c>
      <c r="J361" t="str">
        <f>IF(quantInv[[#This Row],[Metal]] = "925 Silver", "7113.11.10.00"," 7113.19.10.00")</f>
        <v>7113.11.10.00</v>
      </c>
      <c r="K361" t="str">
        <f>IF(quantInv[[#This Row],[Metal]] = "925 Silver",  "7113.11.00"," 7113.19.00")</f>
        <v>7113.11.00</v>
      </c>
      <c r="L361" t="str">
        <f>IFERROR(VLOOKUP(quantInv[[#This Row],[Description for New Invoice]],Map!$G$12:$H$32,2,FALSE), IF(quantInv[[#This Row],[Metal]] = "925 Silver", "7113.11.10.00", "7113.19.29.00"))</f>
        <v>7113.11.50.00</v>
      </c>
      <c r="M361" t="str">
        <f>quantInv[[#This Row],[ASIN]] &amp; " " &amp; quantInv[[#This Row],[Short Description]]</f>
        <v>B06ZYPVPM6 Pendant - Mouse</v>
      </c>
      <c r="N361" s="33">
        <f>quantInv[[#This Row],[UNIT
VALUE]] / EURtoGBP</f>
        <v>3.8953874444501202</v>
      </c>
      <c r="O361" s="33">
        <f>quantInv[[#This Row],[UNIT
VALUE]]/USDtoGBP</f>
        <v>4.7042905729125977</v>
      </c>
      <c r="P361" s="33">
        <f>quantInv[[#This Row],[UNIT
VALUE]] / CADtoGBP</f>
        <v>6.0217623617479381</v>
      </c>
      <c r="Q361" s="33">
        <f>quantInv[[#This Row],[UNIT
VALUE]]/AUDtoGBP</f>
        <v>6.1636971046770599</v>
      </c>
      <c r="R361">
        <f>IFERROR(VLOOKUP(quantInv[[#This Row],[Assigned Item SKU]],skuQuantity[#All],2,FALSE),0)</f>
        <v>0</v>
      </c>
      <c r="S361" t="str">
        <f>PROPER(quantInv[[#This Row],[Metal]] &amp; " " &amp; quantInv[[#This Row],[Item Type]])</f>
        <v>925 Silver Pendant</v>
      </c>
      <c r="T361" s="33">
        <f>quantInv[[#This Row],[Quantity]]*quantInv[[#This Row],[WEIGHT]]</f>
        <v>0</v>
      </c>
      <c r="U361" s="33">
        <f>quantInv[[#This Row],[UNIT
VALUE]]*quantInv[[#This Row],[Quantity]]</f>
        <v>0</v>
      </c>
      <c r="V361" s="33">
        <f>quantInv[[#This Row],[Total Cost GBP]]/EURtoGBP</f>
        <v>0</v>
      </c>
      <c r="W361" s="33">
        <f>quantInv[[#This Row],[Total Cost GBP]]/USDtoGBP</f>
        <v>0</v>
      </c>
      <c r="X361" s="33">
        <f>quantInv[[#This Row],[Total Cost GBP]]/CADtoGBP</f>
        <v>0</v>
      </c>
      <c r="Y361" s="33">
        <f>quantInv[[#This Row],[Quantity]]*quantInv[[#This Row],[UNIT
VALUE AUD]]</f>
        <v>0</v>
      </c>
      <c r="Z361" s="33"/>
    </row>
    <row r="362" spans="1:26" x14ac:dyDescent="0.25">
      <c r="A362" t="s">
        <v>844</v>
      </c>
      <c r="B362" t="s">
        <v>845</v>
      </c>
      <c r="C362" t="s">
        <v>113</v>
      </c>
      <c r="D362" t="s">
        <v>846</v>
      </c>
      <c r="E362">
        <v>3</v>
      </c>
      <c r="F362" s="33">
        <v>3.9426999999999999</v>
      </c>
      <c r="G362" s="33" t="s">
        <v>117</v>
      </c>
      <c r="H362" t="s">
        <v>1451</v>
      </c>
      <c r="I362" t="str">
        <f>IF(quantInv[[#This Row],[Metal]] = "925 Silver",  "7113.11.00"," 7113.19.00")</f>
        <v>7113.11.00</v>
      </c>
      <c r="J362" t="str">
        <f>IF(quantInv[[#This Row],[Metal]] = "925 Silver", "7113.11.10.00"," 7113.19.10.00")</f>
        <v>7113.11.10.00</v>
      </c>
      <c r="K362" t="str">
        <f>IF(quantInv[[#This Row],[Metal]] = "925 Silver",  "7113.11.00"," 7113.19.00")</f>
        <v>7113.11.00</v>
      </c>
      <c r="L362" t="str">
        <f>IFERROR(VLOOKUP(quantInv[[#This Row],[Description for New Invoice]],Map!$G$12:$H$32,2,FALSE), IF(quantInv[[#This Row],[Metal]] = "925 Silver", "7113.11.10.00", "7113.19.29.00"))</f>
        <v>7113.11.50.00</v>
      </c>
      <c r="M362" t="str">
        <f>quantInv[[#This Row],[ASIN]] &amp; " " &amp; quantInv[[#This Row],[Short Description]]</f>
        <v xml:space="preserve">B071XRNSBD Pendant - Sun </v>
      </c>
      <c r="N362" s="33">
        <f>quantInv[[#This Row],[UNIT
VALUE]] / EURtoGBP</f>
        <v>4.4754331897407953</v>
      </c>
      <c r="O362" s="33">
        <f>quantInv[[#This Row],[UNIT
VALUE]]/USDtoGBP</f>
        <v>5.404786677688171</v>
      </c>
      <c r="P362" s="33">
        <f>quantInv[[#This Row],[UNIT
VALUE]] / CADtoGBP</f>
        <v>6.9184376442181987</v>
      </c>
      <c r="Q362" s="33">
        <f>quantInv[[#This Row],[UNIT
VALUE]]/AUDtoGBP</f>
        <v>7.0815072921905307</v>
      </c>
      <c r="R362">
        <f>IFERROR(VLOOKUP(quantInv[[#This Row],[Assigned Item SKU]],skuQuantity[#All],2,FALSE),0)</f>
        <v>0</v>
      </c>
      <c r="S362" t="str">
        <f>PROPER(quantInv[[#This Row],[Metal]] &amp; " " &amp; quantInv[[#This Row],[Item Type]])</f>
        <v>925 Silver Pendant</v>
      </c>
      <c r="T362" s="33">
        <f>quantInv[[#This Row],[Quantity]]*quantInv[[#This Row],[WEIGHT]]</f>
        <v>0</v>
      </c>
      <c r="U362" s="33">
        <f>quantInv[[#This Row],[UNIT
VALUE]]*quantInv[[#This Row],[Quantity]]</f>
        <v>0</v>
      </c>
      <c r="V362" s="33">
        <f>quantInv[[#This Row],[Total Cost GBP]]/EURtoGBP</f>
        <v>0</v>
      </c>
      <c r="W362" s="33">
        <f>quantInv[[#This Row],[Total Cost GBP]]/USDtoGBP</f>
        <v>0</v>
      </c>
      <c r="X362" s="33">
        <f>quantInv[[#This Row],[Total Cost GBP]]/CADtoGBP</f>
        <v>0</v>
      </c>
      <c r="Y362" s="33">
        <f>quantInv[[#This Row],[Quantity]]*quantInv[[#This Row],[UNIT
VALUE AUD]]</f>
        <v>0</v>
      </c>
      <c r="Z362" s="33"/>
    </row>
    <row r="363" spans="1:26" x14ac:dyDescent="0.25">
      <c r="A363" t="s">
        <v>847</v>
      </c>
      <c r="B363" t="s">
        <v>848</v>
      </c>
      <c r="C363" t="s">
        <v>113</v>
      </c>
      <c r="D363" t="s">
        <v>846</v>
      </c>
      <c r="E363">
        <v>3</v>
      </c>
      <c r="F363" s="33">
        <v>3.9426999999999999</v>
      </c>
      <c r="G363" s="33" t="s">
        <v>117</v>
      </c>
      <c r="H363" t="s">
        <v>1451</v>
      </c>
      <c r="I363" t="str">
        <f>IF(quantInv[[#This Row],[Metal]] = "925 Silver",  "7113.11.00"," 7113.19.00")</f>
        <v>7113.11.00</v>
      </c>
      <c r="J363" t="str">
        <f>IF(quantInv[[#This Row],[Metal]] = "925 Silver", "7113.11.10.00"," 7113.19.10.00")</f>
        <v>7113.11.10.00</v>
      </c>
      <c r="K363" t="str">
        <f>IF(quantInv[[#This Row],[Metal]] = "925 Silver",  "7113.11.00"," 7113.19.00")</f>
        <v>7113.11.00</v>
      </c>
      <c r="L363" t="str">
        <f>IFERROR(VLOOKUP(quantInv[[#This Row],[Description for New Invoice]],Map!$G$12:$H$32,2,FALSE), IF(quantInv[[#This Row],[Metal]] = "925 Silver", "7113.11.10.00", "7113.19.29.00"))</f>
        <v>7113.11.50.00</v>
      </c>
      <c r="M363" t="str">
        <f>quantInv[[#This Row],[ASIN]] &amp; " " &amp; quantInv[[#This Row],[Short Description]]</f>
        <v xml:space="preserve">B071R11ZM7 Pendant - Sun </v>
      </c>
      <c r="N363" s="33">
        <f>quantInv[[#This Row],[UNIT
VALUE]] / EURtoGBP</f>
        <v>4.4754331897407953</v>
      </c>
      <c r="O363" s="33">
        <f>quantInv[[#This Row],[UNIT
VALUE]]/USDtoGBP</f>
        <v>5.404786677688171</v>
      </c>
      <c r="P363" s="33">
        <f>quantInv[[#This Row],[UNIT
VALUE]] / CADtoGBP</f>
        <v>6.9184376442181987</v>
      </c>
      <c r="Q363" s="33">
        <f>quantInv[[#This Row],[UNIT
VALUE]]/AUDtoGBP</f>
        <v>7.0815072921905307</v>
      </c>
      <c r="R363">
        <f>IFERROR(VLOOKUP(quantInv[[#This Row],[Assigned Item SKU]],skuQuantity[#All],2,FALSE),0)</f>
        <v>0</v>
      </c>
      <c r="S363" t="str">
        <f>PROPER(quantInv[[#This Row],[Metal]] &amp; " " &amp; quantInv[[#This Row],[Item Type]])</f>
        <v>925 Silver Pendant</v>
      </c>
      <c r="T363" s="33">
        <f>quantInv[[#This Row],[Quantity]]*quantInv[[#This Row],[WEIGHT]]</f>
        <v>0</v>
      </c>
      <c r="U363" s="33">
        <f>quantInv[[#This Row],[UNIT
VALUE]]*quantInv[[#This Row],[Quantity]]</f>
        <v>0</v>
      </c>
      <c r="V363" s="33">
        <f>quantInv[[#This Row],[Total Cost GBP]]/EURtoGBP</f>
        <v>0</v>
      </c>
      <c r="W363" s="33">
        <f>quantInv[[#This Row],[Total Cost GBP]]/USDtoGBP</f>
        <v>0</v>
      </c>
      <c r="X363" s="33">
        <f>quantInv[[#This Row],[Total Cost GBP]]/CADtoGBP</f>
        <v>0</v>
      </c>
      <c r="Y363" s="33">
        <f>quantInv[[#This Row],[Quantity]]*quantInv[[#This Row],[UNIT
VALUE AUD]]</f>
        <v>0</v>
      </c>
      <c r="Z363" s="33"/>
    </row>
    <row r="364" spans="1:26" x14ac:dyDescent="0.25">
      <c r="A364" t="s">
        <v>849</v>
      </c>
      <c r="B364" t="s">
        <v>850</v>
      </c>
      <c r="C364" t="s">
        <v>113</v>
      </c>
      <c r="D364" t="s">
        <v>846</v>
      </c>
      <c r="E364">
        <v>3</v>
      </c>
      <c r="F364" s="33">
        <v>3.9426999999999999</v>
      </c>
      <c r="G364" s="33" t="s">
        <v>117</v>
      </c>
      <c r="H364" t="s">
        <v>1451</v>
      </c>
      <c r="I364" t="str">
        <f>IF(quantInv[[#This Row],[Metal]] = "925 Silver",  "7113.11.00"," 7113.19.00")</f>
        <v>7113.11.00</v>
      </c>
      <c r="J364" t="str">
        <f>IF(quantInv[[#This Row],[Metal]] = "925 Silver", "7113.11.10.00"," 7113.19.10.00")</f>
        <v>7113.11.10.00</v>
      </c>
      <c r="K364" t="str">
        <f>IF(quantInv[[#This Row],[Metal]] = "925 Silver",  "7113.11.00"," 7113.19.00")</f>
        <v>7113.11.00</v>
      </c>
      <c r="L364" t="str">
        <f>IFERROR(VLOOKUP(quantInv[[#This Row],[Description for New Invoice]],Map!$G$12:$H$32,2,FALSE), IF(quantInv[[#This Row],[Metal]] = "925 Silver", "7113.11.10.00", "7113.19.29.00"))</f>
        <v>7113.11.50.00</v>
      </c>
      <c r="M364" t="str">
        <f>quantInv[[#This Row],[ASIN]] &amp; " " &amp; quantInv[[#This Row],[Short Description]]</f>
        <v xml:space="preserve">B06ZXVBTSK Pendant - Sun </v>
      </c>
      <c r="N364" s="33">
        <f>quantInv[[#This Row],[UNIT
VALUE]] / EURtoGBP</f>
        <v>4.4754331897407953</v>
      </c>
      <c r="O364" s="33">
        <f>quantInv[[#This Row],[UNIT
VALUE]]/USDtoGBP</f>
        <v>5.404786677688171</v>
      </c>
      <c r="P364" s="33">
        <f>quantInv[[#This Row],[UNIT
VALUE]] / CADtoGBP</f>
        <v>6.9184376442181987</v>
      </c>
      <c r="Q364" s="33">
        <f>quantInv[[#This Row],[UNIT
VALUE]]/AUDtoGBP</f>
        <v>7.0815072921905307</v>
      </c>
      <c r="R364">
        <f>IFERROR(VLOOKUP(quantInv[[#This Row],[Assigned Item SKU]],skuQuantity[#All],2,FALSE),0)</f>
        <v>0</v>
      </c>
      <c r="S364" t="str">
        <f>PROPER(quantInv[[#This Row],[Metal]] &amp; " " &amp; quantInv[[#This Row],[Item Type]])</f>
        <v>925 Silver Pendant</v>
      </c>
      <c r="T364" s="33">
        <f>quantInv[[#This Row],[Quantity]]*quantInv[[#This Row],[WEIGHT]]</f>
        <v>0</v>
      </c>
      <c r="U364" s="33">
        <f>quantInv[[#This Row],[UNIT
VALUE]]*quantInv[[#This Row],[Quantity]]</f>
        <v>0</v>
      </c>
      <c r="V364" s="33">
        <f>quantInv[[#This Row],[Total Cost GBP]]/EURtoGBP</f>
        <v>0</v>
      </c>
      <c r="W364" s="33">
        <f>quantInv[[#This Row],[Total Cost GBP]]/USDtoGBP</f>
        <v>0</v>
      </c>
      <c r="X364" s="33">
        <f>quantInv[[#This Row],[Total Cost GBP]]/CADtoGBP</f>
        <v>0</v>
      </c>
      <c r="Y364" s="33">
        <f>quantInv[[#This Row],[Quantity]]*quantInv[[#This Row],[UNIT
VALUE AUD]]</f>
        <v>0</v>
      </c>
      <c r="Z364" s="33"/>
    </row>
    <row r="365" spans="1:26" x14ac:dyDescent="0.25">
      <c r="A365" t="s">
        <v>851</v>
      </c>
      <c r="B365" t="s">
        <v>852</v>
      </c>
      <c r="C365" t="s">
        <v>113</v>
      </c>
      <c r="D365" t="s">
        <v>846</v>
      </c>
      <c r="E365">
        <v>3</v>
      </c>
      <c r="F365" s="33">
        <v>3.9426999999999999</v>
      </c>
      <c r="G365" s="33" t="s">
        <v>117</v>
      </c>
      <c r="H365" t="s">
        <v>1451</v>
      </c>
      <c r="I365" t="str">
        <f>IF(quantInv[[#This Row],[Metal]] = "925 Silver",  "7113.11.00"," 7113.19.00")</f>
        <v>7113.11.00</v>
      </c>
      <c r="J365" t="str">
        <f>IF(quantInv[[#This Row],[Metal]] = "925 Silver", "7113.11.10.00"," 7113.19.10.00")</f>
        <v>7113.11.10.00</v>
      </c>
      <c r="K365" t="str">
        <f>IF(quantInv[[#This Row],[Metal]] = "925 Silver",  "7113.11.00"," 7113.19.00")</f>
        <v>7113.11.00</v>
      </c>
      <c r="L365" t="str">
        <f>IFERROR(VLOOKUP(quantInv[[#This Row],[Description for New Invoice]],Map!$G$12:$H$32,2,FALSE), IF(quantInv[[#This Row],[Metal]] = "925 Silver", "7113.11.10.00", "7113.19.29.00"))</f>
        <v>7113.11.50.00</v>
      </c>
      <c r="M365" t="str">
        <f>quantInv[[#This Row],[ASIN]] &amp; " " &amp; quantInv[[#This Row],[Short Description]]</f>
        <v xml:space="preserve">B071DCGLGH Pendant - Sun </v>
      </c>
      <c r="N365" s="33">
        <f>quantInv[[#This Row],[UNIT
VALUE]] / EURtoGBP</f>
        <v>4.4754331897407953</v>
      </c>
      <c r="O365" s="33">
        <f>quantInv[[#This Row],[UNIT
VALUE]]/USDtoGBP</f>
        <v>5.404786677688171</v>
      </c>
      <c r="P365" s="33">
        <f>quantInv[[#This Row],[UNIT
VALUE]] / CADtoGBP</f>
        <v>6.9184376442181987</v>
      </c>
      <c r="Q365" s="33">
        <f>quantInv[[#This Row],[UNIT
VALUE]]/AUDtoGBP</f>
        <v>7.0815072921905307</v>
      </c>
      <c r="R365">
        <f>IFERROR(VLOOKUP(quantInv[[#This Row],[Assigned Item SKU]],skuQuantity[#All],2,FALSE),0)</f>
        <v>0</v>
      </c>
      <c r="S365" t="str">
        <f>PROPER(quantInv[[#This Row],[Metal]] &amp; " " &amp; quantInv[[#This Row],[Item Type]])</f>
        <v>925 Silver Pendant</v>
      </c>
      <c r="T365" s="33">
        <f>quantInv[[#This Row],[Quantity]]*quantInv[[#This Row],[WEIGHT]]</f>
        <v>0</v>
      </c>
      <c r="U365" s="33">
        <f>quantInv[[#This Row],[UNIT
VALUE]]*quantInv[[#This Row],[Quantity]]</f>
        <v>0</v>
      </c>
      <c r="V365" s="33">
        <f>quantInv[[#This Row],[Total Cost GBP]]/EURtoGBP</f>
        <v>0</v>
      </c>
      <c r="W365" s="33">
        <f>quantInv[[#This Row],[Total Cost GBP]]/USDtoGBP</f>
        <v>0</v>
      </c>
      <c r="X365" s="33">
        <f>quantInv[[#This Row],[Total Cost GBP]]/CADtoGBP</f>
        <v>0</v>
      </c>
      <c r="Y365" s="33">
        <f>quantInv[[#This Row],[Quantity]]*quantInv[[#This Row],[UNIT
VALUE AUD]]</f>
        <v>0</v>
      </c>
      <c r="Z365" s="33"/>
    </row>
    <row r="366" spans="1:26" x14ac:dyDescent="0.25">
      <c r="A366" t="s">
        <v>853</v>
      </c>
      <c r="B366" t="s">
        <v>854</v>
      </c>
      <c r="C366" t="s">
        <v>113</v>
      </c>
      <c r="D366" t="s">
        <v>855</v>
      </c>
      <c r="E366">
        <v>1.7</v>
      </c>
      <c r="F366" s="33">
        <v>2.2820999999999998</v>
      </c>
      <c r="G366" s="33" t="s">
        <v>117</v>
      </c>
      <c r="H366" t="s">
        <v>1451</v>
      </c>
      <c r="I366" t="str">
        <f>IF(quantInv[[#This Row],[Metal]] = "925 Silver",  "7113.11.00"," 7113.19.00")</f>
        <v>7113.11.00</v>
      </c>
      <c r="J366" t="str">
        <f>IF(quantInv[[#This Row],[Metal]] = "925 Silver", "7113.11.10.00"," 7113.19.10.00")</f>
        <v>7113.11.10.00</v>
      </c>
      <c r="K366" t="str">
        <f>IF(quantInv[[#This Row],[Metal]] = "925 Silver",  "7113.11.00"," 7113.19.00")</f>
        <v>7113.11.00</v>
      </c>
      <c r="L366" t="str">
        <f>IFERROR(VLOOKUP(quantInv[[#This Row],[Description for New Invoice]],Map!$G$12:$H$32,2,FALSE), IF(quantInv[[#This Row],[Metal]] = "925 Silver", "7113.11.10.00", "7113.19.29.00"))</f>
        <v>7113.11.50.00</v>
      </c>
      <c r="M366" t="str">
        <f>quantInv[[#This Row],[ASIN]] &amp; " " &amp; quantInv[[#This Row],[Short Description]]</f>
        <v>B071DCGNB3 Pen -Kangaroo</v>
      </c>
      <c r="N366" s="33">
        <f>quantInv[[#This Row],[UNIT
VALUE]] / EURtoGBP</f>
        <v>2.5904547853773985</v>
      </c>
      <c r="O366" s="33">
        <f>quantInv[[#This Row],[UNIT
VALUE]]/USDtoGBP</f>
        <v>3.128379962247235</v>
      </c>
      <c r="P366" s="33">
        <f>quantInv[[#This Row],[UNIT
VALUE]] / CADtoGBP</f>
        <v>4.0045061881122965</v>
      </c>
      <c r="Q366" s="33">
        <f>quantInv[[#This Row],[UNIT
VALUE]]/AUDtoGBP</f>
        <v>4.0988935986780657</v>
      </c>
      <c r="R366">
        <f>IFERROR(VLOOKUP(quantInv[[#This Row],[Assigned Item SKU]],skuQuantity[#All],2,FALSE),0)</f>
        <v>0</v>
      </c>
      <c r="S366" t="str">
        <f>PROPER(quantInv[[#This Row],[Metal]] &amp; " " &amp; quantInv[[#This Row],[Item Type]])</f>
        <v>925 Silver Pendant</v>
      </c>
      <c r="T366" s="33">
        <f>quantInv[[#This Row],[Quantity]]*quantInv[[#This Row],[WEIGHT]]</f>
        <v>0</v>
      </c>
      <c r="U366" s="33">
        <f>quantInv[[#This Row],[UNIT
VALUE]]*quantInv[[#This Row],[Quantity]]</f>
        <v>0</v>
      </c>
      <c r="V366" s="33">
        <f>quantInv[[#This Row],[Total Cost GBP]]/EURtoGBP</f>
        <v>0</v>
      </c>
      <c r="W366" s="33">
        <f>quantInv[[#This Row],[Total Cost GBP]]/USDtoGBP</f>
        <v>0</v>
      </c>
      <c r="X366" s="33">
        <f>quantInv[[#This Row],[Total Cost GBP]]/CADtoGBP</f>
        <v>0</v>
      </c>
      <c r="Y366" s="33">
        <f>quantInv[[#This Row],[Quantity]]*quantInv[[#This Row],[UNIT
VALUE AUD]]</f>
        <v>0</v>
      </c>
      <c r="Z366" s="33"/>
    </row>
    <row r="367" spans="1:26" x14ac:dyDescent="0.25">
      <c r="A367" t="s">
        <v>856</v>
      </c>
      <c r="B367" t="s">
        <v>857</v>
      </c>
      <c r="C367" t="s">
        <v>113</v>
      </c>
      <c r="D367" t="s">
        <v>855</v>
      </c>
      <c r="E367">
        <v>1.7</v>
      </c>
      <c r="F367" s="33">
        <v>2.2820999999999998</v>
      </c>
      <c r="G367" s="33" t="s">
        <v>117</v>
      </c>
      <c r="H367" t="s">
        <v>1451</v>
      </c>
      <c r="I367" t="str">
        <f>IF(quantInv[[#This Row],[Metal]] = "925 Silver",  "7113.11.00"," 7113.19.00")</f>
        <v>7113.11.00</v>
      </c>
      <c r="J367" t="str">
        <f>IF(quantInv[[#This Row],[Metal]] = "925 Silver", "7113.11.10.00"," 7113.19.10.00")</f>
        <v>7113.11.10.00</v>
      </c>
      <c r="K367" t="str">
        <f>IF(quantInv[[#This Row],[Metal]] = "925 Silver",  "7113.11.00"," 7113.19.00")</f>
        <v>7113.11.00</v>
      </c>
      <c r="L367" t="str">
        <f>IFERROR(VLOOKUP(quantInv[[#This Row],[Description for New Invoice]],Map!$G$12:$H$32,2,FALSE), IF(quantInv[[#This Row],[Metal]] = "925 Silver", "7113.11.10.00", "7113.19.29.00"))</f>
        <v>7113.11.50.00</v>
      </c>
      <c r="M367" t="str">
        <f>quantInv[[#This Row],[ASIN]] &amp; " " &amp; quantInv[[#This Row],[Short Description]]</f>
        <v>B06ZXVC1B6 Pen -Kangaroo</v>
      </c>
      <c r="N367" s="33">
        <f>quantInv[[#This Row],[UNIT
VALUE]] / EURtoGBP</f>
        <v>2.5904547853773985</v>
      </c>
      <c r="O367" s="33">
        <f>quantInv[[#This Row],[UNIT
VALUE]]/USDtoGBP</f>
        <v>3.128379962247235</v>
      </c>
      <c r="P367" s="33">
        <f>quantInv[[#This Row],[UNIT
VALUE]] / CADtoGBP</f>
        <v>4.0045061881122965</v>
      </c>
      <c r="Q367" s="33">
        <f>quantInv[[#This Row],[UNIT
VALUE]]/AUDtoGBP</f>
        <v>4.0988935986780657</v>
      </c>
      <c r="R367">
        <f>IFERROR(VLOOKUP(quantInv[[#This Row],[Assigned Item SKU]],skuQuantity[#All],2,FALSE),0)</f>
        <v>0</v>
      </c>
      <c r="S367" t="str">
        <f>PROPER(quantInv[[#This Row],[Metal]] &amp; " " &amp; quantInv[[#This Row],[Item Type]])</f>
        <v>925 Silver Pendant</v>
      </c>
      <c r="T367" s="33">
        <f>quantInv[[#This Row],[Quantity]]*quantInv[[#This Row],[WEIGHT]]</f>
        <v>0</v>
      </c>
      <c r="U367" s="33">
        <f>quantInv[[#This Row],[UNIT
VALUE]]*quantInv[[#This Row],[Quantity]]</f>
        <v>0</v>
      </c>
      <c r="V367" s="33">
        <f>quantInv[[#This Row],[Total Cost GBP]]/EURtoGBP</f>
        <v>0</v>
      </c>
      <c r="W367" s="33">
        <f>quantInv[[#This Row],[Total Cost GBP]]/USDtoGBP</f>
        <v>0</v>
      </c>
      <c r="X367" s="33">
        <f>quantInv[[#This Row],[Total Cost GBP]]/CADtoGBP</f>
        <v>0</v>
      </c>
      <c r="Y367" s="33">
        <f>quantInv[[#This Row],[Quantity]]*quantInv[[#This Row],[UNIT
VALUE AUD]]</f>
        <v>0</v>
      </c>
      <c r="Z367" s="33"/>
    </row>
    <row r="368" spans="1:26" x14ac:dyDescent="0.25">
      <c r="A368" t="s">
        <v>858</v>
      </c>
      <c r="B368" t="s">
        <v>859</v>
      </c>
      <c r="C368" t="s">
        <v>113</v>
      </c>
      <c r="D368" t="s">
        <v>860</v>
      </c>
      <c r="E368">
        <v>1.8</v>
      </c>
      <c r="F368" s="33">
        <v>2.4098000000000002</v>
      </c>
      <c r="G368" s="33" t="s">
        <v>117</v>
      </c>
      <c r="H368" t="s">
        <v>1451</v>
      </c>
      <c r="I368" t="str">
        <f>IF(quantInv[[#This Row],[Metal]] = "925 Silver",  "7113.11.00"," 7113.19.00")</f>
        <v>7113.11.00</v>
      </c>
      <c r="J368" t="str">
        <f>IF(quantInv[[#This Row],[Metal]] = "925 Silver", "7113.11.10.00"," 7113.19.10.00")</f>
        <v>7113.11.10.00</v>
      </c>
      <c r="K368" t="str">
        <f>IF(quantInv[[#This Row],[Metal]] = "925 Silver",  "7113.11.00"," 7113.19.00")</f>
        <v>7113.11.00</v>
      </c>
      <c r="L368" t="str">
        <f>IFERROR(VLOOKUP(quantInv[[#This Row],[Description for New Invoice]],Map!$G$12:$H$32,2,FALSE), IF(quantInv[[#This Row],[Metal]] = "925 Silver", "7113.11.10.00", "7113.19.29.00"))</f>
        <v>7113.11.50.00</v>
      </c>
      <c r="M368" t="str">
        <f>quantInv[[#This Row],[ASIN]] &amp; " " &amp; quantInv[[#This Row],[Short Description]]</f>
        <v>B071R95WQV Pen - Seahorse</v>
      </c>
      <c r="N368" s="33">
        <f>quantInv[[#This Row],[UNIT
VALUE]] / EURtoGBP</f>
        <v>2.7354094657563017</v>
      </c>
      <c r="O368" s="33">
        <f>quantInv[[#This Row],[UNIT
VALUE]]/USDtoGBP</f>
        <v>3.3034354467479026</v>
      </c>
      <c r="P368" s="33">
        <f>quantInv[[#This Row],[UNIT
VALUE]] / CADtoGBP</f>
        <v>4.2285872714223798</v>
      </c>
      <c r="Q368" s="33">
        <f>quantInv[[#This Row],[UNIT
VALUE]]/AUDtoGBP</f>
        <v>4.3282563402543284</v>
      </c>
      <c r="R368">
        <f>IFERROR(VLOOKUP(quantInv[[#This Row],[Assigned Item SKU]],skuQuantity[#All],2,FALSE),0)</f>
        <v>0</v>
      </c>
      <c r="S368" t="str">
        <f>PROPER(quantInv[[#This Row],[Metal]] &amp; " " &amp; quantInv[[#This Row],[Item Type]])</f>
        <v>925 Silver Pendant</v>
      </c>
      <c r="T368" s="33">
        <f>quantInv[[#This Row],[Quantity]]*quantInv[[#This Row],[WEIGHT]]</f>
        <v>0</v>
      </c>
      <c r="U368" s="33">
        <f>quantInv[[#This Row],[UNIT
VALUE]]*quantInv[[#This Row],[Quantity]]</f>
        <v>0</v>
      </c>
      <c r="V368" s="33">
        <f>quantInv[[#This Row],[Total Cost GBP]]/EURtoGBP</f>
        <v>0</v>
      </c>
      <c r="W368" s="33">
        <f>quantInv[[#This Row],[Total Cost GBP]]/USDtoGBP</f>
        <v>0</v>
      </c>
      <c r="X368" s="33">
        <f>quantInv[[#This Row],[Total Cost GBP]]/CADtoGBP</f>
        <v>0</v>
      </c>
      <c r="Y368" s="33">
        <f>quantInv[[#This Row],[Quantity]]*quantInv[[#This Row],[UNIT
VALUE AUD]]</f>
        <v>0</v>
      </c>
      <c r="Z368" s="33"/>
    </row>
    <row r="369" spans="1:26" x14ac:dyDescent="0.25">
      <c r="A369" t="s">
        <v>861</v>
      </c>
      <c r="B369" t="s">
        <v>862</v>
      </c>
      <c r="C369" t="s">
        <v>113</v>
      </c>
      <c r="D369" t="s">
        <v>860</v>
      </c>
      <c r="E369">
        <v>1.8</v>
      </c>
      <c r="F369" s="33">
        <v>2.4098000000000002</v>
      </c>
      <c r="G369" s="33" t="s">
        <v>117</v>
      </c>
      <c r="H369" t="s">
        <v>1451</v>
      </c>
      <c r="I369" t="str">
        <f>IF(quantInv[[#This Row],[Metal]] = "925 Silver",  "7113.11.00"," 7113.19.00")</f>
        <v>7113.11.00</v>
      </c>
      <c r="J369" t="str">
        <f>IF(quantInv[[#This Row],[Metal]] = "925 Silver", "7113.11.10.00"," 7113.19.10.00")</f>
        <v>7113.11.10.00</v>
      </c>
      <c r="K369" t="str">
        <f>IF(quantInv[[#This Row],[Metal]] = "925 Silver",  "7113.11.00"," 7113.19.00")</f>
        <v>7113.11.00</v>
      </c>
      <c r="L369" t="str">
        <f>IFERROR(VLOOKUP(quantInv[[#This Row],[Description for New Invoice]],Map!$G$12:$H$32,2,FALSE), IF(quantInv[[#This Row],[Metal]] = "925 Silver", "7113.11.10.00", "7113.19.29.00"))</f>
        <v>7113.11.50.00</v>
      </c>
      <c r="M369" t="str">
        <f>quantInv[[#This Row],[ASIN]] &amp; " " &amp; quantInv[[#This Row],[Short Description]]</f>
        <v>B06ZYZT9KL Pen - Seahorse</v>
      </c>
      <c r="N369" s="33">
        <f>quantInv[[#This Row],[UNIT
VALUE]] / EURtoGBP</f>
        <v>2.7354094657563017</v>
      </c>
      <c r="O369" s="33">
        <f>quantInv[[#This Row],[UNIT
VALUE]]/USDtoGBP</f>
        <v>3.3034354467479026</v>
      </c>
      <c r="P369" s="33">
        <f>quantInv[[#This Row],[UNIT
VALUE]] / CADtoGBP</f>
        <v>4.2285872714223798</v>
      </c>
      <c r="Q369" s="33">
        <f>quantInv[[#This Row],[UNIT
VALUE]]/AUDtoGBP</f>
        <v>4.3282563402543284</v>
      </c>
      <c r="R369">
        <f>IFERROR(VLOOKUP(quantInv[[#This Row],[Assigned Item SKU]],skuQuantity[#All],2,FALSE),0)</f>
        <v>0</v>
      </c>
      <c r="S369" t="str">
        <f>PROPER(quantInv[[#This Row],[Metal]] &amp; " " &amp; quantInv[[#This Row],[Item Type]])</f>
        <v>925 Silver Pendant</v>
      </c>
      <c r="T369" s="33">
        <f>quantInv[[#This Row],[Quantity]]*quantInv[[#This Row],[WEIGHT]]</f>
        <v>0</v>
      </c>
      <c r="U369" s="33">
        <f>quantInv[[#This Row],[UNIT
VALUE]]*quantInv[[#This Row],[Quantity]]</f>
        <v>0</v>
      </c>
      <c r="V369" s="33">
        <f>quantInv[[#This Row],[Total Cost GBP]]/EURtoGBP</f>
        <v>0</v>
      </c>
      <c r="W369" s="33">
        <f>quantInv[[#This Row],[Total Cost GBP]]/USDtoGBP</f>
        <v>0</v>
      </c>
      <c r="X369" s="33">
        <f>quantInv[[#This Row],[Total Cost GBP]]/CADtoGBP</f>
        <v>0</v>
      </c>
      <c r="Y369" s="33">
        <f>quantInv[[#This Row],[Quantity]]*quantInv[[#This Row],[UNIT
VALUE AUD]]</f>
        <v>0</v>
      </c>
      <c r="Z369" s="33"/>
    </row>
    <row r="370" spans="1:26" x14ac:dyDescent="0.25">
      <c r="A370" t="s">
        <v>863</v>
      </c>
      <c r="B370" t="s">
        <v>864</v>
      </c>
      <c r="C370" t="s">
        <v>113</v>
      </c>
      <c r="D370" t="s">
        <v>865</v>
      </c>
      <c r="E370">
        <v>1.1000000000000001</v>
      </c>
      <c r="F370" s="33">
        <v>1.5156000000000001</v>
      </c>
      <c r="G370" s="33" t="s">
        <v>117</v>
      </c>
      <c r="H370" t="s">
        <v>1451</v>
      </c>
      <c r="I370" t="str">
        <f>IF(quantInv[[#This Row],[Metal]] = "925 Silver",  "7113.11.00"," 7113.19.00")</f>
        <v>7113.11.00</v>
      </c>
      <c r="J370" t="str">
        <f>IF(quantInv[[#This Row],[Metal]] = "925 Silver", "7113.11.10.00"," 7113.19.10.00")</f>
        <v>7113.11.10.00</v>
      </c>
      <c r="K370" t="str">
        <f>IF(quantInv[[#This Row],[Metal]] = "925 Silver",  "7113.11.00"," 7113.19.00")</f>
        <v>7113.11.00</v>
      </c>
      <c r="L370" t="str">
        <f>IFERROR(VLOOKUP(quantInv[[#This Row],[Description for New Invoice]],Map!$G$12:$H$32,2,FALSE), IF(quantInv[[#This Row],[Metal]] = "925 Silver", "7113.11.10.00", "7113.19.29.00"))</f>
        <v>7113.11.50.00</v>
      </c>
      <c r="M370" t="str">
        <f>quantInv[[#This Row],[ASIN]] &amp; " " &amp; quantInv[[#This Row],[Short Description]]</f>
        <v>B06ZYF9VRJ Pen - Boat</v>
      </c>
      <c r="N370" s="33">
        <f>quantInv[[#This Row],[UNIT
VALUE]] / EURtoGBP</f>
        <v>1.7203861674413854</v>
      </c>
      <c r="O370" s="33">
        <f>quantInv[[#This Row],[UNIT
VALUE]]/USDtoGBP</f>
        <v>2.0776358050838746</v>
      </c>
      <c r="P370" s="33">
        <f>quantInv[[#This Row],[UNIT
VALUE]] / CADtoGBP</f>
        <v>2.6594932644069047</v>
      </c>
      <c r="Q370" s="33">
        <f>quantInv[[#This Row],[UNIT
VALUE]]/AUDtoGBP</f>
        <v>2.7221783174078595</v>
      </c>
      <c r="R370">
        <f>IFERROR(VLOOKUP(quantInv[[#This Row],[Assigned Item SKU]],skuQuantity[#All],2,FALSE),0)</f>
        <v>0</v>
      </c>
      <c r="S370" t="str">
        <f>PROPER(quantInv[[#This Row],[Metal]] &amp; " " &amp; quantInv[[#This Row],[Item Type]])</f>
        <v>925 Silver Pendant</v>
      </c>
      <c r="T370" s="33">
        <f>quantInv[[#This Row],[Quantity]]*quantInv[[#This Row],[WEIGHT]]</f>
        <v>0</v>
      </c>
      <c r="U370" s="33">
        <f>quantInv[[#This Row],[UNIT
VALUE]]*quantInv[[#This Row],[Quantity]]</f>
        <v>0</v>
      </c>
      <c r="V370" s="33">
        <f>quantInv[[#This Row],[Total Cost GBP]]/EURtoGBP</f>
        <v>0</v>
      </c>
      <c r="W370" s="33">
        <f>quantInv[[#This Row],[Total Cost GBP]]/USDtoGBP</f>
        <v>0</v>
      </c>
      <c r="X370" s="33">
        <f>quantInv[[#This Row],[Total Cost GBP]]/CADtoGBP</f>
        <v>0</v>
      </c>
      <c r="Y370" s="33">
        <f>quantInv[[#This Row],[Quantity]]*quantInv[[#This Row],[UNIT
VALUE AUD]]</f>
        <v>0</v>
      </c>
      <c r="Z370" s="33"/>
    </row>
    <row r="371" spans="1:26" x14ac:dyDescent="0.25">
      <c r="A371" t="s">
        <v>866</v>
      </c>
      <c r="B371" t="s">
        <v>867</v>
      </c>
      <c r="C371" t="s">
        <v>113</v>
      </c>
      <c r="D371" t="s">
        <v>868</v>
      </c>
      <c r="E371">
        <v>1.9</v>
      </c>
      <c r="F371" s="33">
        <v>2.5375000000000001</v>
      </c>
      <c r="G371" s="33" t="s">
        <v>117</v>
      </c>
      <c r="H371" t="s">
        <v>1451</v>
      </c>
      <c r="I371" t="str">
        <f>IF(quantInv[[#This Row],[Metal]] = "925 Silver",  "7113.11.00"," 7113.19.00")</f>
        <v>7113.11.00</v>
      </c>
      <c r="J371" t="str">
        <f>IF(quantInv[[#This Row],[Metal]] = "925 Silver", "7113.11.10.00"," 7113.19.10.00")</f>
        <v>7113.11.10.00</v>
      </c>
      <c r="K371" t="str">
        <f>IF(quantInv[[#This Row],[Metal]] = "925 Silver",  "7113.11.00"," 7113.19.00")</f>
        <v>7113.11.00</v>
      </c>
      <c r="L371" t="str">
        <f>IFERROR(VLOOKUP(quantInv[[#This Row],[Description for New Invoice]],Map!$G$12:$H$32,2,FALSE), IF(quantInv[[#This Row],[Metal]] = "925 Silver", "7113.11.10.00", "7113.19.29.00"))</f>
        <v>7113.11.50.00</v>
      </c>
      <c r="M371" t="str">
        <f>quantInv[[#This Row],[ASIN]] &amp; " " &amp; quantInv[[#This Row],[Short Description]]</f>
        <v>B071CSFRFX Pen - Bunny</v>
      </c>
      <c r="N371" s="33">
        <f>quantInv[[#This Row],[UNIT
VALUE]] / EURtoGBP</f>
        <v>2.8803641461352041</v>
      </c>
      <c r="O371" s="33">
        <f>quantInv[[#This Row],[UNIT
VALUE]]/USDtoGBP</f>
        <v>3.4784909312485692</v>
      </c>
      <c r="P371" s="33">
        <f>quantInv[[#This Row],[UNIT
VALUE]] / CADtoGBP</f>
        <v>4.4526683547324621</v>
      </c>
      <c r="Q371" s="33">
        <f>quantInv[[#This Row],[UNIT
VALUE]]/AUDtoGBP</f>
        <v>4.5576190818305911</v>
      </c>
      <c r="R371">
        <f>IFERROR(VLOOKUP(quantInv[[#This Row],[Assigned Item SKU]],skuQuantity[#All],2,FALSE),0)</f>
        <v>0</v>
      </c>
      <c r="S371" t="str">
        <f>PROPER(quantInv[[#This Row],[Metal]] &amp; " " &amp; quantInv[[#This Row],[Item Type]])</f>
        <v>925 Silver Pendant</v>
      </c>
      <c r="T371" s="33">
        <f>quantInv[[#This Row],[Quantity]]*quantInv[[#This Row],[WEIGHT]]</f>
        <v>0</v>
      </c>
      <c r="U371" s="33">
        <f>quantInv[[#This Row],[UNIT
VALUE]]*quantInv[[#This Row],[Quantity]]</f>
        <v>0</v>
      </c>
      <c r="V371" s="33">
        <f>quantInv[[#This Row],[Total Cost GBP]]/EURtoGBP</f>
        <v>0</v>
      </c>
      <c r="W371" s="33">
        <f>quantInv[[#This Row],[Total Cost GBP]]/USDtoGBP</f>
        <v>0</v>
      </c>
      <c r="X371" s="33">
        <f>quantInv[[#This Row],[Total Cost GBP]]/CADtoGBP</f>
        <v>0</v>
      </c>
      <c r="Y371" s="33">
        <f>quantInv[[#This Row],[Quantity]]*quantInv[[#This Row],[UNIT
VALUE AUD]]</f>
        <v>0</v>
      </c>
      <c r="Z371" s="33"/>
    </row>
    <row r="372" spans="1:26" x14ac:dyDescent="0.25">
      <c r="A372" t="s">
        <v>869</v>
      </c>
      <c r="B372" t="s">
        <v>870</v>
      </c>
      <c r="C372" t="s">
        <v>113</v>
      </c>
      <c r="D372" t="s">
        <v>871</v>
      </c>
      <c r="E372">
        <v>1.4</v>
      </c>
      <c r="F372" s="33">
        <v>1.8988</v>
      </c>
      <c r="G372" s="33" t="s">
        <v>117</v>
      </c>
      <c r="H372" t="s">
        <v>1451</v>
      </c>
      <c r="I372" t="str">
        <f>IF(quantInv[[#This Row],[Metal]] = "925 Silver",  "7113.11.00"," 7113.19.00")</f>
        <v>7113.11.00</v>
      </c>
      <c r="J372" t="str">
        <f>IF(quantInv[[#This Row],[Metal]] = "925 Silver", "7113.11.10.00"," 7113.19.10.00")</f>
        <v>7113.11.10.00</v>
      </c>
      <c r="K372" t="str">
        <f>IF(quantInv[[#This Row],[Metal]] = "925 Silver",  "7113.11.00"," 7113.19.00")</f>
        <v>7113.11.00</v>
      </c>
      <c r="L372" t="str">
        <f>IFERROR(VLOOKUP(quantInv[[#This Row],[Description for New Invoice]],Map!$G$12:$H$32,2,FALSE), IF(quantInv[[#This Row],[Metal]] = "925 Silver", "7113.11.10.00", "7113.19.29.00"))</f>
        <v>7113.11.50.00</v>
      </c>
      <c r="M372" t="str">
        <f>quantInv[[#This Row],[ASIN]] &amp; " " &amp; quantInv[[#This Row],[Short Description]]</f>
        <v>B071XRK1RK Pen - Slug</v>
      </c>
      <c r="N372" s="33">
        <f>quantInv[[#This Row],[UNIT
VALUE]] / EURtoGBP</f>
        <v>2.1553637204656257</v>
      </c>
      <c r="O372" s="33">
        <f>quantInv[[#This Row],[UNIT
VALUE]]/USDtoGBP</f>
        <v>2.6029393419723283</v>
      </c>
      <c r="P372" s="33">
        <f>quantInv[[#This Row],[UNIT
VALUE]] / CADtoGBP</f>
        <v>3.3319119889521183</v>
      </c>
      <c r="Q372" s="33">
        <f>quantInv[[#This Row],[UNIT
VALUE]]/AUDtoGBP</f>
        <v>3.4104461527408576</v>
      </c>
      <c r="R372">
        <f>IFERROR(VLOOKUP(quantInv[[#This Row],[Assigned Item SKU]],skuQuantity[#All],2,FALSE),0)</f>
        <v>0</v>
      </c>
      <c r="S372" t="str">
        <f>PROPER(quantInv[[#This Row],[Metal]] &amp; " " &amp; quantInv[[#This Row],[Item Type]])</f>
        <v>925 Silver Pendant</v>
      </c>
      <c r="T372" s="33">
        <f>quantInv[[#This Row],[Quantity]]*quantInv[[#This Row],[WEIGHT]]</f>
        <v>0</v>
      </c>
      <c r="U372" s="33">
        <f>quantInv[[#This Row],[UNIT
VALUE]]*quantInv[[#This Row],[Quantity]]</f>
        <v>0</v>
      </c>
      <c r="V372" s="33">
        <f>quantInv[[#This Row],[Total Cost GBP]]/EURtoGBP</f>
        <v>0</v>
      </c>
      <c r="W372" s="33">
        <f>quantInv[[#This Row],[Total Cost GBP]]/USDtoGBP</f>
        <v>0</v>
      </c>
      <c r="X372" s="33">
        <f>quantInv[[#This Row],[Total Cost GBP]]/CADtoGBP</f>
        <v>0</v>
      </c>
      <c r="Y372" s="33">
        <f>quantInv[[#This Row],[Quantity]]*quantInv[[#This Row],[UNIT
VALUE AUD]]</f>
        <v>0</v>
      </c>
      <c r="Z372" s="33"/>
    </row>
    <row r="373" spans="1:26" x14ac:dyDescent="0.25">
      <c r="A373" t="s">
        <v>872</v>
      </c>
      <c r="B373" t="s">
        <v>873</v>
      </c>
      <c r="C373" t="s">
        <v>113</v>
      </c>
      <c r="D373" t="s">
        <v>2913</v>
      </c>
      <c r="E373">
        <v>1.4</v>
      </c>
      <c r="F373" s="33">
        <v>1.8988</v>
      </c>
      <c r="G373" s="33" t="s">
        <v>117</v>
      </c>
      <c r="H373" t="s">
        <v>1451</v>
      </c>
      <c r="I373" t="str">
        <f>IF(quantInv[[#This Row],[Metal]] = "925 Silver",  "7113.11.00"," 7113.19.00")</f>
        <v>7113.11.00</v>
      </c>
      <c r="J373" t="str">
        <f>IF(quantInv[[#This Row],[Metal]] = "925 Silver", "7113.11.10.00"," 7113.19.10.00")</f>
        <v>7113.11.10.00</v>
      </c>
      <c r="K373" t="str">
        <f>IF(quantInv[[#This Row],[Metal]] = "925 Silver",  "7113.11.00"," 7113.19.00")</f>
        <v>7113.11.00</v>
      </c>
      <c r="L373" t="str">
        <f>IFERROR(VLOOKUP(quantInv[[#This Row],[Description for New Invoice]],Map!$G$12:$H$32,2,FALSE), IF(quantInv[[#This Row],[Metal]] = "925 Silver", "7113.11.10.00", "7113.19.29.00"))</f>
        <v>7113.11.50.00</v>
      </c>
      <c r="M373" t="str">
        <f>quantInv[[#This Row],[ASIN]] &amp; " " &amp; quantInv[[#This Row],[Short Description]]</f>
        <v>B06ZZV8KJ8 Pen - Heart  complex</v>
      </c>
      <c r="N373" s="33">
        <f>quantInv[[#This Row],[UNIT
VALUE]] / EURtoGBP</f>
        <v>2.1553637204656257</v>
      </c>
      <c r="O373" s="33">
        <f>quantInv[[#This Row],[UNIT
VALUE]]/USDtoGBP</f>
        <v>2.6029393419723283</v>
      </c>
      <c r="P373" s="33">
        <f>quantInv[[#This Row],[UNIT
VALUE]] / CADtoGBP</f>
        <v>3.3319119889521183</v>
      </c>
      <c r="Q373" s="33">
        <f>quantInv[[#This Row],[UNIT
VALUE]]/AUDtoGBP</f>
        <v>3.4104461527408576</v>
      </c>
      <c r="R373">
        <f>IFERROR(VLOOKUP(quantInv[[#This Row],[Assigned Item SKU]],skuQuantity[#All],2,FALSE),0)</f>
        <v>0</v>
      </c>
      <c r="S373" t="str">
        <f>PROPER(quantInv[[#This Row],[Metal]] &amp; " " &amp; quantInv[[#This Row],[Item Type]])</f>
        <v>925 Silver Pendant</v>
      </c>
      <c r="T373" s="33">
        <f>quantInv[[#This Row],[Quantity]]*quantInv[[#This Row],[WEIGHT]]</f>
        <v>0</v>
      </c>
      <c r="U373" s="33">
        <f>quantInv[[#This Row],[UNIT
VALUE]]*quantInv[[#This Row],[Quantity]]</f>
        <v>0</v>
      </c>
      <c r="V373" s="33">
        <f>quantInv[[#This Row],[Total Cost GBP]]/EURtoGBP</f>
        <v>0</v>
      </c>
      <c r="W373" s="33">
        <f>quantInv[[#This Row],[Total Cost GBP]]/USDtoGBP</f>
        <v>0</v>
      </c>
      <c r="X373" s="33">
        <f>quantInv[[#This Row],[Total Cost GBP]]/CADtoGBP</f>
        <v>0</v>
      </c>
      <c r="Y373" s="33">
        <f>quantInv[[#This Row],[Quantity]]*quantInv[[#This Row],[UNIT
VALUE AUD]]</f>
        <v>0</v>
      </c>
      <c r="Z373" s="33"/>
    </row>
    <row r="374" spans="1:26" x14ac:dyDescent="0.25">
      <c r="A374" t="s">
        <v>874</v>
      </c>
      <c r="B374" t="s">
        <v>875</v>
      </c>
      <c r="C374" t="s">
        <v>113</v>
      </c>
      <c r="D374" t="s">
        <v>2913</v>
      </c>
      <c r="E374">
        <v>1.4</v>
      </c>
      <c r="F374" s="33">
        <v>1.8988</v>
      </c>
      <c r="G374" s="33" t="s">
        <v>117</v>
      </c>
      <c r="H374" t="s">
        <v>1451</v>
      </c>
      <c r="I374" t="str">
        <f>IF(quantInv[[#This Row],[Metal]] = "925 Silver",  "7113.11.00"," 7113.19.00")</f>
        <v>7113.11.00</v>
      </c>
      <c r="J374" t="str">
        <f>IF(quantInv[[#This Row],[Metal]] = "925 Silver", "7113.11.10.00"," 7113.19.10.00")</f>
        <v>7113.11.10.00</v>
      </c>
      <c r="K374" t="str">
        <f>IF(quantInv[[#This Row],[Metal]] = "925 Silver",  "7113.11.00"," 7113.19.00")</f>
        <v>7113.11.00</v>
      </c>
      <c r="L374" t="str">
        <f>IFERROR(VLOOKUP(quantInv[[#This Row],[Description for New Invoice]],Map!$G$12:$H$32,2,FALSE), IF(quantInv[[#This Row],[Metal]] = "925 Silver", "7113.11.10.00", "7113.19.29.00"))</f>
        <v>7113.11.50.00</v>
      </c>
      <c r="M374" t="str">
        <f>quantInv[[#This Row],[ASIN]] &amp; " " &amp; quantInv[[#This Row],[Short Description]]</f>
        <v>B06ZY4RK2G Pen - Heart  complex</v>
      </c>
      <c r="N374" s="33">
        <f>quantInv[[#This Row],[UNIT
VALUE]] / EURtoGBP</f>
        <v>2.1553637204656257</v>
      </c>
      <c r="O374" s="33">
        <f>quantInv[[#This Row],[UNIT
VALUE]]/USDtoGBP</f>
        <v>2.6029393419723283</v>
      </c>
      <c r="P374" s="33">
        <f>quantInv[[#This Row],[UNIT
VALUE]] / CADtoGBP</f>
        <v>3.3319119889521183</v>
      </c>
      <c r="Q374" s="33">
        <f>quantInv[[#This Row],[UNIT
VALUE]]/AUDtoGBP</f>
        <v>3.4104461527408576</v>
      </c>
      <c r="R374">
        <f>IFERROR(VLOOKUP(quantInv[[#This Row],[Assigned Item SKU]],skuQuantity[#All],2,FALSE),0)</f>
        <v>0</v>
      </c>
      <c r="S374" t="str">
        <f>PROPER(quantInv[[#This Row],[Metal]] &amp; " " &amp; quantInv[[#This Row],[Item Type]])</f>
        <v>925 Silver Pendant</v>
      </c>
      <c r="T374" s="33">
        <f>quantInv[[#This Row],[Quantity]]*quantInv[[#This Row],[WEIGHT]]</f>
        <v>0</v>
      </c>
      <c r="U374" s="33">
        <f>quantInv[[#This Row],[UNIT
VALUE]]*quantInv[[#This Row],[Quantity]]</f>
        <v>0</v>
      </c>
      <c r="V374" s="33">
        <f>quantInv[[#This Row],[Total Cost GBP]]/EURtoGBP</f>
        <v>0</v>
      </c>
      <c r="W374" s="33">
        <f>quantInv[[#This Row],[Total Cost GBP]]/USDtoGBP</f>
        <v>0</v>
      </c>
      <c r="X374" s="33">
        <f>quantInv[[#This Row],[Total Cost GBP]]/CADtoGBP</f>
        <v>0</v>
      </c>
      <c r="Y374" s="33">
        <f>quantInv[[#This Row],[Quantity]]*quantInv[[#This Row],[UNIT
VALUE AUD]]</f>
        <v>0</v>
      </c>
      <c r="Z374" s="33"/>
    </row>
    <row r="375" spans="1:26" x14ac:dyDescent="0.25">
      <c r="A375" t="s">
        <v>876</v>
      </c>
      <c r="B375" t="s">
        <v>877</v>
      </c>
      <c r="C375" t="s">
        <v>113</v>
      </c>
      <c r="D375" t="s">
        <v>878</v>
      </c>
      <c r="E375">
        <v>1.8</v>
      </c>
      <c r="F375" s="33">
        <v>2.4098000000000002</v>
      </c>
      <c r="G375" s="33" t="s">
        <v>117</v>
      </c>
      <c r="H375" t="s">
        <v>1451</v>
      </c>
      <c r="I375" t="str">
        <f>IF(quantInv[[#This Row],[Metal]] = "925 Silver",  "7113.11.00"," 7113.19.00")</f>
        <v>7113.11.00</v>
      </c>
      <c r="J375" t="str">
        <f>IF(quantInv[[#This Row],[Metal]] = "925 Silver", "7113.11.10.00"," 7113.19.10.00")</f>
        <v>7113.11.10.00</v>
      </c>
      <c r="K375" t="str">
        <f>IF(quantInv[[#This Row],[Metal]] = "925 Silver",  "7113.11.00"," 7113.19.00")</f>
        <v>7113.11.00</v>
      </c>
      <c r="L375" t="str">
        <f>IFERROR(VLOOKUP(quantInv[[#This Row],[Description for New Invoice]],Map!$G$12:$H$32,2,FALSE), IF(quantInv[[#This Row],[Metal]] = "925 Silver", "7113.11.10.00", "7113.19.29.00"))</f>
        <v>7113.11.50.00</v>
      </c>
      <c r="M375" t="str">
        <f>quantInv[[#This Row],[ASIN]] &amp; " " &amp; quantInv[[#This Row],[Short Description]]</f>
        <v>B071R95WQZ Pen - Fish</v>
      </c>
      <c r="N375" s="33">
        <f>quantInv[[#This Row],[UNIT
VALUE]] / EURtoGBP</f>
        <v>2.7354094657563017</v>
      </c>
      <c r="O375" s="33">
        <f>quantInv[[#This Row],[UNIT
VALUE]]/USDtoGBP</f>
        <v>3.3034354467479026</v>
      </c>
      <c r="P375" s="33">
        <f>quantInv[[#This Row],[UNIT
VALUE]] / CADtoGBP</f>
        <v>4.2285872714223798</v>
      </c>
      <c r="Q375" s="33">
        <f>quantInv[[#This Row],[UNIT
VALUE]]/AUDtoGBP</f>
        <v>4.3282563402543284</v>
      </c>
      <c r="R375">
        <f>IFERROR(VLOOKUP(quantInv[[#This Row],[Assigned Item SKU]],skuQuantity[#All],2,FALSE),0)</f>
        <v>0</v>
      </c>
      <c r="S375" t="str">
        <f>PROPER(quantInv[[#This Row],[Metal]] &amp; " " &amp; quantInv[[#This Row],[Item Type]])</f>
        <v>925 Silver Pendant</v>
      </c>
      <c r="T375" s="33">
        <f>quantInv[[#This Row],[Quantity]]*quantInv[[#This Row],[WEIGHT]]</f>
        <v>0</v>
      </c>
      <c r="U375" s="33">
        <f>quantInv[[#This Row],[UNIT
VALUE]]*quantInv[[#This Row],[Quantity]]</f>
        <v>0</v>
      </c>
      <c r="V375" s="33">
        <f>quantInv[[#This Row],[Total Cost GBP]]/EURtoGBP</f>
        <v>0</v>
      </c>
      <c r="W375" s="33">
        <f>quantInv[[#This Row],[Total Cost GBP]]/USDtoGBP</f>
        <v>0</v>
      </c>
      <c r="X375" s="33">
        <f>quantInv[[#This Row],[Total Cost GBP]]/CADtoGBP</f>
        <v>0</v>
      </c>
      <c r="Y375" s="33">
        <f>quantInv[[#This Row],[Quantity]]*quantInv[[#This Row],[UNIT
VALUE AUD]]</f>
        <v>0</v>
      </c>
      <c r="Z375" s="33"/>
    </row>
    <row r="376" spans="1:26" x14ac:dyDescent="0.25">
      <c r="A376" t="s">
        <v>879</v>
      </c>
      <c r="B376" t="s">
        <v>880</v>
      </c>
      <c r="C376" t="s">
        <v>113</v>
      </c>
      <c r="D376" t="s">
        <v>878</v>
      </c>
      <c r="E376">
        <v>1.8</v>
      </c>
      <c r="F376" s="33">
        <v>2.4098000000000002</v>
      </c>
      <c r="G376" s="33" t="s">
        <v>117</v>
      </c>
      <c r="H376" t="s">
        <v>1451</v>
      </c>
      <c r="I376" t="str">
        <f>IF(quantInv[[#This Row],[Metal]] = "925 Silver",  "7113.11.00"," 7113.19.00")</f>
        <v>7113.11.00</v>
      </c>
      <c r="J376" t="str">
        <f>IF(quantInv[[#This Row],[Metal]] = "925 Silver", "7113.11.10.00"," 7113.19.10.00")</f>
        <v>7113.11.10.00</v>
      </c>
      <c r="K376" t="str">
        <f>IF(quantInv[[#This Row],[Metal]] = "925 Silver",  "7113.11.00"," 7113.19.00")</f>
        <v>7113.11.00</v>
      </c>
      <c r="L376" t="str">
        <f>IFERROR(VLOOKUP(quantInv[[#This Row],[Description for New Invoice]],Map!$G$12:$H$32,2,FALSE), IF(quantInv[[#This Row],[Metal]] = "925 Silver", "7113.11.10.00", "7113.19.29.00"))</f>
        <v>7113.11.50.00</v>
      </c>
      <c r="M376" t="str">
        <f>quantInv[[#This Row],[ASIN]] &amp; " " &amp; quantInv[[#This Row],[Short Description]]</f>
        <v>B071XR6YHJ Pen - Fish</v>
      </c>
      <c r="N376" s="33">
        <f>quantInv[[#This Row],[UNIT
VALUE]] / EURtoGBP</f>
        <v>2.7354094657563017</v>
      </c>
      <c r="O376" s="33">
        <f>quantInv[[#This Row],[UNIT
VALUE]]/USDtoGBP</f>
        <v>3.3034354467479026</v>
      </c>
      <c r="P376" s="33">
        <f>quantInv[[#This Row],[UNIT
VALUE]] / CADtoGBP</f>
        <v>4.2285872714223798</v>
      </c>
      <c r="Q376" s="33">
        <f>quantInv[[#This Row],[UNIT
VALUE]]/AUDtoGBP</f>
        <v>4.3282563402543284</v>
      </c>
      <c r="R376">
        <f>IFERROR(VLOOKUP(quantInv[[#This Row],[Assigned Item SKU]],skuQuantity[#All],2,FALSE),0)</f>
        <v>0</v>
      </c>
      <c r="S376" t="str">
        <f>PROPER(quantInv[[#This Row],[Metal]] &amp; " " &amp; quantInv[[#This Row],[Item Type]])</f>
        <v>925 Silver Pendant</v>
      </c>
      <c r="T376" s="33">
        <f>quantInv[[#This Row],[Quantity]]*quantInv[[#This Row],[WEIGHT]]</f>
        <v>0</v>
      </c>
      <c r="U376" s="33">
        <f>quantInv[[#This Row],[UNIT
VALUE]]*quantInv[[#This Row],[Quantity]]</f>
        <v>0</v>
      </c>
      <c r="V376" s="33">
        <f>quantInv[[#This Row],[Total Cost GBP]]/EURtoGBP</f>
        <v>0</v>
      </c>
      <c r="W376" s="33">
        <f>quantInv[[#This Row],[Total Cost GBP]]/USDtoGBP</f>
        <v>0</v>
      </c>
      <c r="X376" s="33">
        <f>quantInv[[#This Row],[Total Cost GBP]]/CADtoGBP</f>
        <v>0</v>
      </c>
      <c r="Y376" s="33">
        <f>quantInv[[#This Row],[Quantity]]*quantInv[[#This Row],[UNIT
VALUE AUD]]</f>
        <v>0</v>
      </c>
      <c r="Z376" s="33"/>
    </row>
    <row r="377" spans="1:26" x14ac:dyDescent="0.25">
      <c r="A377" t="s">
        <v>881</v>
      </c>
      <c r="B377" t="s">
        <v>882</v>
      </c>
      <c r="C377" t="s">
        <v>113</v>
      </c>
      <c r="D377" t="s">
        <v>883</v>
      </c>
      <c r="E377">
        <v>1.5</v>
      </c>
      <c r="F377" s="33">
        <v>2.0266000000000002</v>
      </c>
      <c r="G377" s="33" t="s">
        <v>117</v>
      </c>
      <c r="H377" t="s">
        <v>1451</v>
      </c>
      <c r="I377" t="str">
        <f>IF(quantInv[[#This Row],[Metal]] = "925 Silver",  "7113.11.00"," 7113.19.00")</f>
        <v>7113.11.00</v>
      </c>
      <c r="J377" t="str">
        <f>IF(quantInv[[#This Row],[Metal]] = "925 Silver", "7113.11.10.00"," 7113.19.10.00")</f>
        <v>7113.11.10.00</v>
      </c>
      <c r="K377" t="str">
        <f>IF(quantInv[[#This Row],[Metal]] = "925 Silver",  "7113.11.00"," 7113.19.00")</f>
        <v>7113.11.00</v>
      </c>
      <c r="L377" t="str">
        <f>IFERROR(VLOOKUP(quantInv[[#This Row],[Description for New Invoice]],Map!$G$12:$H$32,2,FALSE), IF(quantInv[[#This Row],[Metal]] = "925 Silver", "7113.11.10.00", "7113.19.29.00"))</f>
        <v>7113.11.50.00</v>
      </c>
      <c r="M377" t="str">
        <f>quantInv[[#This Row],[ASIN]] &amp; " " &amp; quantInv[[#This Row],[Short Description]]</f>
        <v>B071DCFXYF Pen - cube</v>
      </c>
      <c r="N377" s="33">
        <f>quantInv[[#This Row],[UNIT
VALUE]] / EURtoGBP</f>
        <v>2.3004319127320612</v>
      </c>
      <c r="O377" s="33">
        <f>quantInv[[#This Row],[UNIT
VALUE]]/USDtoGBP</f>
        <v>2.7781319098594488</v>
      </c>
      <c r="P377" s="33">
        <f>quantInv[[#This Row],[UNIT
VALUE]] / CADtoGBP</f>
        <v>3.5561685468771662</v>
      </c>
      <c r="Q377" s="33">
        <f>quantInv[[#This Row],[UNIT
VALUE]]/AUDtoGBP</f>
        <v>3.6399885049213307</v>
      </c>
      <c r="R377">
        <f>IFERROR(VLOOKUP(quantInv[[#This Row],[Assigned Item SKU]],skuQuantity[#All],2,FALSE),0)</f>
        <v>0</v>
      </c>
      <c r="S377" t="str">
        <f>PROPER(quantInv[[#This Row],[Metal]] &amp; " " &amp; quantInv[[#This Row],[Item Type]])</f>
        <v>925 Silver Pendant</v>
      </c>
      <c r="T377" s="33">
        <f>quantInv[[#This Row],[Quantity]]*quantInv[[#This Row],[WEIGHT]]</f>
        <v>0</v>
      </c>
      <c r="U377" s="33">
        <f>quantInv[[#This Row],[UNIT
VALUE]]*quantInv[[#This Row],[Quantity]]</f>
        <v>0</v>
      </c>
      <c r="V377" s="33">
        <f>quantInv[[#This Row],[Total Cost GBP]]/EURtoGBP</f>
        <v>0</v>
      </c>
      <c r="W377" s="33">
        <f>quantInv[[#This Row],[Total Cost GBP]]/USDtoGBP</f>
        <v>0</v>
      </c>
      <c r="X377" s="33">
        <f>quantInv[[#This Row],[Total Cost GBP]]/CADtoGBP</f>
        <v>0</v>
      </c>
      <c r="Y377" s="33">
        <f>quantInv[[#This Row],[Quantity]]*quantInv[[#This Row],[UNIT
VALUE AUD]]</f>
        <v>0</v>
      </c>
      <c r="Z377" s="33"/>
    </row>
    <row r="378" spans="1:26" x14ac:dyDescent="0.25">
      <c r="A378" t="s">
        <v>884</v>
      </c>
      <c r="B378" t="s">
        <v>885</v>
      </c>
      <c r="C378" t="s">
        <v>113</v>
      </c>
      <c r="D378" t="s">
        <v>886</v>
      </c>
      <c r="E378">
        <v>2</v>
      </c>
      <c r="F378" s="33">
        <v>2.6652999999999998</v>
      </c>
      <c r="G378" s="33" t="s">
        <v>117</v>
      </c>
      <c r="H378" t="s">
        <v>1451</v>
      </c>
      <c r="I378" t="str">
        <f>IF(quantInv[[#This Row],[Metal]] = "925 Silver",  "7113.11.00"," 7113.19.00")</f>
        <v>7113.11.00</v>
      </c>
      <c r="J378" t="str">
        <f>IF(quantInv[[#This Row],[Metal]] = "925 Silver", "7113.11.10.00"," 7113.19.10.00")</f>
        <v>7113.11.10.00</v>
      </c>
      <c r="K378" t="str">
        <f>IF(quantInv[[#This Row],[Metal]] = "925 Silver",  "7113.11.00"," 7113.19.00")</f>
        <v>7113.11.00</v>
      </c>
      <c r="L378" t="str">
        <f>IFERROR(VLOOKUP(quantInv[[#This Row],[Description for New Invoice]],Map!$G$12:$H$32,2,FALSE), IF(quantInv[[#This Row],[Metal]] = "925 Silver", "7113.11.10.00", "7113.19.29.00"))</f>
        <v>7113.11.50.00</v>
      </c>
      <c r="M378" t="str">
        <f>quantInv[[#This Row],[ASIN]] &amp; " " &amp; quantInv[[#This Row],[Short Description]]</f>
        <v>B071Y19B64 Pendant - SUN</v>
      </c>
      <c r="N378" s="33">
        <f>quantInv[[#This Row],[UNIT
VALUE]] / EURtoGBP</f>
        <v>3.0254323384016391</v>
      </c>
      <c r="O378" s="33">
        <f>quantInv[[#This Row],[UNIT
VALUE]]/USDtoGBP</f>
        <v>3.6536834991356888</v>
      </c>
      <c r="P378" s="33">
        <f>quantInv[[#This Row],[UNIT
VALUE]] / CADtoGBP</f>
        <v>4.6769249126575101</v>
      </c>
      <c r="Q378" s="33">
        <f>quantInv[[#This Row],[UNIT
VALUE]]/AUDtoGBP</f>
        <v>4.7871614340110638</v>
      </c>
      <c r="R378">
        <f>IFERROR(VLOOKUP(quantInv[[#This Row],[Assigned Item SKU]],skuQuantity[#All],2,FALSE),0)</f>
        <v>0</v>
      </c>
      <c r="S378" t="str">
        <f>PROPER(quantInv[[#This Row],[Metal]] &amp; " " &amp; quantInv[[#This Row],[Item Type]])</f>
        <v>925 Silver Pendant</v>
      </c>
      <c r="T378" s="33">
        <f>quantInv[[#This Row],[Quantity]]*quantInv[[#This Row],[WEIGHT]]</f>
        <v>0</v>
      </c>
      <c r="U378" s="33">
        <f>quantInv[[#This Row],[UNIT
VALUE]]*quantInv[[#This Row],[Quantity]]</f>
        <v>0</v>
      </c>
      <c r="V378" s="33">
        <f>quantInv[[#This Row],[Total Cost GBP]]/EURtoGBP</f>
        <v>0</v>
      </c>
      <c r="W378" s="33">
        <f>quantInv[[#This Row],[Total Cost GBP]]/USDtoGBP</f>
        <v>0</v>
      </c>
      <c r="X378" s="33">
        <f>quantInv[[#This Row],[Total Cost GBP]]/CADtoGBP</f>
        <v>0</v>
      </c>
      <c r="Y378" s="33">
        <f>quantInv[[#This Row],[Quantity]]*quantInv[[#This Row],[UNIT
VALUE AUD]]</f>
        <v>0</v>
      </c>
      <c r="Z378" s="33"/>
    </row>
    <row r="379" spans="1:26" x14ac:dyDescent="0.25">
      <c r="A379" t="s">
        <v>61</v>
      </c>
      <c r="B379" t="s">
        <v>887</v>
      </c>
      <c r="C379" t="s">
        <v>113</v>
      </c>
      <c r="D379" t="s">
        <v>886</v>
      </c>
      <c r="E379">
        <v>2</v>
      </c>
      <c r="F379" s="33">
        <v>3.1057999999999999</v>
      </c>
      <c r="G379" s="33" t="s">
        <v>117</v>
      </c>
      <c r="H379" t="s">
        <v>1451</v>
      </c>
      <c r="I379" t="str">
        <f>IF(quantInv[[#This Row],[Metal]] = "925 Silver",  "7113.11.00"," 7113.19.00")</f>
        <v>7113.11.00</v>
      </c>
      <c r="J379" t="str">
        <f>IF(quantInv[[#This Row],[Metal]] = "925 Silver", "7113.11.10.00"," 7113.19.10.00")</f>
        <v>7113.11.10.00</v>
      </c>
      <c r="K379" t="str">
        <f>IF(quantInv[[#This Row],[Metal]] = "925 Silver",  "7113.11.00"," 7113.19.00")</f>
        <v>7113.11.00</v>
      </c>
      <c r="L379" t="str">
        <f>IFERROR(VLOOKUP(quantInv[[#This Row],[Description for New Invoice]],Map!$G$12:$H$32,2,FALSE), IF(quantInv[[#This Row],[Metal]] = "925 Silver", "7113.11.10.00", "7113.19.29.00"))</f>
        <v>7113.11.50.00</v>
      </c>
      <c r="M379" t="str">
        <f>quantInv[[#This Row],[ASIN]] &amp; " " &amp; quantInv[[#This Row],[Short Description]]</f>
        <v>B071R11Y8X Pendant - SUN</v>
      </c>
      <c r="N379" s="33">
        <f>quantInv[[#This Row],[UNIT
VALUE]] / EURtoGBP</f>
        <v>3.5254522029819571</v>
      </c>
      <c r="O379" s="33">
        <f>quantInv[[#This Row],[UNIT
VALUE]]/USDtoGBP</f>
        <v>4.2575358164617958</v>
      </c>
      <c r="P379" s="33">
        <f>quantInv[[#This Row],[UNIT
VALUE]] / CADtoGBP</f>
        <v>5.4498905915775691</v>
      </c>
      <c r="Q379" s="33">
        <f>quantInv[[#This Row],[UNIT
VALUE]]/AUDtoGBP</f>
        <v>5.5783461455564334</v>
      </c>
      <c r="R379">
        <f>IFERROR(VLOOKUP(quantInv[[#This Row],[Assigned Item SKU]],skuQuantity[#All],2,FALSE),0)</f>
        <v>0</v>
      </c>
      <c r="S379" t="str">
        <f>PROPER(quantInv[[#This Row],[Metal]] &amp; " " &amp; quantInv[[#This Row],[Item Type]])</f>
        <v>925 Silver Pendant</v>
      </c>
      <c r="T379" s="33">
        <f>quantInv[[#This Row],[Quantity]]*quantInv[[#This Row],[WEIGHT]]</f>
        <v>0</v>
      </c>
      <c r="U379" s="33">
        <f>quantInv[[#This Row],[UNIT
VALUE]]*quantInv[[#This Row],[Quantity]]</f>
        <v>0</v>
      </c>
      <c r="V379" s="33">
        <f>quantInv[[#This Row],[Total Cost GBP]]/EURtoGBP</f>
        <v>0</v>
      </c>
      <c r="W379" s="33">
        <f>quantInv[[#This Row],[Total Cost GBP]]/USDtoGBP</f>
        <v>0</v>
      </c>
      <c r="X379" s="33">
        <f>quantInv[[#This Row],[Total Cost GBP]]/CADtoGBP</f>
        <v>0</v>
      </c>
      <c r="Y379" s="33">
        <f>quantInv[[#This Row],[Quantity]]*quantInv[[#This Row],[UNIT
VALUE AUD]]</f>
        <v>0</v>
      </c>
      <c r="Z379" s="33"/>
    </row>
    <row r="380" spans="1:26" x14ac:dyDescent="0.25">
      <c r="A380" t="s">
        <v>233</v>
      </c>
      <c r="B380" t="s">
        <v>234</v>
      </c>
      <c r="C380" t="s">
        <v>114</v>
      </c>
      <c r="D380" t="s">
        <v>235</v>
      </c>
      <c r="E380">
        <v>3.488</v>
      </c>
      <c r="F380" s="33">
        <v>4.5888</v>
      </c>
      <c r="G380" s="33" t="s">
        <v>117</v>
      </c>
      <c r="H380" t="s">
        <v>103</v>
      </c>
      <c r="I380" t="str">
        <f>IF(quantInv[[#This Row],[Metal]] = "925 Silver",  "7113.11.00"," 7113.19.00")</f>
        <v>7113.11.00</v>
      </c>
      <c r="J380" t="str">
        <f>IF(quantInv[[#This Row],[Metal]] = "925 Silver", "7113.11.10.00"," 7113.19.10.00")</f>
        <v>7113.11.10.00</v>
      </c>
      <c r="K380" t="str">
        <f>IF(quantInv[[#This Row],[Metal]] = "925 Silver",  "7113.11.00"," 7113.19.00")</f>
        <v>7113.11.00</v>
      </c>
      <c r="L380" t="str">
        <f>IFERROR(VLOOKUP(quantInv[[#This Row],[Description for New Invoice]],Map!$G$12:$H$32,2,FALSE), IF(quantInv[[#This Row],[Metal]] = "925 Silver", "7113.11.10.00", "7113.19.29.00"))</f>
        <v>7113.11.10.00</v>
      </c>
      <c r="M380" t="str">
        <f>quantInv[[#This Row],[ASIN]] &amp; " " &amp; quantInv[[#This Row],[Short Description]]</f>
        <v>B073GBKVMS Snake Chain</v>
      </c>
      <c r="N380" s="33">
        <f>quantInv[[#This Row],[UNIT
VALUE]] / EURtoGBP</f>
        <v>5.2088334950877728</v>
      </c>
      <c r="O380" s="33">
        <f>quantInv[[#This Row],[UNIT
VALUE]]/USDtoGBP</f>
        <v>6.2904824375619448</v>
      </c>
      <c r="P380" s="33">
        <f>quantInv[[#This Row],[UNIT
VALUE]] / CADtoGBP</f>
        <v>8.052179131505941</v>
      </c>
      <c r="Q380" s="33">
        <f>quantInv[[#This Row],[UNIT
VALUE]]/AUDtoGBP</f>
        <v>8.2419714059918086</v>
      </c>
      <c r="R380">
        <f>IFERROR(VLOOKUP(quantInv[[#This Row],[Assigned Item SKU]],skuQuantity[#All],2,FALSE),0)</f>
        <v>5</v>
      </c>
      <c r="S380" t="str">
        <f>PROPER(quantInv[[#This Row],[Metal]] &amp; " " &amp; quantInv[[#This Row],[Item Type]])</f>
        <v>925 Silver Chain</v>
      </c>
      <c r="T380" s="33">
        <f>quantInv[[#This Row],[Quantity]]*quantInv[[#This Row],[WEIGHT]]</f>
        <v>17.440000000000001</v>
      </c>
      <c r="U380" s="33">
        <f>quantInv[[#This Row],[UNIT
VALUE]]*quantInv[[#This Row],[Quantity]]</f>
        <v>22.943999999999999</v>
      </c>
      <c r="V380" s="33">
        <f>quantInv[[#This Row],[Total Cost GBP]]/EURtoGBP</f>
        <v>26.044167475438865</v>
      </c>
      <c r="W380" s="33">
        <f>quantInv[[#This Row],[Total Cost GBP]]/USDtoGBP</f>
        <v>31.45241218780972</v>
      </c>
      <c r="X380" s="33">
        <f>quantInv[[#This Row],[Total Cost GBP]]/CADtoGBP</f>
        <v>40.260895657529701</v>
      </c>
      <c r="Y380" s="33">
        <f>quantInv[[#This Row],[Quantity]]*quantInv[[#This Row],[UNIT
VALUE AUD]]</f>
        <v>41.209857029959039</v>
      </c>
      <c r="Z380" s="33"/>
    </row>
    <row r="381" spans="1:26" x14ac:dyDescent="0.25">
      <c r="A381" t="s">
        <v>315</v>
      </c>
      <c r="B381" t="s">
        <v>316</v>
      </c>
      <c r="C381" t="s">
        <v>113</v>
      </c>
      <c r="D381" t="s">
        <v>314</v>
      </c>
      <c r="E381">
        <v>2.23</v>
      </c>
      <c r="F381" s="33">
        <v>3.0005000000000002</v>
      </c>
      <c r="G381" s="33" t="s">
        <v>117</v>
      </c>
      <c r="H381" t="s">
        <v>103</v>
      </c>
      <c r="I381" t="str">
        <f>IF(quantInv[[#This Row],[Metal]] = "925 Silver",  "7113.11.00"," 7113.19.00")</f>
        <v>7113.11.00</v>
      </c>
      <c r="J381" t="str">
        <f>IF(quantInv[[#This Row],[Metal]] = "925 Silver", "7113.11.10.00"," 7113.19.10.00")</f>
        <v>7113.11.10.00</v>
      </c>
      <c r="K381" t="str">
        <f>IF(quantInv[[#This Row],[Metal]] = "925 Silver",  "7113.11.00"," 7113.19.00")</f>
        <v>7113.11.00</v>
      </c>
      <c r="L381" t="str">
        <f>IFERROR(VLOOKUP(quantInv[[#This Row],[Description for New Invoice]],Map!$G$12:$H$32,2,FALSE), IF(quantInv[[#This Row],[Metal]] = "925 Silver", "7113.11.10.00", "7113.19.29.00"))</f>
        <v>7113.11.10.00</v>
      </c>
      <c r="M381" t="str">
        <f>quantInv[[#This Row],[ASIN]] &amp; " " &amp; quantInv[[#This Row],[Short Description]]</f>
        <v>B073GB36PC Box Chain</v>
      </c>
      <c r="N381" s="33">
        <f>quantInv[[#This Row],[UNIT
VALUE]] / EURtoGBP</f>
        <v>3.4059241854103175</v>
      </c>
      <c r="O381" s="33">
        <f>quantInv[[#This Row],[UNIT
VALUE]]/USDtoGBP</f>
        <v>4.1131870105266337</v>
      </c>
      <c r="P381" s="33">
        <f>quantInv[[#This Row],[UNIT
VALUE]] / CADtoGBP</f>
        <v>5.2651158220196077</v>
      </c>
      <c r="Q381" s="33">
        <f>quantInv[[#This Row],[UNIT
VALUE]]/AUDtoGBP</f>
        <v>5.3892161793232276</v>
      </c>
      <c r="R381">
        <f>IFERROR(VLOOKUP(quantInv[[#This Row],[Assigned Item SKU]],skuQuantity[#All],2,FALSE),0)</f>
        <v>0</v>
      </c>
      <c r="S381" t="str">
        <f>PROPER(quantInv[[#This Row],[Metal]] &amp; " " &amp; quantInv[[#This Row],[Item Type]])</f>
        <v>925 Silver Chain</v>
      </c>
      <c r="T381" s="33">
        <f>quantInv[[#This Row],[Quantity]]*quantInv[[#This Row],[WEIGHT]]</f>
        <v>0</v>
      </c>
      <c r="U381" s="33">
        <f>quantInv[[#This Row],[UNIT
VALUE]]*quantInv[[#This Row],[Quantity]]</f>
        <v>0</v>
      </c>
      <c r="V381" s="33">
        <f>quantInv[[#This Row],[Total Cost GBP]]/EURtoGBP</f>
        <v>0</v>
      </c>
      <c r="W381" s="33">
        <f>quantInv[[#This Row],[Total Cost GBP]]/USDtoGBP</f>
        <v>0</v>
      </c>
      <c r="X381" s="33">
        <f>quantInv[[#This Row],[Total Cost GBP]]/CADtoGBP</f>
        <v>0</v>
      </c>
      <c r="Y381" s="33">
        <f>quantInv[[#This Row],[Quantity]]*quantInv[[#This Row],[UNIT
VALUE AUD]]</f>
        <v>0</v>
      </c>
      <c r="Z381" s="33"/>
    </row>
    <row r="382" spans="1:26" x14ac:dyDescent="0.25">
      <c r="A382" t="s">
        <v>891</v>
      </c>
      <c r="B382" t="s">
        <v>892</v>
      </c>
      <c r="C382" t="s">
        <v>113</v>
      </c>
      <c r="D382" t="s">
        <v>893</v>
      </c>
      <c r="E382">
        <v>1.6</v>
      </c>
      <c r="F382" s="33">
        <v>2.1543000000000001</v>
      </c>
      <c r="G382" s="33" t="s">
        <v>117</v>
      </c>
      <c r="H382" t="s">
        <v>1451</v>
      </c>
      <c r="I382" t="str">
        <f>IF(quantInv[[#This Row],[Metal]] = "925 Silver",  "7113.11.00"," 7113.19.00")</f>
        <v>7113.11.00</v>
      </c>
      <c r="J382" t="str">
        <f>IF(quantInv[[#This Row],[Metal]] = "925 Silver", "7113.11.10.00"," 7113.19.10.00")</f>
        <v>7113.11.10.00</v>
      </c>
      <c r="K382" t="str">
        <f>IF(quantInv[[#This Row],[Metal]] = "925 Silver",  "7113.11.00"," 7113.19.00")</f>
        <v>7113.11.00</v>
      </c>
      <c r="L382" t="str">
        <f>IFERROR(VLOOKUP(quantInv[[#This Row],[Description for New Invoice]],Map!$G$12:$H$32,2,FALSE), IF(quantInv[[#This Row],[Metal]] = "925 Silver", "7113.11.10.00", "7113.19.29.00"))</f>
        <v>7113.11.50.00</v>
      </c>
      <c r="M382" t="str">
        <f>quantInv[[#This Row],[ASIN]] &amp; " " &amp; quantInv[[#This Row],[Short Description]]</f>
        <v>B06ZYZT9X2 Pen - twisted</v>
      </c>
      <c r="N382" s="33">
        <f>quantInv[[#This Row],[UNIT
VALUE]] / EURtoGBP</f>
        <v>2.4453865931109635</v>
      </c>
      <c r="O382" s="33">
        <f>quantInv[[#This Row],[UNIT
VALUE]]/USDtoGBP</f>
        <v>2.9531873943601155</v>
      </c>
      <c r="P382" s="33">
        <f>quantInv[[#This Row],[UNIT
VALUE]] / CADtoGBP</f>
        <v>3.780249630187249</v>
      </c>
      <c r="Q382" s="33">
        <f>quantInv[[#This Row],[UNIT
VALUE]]/AUDtoGBP</f>
        <v>3.869351246497593</v>
      </c>
      <c r="R382">
        <f>IFERROR(VLOOKUP(quantInv[[#This Row],[Assigned Item SKU]],skuQuantity[#All],2,FALSE),0)</f>
        <v>0</v>
      </c>
      <c r="S382" t="str">
        <f>PROPER(quantInv[[#This Row],[Metal]] &amp; " " &amp; quantInv[[#This Row],[Item Type]])</f>
        <v>925 Silver Pendant</v>
      </c>
      <c r="T382" s="33">
        <f>quantInv[[#This Row],[Quantity]]*quantInv[[#This Row],[WEIGHT]]</f>
        <v>0</v>
      </c>
      <c r="U382" s="33">
        <f>quantInv[[#This Row],[UNIT
VALUE]]*quantInv[[#This Row],[Quantity]]</f>
        <v>0</v>
      </c>
      <c r="V382" s="33">
        <f>quantInv[[#This Row],[Total Cost GBP]]/EURtoGBP</f>
        <v>0</v>
      </c>
      <c r="W382" s="33">
        <f>quantInv[[#This Row],[Total Cost GBP]]/USDtoGBP</f>
        <v>0</v>
      </c>
      <c r="X382" s="33">
        <f>quantInv[[#This Row],[Total Cost GBP]]/CADtoGBP</f>
        <v>0</v>
      </c>
      <c r="Y382" s="33">
        <f>quantInv[[#This Row],[Quantity]]*quantInv[[#This Row],[UNIT
VALUE AUD]]</f>
        <v>0</v>
      </c>
      <c r="Z382" s="33"/>
    </row>
    <row r="383" spans="1:26" x14ac:dyDescent="0.25">
      <c r="A383" t="s">
        <v>894</v>
      </c>
      <c r="B383" t="s">
        <v>895</v>
      </c>
      <c r="C383" t="s">
        <v>113</v>
      </c>
      <c r="D383" t="s">
        <v>893</v>
      </c>
      <c r="E383">
        <v>1.6</v>
      </c>
      <c r="F383" s="33">
        <v>2.1543000000000001</v>
      </c>
      <c r="G383" s="33" t="s">
        <v>117</v>
      </c>
      <c r="H383" t="s">
        <v>1451</v>
      </c>
      <c r="I383" t="str">
        <f>IF(quantInv[[#This Row],[Metal]] = "925 Silver",  "7113.11.00"," 7113.19.00")</f>
        <v>7113.11.00</v>
      </c>
      <c r="J383" t="str">
        <f>IF(quantInv[[#This Row],[Metal]] = "925 Silver", "7113.11.10.00"," 7113.19.10.00")</f>
        <v>7113.11.10.00</v>
      </c>
      <c r="K383" t="str">
        <f>IF(quantInv[[#This Row],[Metal]] = "925 Silver",  "7113.11.00"," 7113.19.00")</f>
        <v>7113.11.00</v>
      </c>
      <c r="L383" t="str">
        <f>IFERROR(VLOOKUP(quantInv[[#This Row],[Description for New Invoice]],Map!$G$12:$H$32,2,FALSE), IF(quantInv[[#This Row],[Metal]] = "925 Silver", "7113.11.10.00", "7113.19.29.00"))</f>
        <v>7113.11.50.00</v>
      </c>
      <c r="M383" t="str">
        <f>quantInv[[#This Row],[ASIN]] &amp; " " &amp; quantInv[[#This Row],[Short Description]]</f>
        <v>B06ZXVBY5W Pen - twisted</v>
      </c>
      <c r="N383" s="33">
        <f>quantInv[[#This Row],[UNIT
VALUE]] / EURtoGBP</f>
        <v>2.4453865931109635</v>
      </c>
      <c r="O383" s="33">
        <f>quantInv[[#This Row],[UNIT
VALUE]]/USDtoGBP</f>
        <v>2.9531873943601155</v>
      </c>
      <c r="P383" s="33">
        <f>quantInv[[#This Row],[UNIT
VALUE]] / CADtoGBP</f>
        <v>3.780249630187249</v>
      </c>
      <c r="Q383" s="33">
        <f>quantInv[[#This Row],[UNIT
VALUE]]/AUDtoGBP</f>
        <v>3.869351246497593</v>
      </c>
      <c r="R383">
        <f>IFERROR(VLOOKUP(quantInv[[#This Row],[Assigned Item SKU]],skuQuantity[#All],2,FALSE),0)</f>
        <v>0</v>
      </c>
      <c r="S383" t="str">
        <f>PROPER(quantInv[[#This Row],[Metal]] &amp; " " &amp; quantInv[[#This Row],[Item Type]])</f>
        <v>925 Silver Pendant</v>
      </c>
      <c r="T383" s="33">
        <f>quantInv[[#This Row],[Quantity]]*quantInv[[#This Row],[WEIGHT]]</f>
        <v>0</v>
      </c>
      <c r="U383" s="33">
        <f>quantInv[[#This Row],[UNIT
VALUE]]*quantInv[[#This Row],[Quantity]]</f>
        <v>0</v>
      </c>
      <c r="V383" s="33">
        <f>quantInv[[#This Row],[Total Cost GBP]]/EURtoGBP</f>
        <v>0</v>
      </c>
      <c r="W383" s="33">
        <f>quantInv[[#This Row],[Total Cost GBP]]/USDtoGBP</f>
        <v>0</v>
      </c>
      <c r="X383" s="33">
        <f>quantInv[[#This Row],[Total Cost GBP]]/CADtoGBP</f>
        <v>0</v>
      </c>
      <c r="Y383" s="33">
        <f>quantInv[[#This Row],[Quantity]]*quantInv[[#This Row],[UNIT
VALUE AUD]]</f>
        <v>0</v>
      </c>
      <c r="Z383" s="33"/>
    </row>
    <row r="384" spans="1:26" x14ac:dyDescent="0.25">
      <c r="A384" t="s">
        <v>896</v>
      </c>
      <c r="B384" t="s">
        <v>897</v>
      </c>
      <c r="C384" t="s">
        <v>113</v>
      </c>
      <c r="D384" t="s">
        <v>898</v>
      </c>
      <c r="E384">
        <v>2.2000000000000002</v>
      </c>
      <c r="F384" s="33">
        <v>2.9207999999999998</v>
      </c>
      <c r="G384" s="33" t="s">
        <v>117</v>
      </c>
      <c r="H384" t="s">
        <v>1451</v>
      </c>
      <c r="I384" t="str">
        <f>IF(quantInv[[#This Row],[Metal]] = "925 Silver",  "7113.11.00"," 7113.19.00")</f>
        <v>7113.11.00</v>
      </c>
      <c r="J384" t="str">
        <f>IF(quantInv[[#This Row],[Metal]] = "925 Silver", "7113.11.10.00"," 7113.19.10.00")</f>
        <v>7113.11.10.00</v>
      </c>
      <c r="K384" t="str">
        <f>IF(quantInv[[#This Row],[Metal]] = "925 Silver",  "7113.11.00"," 7113.19.00")</f>
        <v>7113.11.00</v>
      </c>
      <c r="L384" t="str">
        <f>IFERROR(VLOOKUP(quantInv[[#This Row],[Description for New Invoice]],Map!$G$12:$H$32,2,FALSE), IF(quantInv[[#This Row],[Metal]] = "925 Silver", "7113.11.10.00", "7113.19.29.00"))</f>
        <v>7113.11.50.00</v>
      </c>
      <c r="M384" t="str">
        <f>quantInv[[#This Row],[ASIN]] &amp; " " &amp; quantInv[[#This Row],[Short Description]]</f>
        <v>B06ZYPVPB8 Pen - teddybear</v>
      </c>
      <c r="N384" s="33">
        <f>quantInv[[#This Row],[UNIT
VALUE]] / EURtoGBP</f>
        <v>3.3154552110469768</v>
      </c>
      <c r="O384" s="33">
        <f>quantInv[[#This Row],[UNIT
VALUE]]/USDtoGBP</f>
        <v>4.0039315515234764</v>
      </c>
      <c r="P384" s="33">
        <f>quantInv[[#This Row],[UNIT
VALUE]] / CADtoGBP</f>
        <v>5.1252625538926404</v>
      </c>
      <c r="Q384" s="33">
        <f>quantInv[[#This Row],[UNIT
VALUE]]/AUDtoGBP</f>
        <v>5.2460665277677991</v>
      </c>
      <c r="R384">
        <f>IFERROR(VLOOKUP(quantInv[[#This Row],[Assigned Item SKU]],skuQuantity[#All],2,FALSE),0)</f>
        <v>0</v>
      </c>
      <c r="S384" t="str">
        <f>PROPER(quantInv[[#This Row],[Metal]] &amp; " " &amp; quantInv[[#This Row],[Item Type]])</f>
        <v>925 Silver Pendant</v>
      </c>
      <c r="T384" s="33">
        <f>quantInv[[#This Row],[Quantity]]*quantInv[[#This Row],[WEIGHT]]</f>
        <v>0</v>
      </c>
      <c r="U384" s="33">
        <f>quantInv[[#This Row],[UNIT
VALUE]]*quantInv[[#This Row],[Quantity]]</f>
        <v>0</v>
      </c>
      <c r="V384" s="33">
        <f>quantInv[[#This Row],[Total Cost GBP]]/EURtoGBP</f>
        <v>0</v>
      </c>
      <c r="W384" s="33">
        <f>quantInv[[#This Row],[Total Cost GBP]]/USDtoGBP</f>
        <v>0</v>
      </c>
      <c r="X384" s="33">
        <f>quantInv[[#This Row],[Total Cost GBP]]/CADtoGBP</f>
        <v>0</v>
      </c>
      <c r="Y384" s="33">
        <f>quantInv[[#This Row],[Quantity]]*quantInv[[#This Row],[UNIT
VALUE AUD]]</f>
        <v>0</v>
      </c>
      <c r="Z384" s="33"/>
    </row>
    <row r="385" spans="1:26" x14ac:dyDescent="0.25">
      <c r="A385" t="s">
        <v>899</v>
      </c>
      <c r="B385" t="s">
        <v>900</v>
      </c>
      <c r="C385" t="s">
        <v>113</v>
      </c>
      <c r="D385" t="s">
        <v>901</v>
      </c>
      <c r="E385">
        <v>4.4000000000000004</v>
      </c>
      <c r="F385" s="33">
        <v>5.7309999999999999</v>
      </c>
      <c r="G385" s="33" t="s">
        <v>117</v>
      </c>
      <c r="H385" t="s">
        <v>1451</v>
      </c>
      <c r="I385" t="str">
        <f>IF(quantInv[[#This Row],[Metal]] = "925 Silver",  "7113.11.00"," 7113.19.00")</f>
        <v>7113.11.00</v>
      </c>
      <c r="J385" t="str">
        <f>IF(quantInv[[#This Row],[Metal]] = "925 Silver", "7113.11.10.00"," 7113.19.10.00")</f>
        <v>7113.11.10.00</v>
      </c>
      <c r="K385" t="str">
        <f>IF(quantInv[[#This Row],[Metal]] = "925 Silver",  "7113.11.00"," 7113.19.00")</f>
        <v>7113.11.00</v>
      </c>
      <c r="L385" t="str">
        <f>IFERROR(VLOOKUP(quantInv[[#This Row],[Description for New Invoice]],Map!$G$12:$H$32,2,FALSE), IF(quantInv[[#This Row],[Metal]] = "925 Silver", "7113.11.10.00", "7113.19.29.00"))</f>
        <v>7113.11.50.00</v>
      </c>
      <c r="M385" t="str">
        <f>quantInv[[#This Row],[ASIN]] &amp; " " &amp; quantInv[[#This Row],[Short Description]]</f>
        <v>B06ZZ98T1B Pen - Dragonfly</v>
      </c>
      <c r="N385" s="33">
        <f>quantInv[[#This Row],[UNIT
VALUE]] / EURtoGBP</f>
        <v>6.5053662744830953</v>
      </c>
      <c r="O385" s="33">
        <f>quantInv[[#This Row],[UNIT
VALUE]]/USDtoGBP</f>
        <v>7.8562488776297732</v>
      </c>
      <c r="P385" s="33">
        <f>quantInv[[#This Row],[UNIT
VALUE]] / CADtoGBP</f>
        <v>10.056450183634183</v>
      </c>
      <c r="Q385" s="33">
        <f>quantInv[[#This Row],[UNIT
VALUE]]/AUDtoGBP</f>
        <v>10.293483727279257</v>
      </c>
      <c r="R385">
        <f>IFERROR(VLOOKUP(quantInv[[#This Row],[Assigned Item SKU]],skuQuantity[#All],2,FALSE),0)</f>
        <v>0</v>
      </c>
      <c r="S385" t="str">
        <f>PROPER(quantInv[[#This Row],[Metal]] &amp; " " &amp; quantInv[[#This Row],[Item Type]])</f>
        <v>925 Silver Pendant</v>
      </c>
      <c r="T385" s="33">
        <f>quantInv[[#This Row],[Quantity]]*quantInv[[#This Row],[WEIGHT]]</f>
        <v>0</v>
      </c>
      <c r="U385" s="33">
        <f>quantInv[[#This Row],[UNIT
VALUE]]*quantInv[[#This Row],[Quantity]]</f>
        <v>0</v>
      </c>
      <c r="V385" s="33">
        <f>quantInv[[#This Row],[Total Cost GBP]]/EURtoGBP</f>
        <v>0</v>
      </c>
      <c r="W385" s="33">
        <f>quantInv[[#This Row],[Total Cost GBP]]/USDtoGBP</f>
        <v>0</v>
      </c>
      <c r="X385" s="33">
        <f>quantInv[[#This Row],[Total Cost GBP]]/CADtoGBP</f>
        <v>0</v>
      </c>
      <c r="Y385" s="33">
        <f>quantInv[[#This Row],[Quantity]]*quantInv[[#This Row],[UNIT
VALUE AUD]]</f>
        <v>0</v>
      </c>
      <c r="Z385" s="33"/>
    </row>
    <row r="386" spans="1:26" x14ac:dyDescent="0.25">
      <c r="A386" t="s">
        <v>902</v>
      </c>
      <c r="B386" t="s">
        <v>903</v>
      </c>
      <c r="C386" t="s">
        <v>113</v>
      </c>
      <c r="D386" t="s">
        <v>904</v>
      </c>
      <c r="E386">
        <v>1.8</v>
      </c>
      <c r="F386" s="33">
        <v>2.4098000000000002</v>
      </c>
      <c r="G386" s="33" t="s">
        <v>117</v>
      </c>
      <c r="H386" t="s">
        <v>1451</v>
      </c>
      <c r="I386" t="str">
        <f>IF(quantInv[[#This Row],[Metal]] = "925 Silver",  "7113.11.00"," 7113.19.00")</f>
        <v>7113.11.00</v>
      </c>
      <c r="J386" t="str">
        <f>IF(quantInv[[#This Row],[Metal]] = "925 Silver", "7113.11.10.00"," 7113.19.10.00")</f>
        <v>7113.11.10.00</v>
      </c>
      <c r="K386" t="str">
        <f>IF(quantInv[[#This Row],[Metal]] = "925 Silver",  "7113.11.00"," 7113.19.00")</f>
        <v>7113.11.00</v>
      </c>
      <c r="L386" t="str">
        <f>IFERROR(VLOOKUP(quantInv[[#This Row],[Description for New Invoice]],Map!$G$12:$H$32,2,FALSE), IF(quantInv[[#This Row],[Metal]] = "925 Silver", "7113.11.10.00", "7113.19.29.00"))</f>
        <v>7113.11.50.00</v>
      </c>
      <c r="M386" t="str">
        <f>quantInv[[#This Row],[ASIN]] &amp; " " &amp; quantInv[[#This Row],[Short Description]]</f>
        <v>B071Y1J6Y9 Pen - Circle (larger)</v>
      </c>
      <c r="N386" s="33">
        <f>quantInv[[#This Row],[UNIT
VALUE]] / EURtoGBP</f>
        <v>2.7354094657563017</v>
      </c>
      <c r="O386" s="33">
        <f>quantInv[[#This Row],[UNIT
VALUE]]/USDtoGBP</f>
        <v>3.3034354467479026</v>
      </c>
      <c r="P386" s="33">
        <f>quantInv[[#This Row],[UNIT
VALUE]] / CADtoGBP</f>
        <v>4.2285872714223798</v>
      </c>
      <c r="Q386" s="33">
        <f>quantInv[[#This Row],[UNIT
VALUE]]/AUDtoGBP</f>
        <v>4.3282563402543284</v>
      </c>
      <c r="R386">
        <f>IFERROR(VLOOKUP(quantInv[[#This Row],[Assigned Item SKU]],skuQuantity[#All],2,FALSE),0)</f>
        <v>0</v>
      </c>
      <c r="S386" t="str">
        <f>PROPER(quantInv[[#This Row],[Metal]] &amp; " " &amp; quantInv[[#This Row],[Item Type]])</f>
        <v>925 Silver Pendant</v>
      </c>
      <c r="T386" s="33">
        <f>quantInv[[#This Row],[Quantity]]*quantInv[[#This Row],[WEIGHT]]</f>
        <v>0</v>
      </c>
      <c r="U386" s="33">
        <f>quantInv[[#This Row],[UNIT
VALUE]]*quantInv[[#This Row],[Quantity]]</f>
        <v>0</v>
      </c>
      <c r="V386" s="33">
        <f>quantInv[[#This Row],[Total Cost GBP]]/EURtoGBP</f>
        <v>0</v>
      </c>
      <c r="W386" s="33">
        <f>quantInv[[#This Row],[Total Cost GBP]]/USDtoGBP</f>
        <v>0</v>
      </c>
      <c r="X386" s="33">
        <f>quantInv[[#This Row],[Total Cost GBP]]/CADtoGBP</f>
        <v>0</v>
      </c>
      <c r="Y386" s="33">
        <f>quantInv[[#This Row],[Quantity]]*quantInv[[#This Row],[UNIT
VALUE AUD]]</f>
        <v>0</v>
      </c>
      <c r="Z386" s="33"/>
    </row>
    <row r="387" spans="1:26" x14ac:dyDescent="0.25">
      <c r="A387" t="s">
        <v>905</v>
      </c>
      <c r="B387" t="s">
        <v>906</v>
      </c>
      <c r="C387" t="s">
        <v>113</v>
      </c>
      <c r="D387" t="s">
        <v>904</v>
      </c>
      <c r="E387">
        <v>1.8</v>
      </c>
      <c r="F387" s="33">
        <v>2.4098000000000002</v>
      </c>
      <c r="G387" s="33" t="s">
        <v>117</v>
      </c>
      <c r="H387" t="s">
        <v>1451</v>
      </c>
      <c r="I387" t="str">
        <f>IF(quantInv[[#This Row],[Metal]] = "925 Silver",  "7113.11.00"," 7113.19.00")</f>
        <v>7113.11.00</v>
      </c>
      <c r="J387" t="str">
        <f>IF(quantInv[[#This Row],[Metal]] = "925 Silver", "7113.11.10.00"," 7113.19.10.00")</f>
        <v>7113.11.10.00</v>
      </c>
      <c r="K387" t="str">
        <f>IF(quantInv[[#This Row],[Metal]] = "925 Silver",  "7113.11.00"," 7113.19.00")</f>
        <v>7113.11.00</v>
      </c>
      <c r="L387" t="str">
        <f>IFERROR(VLOOKUP(quantInv[[#This Row],[Description for New Invoice]],Map!$G$12:$H$32,2,FALSE), IF(quantInv[[#This Row],[Metal]] = "925 Silver", "7113.11.10.00", "7113.19.29.00"))</f>
        <v>7113.11.50.00</v>
      </c>
      <c r="M387" t="str">
        <f>quantInv[[#This Row],[ASIN]] &amp; " " &amp; quantInv[[#This Row],[Short Description]]</f>
        <v>B071CHW1NY Pen - Circle (larger)</v>
      </c>
      <c r="N387" s="33">
        <f>quantInv[[#This Row],[UNIT
VALUE]] / EURtoGBP</f>
        <v>2.7354094657563017</v>
      </c>
      <c r="O387" s="33">
        <f>quantInv[[#This Row],[UNIT
VALUE]]/USDtoGBP</f>
        <v>3.3034354467479026</v>
      </c>
      <c r="P387" s="33">
        <f>quantInv[[#This Row],[UNIT
VALUE]] / CADtoGBP</f>
        <v>4.2285872714223798</v>
      </c>
      <c r="Q387" s="33">
        <f>quantInv[[#This Row],[UNIT
VALUE]]/AUDtoGBP</f>
        <v>4.3282563402543284</v>
      </c>
      <c r="R387">
        <f>IFERROR(VLOOKUP(quantInv[[#This Row],[Assigned Item SKU]],skuQuantity[#All],2,FALSE),0)</f>
        <v>0</v>
      </c>
      <c r="S387" t="str">
        <f>PROPER(quantInv[[#This Row],[Metal]] &amp; " " &amp; quantInv[[#This Row],[Item Type]])</f>
        <v>925 Silver Pendant</v>
      </c>
      <c r="T387" s="33">
        <f>quantInv[[#This Row],[Quantity]]*quantInv[[#This Row],[WEIGHT]]</f>
        <v>0</v>
      </c>
      <c r="U387" s="33">
        <f>quantInv[[#This Row],[UNIT
VALUE]]*quantInv[[#This Row],[Quantity]]</f>
        <v>0</v>
      </c>
      <c r="V387" s="33">
        <f>quantInv[[#This Row],[Total Cost GBP]]/EURtoGBP</f>
        <v>0</v>
      </c>
      <c r="W387" s="33">
        <f>quantInv[[#This Row],[Total Cost GBP]]/USDtoGBP</f>
        <v>0</v>
      </c>
      <c r="X387" s="33">
        <f>quantInv[[#This Row],[Total Cost GBP]]/CADtoGBP</f>
        <v>0</v>
      </c>
      <c r="Y387" s="33">
        <f>quantInv[[#This Row],[Quantity]]*quantInv[[#This Row],[UNIT
VALUE AUD]]</f>
        <v>0</v>
      </c>
      <c r="Z387" s="33"/>
    </row>
    <row r="388" spans="1:26" x14ac:dyDescent="0.25">
      <c r="A388" t="s">
        <v>907</v>
      </c>
      <c r="B388" t="s">
        <v>908</v>
      </c>
      <c r="C388" t="s">
        <v>113</v>
      </c>
      <c r="D388" t="s">
        <v>904</v>
      </c>
      <c r="E388">
        <v>1.8</v>
      </c>
      <c r="F388" s="33">
        <v>2.4098000000000002</v>
      </c>
      <c r="G388" s="33" t="s">
        <v>117</v>
      </c>
      <c r="H388" t="s">
        <v>1451</v>
      </c>
      <c r="I388" t="str">
        <f>IF(quantInv[[#This Row],[Metal]] = "925 Silver",  "7113.11.00"," 7113.19.00")</f>
        <v>7113.11.00</v>
      </c>
      <c r="J388" t="str">
        <f>IF(quantInv[[#This Row],[Metal]] = "925 Silver", "7113.11.10.00"," 7113.19.10.00")</f>
        <v>7113.11.10.00</v>
      </c>
      <c r="K388" t="str">
        <f>IF(quantInv[[#This Row],[Metal]] = "925 Silver",  "7113.11.00"," 7113.19.00")</f>
        <v>7113.11.00</v>
      </c>
      <c r="L388" t="str">
        <f>IFERROR(VLOOKUP(quantInv[[#This Row],[Description for New Invoice]],Map!$G$12:$H$32,2,FALSE), IF(quantInv[[#This Row],[Metal]] = "925 Silver", "7113.11.10.00", "7113.19.29.00"))</f>
        <v>7113.11.50.00</v>
      </c>
      <c r="M388" t="str">
        <f>quantInv[[#This Row],[ASIN]] &amp; " " &amp; quantInv[[#This Row],[Short Description]]</f>
        <v>B071R98C24 Pen - Circle (larger)</v>
      </c>
      <c r="N388" s="33">
        <f>quantInv[[#This Row],[UNIT
VALUE]] / EURtoGBP</f>
        <v>2.7354094657563017</v>
      </c>
      <c r="O388" s="33">
        <f>quantInv[[#This Row],[UNIT
VALUE]]/USDtoGBP</f>
        <v>3.3034354467479026</v>
      </c>
      <c r="P388" s="33">
        <f>quantInv[[#This Row],[UNIT
VALUE]] / CADtoGBP</f>
        <v>4.2285872714223798</v>
      </c>
      <c r="Q388" s="33">
        <f>quantInv[[#This Row],[UNIT
VALUE]]/AUDtoGBP</f>
        <v>4.3282563402543284</v>
      </c>
      <c r="R388">
        <f>IFERROR(VLOOKUP(quantInv[[#This Row],[Assigned Item SKU]],skuQuantity[#All],2,FALSE),0)</f>
        <v>0</v>
      </c>
      <c r="S388" t="str">
        <f>PROPER(quantInv[[#This Row],[Metal]] &amp; " " &amp; quantInv[[#This Row],[Item Type]])</f>
        <v>925 Silver Pendant</v>
      </c>
      <c r="T388" s="33">
        <f>quantInv[[#This Row],[Quantity]]*quantInv[[#This Row],[WEIGHT]]</f>
        <v>0</v>
      </c>
      <c r="U388" s="33">
        <f>quantInv[[#This Row],[UNIT
VALUE]]*quantInv[[#This Row],[Quantity]]</f>
        <v>0</v>
      </c>
      <c r="V388" s="33">
        <f>quantInv[[#This Row],[Total Cost GBP]]/EURtoGBP</f>
        <v>0</v>
      </c>
      <c r="W388" s="33">
        <f>quantInv[[#This Row],[Total Cost GBP]]/USDtoGBP</f>
        <v>0</v>
      </c>
      <c r="X388" s="33">
        <f>quantInv[[#This Row],[Total Cost GBP]]/CADtoGBP</f>
        <v>0</v>
      </c>
      <c r="Y388" s="33">
        <f>quantInv[[#This Row],[Quantity]]*quantInv[[#This Row],[UNIT
VALUE AUD]]</f>
        <v>0</v>
      </c>
      <c r="Z388" s="33"/>
    </row>
    <row r="389" spans="1:26" x14ac:dyDescent="0.25">
      <c r="A389" t="s">
        <v>909</v>
      </c>
      <c r="B389" t="s">
        <v>910</v>
      </c>
      <c r="C389" t="s">
        <v>113</v>
      </c>
      <c r="D389" t="s">
        <v>904</v>
      </c>
      <c r="E389">
        <v>1.8</v>
      </c>
      <c r="F389" s="33">
        <v>2.4098000000000002</v>
      </c>
      <c r="G389" s="33" t="s">
        <v>117</v>
      </c>
      <c r="H389" t="s">
        <v>1451</v>
      </c>
      <c r="I389" t="str">
        <f>IF(quantInv[[#This Row],[Metal]] = "925 Silver",  "7113.11.00"," 7113.19.00")</f>
        <v>7113.11.00</v>
      </c>
      <c r="J389" t="str">
        <f>IF(quantInv[[#This Row],[Metal]] = "925 Silver", "7113.11.10.00"," 7113.19.10.00")</f>
        <v>7113.11.10.00</v>
      </c>
      <c r="K389" t="str">
        <f>IF(quantInv[[#This Row],[Metal]] = "925 Silver",  "7113.11.00"," 7113.19.00")</f>
        <v>7113.11.00</v>
      </c>
      <c r="L389" t="str">
        <f>IFERROR(VLOOKUP(quantInv[[#This Row],[Description for New Invoice]],Map!$G$12:$H$32,2,FALSE), IF(quantInv[[#This Row],[Metal]] = "925 Silver", "7113.11.10.00", "7113.19.29.00"))</f>
        <v>7113.11.50.00</v>
      </c>
      <c r="M389" t="str">
        <f>quantInv[[#This Row],[ASIN]] &amp; " " &amp; quantInv[[#This Row],[Short Description]]</f>
        <v>B071CH83JX Pen - Circle (larger)</v>
      </c>
      <c r="N389" s="33">
        <f>quantInv[[#This Row],[UNIT
VALUE]] / EURtoGBP</f>
        <v>2.7354094657563017</v>
      </c>
      <c r="O389" s="33">
        <f>quantInv[[#This Row],[UNIT
VALUE]]/USDtoGBP</f>
        <v>3.3034354467479026</v>
      </c>
      <c r="P389" s="33">
        <f>quantInv[[#This Row],[UNIT
VALUE]] / CADtoGBP</f>
        <v>4.2285872714223798</v>
      </c>
      <c r="Q389" s="33">
        <f>quantInv[[#This Row],[UNIT
VALUE]]/AUDtoGBP</f>
        <v>4.3282563402543284</v>
      </c>
      <c r="R389">
        <f>IFERROR(VLOOKUP(quantInv[[#This Row],[Assigned Item SKU]],skuQuantity[#All],2,FALSE),0)</f>
        <v>0</v>
      </c>
      <c r="S389" t="str">
        <f>PROPER(quantInv[[#This Row],[Metal]] &amp; " " &amp; quantInv[[#This Row],[Item Type]])</f>
        <v>925 Silver Pendant</v>
      </c>
      <c r="T389" s="33">
        <f>quantInv[[#This Row],[Quantity]]*quantInv[[#This Row],[WEIGHT]]</f>
        <v>0</v>
      </c>
      <c r="U389" s="33">
        <f>quantInv[[#This Row],[UNIT
VALUE]]*quantInv[[#This Row],[Quantity]]</f>
        <v>0</v>
      </c>
      <c r="V389" s="33">
        <f>quantInv[[#This Row],[Total Cost GBP]]/EURtoGBP</f>
        <v>0</v>
      </c>
      <c r="W389" s="33">
        <f>quantInv[[#This Row],[Total Cost GBP]]/USDtoGBP</f>
        <v>0</v>
      </c>
      <c r="X389" s="33">
        <f>quantInv[[#This Row],[Total Cost GBP]]/CADtoGBP</f>
        <v>0</v>
      </c>
      <c r="Y389" s="33">
        <f>quantInv[[#This Row],[Quantity]]*quantInv[[#This Row],[UNIT
VALUE AUD]]</f>
        <v>0</v>
      </c>
      <c r="Z389" s="33"/>
    </row>
    <row r="390" spans="1:26" x14ac:dyDescent="0.25">
      <c r="A390" t="s">
        <v>911</v>
      </c>
      <c r="B390" t="s">
        <v>912</v>
      </c>
      <c r="C390" t="s">
        <v>113</v>
      </c>
      <c r="D390" t="s">
        <v>904</v>
      </c>
      <c r="E390">
        <v>1.8</v>
      </c>
      <c r="F390" s="33">
        <v>2.4098000000000002</v>
      </c>
      <c r="G390" s="33" t="s">
        <v>117</v>
      </c>
      <c r="H390" t="s">
        <v>1451</v>
      </c>
      <c r="I390" t="str">
        <f>IF(quantInv[[#This Row],[Metal]] = "925 Silver",  "7113.11.00"," 7113.19.00")</f>
        <v>7113.11.00</v>
      </c>
      <c r="J390" t="str">
        <f>IF(quantInv[[#This Row],[Metal]] = "925 Silver", "7113.11.10.00"," 7113.19.10.00")</f>
        <v>7113.11.10.00</v>
      </c>
      <c r="K390" t="str">
        <f>IF(quantInv[[#This Row],[Metal]] = "925 Silver",  "7113.11.00"," 7113.19.00")</f>
        <v>7113.11.00</v>
      </c>
      <c r="L390" t="str">
        <f>IFERROR(VLOOKUP(quantInv[[#This Row],[Description for New Invoice]],Map!$G$12:$H$32,2,FALSE), IF(quantInv[[#This Row],[Metal]] = "925 Silver", "7113.11.10.00", "7113.19.29.00"))</f>
        <v>7113.11.50.00</v>
      </c>
      <c r="M390" t="str">
        <f>quantInv[[#This Row],[ASIN]] &amp; " " &amp; quantInv[[#This Row],[Short Description]]</f>
        <v>B071R1212Q Pen - Circle (larger)</v>
      </c>
      <c r="N390" s="33">
        <f>quantInv[[#This Row],[UNIT
VALUE]] / EURtoGBP</f>
        <v>2.7354094657563017</v>
      </c>
      <c r="O390" s="33">
        <f>quantInv[[#This Row],[UNIT
VALUE]]/USDtoGBP</f>
        <v>3.3034354467479026</v>
      </c>
      <c r="P390" s="33">
        <f>quantInv[[#This Row],[UNIT
VALUE]] / CADtoGBP</f>
        <v>4.2285872714223798</v>
      </c>
      <c r="Q390" s="33">
        <f>quantInv[[#This Row],[UNIT
VALUE]]/AUDtoGBP</f>
        <v>4.3282563402543284</v>
      </c>
      <c r="R390">
        <f>IFERROR(VLOOKUP(quantInv[[#This Row],[Assigned Item SKU]],skuQuantity[#All],2,FALSE),0)</f>
        <v>0</v>
      </c>
      <c r="S390" t="str">
        <f>PROPER(quantInv[[#This Row],[Metal]] &amp; " " &amp; quantInv[[#This Row],[Item Type]])</f>
        <v>925 Silver Pendant</v>
      </c>
      <c r="T390" s="33">
        <f>quantInv[[#This Row],[Quantity]]*quantInv[[#This Row],[WEIGHT]]</f>
        <v>0</v>
      </c>
      <c r="U390" s="33">
        <f>quantInv[[#This Row],[UNIT
VALUE]]*quantInv[[#This Row],[Quantity]]</f>
        <v>0</v>
      </c>
      <c r="V390" s="33">
        <f>quantInv[[#This Row],[Total Cost GBP]]/EURtoGBP</f>
        <v>0</v>
      </c>
      <c r="W390" s="33">
        <f>quantInv[[#This Row],[Total Cost GBP]]/USDtoGBP</f>
        <v>0</v>
      </c>
      <c r="X390" s="33">
        <f>quantInv[[#This Row],[Total Cost GBP]]/CADtoGBP</f>
        <v>0</v>
      </c>
      <c r="Y390" s="33">
        <f>quantInv[[#This Row],[Quantity]]*quantInv[[#This Row],[UNIT
VALUE AUD]]</f>
        <v>0</v>
      </c>
      <c r="Z390" s="33"/>
    </row>
    <row r="391" spans="1:26" x14ac:dyDescent="0.25">
      <c r="A391" t="s">
        <v>913</v>
      </c>
      <c r="B391" t="s">
        <v>914</v>
      </c>
      <c r="C391" t="s">
        <v>113</v>
      </c>
      <c r="D391" t="s">
        <v>915</v>
      </c>
      <c r="E391">
        <v>1</v>
      </c>
      <c r="F391" s="33">
        <v>1.3878999999999999</v>
      </c>
      <c r="G391" s="33" t="s">
        <v>117</v>
      </c>
      <c r="H391" t="s">
        <v>1451</v>
      </c>
      <c r="I391" t="str">
        <f>IF(quantInv[[#This Row],[Metal]] = "925 Silver",  "7113.11.00"," 7113.19.00")</f>
        <v>7113.11.00</v>
      </c>
      <c r="J391" t="str">
        <f>IF(quantInv[[#This Row],[Metal]] = "925 Silver", "7113.11.10.00"," 7113.19.10.00")</f>
        <v>7113.11.10.00</v>
      </c>
      <c r="K391" t="str">
        <f>IF(quantInv[[#This Row],[Metal]] = "925 Silver",  "7113.11.00"," 7113.19.00")</f>
        <v>7113.11.00</v>
      </c>
      <c r="L391" t="str">
        <f>IFERROR(VLOOKUP(quantInv[[#This Row],[Description for New Invoice]],Map!$G$12:$H$32,2,FALSE), IF(quantInv[[#This Row],[Metal]] = "925 Silver", "7113.11.10.00", "7113.19.29.00"))</f>
        <v>7113.11.50.00</v>
      </c>
      <c r="M391" t="str">
        <f>quantInv[[#This Row],[ASIN]] &amp; " " &amp; quantInv[[#This Row],[Short Description]]</f>
        <v>B06ZZV8BVS Pen - Circle (small)</v>
      </c>
      <c r="N391" s="33">
        <f>quantInv[[#This Row],[UNIT
VALUE]] / EURtoGBP</f>
        <v>1.5754314870624826</v>
      </c>
      <c r="O391" s="33">
        <f>quantInv[[#This Row],[UNIT
VALUE]]/USDtoGBP</f>
        <v>1.9025803205832075</v>
      </c>
      <c r="P391" s="33">
        <f>quantInv[[#This Row],[UNIT
VALUE]] / CADtoGBP</f>
        <v>2.4354121810968214</v>
      </c>
      <c r="Q391" s="33">
        <f>quantInv[[#This Row],[UNIT
VALUE]]/AUDtoGBP</f>
        <v>2.4928155758315969</v>
      </c>
      <c r="R391">
        <f>IFERROR(VLOOKUP(quantInv[[#This Row],[Assigned Item SKU]],skuQuantity[#All],2,FALSE),0)</f>
        <v>0</v>
      </c>
      <c r="S391" t="str">
        <f>PROPER(quantInv[[#This Row],[Metal]] &amp; " " &amp; quantInv[[#This Row],[Item Type]])</f>
        <v>925 Silver Pendant</v>
      </c>
      <c r="T391" s="33">
        <f>quantInv[[#This Row],[Quantity]]*quantInv[[#This Row],[WEIGHT]]</f>
        <v>0</v>
      </c>
      <c r="U391" s="33">
        <f>quantInv[[#This Row],[UNIT
VALUE]]*quantInv[[#This Row],[Quantity]]</f>
        <v>0</v>
      </c>
      <c r="V391" s="33">
        <f>quantInv[[#This Row],[Total Cost GBP]]/EURtoGBP</f>
        <v>0</v>
      </c>
      <c r="W391" s="33">
        <f>quantInv[[#This Row],[Total Cost GBP]]/USDtoGBP</f>
        <v>0</v>
      </c>
      <c r="X391" s="33">
        <f>quantInv[[#This Row],[Total Cost GBP]]/CADtoGBP</f>
        <v>0</v>
      </c>
      <c r="Y391" s="33">
        <f>quantInv[[#This Row],[Quantity]]*quantInv[[#This Row],[UNIT
VALUE AUD]]</f>
        <v>0</v>
      </c>
      <c r="Z391" s="33"/>
    </row>
    <row r="392" spans="1:26" x14ac:dyDescent="0.25">
      <c r="A392" t="s">
        <v>916</v>
      </c>
      <c r="B392" t="s">
        <v>917</v>
      </c>
      <c r="C392" t="s">
        <v>113</v>
      </c>
      <c r="D392" t="s">
        <v>915</v>
      </c>
      <c r="E392">
        <v>1</v>
      </c>
      <c r="F392" s="33">
        <v>1.3878999999999999</v>
      </c>
      <c r="G392" s="33" t="s">
        <v>117</v>
      </c>
      <c r="H392" t="s">
        <v>1451</v>
      </c>
      <c r="I392" t="str">
        <f>IF(quantInv[[#This Row],[Metal]] = "925 Silver",  "7113.11.00"," 7113.19.00")</f>
        <v>7113.11.00</v>
      </c>
      <c r="J392" t="str">
        <f>IF(quantInv[[#This Row],[Metal]] = "925 Silver", "7113.11.10.00"," 7113.19.10.00")</f>
        <v>7113.11.10.00</v>
      </c>
      <c r="K392" t="str">
        <f>IF(quantInv[[#This Row],[Metal]] = "925 Silver",  "7113.11.00"," 7113.19.00")</f>
        <v>7113.11.00</v>
      </c>
      <c r="L392" t="str">
        <f>IFERROR(VLOOKUP(quantInv[[#This Row],[Description for New Invoice]],Map!$G$12:$H$32,2,FALSE), IF(quantInv[[#This Row],[Metal]] = "925 Silver", "7113.11.10.00", "7113.19.29.00"))</f>
        <v>7113.11.50.00</v>
      </c>
      <c r="M392" t="str">
        <f>quantInv[[#This Row],[ASIN]] &amp; " " &amp; quantInv[[#This Row],[Short Description]]</f>
        <v>B06ZZKTYCZ Pen - Circle (small)</v>
      </c>
      <c r="N392" s="33">
        <f>quantInv[[#This Row],[UNIT
VALUE]] / EURtoGBP</f>
        <v>1.5754314870624826</v>
      </c>
      <c r="O392" s="33">
        <f>quantInv[[#This Row],[UNIT
VALUE]]/USDtoGBP</f>
        <v>1.9025803205832075</v>
      </c>
      <c r="P392" s="33">
        <f>quantInv[[#This Row],[UNIT
VALUE]] / CADtoGBP</f>
        <v>2.4354121810968214</v>
      </c>
      <c r="Q392" s="33">
        <f>quantInv[[#This Row],[UNIT
VALUE]]/AUDtoGBP</f>
        <v>2.4928155758315969</v>
      </c>
      <c r="R392">
        <f>IFERROR(VLOOKUP(quantInv[[#This Row],[Assigned Item SKU]],skuQuantity[#All],2,FALSE),0)</f>
        <v>0</v>
      </c>
      <c r="S392" t="str">
        <f>PROPER(quantInv[[#This Row],[Metal]] &amp; " " &amp; quantInv[[#This Row],[Item Type]])</f>
        <v>925 Silver Pendant</v>
      </c>
      <c r="T392" s="33">
        <f>quantInv[[#This Row],[Quantity]]*quantInv[[#This Row],[WEIGHT]]</f>
        <v>0</v>
      </c>
      <c r="U392" s="33">
        <f>quantInv[[#This Row],[UNIT
VALUE]]*quantInv[[#This Row],[Quantity]]</f>
        <v>0</v>
      </c>
      <c r="V392" s="33">
        <f>quantInv[[#This Row],[Total Cost GBP]]/EURtoGBP</f>
        <v>0</v>
      </c>
      <c r="W392" s="33">
        <f>quantInv[[#This Row],[Total Cost GBP]]/USDtoGBP</f>
        <v>0</v>
      </c>
      <c r="X392" s="33">
        <f>quantInv[[#This Row],[Total Cost GBP]]/CADtoGBP</f>
        <v>0</v>
      </c>
      <c r="Y392" s="33">
        <f>quantInv[[#This Row],[Quantity]]*quantInv[[#This Row],[UNIT
VALUE AUD]]</f>
        <v>0</v>
      </c>
      <c r="Z392" s="33"/>
    </row>
    <row r="393" spans="1:26" x14ac:dyDescent="0.25">
      <c r="A393" t="s">
        <v>918</v>
      </c>
      <c r="B393" t="s">
        <v>919</v>
      </c>
      <c r="C393" t="s">
        <v>113</v>
      </c>
      <c r="D393" t="s">
        <v>915</v>
      </c>
      <c r="E393">
        <v>1</v>
      </c>
      <c r="F393" s="33">
        <v>1.3878999999999999</v>
      </c>
      <c r="G393" s="33" t="s">
        <v>117</v>
      </c>
      <c r="H393" t="s">
        <v>1451</v>
      </c>
      <c r="I393" t="str">
        <f>IF(quantInv[[#This Row],[Metal]] = "925 Silver",  "7113.11.00"," 7113.19.00")</f>
        <v>7113.11.00</v>
      </c>
      <c r="J393" t="str">
        <f>IF(quantInv[[#This Row],[Metal]] = "925 Silver", "7113.11.10.00"," 7113.19.10.00")</f>
        <v>7113.11.10.00</v>
      </c>
      <c r="K393" t="str">
        <f>IF(quantInv[[#This Row],[Metal]] = "925 Silver",  "7113.11.00"," 7113.19.00")</f>
        <v>7113.11.00</v>
      </c>
      <c r="L393" t="str">
        <f>IFERROR(VLOOKUP(quantInv[[#This Row],[Description for New Invoice]],Map!$G$12:$H$32,2,FALSE), IF(quantInv[[#This Row],[Metal]] = "925 Silver", "7113.11.10.00", "7113.19.29.00"))</f>
        <v>7113.11.50.00</v>
      </c>
      <c r="M393" t="str">
        <f>quantInv[[#This Row],[ASIN]] &amp; " " &amp; quantInv[[#This Row],[Short Description]]</f>
        <v>B071XR6B3F Pen - Circle (small)</v>
      </c>
      <c r="N393" s="33">
        <f>quantInv[[#This Row],[UNIT
VALUE]] / EURtoGBP</f>
        <v>1.5754314870624826</v>
      </c>
      <c r="O393" s="33">
        <f>quantInv[[#This Row],[UNIT
VALUE]]/USDtoGBP</f>
        <v>1.9025803205832075</v>
      </c>
      <c r="P393" s="33">
        <f>quantInv[[#This Row],[UNIT
VALUE]] / CADtoGBP</f>
        <v>2.4354121810968214</v>
      </c>
      <c r="Q393" s="33">
        <f>quantInv[[#This Row],[UNIT
VALUE]]/AUDtoGBP</f>
        <v>2.4928155758315969</v>
      </c>
      <c r="R393">
        <f>IFERROR(VLOOKUP(quantInv[[#This Row],[Assigned Item SKU]],skuQuantity[#All],2,FALSE),0)</f>
        <v>0</v>
      </c>
      <c r="S393" t="str">
        <f>PROPER(quantInv[[#This Row],[Metal]] &amp; " " &amp; quantInv[[#This Row],[Item Type]])</f>
        <v>925 Silver Pendant</v>
      </c>
      <c r="T393" s="33">
        <f>quantInv[[#This Row],[Quantity]]*quantInv[[#This Row],[WEIGHT]]</f>
        <v>0</v>
      </c>
      <c r="U393" s="33">
        <f>quantInv[[#This Row],[UNIT
VALUE]]*quantInv[[#This Row],[Quantity]]</f>
        <v>0</v>
      </c>
      <c r="V393" s="33">
        <f>quantInv[[#This Row],[Total Cost GBP]]/EURtoGBP</f>
        <v>0</v>
      </c>
      <c r="W393" s="33">
        <f>quantInv[[#This Row],[Total Cost GBP]]/USDtoGBP</f>
        <v>0</v>
      </c>
      <c r="X393" s="33">
        <f>quantInv[[#This Row],[Total Cost GBP]]/CADtoGBP</f>
        <v>0</v>
      </c>
      <c r="Y393" s="33">
        <f>quantInv[[#This Row],[Quantity]]*quantInv[[#This Row],[UNIT
VALUE AUD]]</f>
        <v>0</v>
      </c>
      <c r="Z393" s="33"/>
    </row>
    <row r="394" spans="1:26" x14ac:dyDescent="0.25">
      <c r="A394" t="s">
        <v>920</v>
      </c>
      <c r="B394" t="s">
        <v>921</v>
      </c>
      <c r="C394" t="s">
        <v>113</v>
      </c>
      <c r="D394" t="s">
        <v>915</v>
      </c>
      <c r="E394">
        <v>1</v>
      </c>
      <c r="F394" s="33">
        <v>1.3878999999999999</v>
      </c>
      <c r="G394" s="33" t="s">
        <v>117</v>
      </c>
      <c r="H394" t="s">
        <v>1451</v>
      </c>
      <c r="I394" t="str">
        <f>IF(quantInv[[#This Row],[Metal]] = "925 Silver",  "7113.11.00"," 7113.19.00")</f>
        <v>7113.11.00</v>
      </c>
      <c r="J394" t="str">
        <f>IF(quantInv[[#This Row],[Metal]] = "925 Silver", "7113.11.10.00"," 7113.19.10.00")</f>
        <v>7113.11.10.00</v>
      </c>
      <c r="K394" t="str">
        <f>IF(quantInv[[#This Row],[Metal]] = "925 Silver",  "7113.11.00"," 7113.19.00")</f>
        <v>7113.11.00</v>
      </c>
      <c r="L394" t="str">
        <f>IFERROR(VLOOKUP(quantInv[[#This Row],[Description for New Invoice]],Map!$G$12:$H$32,2,FALSE), IF(quantInv[[#This Row],[Metal]] = "925 Silver", "7113.11.10.00", "7113.19.29.00"))</f>
        <v>7113.11.50.00</v>
      </c>
      <c r="M394" t="str">
        <f>quantInv[[#This Row],[ASIN]] &amp; " " &amp; quantInv[[#This Row],[Short Description]]</f>
        <v>B071Y9YK3M Pen - Circle (small)</v>
      </c>
      <c r="N394" s="33">
        <f>quantInv[[#This Row],[UNIT
VALUE]] / EURtoGBP</f>
        <v>1.5754314870624826</v>
      </c>
      <c r="O394" s="33">
        <f>quantInv[[#This Row],[UNIT
VALUE]]/USDtoGBP</f>
        <v>1.9025803205832075</v>
      </c>
      <c r="P394" s="33">
        <f>quantInv[[#This Row],[UNIT
VALUE]] / CADtoGBP</f>
        <v>2.4354121810968214</v>
      </c>
      <c r="Q394" s="33">
        <f>quantInv[[#This Row],[UNIT
VALUE]]/AUDtoGBP</f>
        <v>2.4928155758315969</v>
      </c>
      <c r="R394">
        <f>IFERROR(VLOOKUP(quantInv[[#This Row],[Assigned Item SKU]],skuQuantity[#All],2,FALSE),0)</f>
        <v>0</v>
      </c>
      <c r="S394" t="str">
        <f>PROPER(quantInv[[#This Row],[Metal]] &amp; " " &amp; quantInv[[#This Row],[Item Type]])</f>
        <v>925 Silver Pendant</v>
      </c>
      <c r="T394" s="33">
        <f>quantInv[[#This Row],[Quantity]]*quantInv[[#This Row],[WEIGHT]]</f>
        <v>0</v>
      </c>
      <c r="U394" s="33">
        <f>quantInv[[#This Row],[UNIT
VALUE]]*quantInv[[#This Row],[Quantity]]</f>
        <v>0</v>
      </c>
      <c r="V394" s="33">
        <f>quantInv[[#This Row],[Total Cost GBP]]/EURtoGBP</f>
        <v>0</v>
      </c>
      <c r="W394" s="33">
        <f>quantInv[[#This Row],[Total Cost GBP]]/USDtoGBP</f>
        <v>0</v>
      </c>
      <c r="X394" s="33">
        <f>quantInv[[#This Row],[Total Cost GBP]]/CADtoGBP</f>
        <v>0</v>
      </c>
      <c r="Y394" s="33">
        <f>quantInv[[#This Row],[Quantity]]*quantInv[[#This Row],[UNIT
VALUE AUD]]</f>
        <v>0</v>
      </c>
      <c r="Z394" s="33"/>
    </row>
    <row r="395" spans="1:26" x14ac:dyDescent="0.25">
      <c r="A395" t="s">
        <v>922</v>
      </c>
      <c r="B395" t="s">
        <v>923</v>
      </c>
      <c r="C395" t="s">
        <v>113</v>
      </c>
      <c r="D395" t="s">
        <v>915</v>
      </c>
      <c r="E395">
        <v>1</v>
      </c>
      <c r="F395" s="33">
        <v>1.3878999999999999</v>
      </c>
      <c r="G395" s="33" t="s">
        <v>117</v>
      </c>
      <c r="H395" t="s">
        <v>1451</v>
      </c>
      <c r="I395" t="str">
        <f>IF(quantInv[[#This Row],[Metal]] = "925 Silver",  "7113.11.00"," 7113.19.00")</f>
        <v>7113.11.00</v>
      </c>
      <c r="J395" t="str">
        <f>IF(quantInv[[#This Row],[Metal]] = "925 Silver", "7113.11.10.00"," 7113.19.10.00")</f>
        <v>7113.11.10.00</v>
      </c>
      <c r="K395" t="str">
        <f>IF(quantInv[[#This Row],[Metal]] = "925 Silver",  "7113.11.00"," 7113.19.00")</f>
        <v>7113.11.00</v>
      </c>
      <c r="L395" t="str">
        <f>IFERROR(VLOOKUP(quantInv[[#This Row],[Description for New Invoice]],Map!$G$12:$H$32,2,FALSE), IF(quantInv[[#This Row],[Metal]] = "925 Silver", "7113.11.10.00", "7113.19.29.00"))</f>
        <v>7113.11.50.00</v>
      </c>
      <c r="M395" t="str">
        <f>quantInv[[#This Row],[ASIN]] &amp; " " &amp; quantInv[[#This Row],[Short Description]]</f>
        <v>B06ZYPVPG7 Pen - Circle (small)</v>
      </c>
      <c r="N395" s="33">
        <f>quantInv[[#This Row],[UNIT
VALUE]] / EURtoGBP</f>
        <v>1.5754314870624826</v>
      </c>
      <c r="O395" s="33">
        <f>quantInv[[#This Row],[UNIT
VALUE]]/USDtoGBP</f>
        <v>1.9025803205832075</v>
      </c>
      <c r="P395" s="33">
        <f>quantInv[[#This Row],[UNIT
VALUE]] / CADtoGBP</f>
        <v>2.4354121810968214</v>
      </c>
      <c r="Q395" s="33">
        <f>quantInv[[#This Row],[UNIT
VALUE]]/AUDtoGBP</f>
        <v>2.4928155758315969</v>
      </c>
      <c r="R395">
        <f>IFERROR(VLOOKUP(quantInv[[#This Row],[Assigned Item SKU]],skuQuantity[#All],2,FALSE),0)</f>
        <v>0</v>
      </c>
      <c r="S395" t="str">
        <f>PROPER(quantInv[[#This Row],[Metal]] &amp; " " &amp; quantInv[[#This Row],[Item Type]])</f>
        <v>925 Silver Pendant</v>
      </c>
      <c r="T395" s="33">
        <f>quantInv[[#This Row],[Quantity]]*quantInv[[#This Row],[WEIGHT]]</f>
        <v>0</v>
      </c>
      <c r="U395" s="33">
        <f>quantInv[[#This Row],[UNIT
VALUE]]*quantInv[[#This Row],[Quantity]]</f>
        <v>0</v>
      </c>
      <c r="V395" s="33">
        <f>quantInv[[#This Row],[Total Cost GBP]]/EURtoGBP</f>
        <v>0</v>
      </c>
      <c r="W395" s="33">
        <f>quantInv[[#This Row],[Total Cost GBP]]/USDtoGBP</f>
        <v>0</v>
      </c>
      <c r="X395" s="33">
        <f>quantInv[[#This Row],[Total Cost GBP]]/CADtoGBP</f>
        <v>0</v>
      </c>
      <c r="Y395" s="33">
        <f>quantInv[[#This Row],[Quantity]]*quantInv[[#This Row],[UNIT
VALUE AUD]]</f>
        <v>0</v>
      </c>
      <c r="Z395" s="33"/>
    </row>
    <row r="396" spans="1:26" x14ac:dyDescent="0.25">
      <c r="A396" t="s">
        <v>924</v>
      </c>
      <c r="B396" t="s">
        <v>925</v>
      </c>
      <c r="C396" t="s">
        <v>113</v>
      </c>
      <c r="D396" t="s">
        <v>926</v>
      </c>
      <c r="E396">
        <v>2.4</v>
      </c>
      <c r="F396" s="33">
        <v>3.1762000000000001</v>
      </c>
      <c r="G396" s="33" t="s">
        <v>117</v>
      </c>
      <c r="H396" t="s">
        <v>1451</v>
      </c>
      <c r="I396" t="str">
        <f>IF(quantInv[[#This Row],[Metal]] = "925 Silver",  "7113.11.00"," 7113.19.00")</f>
        <v>7113.11.00</v>
      </c>
      <c r="J396" t="str">
        <f>IF(quantInv[[#This Row],[Metal]] = "925 Silver", "7113.11.10.00"," 7113.19.10.00")</f>
        <v>7113.11.10.00</v>
      </c>
      <c r="K396" t="str">
        <f>IF(quantInv[[#This Row],[Metal]] = "925 Silver",  "7113.11.00"," 7113.19.00")</f>
        <v>7113.11.00</v>
      </c>
      <c r="L396" t="str">
        <f>IFERROR(VLOOKUP(quantInv[[#This Row],[Description for New Invoice]],Map!$G$12:$H$32,2,FALSE), IF(quantInv[[#This Row],[Metal]] = "925 Silver", "7113.11.10.00", "7113.19.29.00"))</f>
        <v>7113.11.50.00</v>
      </c>
      <c r="M396" t="str">
        <f>quantInv[[#This Row],[ASIN]] &amp; " " &amp; quantInv[[#This Row],[Short Description]]</f>
        <v>B071R98C28 Pen - Fishbone</v>
      </c>
      <c r="N396" s="33">
        <f>quantInv[[#This Row],[UNIT
VALUE]] / EURtoGBP</f>
        <v>3.6053645718047824</v>
      </c>
      <c r="O396" s="33">
        <f>quantInv[[#This Row],[UNIT
VALUE]]/USDtoGBP</f>
        <v>4.3540425205248106</v>
      </c>
      <c r="P396" s="33">
        <f>quantInv[[#This Row],[UNIT
VALUE]] / CADtoGBP</f>
        <v>5.5734247205128069</v>
      </c>
      <c r="Q396" s="33">
        <f>quantInv[[#This Row],[UNIT
VALUE]]/AUDtoGBP</f>
        <v>5.7047920109203245</v>
      </c>
      <c r="R396">
        <f>IFERROR(VLOOKUP(quantInv[[#This Row],[Assigned Item SKU]],skuQuantity[#All],2,FALSE),0)</f>
        <v>0</v>
      </c>
      <c r="S396" t="str">
        <f>PROPER(quantInv[[#This Row],[Metal]] &amp; " " &amp; quantInv[[#This Row],[Item Type]])</f>
        <v>925 Silver Pendant</v>
      </c>
      <c r="T396" s="33">
        <f>quantInv[[#This Row],[Quantity]]*quantInv[[#This Row],[WEIGHT]]</f>
        <v>0</v>
      </c>
      <c r="U396" s="33">
        <f>quantInv[[#This Row],[UNIT
VALUE]]*quantInv[[#This Row],[Quantity]]</f>
        <v>0</v>
      </c>
      <c r="V396" s="33">
        <f>quantInv[[#This Row],[Total Cost GBP]]/EURtoGBP</f>
        <v>0</v>
      </c>
      <c r="W396" s="33">
        <f>quantInv[[#This Row],[Total Cost GBP]]/USDtoGBP</f>
        <v>0</v>
      </c>
      <c r="X396" s="33">
        <f>quantInv[[#This Row],[Total Cost GBP]]/CADtoGBP</f>
        <v>0</v>
      </c>
      <c r="Y396" s="33">
        <f>quantInv[[#This Row],[Quantity]]*quantInv[[#This Row],[UNIT
VALUE AUD]]</f>
        <v>0</v>
      </c>
      <c r="Z396" s="33"/>
    </row>
    <row r="397" spans="1:26" x14ac:dyDescent="0.25">
      <c r="A397" t="s">
        <v>927</v>
      </c>
      <c r="B397" t="s">
        <v>928</v>
      </c>
      <c r="C397" t="s">
        <v>113</v>
      </c>
      <c r="D397" t="s">
        <v>929</v>
      </c>
      <c r="E397">
        <v>1.7</v>
      </c>
      <c r="F397" s="33">
        <v>2.2820999999999998</v>
      </c>
      <c r="G397" s="33" t="s">
        <v>117</v>
      </c>
      <c r="H397" t="s">
        <v>1451</v>
      </c>
      <c r="I397" t="str">
        <f>IF(quantInv[[#This Row],[Metal]] = "925 Silver",  "7113.11.00"," 7113.19.00")</f>
        <v>7113.11.00</v>
      </c>
      <c r="J397" t="str">
        <f>IF(quantInv[[#This Row],[Metal]] = "925 Silver", "7113.11.10.00"," 7113.19.10.00")</f>
        <v>7113.11.10.00</v>
      </c>
      <c r="K397" t="str">
        <f>IF(quantInv[[#This Row],[Metal]] = "925 Silver",  "7113.11.00"," 7113.19.00")</f>
        <v>7113.11.00</v>
      </c>
      <c r="L397" t="str">
        <f>IFERROR(VLOOKUP(quantInv[[#This Row],[Description for New Invoice]],Map!$G$12:$H$32,2,FALSE), IF(quantInv[[#This Row],[Metal]] = "925 Silver", "7113.11.10.00", "7113.19.29.00"))</f>
        <v>7113.11.50.00</v>
      </c>
      <c r="M397" t="str">
        <f>quantInv[[#This Row],[ASIN]] &amp; " " &amp; quantInv[[#This Row],[Short Description]]</f>
        <v>B06ZZV8KJF Pen - Owl</v>
      </c>
      <c r="N397" s="33">
        <f>quantInv[[#This Row],[UNIT
VALUE]] / EURtoGBP</f>
        <v>2.5904547853773985</v>
      </c>
      <c r="O397" s="33">
        <f>quantInv[[#This Row],[UNIT
VALUE]]/USDtoGBP</f>
        <v>3.128379962247235</v>
      </c>
      <c r="P397" s="33">
        <f>quantInv[[#This Row],[UNIT
VALUE]] / CADtoGBP</f>
        <v>4.0045061881122965</v>
      </c>
      <c r="Q397" s="33">
        <f>quantInv[[#This Row],[UNIT
VALUE]]/AUDtoGBP</f>
        <v>4.0988935986780657</v>
      </c>
      <c r="R397">
        <f>IFERROR(VLOOKUP(quantInv[[#This Row],[Assigned Item SKU]],skuQuantity[#All],2,FALSE),0)</f>
        <v>0</v>
      </c>
      <c r="S397" t="str">
        <f>PROPER(quantInv[[#This Row],[Metal]] &amp; " " &amp; quantInv[[#This Row],[Item Type]])</f>
        <v>925 Silver Pendant</v>
      </c>
      <c r="T397" s="33">
        <f>quantInv[[#This Row],[Quantity]]*quantInv[[#This Row],[WEIGHT]]</f>
        <v>0</v>
      </c>
      <c r="U397" s="33">
        <f>quantInv[[#This Row],[UNIT
VALUE]]*quantInv[[#This Row],[Quantity]]</f>
        <v>0</v>
      </c>
      <c r="V397" s="33">
        <f>quantInv[[#This Row],[Total Cost GBP]]/EURtoGBP</f>
        <v>0</v>
      </c>
      <c r="W397" s="33">
        <f>quantInv[[#This Row],[Total Cost GBP]]/USDtoGBP</f>
        <v>0</v>
      </c>
      <c r="X397" s="33">
        <f>quantInv[[#This Row],[Total Cost GBP]]/CADtoGBP</f>
        <v>0</v>
      </c>
      <c r="Y397" s="33">
        <f>quantInv[[#This Row],[Quantity]]*quantInv[[#This Row],[UNIT
VALUE AUD]]</f>
        <v>0</v>
      </c>
      <c r="Z397" s="33"/>
    </row>
    <row r="398" spans="1:26" x14ac:dyDescent="0.25">
      <c r="A398" t="s">
        <v>327</v>
      </c>
      <c r="B398" t="s">
        <v>328</v>
      </c>
      <c r="C398" t="s">
        <v>114</v>
      </c>
      <c r="D398" t="s">
        <v>213</v>
      </c>
      <c r="E398">
        <v>2.1659999999999999</v>
      </c>
      <c r="F398" s="33">
        <v>3.0198</v>
      </c>
      <c r="G398" s="33" t="s">
        <v>117</v>
      </c>
      <c r="H398" t="s">
        <v>103</v>
      </c>
      <c r="I398" t="str">
        <f>IF(quantInv[[#This Row],[Metal]] = "925 Silver",  "7113.11.00"," 7113.19.00")</f>
        <v>7113.11.00</v>
      </c>
      <c r="J398" t="str">
        <f>IF(quantInv[[#This Row],[Metal]] = "925 Silver", "7113.11.10.00"," 7113.19.10.00")</f>
        <v>7113.11.10.00</v>
      </c>
      <c r="K398" t="str">
        <f>IF(quantInv[[#This Row],[Metal]] = "925 Silver",  "7113.11.00"," 7113.19.00")</f>
        <v>7113.11.00</v>
      </c>
      <c r="L398" t="str">
        <f>IFERROR(VLOOKUP(quantInv[[#This Row],[Description for New Invoice]],Map!$G$12:$H$32,2,FALSE), IF(quantInv[[#This Row],[Metal]] = "925 Silver", "7113.11.10.00", "7113.19.29.00"))</f>
        <v>7113.11.10.00</v>
      </c>
      <c r="M398" t="str">
        <f>quantInv[[#This Row],[ASIN]] &amp; " " &amp; quantInv[[#This Row],[Short Description]]</f>
        <v>B073G68ZLZ Ball Chain</v>
      </c>
      <c r="N398" s="33">
        <f>quantInv[[#This Row],[UNIT
VALUE]] / EURtoGBP</f>
        <v>3.4278319797040746</v>
      </c>
      <c r="O398" s="33">
        <f>quantInv[[#This Row],[UNIT
VALUE]]/USDtoGBP</f>
        <v>4.1396441041120902</v>
      </c>
      <c r="P398" s="33">
        <f>quantInv[[#This Row],[UNIT
VALUE]] / CADtoGBP</f>
        <v>5.2989824227078186</v>
      </c>
      <c r="Q398" s="33">
        <f>quantInv[[#This Row],[UNIT
VALUE]]/AUDtoGBP</f>
        <v>5.4238810259357706</v>
      </c>
      <c r="R398">
        <f>IFERROR(VLOOKUP(quantInv[[#This Row],[Assigned Item SKU]],skuQuantity[#All],2,FALSE),0)</f>
        <v>0</v>
      </c>
      <c r="S398" t="str">
        <f>PROPER(quantInv[[#This Row],[Metal]] &amp; " " &amp; quantInv[[#This Row],[Item Type]])</f>
        <v>925 Silver Chain</v>
      </c>
      <c r="T398" s="33">
        <f>quantInv[[#This Row],[Quantity]]*quantInv[[#This Row],[WEIGHT]]</f>
        <v>0</v>
      </c>
      <c r="U398" s="33">
        <f>quantInv[[#This Row],[UNIT
VALUE]]*quantInv[[#This Row],[Quantity]]</f>
        <v>0</v>
      </c>
      <c r="V398" s="33">
        <f>quantInv[[#This Row],[Total Cost GBP]]/EURtoGBP</f>
        <v>0</v>
      </c>
      <c r="W398" s="33">
        <f>quantInv[[#This Row],[Total Cost GBP]]/USDtoGBP</f>
        <v>0</v>
      </c>
      <c r="X398" s="33">
        <f>quantInv[[#This Row],[Total Cost GBP]]/CADtoGBP</f>
        <v>0</v>
      </c>
      <c r="Y398" s="33">
        <f>quantInv[[#This Row],[Quantity]]*quantInv[[#This Row],[UNIT
VALUE AUD]]</f>
        <v>0</v>
      </c>
      <c r="Z398" s="33"/>
    </row>
    <row r="399" spans="1:26" x14ac:dyDescent="0.25">
      <c r="A399" t="s">
        <v>352</v>
      </c>
      <c r="B399" t="s">
        <v>353</v>
      </c>
      <c r="C399" t="s">
        <v>114</v>
      </c>
      <c r="D399" t="s">
        <v>235</v>
      </c>
      <c r="E399">
        <v>3.488</v>
      </c>
      <c r="F399" s="33">
        <v>4.6195000000000004</v>
      </c>
      <c r="G399" s="33" t="s">
        <v>117</v>
      </c>
      <c r="H399" t="s">
        <v>103</v>
      </c>
      <c r="I399" t="str">
        <f>IF(quantInv[[#This Row],[Metal]] = "925 Silver",  "7113.11.00"," 7113.19.00")</f>
        <v>7113.11.00</v>
      </c>
      <c r="J399" t="str">
        <f>IF(quantInv[[#This Row],[Metal]] = "925 Silver", "7113.11.10.00"," 7113.19.10.00")</f>
        <v>7113.11.10.00</v>
      </c>
      <c r="K399" t="str">
        <f>IF(quantInv[[#This Row],[Metal]] = "925 Silver",  "7113.11.00"," 7113.19.00")</f>
        <v>7113.11.00</v>
      </c>
      <c r="L399" t="str">
        <f>IFERROR(VLOOKUP(quantInv[[#This Row],[Description for New Invoice]],Map!$G$12:$H$32,2,FALSE), IF(quantInv[[#This Row],[Metal]] = "925 Silver", "7113.11.10.00", "7113.19.29.00"))</f>
        <v>7113.11.10.00</v>
      </c>
      <c r="M399" t="str">
        <f>quantInv[[#This Row],[ASIN]] &amp; " " &amp; quantInv[[#This Row],[Short Description]]</f>
        <v>B073G8ZG9L Snake Chain</v>
      </c>
      <c r="N399" s="33">
        <f>quantInv[[#This Row],[UNIT
VALUE]] / EURtoGBP</f>
        <v>5.243681644560227</v>
      </c>
      <c r="O399" s="33">
        <f>quantInv[[#This Row],[UNIT
VALUE]]/USDtoGBP</f>
        <v>6.3325670372030611</v>
      </c>
      <c r="P399" s="33">
        <f>quantInv[[#This Row],[UNIT
VALUE]] / CADtoGBP</f>
        <v>8.1060498383001427</v>
      </c>
      <c r="Q399" s="33">
        <f>quantInv[[#This Row],[UNIT
VALUE]]/AUDtoGBP</f>
        <v>8.2971118614843018</v>
      </c>
      <c r="R399">
        <f>IFERROR(VLOOKUP(quantInv[[#This Row],[Assigned Item SKU]],skuQuantity[#All],2,FALSE),0)</f>
        <v>5</v>
      </c>
      <c r="S399" t="str">
        <f>PROPER(quantInv[[#This Row],[Metal]] &amp; " " &amp; quantInv[[#This Row],[Item Type]])</f>
        <v>925 Silver Chain</v>
      </c>
      <c r="T399" s="33">
        <f>quantInv[[#This Row],[Quantity]]*quantInv[[#This Row],[WEIGHT]]</f>
        <v>17.440000000000001</v>
      </c>
      <c r="U399" s="33">
        <f>quantInv[[#This Row],[UNIT
VALUE]]*quantInv[[#This Row],[Quantity]]</f>
        <v>23.097500000000004</v>
      </c>
      <c r="V399" s="33">
        <f>quantInv[[#This Row],[Total Cost GBP]]/EURtoGBP</f>
        <v>26.218408222801138</v>
      </c>
      <c r="W399" s="33">
        <f>quantInv[[#This Row],[Total Cost GBP]]/USDtoGBP</f>
        <v>31.662835186015307</v>
      </c>
      <c r="X399" s="33">
        <f>quantInv[[#This Row],[Total Cost GBP]]/CADtoGBP</f>
        <v>40.530249191500715</v>
      </c>
      <c r="Y399" s="33">
        <f>quantInv[[#This Row],[Quantity]]*quantInv[[#This Row],[UNIT
VALUE AUD]]</f>
        <v>41.485559307421511</v>
      </c>
      <c r="Z399" s="33"/>
    </row>
    <row r="400" spans="1:26" x14ac:dyDescent="0.25">
      <c r="A400" t="s">
        <v>936</v>
      </c>
      <c r="B400" t="s">
        <v>937</v>
      </c>
      <c r="C400" t="s">
        <v>113</v>
      </c>
      <c r="D400" t="s">
        <v>938</v>
      </c>
      <c r="E400">
        <v>2</v>
      </c>
      <c r="F400" s="33">
        <v>2.6652999999999998</v>
      </c>
      <c r="G400" s="33" t="s">
        <v>117</v>
      </c>
      <c r="H400" t="s">
        <v>3303</v>
      </c>
      <c r="I400" t="str">
        <f>IF(quantInv[[#This Row],[Metal]] = "925 Silver",  "7113.11.00"," 7113.19.00")</f>
        <v>7113.11.00</v>
      </c>
      <c r="J400" t="str">
        <f>IF(quantInv[[#This Row],[Metal]] = "925 Silver", "7113.11.10.00"," 7113.19.10.00")</f>
        <v>7113.11.10.00</v>
      </c>
      <c r="K400" t="str">
        <f>IF(quantInv[[#This Row],[Metal]] = "925 Silver",  "7113.11.00"," 7113.19.00")</f>
        <v>7113.11.00</v>
      </c>
      <c r="L400" t="str">
        <f>IFERROR(VLOOKUP(quantInv[[#This Row],[Description for New Invoice]],Map!$G$12:$H$32,2,FALSE), IF(quantInv[[#This Row],[Metal]] = "925 Silver", "7113.11.10.00", "7113.19.29.00"))</f>
        <v>7113.11.50.00</v>
      </c>
      <c r="M400" t="str">
        <f>quantInv[[#This Row],[ASIN]] &amp; " " &amp; quantInv[[#This Row],[Short Description]]</f>
        <v>B06ZZ1T8X7 Pin - Seahorse</v>
      </c>
      <c r="N400" s="33">
        <f>quantInv[[#This Row],[UNIT
VALUE]] / EURtoGBP</f>
        <v>3.0254323384016391</v>
      </c>
      <c r="O400" s="33">
        <f>quantInv[[#This Row],[UNIT
VALUE]]/USDtoGBP</f>
        <v>3.6536834991356888</v>
      </c>
      <c r="P400" s="33">
        <f>quantInv[[#This Row],[UNIT
VALUE]] / CADtoGBP</f>
        <v>4.6769249126575101</v>
      </c>
      <c r="Q400" s="33">
        <f>quantInv[[#This Row],[UNIT
VALUE]]/AUDtoGBP</f>
        <v>4.7871614340110638</v>
      </c>
      <c r="R400">
        <f>IFERROR(VLOOKUP(quantInv[[#This Row],[Assigned Item SKU]],skuQuantity[#All],2,FALSE),0)</f>
        <v>0</v>
      </c>
      <c r="S400" t="str">
        <f>PROPER(quantInv[[#This Row],[Metal]] &amp; " " &amp; quantInv[[#This Row],[Item Type]])</f>
        <v>925 Silver Pin</v>
      </c>
      <c r="T400" s="33">
        <f>quantInv[[#This Row],[Quantity]]*quantInv[[#This Row],[WEIGHT]]</f>
        <v>0</v>
      </c>
      <c r="U400" s="33">
        <f>quantInv[[#This Row],[UNIT
VALUE]]*quantInv[[#This Row],[Quantity]]</f>
        <v>0</v>
      </c>
      <c r="V400" s="33">
        <f>quantInv[[#This Row],[Total Cost GBP]]/EURtoGBP</f>
        <v>0</v>
      </c>
      <c r="W400" s="33">
        <f>quantInv[[#This Row],[Total Cost GBP]]/USDtoGBP</f>
        <v>0</v>
      </c>
      <c r="X400" s="33">
        <f>quantInv[[#This Row],[Total Cost GBP]]/CADtoGBP</f>
        <v>0</v>
      </c>
      <c r="Y400" s="33">
        <f>quantInv[[#This Row],[Quantity]]*quantInv[[#This Row],[UNIT
VALUE AUD]]</f>
        <v>0</v>
      </c>
      <c r="Z400" s="33"/>
    </row>
    <row r="401" spans="1:26" x14ac:dyDescent="0.25">
      <c r="A401" t="s">
        <v>939</v>
      </c>
      <c r="B401" t="s">
        <v>940</v>
      </c>
      <c r="C401" t="s">
        <v>113</v>
      </c>
      <c r="D401" t="s">
        <v>941</v>
      </c>
      <c r="E401">
        <v>2.6</v>
      </c>
      <c r="F401" s="33">
        <v>3.4317000000000002</v>
      </c>
      <c r="G401" s="33" t="s">
        <v>117</v>
      </c>
      <c r="H401" t="s">
        <v>3303</v>
      </c>
      <c r="I401" t="str">
        <f>IF(quantInv[[#This Row],[Metal]] = "925 Silver",  "7113.11.00"," 7113.19.00")</f>
        <v>7113.11.00</v>
      </c>
      <c r="J401" t="str">
        <f>IF(quantInv[[#This Row],[Metal]] = "925 Silver", "7113.11.10.00"," 7113.19.10.00")</f>
        <v>7113.11.10.00</v>
      </c>
      <c r="K401" t="str">
        <f>IF(quantInv[[#This Row],[Metal]] = "925 Silver",  "7113.11.00"," 7113.19.00")</f>
        <v>7113.11.00</v>
      </c>
      <c r="L401" t="str">
        <f>IFERROR(VLOOKUP(quantInv[[#This Row],[Description for New Invoice]],Map!$G$12:$H$32,2,FALSE), IF(quantInv[[#This Row],[Metal]] = "925 Silver", "7113.11.10.00", "7113.19.29.00"))</f>
        <v>7113.11.50.00</v>
      </c>
      <c r="M401" t="str">
        <f>quantInv[[#This Row],[ASIN]] &amp; " " &amp; quantInv[[#This Row],[Short Description]]</f>
        <v>B071CTDQML Pin - Calibri</v>
      </c>
      <c r="N401" s="33">
        <f>quantInv[[#This Row],[UNIT
VALUE]] / EURtoGBP</f>
        <v>3.8953874444501202</v>
      </c>
      <c r="O401" s="33">
        <f>quantInv[[#This Row],[UNIT
VALUE]]/USDtoGBP</f>
        <v>4.7042905729125977</v>
      </c>
      <c r="P401" s="33">
        <f>quantInv[[#This Row],[UNIT
VALUE]] / CADtoGBP</f>
        <v>6.0217623617479381</v>
      </c>
      <c r="Q401" s="33">
        <f>quantInv[[#This Row],[UNIT
VALUE]]/AUDtoGBP</f>
        <v>6.1636971046770599</v>
      </c>
      <c r="R401">
        <f>IFERROR(VLOOKUP(quantInv[[#This Row],[Assigned Item SKU]],skuQuantity[#All],2,FALSE),0)</f>
        <v>0</v>
      </c>
      <c r="S401" t="str">
        <f>PROPER(quantInv[[#This Row],[Metal]] &amp; " " &amp; quantInv[[#This Row],[Item Type]])</f>
        <v>925 Silver Pin</v>
      </c>
      <c r="T401" s="33">
        <f>quantInv[[#This Row],[Quantity]]*quantInv[[#This Row],[WEIGHT]]</f>
        <v>0</v>
      </c>
      <c r="U401" s="33">
        <f>quantInv[[#This Row],[UNIT
VALUE]]*quantInv[[#This Row],[Quantity]]</f>
        <v>0</v>
      </c>
      <c r="V401" s="33">
        <f>quantInv[[#This Row],[Total Cost GBP]]/EURtoGBP</f>
        <v>0</v>
      </c>
      <c r="W401" s="33">
        <f>quantInv[[#This Row],[Total Cost GBP]]/USDtoGBP</f>
        <v>0</v>
      </c>
      <c r="X401" s="33">
        <f>quantInv[[#This Row],[Total Cost GBP]]/CADtoGBP</f>
        <v>0</v>
      </c>
      <c r="Y401" s="33">
        <f>quantInv[[#This Row],[Quantity]]*quantInv[[#This Row],[UNIT
VALUE AUD]]</f>
        <v>0</v>
      </c>
      <c r="Z401" s="33"/>
    </row>
    <row r="402" spans="1:26" x14ac:dyDescent="0.25">
      <c r="A402" t="s">
        <v>942</v>
      </c>
      <c r="B402" t="s">
        <v>943</v>
      </c>
      <c r="C402" t="s">
        <v>113</v>
      </c>
      <c r="D402" t="s">
        <v>944</v>
      </c>
      <c r="E402">
        <v>3</v>
      </c>
      <c r="F402" s="33">
        <v>3.9426999999999999</v>
      </c>
      <c r="G402" s="33" t="s">
        <v>117</v>
      </c>
      <c r="H402" t="s">
        <v>3303</v>
      </c>
      <c r="I402" t="str">
        <f>IF(quantInv[[#This Row],[Metal]] = "925 Silver",  "7113.11.00"," 7113.19.00")</f>
        <v>7113.11.00</v>
      </c>
      <c r="J402" t="str">
        <f>IF(quantInv[[#This Row],[Metal]] = "925 Silver", "7113.11.10.00"," 7113.19.10.00")</f>
        <v>7113.11.10.00</v>
      </c>
      <c r="K402" t="str">
        <f>IF(quantInv[[#This Row],[Metal]] = "925 Silver",  "7113.11.00"," 7113.19.00")</f>
        <v>7113.11.00</v>
      </c>
      <c r="L402" t="str">
        <f>IFERROR(VLOOKUP(quantInv[[#This Row],[Description for New Invoice]],Map!$G$12:$H$32,2,FALSE), IF(quantInv[[#This Row],[Metal]] = "925 Silver", "7113.11.10.00", "7113.19.29.00"))</f>
        <v>7113.11.50.00</v>
      </c>
      <c r="M402" t="str">
        <f>quantInv[[#This Row],[ASIN]] &amp; " " &amp; quantInv[[#This Row],[Short Description]]</f>
        <v>B06ZYQV66Y Pin - Mouse</v>
      </c>
      <c r="N402" s="33">
        <f>quantInv[[#This Row],[UNIT
VALUE]] / EURtoGBP</f>
        <v>4.4754331897407953</v>
      </c>
      <c r="O402" s="33">
        <f>quantInv[[#This Row],[UNIT
VALUE]]/USDtoGBP</f>
        <v>5.404786677688171</v>
      </c>
      <c r="P402" s="33">
        <f>quantInv[[#This Row],[UNIT
VALUE]] / CADtoGBP</f>
        <v>6.9184376442181987</v>
      </c>
      <c r="Q402" s="33">
        <f>quantInv[[#This Row],[UNIT
VALUE]]/AUDtoGBP</f>
        <v>7.0815072921905307</v>
      </c>
      <c r="R402">
        <f>IFERROR(VLOOKUP(quantInv[[#This Row],[Assigned Item SKU]],skuQuantity[#All],2,FALSE),0)</f>
        <v>0</v>
      </c>
      <c r="S402" t="str">
        <f>PROPER(quantInv[[#This Row],[Metal]] &amp; " " &amp; quantInv[[#This Row],[Item Type]])</f>
        <v>925 Silver Pin</v>
      </c>
      <c r="T402" s="33">
        <f>quantInv[[#This Row],[Quantity]]*quantInv[[#This Row],[WEIGHT]]</f>
        <v>0</v>
      </c>
      <c r="U402" s="33">
        <f>quantInv[[#This Row],[UNIT
VALUE]]*quantInv[[#This Row],[Quantity]]</f>
        <v>0</v>
      </c>
      <c r="V402" s="33">
        <f>quantInv[[#This Row],[Total Cost GBP]]/EURtoGBP</f>
        <v>0</v>
      </c>
      <c r="W402" s="33">
        <f>quantInv[[#This Row],[Total Cost GBP]]/USDtoGBP</f>
        <v>0</v>
      </c>
      <c r="X402" s="33">
        <f>quantInv[[#This Row],[Total Cost GBP]]/CADtoGBP</f>
        <v>0</v>
      </c>
      <c r="Y402" s="33">
        <f>quantInv[[#This Row],[Quantity]]*quantInv[[#This Row],[UNIT
VALUE AUD]]</f>
        <v>0</v>
      </c>
      <c r="Z402" s="33"/>
    </row>
    <row r="403" spans="1:26" x14ac:dyDescent="0.25">
      <c r="A403" t="s">
        <v>366</v>
      </c>
      <c r="B403" t="s">
        <v>367</v>
      </c>
      <c r="C403" t="s">
        <v>114</v>
      </c>
      <c r="D403" t="s">
        <v>242</v>
      </c>
      <c r="E403">
        <v>3.1823529411764699</v>
      </c>
      <c r="F403" s="33">
        <v>4.2453000000000003</v>
      </c>
      <c r="G403" s="33" t="s">
        <v>117</v>
      </c>
      <c r="H403" t="s">
        <v>103</v>
      </c>
      <c r="I403" t="str">
        <f>IF(quantInv[[#This Row],[Metal]] = "925 Silver",  "7113.11.00"," 7113.19.00")</f>
        <v>7113.11.00</v>
      </c>
      <c r="J403" t="str">
        <f>IF(quantInv[[#This Row],[Metal]] = "925 Silver", "7113.11.10.00"," 7113.19.10.00")</f>
        <v>7113.11.10.00</v>
      </c>
      <c r="K403" t="str">
        <f>IF(quantInv[[#This Row],[Metal]] = "925 Silver",  "7113.11.00"," 7113.19.00")</f>
        <v>7113.11.00</v>
      </c>
      <c r="L403" t="str">
        <f>IFERROR(VLOOKUP(quantInv[[#This Row],[Description for New Invoice]],Map!$G$12:$H$32,2,FALSE), IF(quantInv[[#This Row],[Metal]] = "925 Silver", "7113.11.10.00", "7113.19.29.00"))</f>
        <v>7113.11.10.00</v>
      </c>
      <c r="M403" t="str">
        <f>quantInv[[#This Row],[ASIN]] &amp; " " &amp; quantInv[[#This Row],[Short Description]]</f>
        <v>B072NBWJ6G Heart Chain</v>
      </c>
      <c r="N403" s="33">
        <f>quantInv[[#This Row],[UNIT
VALUE]] / EURtoGBP</f>
        <v>4.8189201614139048</v>
      </c>
      <c r="O403" s="33">
        <f>quantInv[[#This Row],[UNIT
VALUE]]/USDtoGBP</f>
        <v>5.8196010050953904</v>
      </c>
      <c r="P403" s="33">
        <f>quantInv[[#This Row],[UNIT
VALUE]] / CADtoGBP</f>
        <v>7.4494238291017627</v>
      </c>
      <c r="Q403" s="33">
        <f>quantInv[[#This Row],[UNIT
VALUE]]/AUDtoGBP</f>
        <v>7.6250089805302101</v>
      </c>
      <c r="R403">
        <f>IFERROR(VLOOKUP(quantInv[[#This Row],[Assigned Item SKU]],skuQuantity[#All],2,FALSE),0)</f>
        <v>10</v>
      </c>
      <c r="S403" t="str">
        <f>PROPER(quantInv[[#This Row],[Metal]] &amp; " " &amp; quantInv[[#This Row],[Item Type]])</f>
        <v>925 Silver Chain</v>
      </c>
      <c r="T403" s="33">
        <f>quantInv[[#This Row],[Quantity]]*quantInv[[#This Row],[WEIGHT]]</f>
        <v>31.823529411764699</v>
      </c>
      <c r="U403" s="33">
        <f>quantInv[[#This Row],[UNIT
VALUE]]*quantInv[[#This Row],[Quantity]]</f>
        <v>42.453000000000003</v>
      </c>
      <c r="V403" s="33">
        <f>quantInv[[#This Row],[Total Cost GBP]]/EURtoGBP</f>
        <v>48.189201614139044</v>
      </c>
      <c r="W403" s="33">
        <f>quantInv[[#This Row],[Total Cost GBP]]/USDtoGBP</f>
        <v>58.196010050953902</v>
      </c>
      <c r="X403" s="33">
        <f>quantInv[[#This Row],[Total Cost GBP]]/CADtoGBP</f>
        <v>74.494238291017638</v>
      </c>
      <c r="Y403" s="33">
        <f>quantInv[[#This Row],[Quantity]]*quantInv[[#This Row],[UNIT
VALUE AUD]]</f>
        <v>76.250089805302096</v>
      </c>
      <c r="Z403" s="33"/>
    </row>
    <row r="404" spans="1:26" x14ac:dyDescent="0.25">
      <c r="A404" t="s">
        <v>947</v>
      </c>
      <c r="B404" t="s">
        <v>948</v>
      </c>
      <c r="C404" t="s">
        <v>113</v>
      </c>
      <c r="D404" t="s">
        <v>944</v>
      </c>
      <c r="E404">
        <v>3</v>
      </c>
      <c r="F404" s="33">
        <v>3.9426999999999999</v>
      </c>
      <c r="G404" s="33" t="s">
        <v>117</v>
      </c>
      <c r="H404" t="s">
        <v>3303</v>
      </c>
      <c r="I404" t="str">
        <f>IF(quantInv[[#This Row],[Metal]] = "925 Silver",  "7113.11.00"," 7113.19.00")</f>
        <v>7113.11.00</v>
      </c>
      <c r="J404" t="str">
        <f>IF(quantInv[[#This Row],[Metal]] = "925 Silver", "7113.11.10.00"," 7113.19.10.00")</f>
        <v>7113.11.10.00</v>
      </c>
      <c r="K404" t="str">
        <f>IF(quantInv[[#This Row],[Metal]] = "925 Silver",  "7113.11.00"," 7113.19.00")</f>
        <v>7113.11.00</v>
      </c>
      <c r="L404" t="str">
        <f>IFERROR(VLOOKUP(quantInv[[#This Row],[Description for New Invoice]],Map!$G$12:$H$32,2,FALSE), IF(quantInv[[#This Row],[Metal]] = "925 Silver", "7113.11.10.00", "7113.19.29.00"))</f>
        <v>7113.11.50.00</v>
      </c>
      <c r="M404" t="str">
        <f>quantInv[[#This Row],[ASIN]] &amp; " " &amp; quantInv[[#This Row],[Short Description]]</f>
        <v>B06ZYQV3C8 Pin - Mouse</v>
      </c>
      <c r="N404" s="33">
        <f>quantInv[[#This Row],[UNIT
VALUE]] / EURtoGBP</f>
        <v>4.4754331897407953</v>
      </c>
      <c r="O404" s="33">
        <f>quantInv[[#This Row],[UNIT
VALUE]]/USDtoGBP</f>
        <v>5.404786677688171</v>
      </c>
      <c r="P404" s="33">
        <f>quantInv[[#This Row],[UNIT
VALUE]] / CADtoGBP</f>
        <v>6.9184376442181987</v>
      </c>
      <c r="Q404" s="33">
        <f>quantInv[[#This Row],[UNIT
VALUE]]/AUDtoGBP</f>
        <v>7.0815072921905307</v>
      </c>
      <c r="R404">
        <f>IFERROR(VLOOKUP(quantInv[[#This Row],[Assigned Item SKU]],skuQuantity[#All],2,FALSE),0)</f>
        <v>0</v>
      </c>
      <c r="S404" t="str">
        <f>PROPER(quantInv[[#This Row],[Metal]] &amp; " " &amp; quantInv[[#This Row],[Item Type]])</f>
        <v>925 Silver Pin</v>
      </c>
      <c r="T404" s="33">
        <f>quantInv[[#This Row],[Quantity]]*quantInv[[#This Row],[WEIGHT]]</f>
        <v>0</v>
      </c>
      <c r="U404" s="33">
        <f>quantInv[[#This Row],[UNIT
VALUE]]*quantInv[[#This Row],[Quantity]]</f>
        <v>0</v>
      </c>
      <c r="V404" s="33">
        <f>quantInv[[#This Row],[Total Cost GBP]]/EURtoGBP</f>
        <v>0</v>
      </c>
      <c r="W404" s="33">
        <f>quantInv[[#This Row],[Total Cost GBP]]/USDtoGBP</f>
        <v>0</v>
      </c>
      <c r="X404" s="33">
        <f>quantInv[[#This Row],[Total Cost GBP]]/CADtoGBP</f>
        <v>0</v>
      </c>
      <c r="Y404" s="33">
        <f>quantInv[[#This Row],[Quantity]]*quantInv[[#This Row],[UNIT
VALUE AUD]]</f>
        <v>0</v>
      </c>
      <c r="Z404" s="33"/>
    </row>
    <row r="405" spans="1:26" x14ac:dyDescent="0.25">
      <c r="A405" t="s">
        <v>98</v>
      </c>
      <c r="B405" t="s">
        <v>387</v>
      </c>
      <c r="C405" t="s">
        <v>114</v>
      </c>
      <c r="D405" t="s">
        <v>274</v>
      </c>
      <c r="E405">
        <v>2.77</v>
      </c>
      <c r="F405" s="33">
        <v>4.6432000000000002</v>
      </c>
      <c r="G405" s="33" t="s">
        <v>117</v>
      </c>
      <c r="H405" t="s">
        <v>1426</v>
      </c>
      <c r="I405" t="str">
        <f>IF(quantInv[[#This Row],[Metal]] = "925 Silver",  "7113.11.00"," 7113.19.00")</f>
        <v>7113.11.00</v>
      </c>
      <c r="J405" t="str">
        <f>IF(quantInv[[#This Row],[Metal]] = "925 Silver", "7113.11.10.00"," 7113.19.10.00")</f>
        <v>7113.11.10.00</v>
      </c>
      <c r="K405" t="str">
        <f>IF(quantInv[[#This Row],[Metal]] = "925 Silver",  "7113.11.00"," 7113.19.00")</f>
        <v>7113.11.00</v>
      </c>
      <c r="L405" t="str">
        <f>IFERROR(VLOOKUP(quantInv[[#This Row],[Description for New Invoice]],Map!$G$12:$H$32,2,FALSE), IF(quantInv[[#This Row],[Metal]] = "925 Silver", "7113.11.10.00", "7113.19.29.00"))</f>
        <v>7113.11.10.00</v>
      </c>
      <c r="M405" t="str">
        <f>quantInv[[#This Row],[ASIN]] &amp; " " &amp; quantInv[[#This Row],[Short Description]]</f>
        <v>B077MBFSXN Singapore with Beads Chain</v>
      </c>
      <c r="N405" s="33">
        <f>quantInv[[#This Row],[UNIT
VALUE]] / EURtoGBP</f>
        <v>5.2705839619054107</v>
      </c>
      <c r="O405" s="33">
        <f>quantInv[[#This Row],[UNIT
VALUE]]/USDtoGBP</f>
        <v>6.3650557997924562</v>
      </c>
      <c r="P405" s="33">
        <f>quantInv[[#This Row],[UNIT
VALUE]] / CADtoGBP</f>
        <v>8.1476373220468066</v>
      </c>
      <c r="Q405" s="33">
        <f>quantInv[[#This Row],[UNIT
VALUE]]/AUDtoGBP</f>
        <v>8.3396795746820889</v>
      </c>
      <c r="R405">
        <f>IFERROR(VLOOKUP(quantInv[[#This Row],[Assigned Item SKU]],skuQuantity[#All],2,FALSE),0)</f>
        <v>10</v>
      </c>
      <c r="S405" t="str">
        <f>PROPER(quantInv[[#This Row],[Metal]] &amp; " " &amp; quantInv[[#This Row],[Item Type]])</f>
        <v>925 Silver Anklet</v>
      </c>
      <c r="T405" s="33">
        <f>quantInv[[#This Row],[Quantity]]*quantInv[[#This Row],[WEIGHT]]</f>
        <v>27.7</v>
      </c>
      <c r="U405" s="33">
        <f>quantInv[[#This Row],[UNIT
VALUE]]*quantInv[[#This Row],[Quantity]]</f>
        <v>46.432000000000002</v>
      </c>
      <c r="V405" s="33">
        <f>quantInv[[#This Row],[Total Cost GBP]]/EURtoGBP</f>
        <v>52.70583961905411</v>
      </c>
      <c r="W405" s="33">
        <f>quantInv[[#This Row],[Total Cost GBP]]/USDtoGBP</f>
        <v>63.650557997924558</v>
      </c>
      <c r="X405" s="33">
        <f>quantInv[[#This Row],[Total Cost GBP]]/CADtoGBP</f>
        <v>81.476373220468062</v>
      </c>
      <c r="Y405" s="33">
        <f>quantInv[[#This Row],[Quantity]]*quantInv[[#This Row],[UNIT
VALUE AUD]]</f>
        <v>83.396795746820885</v>
      </c>
      <c r="Z405" s="33"/>
    </row>
    <row r="406" spans="1:26" x14ac:dyDescent="0.25">
      <c r="A406" t="s">
        <v>951</v>
      </c>
      <c r="B406" t="s">
        <v>952</v>
      </c>
      <c r="C406" t="s">
        <v>113</v>
      </c>
      <c r="D406" t="s">
        <v>2914</v>
      </c>
      <c r="E406">
        <v>2.5</v>
      </c>
      <c r="F406" s="33">
        <v>3.3039999999999998</v>
      </c>
      <c r="G406" s="33" t="s">
        <v>117</v>
      </c>
      <c r="H406" t="s">
        <v>1310</v>
      </c>
      <c r="I406" t="str">
        <f>IF(quantInv[[#This Row],[Metal]] = "925 Silver",  "7113.11.00"," 7113.19.00")</f>
        <v>7113.11.00</v>
      </c>
      <c r="J406" t="str">
        <f>IF(quantInv[[#This Row],[Metal]] = "925 Silver", "7113.11.10.00"," 7113.19.10.00")</f>
        <v>7113.11.10.00</v>
      </c>
      <c r="K406" t="str">
        <f>IF(quantInv[[#This Row],[Metal]] = "925 Silver",  "7113.11.00"," 7113.19.00")</f>
        <v>7113.11.00</v>
      </c>
      <c r="L406" t="str">
        <f>IFERROR(VLOOKUP(quantInv[[#This Row],[Description for New Invoice]],Map!$G$12:$H$32,2,FALSE), IF(quantInv[[#This Row],[Metal]] = "925 Silver", "7113.11.10.00", "7113.19.29.00"))</f>
        <v>7113.11.50.00</v>
      </c>
      <c r="M406" t="str">
        <f>quantInv[[#This Row],[ASIN]] &amp; " " &amp; quantInv[[#This Row],[Short Description]]</f>
        <v>B071CHQJ52 Earrings - multicolour 3 stones  stud</v>
      </c>
      <c r="N406" s="33">
        <f>quantInv[[#This Row],[UNIT
VALUE]] / EURtoGBP</f>
        <v>3.750432764071217</v>
      </c>
      <c r="O406" s="33">
        <f>quantInv[[#This Row],[UNIT
VALUE]]/USDtoGBP</f>
        <v>4.5292350884119301</v>
      </c>
      <c r="P406" s="33">
        <f>quantInv[[#This Row],[UNIT
VALUE]] / CADtoGBP</f>
        <v>5.797681278437854</v>
      </c>
      <c r="Q406" s="33">
        <f>quantInv[[#This Row],[UNIT
VALUE]]/AUDtoGBP</f>
        <v>5.9343343631007972</v>
      </c>
      <c r="R406">
        <f>IFERROR(VLOOKUP(quantInv[[#This Row],[Assigned Item SKU]],skuQuantity[#All],2,FALSE),0)</f>
        <v>0</v>
      </c>
      <c r="S406" t="str">
        <f>PROPER(quantInv[[#This Row],[Metal]] &amp; " " &amp; quantInv[[#This Row],[Item Type]])</f>
        <v>925 Silver Earrings</v>
      </c>
      <c r="T406" s="33">
        <f>quantInv[[#This Row],[Quantity]]*quantInv[[#This Row],[WEIGHT]]</f>
        <v>0</v>
      </c>
      <c r="U406" s="33">
        <f>quantInv[[#This Row],[UNIT
VALUE]]*quantInv[[#This Row],[Quantity]]</f>
        <v>0</v>
      </c>
      <c r="V406" s="33">
        <f>quantInv[[#This Row],[Total Cost GBP]]/EURtoGBP</f>
        <v>0</v>
      </c>
      <c r="W406" s="33">
        <f>quantInv[[#This Row],[Total Cost GBP]]/USDtoGBP</f>
        <v>0</v>
      </c>
      <c r="X406" s="33">
        <f>quantInv[[#This Row],[Total Cost GBP]]/CADtoGBP</f>
        <v>0</v>
      </c>
      <c r="Y406" s="33">
        <f>quantInv[[#This Row],[Quantity]]*quantInv[[#This Row],[UNIT
VALUE AUD]]</f>
        <v>0</v>
      </c>
      <c r="Z406" s="33"/>
    </row>
    <row r="407" spans="1:26" x14ac:dyDescent="0.25">
      <c r="A407" t="s">
        <v>453</v>
      </c>
      <c r="B407" t="s">
        <v>454</v>
      </c>
      <c r="C407" t="s">
        <v>113</v>
      </c>
      <c r="D407" t="s">
        <v>189</v>
      </c>
      <c r="E407">
        <v>4.3</v>
      </c>
      <c r="F407" s="33">
        <v>4.4016999999999999</v>
      </c>
      <c r="G407" s="33" t="s">
        <v>117</v>
      </c>
      <c r="H407" t="s">
        <v>103</v>
      </c>
      <c r="I407" t="str">
        <f>IF(quantInv[[#This Row],[Metal]] = "925 Silver",  "7113.11.00"," 7113.19.00")</f>
        <v>7113.11.00</v>
      </c>
      <c r="J407" t="str">
        <f>IF(quantInv[[#This Row],[Metal]] = "925 Silver", "7113.11.10.00"," 7113.19.10.00")</f>
        <v>7113.11.10.00</v>
      </c>
      <c r="K407" t="str">
        <f>IF(quantInv[[#This Row],[Metal]] = "925 Silver",  "7113.11.00"," 7113.19.00")</f>
        <v>7113.11.00</v>
      </c>
      <c r="L407" t="str">
        <f>IFERROR(VLOOKUP(quantInv[[#This Row],[Description for New Invoice]],Map!$G$12:$H$32,2,FALSE), IF(quantInv[[#This Row],[Metal]] = "925 Silver", "7113.11.10.00", "7113.19.29.00"))</f>
        <v>7113.11.10.00</v>
      </c>
      <c r="M407" t="str">
        <f>quantInv[[#This Row],[ASIN]] &amp; " " &amp; quantInv[[#This Row],[Short Description]]</f>
        <v>B00JCW2PM8 Singapore Chain</v>
      </c>
      <c r="N407" s="33">
        <f>quantInv[[#This Row],[UNIT
VALUE]] / EURtoGBP</f>
        <v>4.9964527535146122</v>
      </c>
      <c r="O407" s="33">
        <f>quantInv[[#This Row],[UNIT
VALUE]]/USDtoGBP</f>
        <v>6.033999421508109</v>
      </c>
      <c r="P407" s="33">
        <f>quantInv[[#This Row],[UNIT
VALUE]] / CADtoGBP</f>
        <v>7.7238661269067501</v>
      </c>
      <c r="Q407" s="33">
        <f>quantInv[[#This Row],[UNIT
VALUE]]/AUDtoGBP</f>
        <v>7.9059199655147632</v>
      </c>
      <c r="R407">
        <f>IFERROR(VLOOKUP(quantInv[[#This Row],[Assigned Item SKU]],skuQuantity[#All],2,FALSE),0)</f>
        <v>5</v>
      </c>
      <c r="S407" t="str">
        <f>PROPER(quantInv[[#This Row],[Metal]] &amp; " " &amp; quantInv[[#This Row],[Item Type]])</f>
        <v>925 Silver Chain</v>
      </c>
      <c r="T407" s="33">
        <f>quantInv[[#This Row],[Quantity]]*quantInv[[#This Row],[WEIGHT]]</f>
        <v>21.5</v>
      </c>
      <c r="U407" s="33">
        <f>quantInv[[#This Row],[UNIT
VALUE]]*quantInv[[#This Row],[Quantity]]</f>
        <v>22.008499999999998</v>
      </c>
      <c r="V407" s="33">
        <f>quantInv[[#This Row],[Total Cost GBP]]/EURtoGBP</f>
        <v>24.982263767573055</v>
      </c>
      <c r="W407" s="33">
        <f>quantInv[[#This Row],[Total Cost GBP]]/USDtoGBP</f>
        <v>30.169997107540542</v>
      </c>
      <c r="X407" s="33">
        <f>quantInv[[#This Row],[Total Cost GBP]]/CADtoGBP</f>
        <v>38.619330634533746</v>
      </c>
      <c r="Y407" s="33">
        <f>quantInv[[#This Row],[Quantity]]*quantInv[[#This Row],[UNIT
VALUE AUD]]</f>
        <v>39.529599827573819</v>
      </c>
      <c r="Z407" s="33"/>
    </row>
    <row r="408" spans="1:26" x14ac:dyDescent="0.25">
      <c r="A408" t="s">
        <v>955</v>
      </c>
      <c r="B408" t="s">
        <v>956</v>
      </c>
      <c r="C408" t="s">
        <v>113</v>
      </c>
      <c r="D408" t="s">
        <v>2915</v>
      </c>
      <c r="E408">
        <v>3.8</v>
      </c>
      <c r="F408" s="33">
        <v>4.9645999999999999</v>
      </c>
      <c r="G408" s="33" t="s">
        <v>117</v>
      </c>
      <c r="H408" t="s">
        <v>1310</v>
      </c>
      <c r="I408" t="str">
        <f>IF(quantInv[[#This Row],[Metal]] = "925 Silver",  "7113.11.00"," 7113.19.00")</f>
        <v>7113.11.00</v>
      </c>
      <c r="J408" t="str">
        <f>IF(quantInv[[#This Row],[Metal]] = "925 Silver", "7113.11.10.00"," 7113.19.10.00")</f>
        <v>7113.11.10.00</v>
      </c>
      <c r="K408" t="str">
        <f>IF(quantInv[[#This Row],[Metal]] = "925 Silver",  "7113.11.00"," 7113.19.00")</f>
        <v>7113.11.00</v>
      </c>
      <c r="L408" t="str">
        <f>IFERROR(VLOOKUP(quantInv[[#This Row],[Description for New Invoice]],Map!$G$12:$H$32,2,FALSE), IF(quantInv[[#This Row],[Metal]] = "925 Silver", "7113.11.10.00", "7113.19.29.00"))</f>
        <v>7113.11.50.00</v>
      </c>
      <c r="M408" t="str">
        <f>quantInv[[#This Row],[ASIN]] &amp; " " &amp; quantInv[[#This Row],[Short Description]]</f>
        <v>B06ZY4LWND Earrings - stud  drop  perfect ball  stylish</v>
      </c>
      <c r="N408" s="33">
        <f>quantInv[[#This Row],[UNIT
VALUE]] / EURtoGBP</f>
        <v>5.6354111684346142</v>
      </c>
      <c r="O408" s="33">
        <f>quantInv[[#This Row],[UNIT
VALUE]]/USDtoGBP</f>
        <v>6.8056418038528657</v>
      </c>
      <c r="P408" s="33">
        <f>quantInv[[#This Row],[UNIT
VALUE]] / CADtoGBP</f>
        <v>8.7116127345437562</v>
      </c>
      <c r="Q408" s="33">
        <f>quantInv[[#This Row],[UNIT
VALUE]]/AUDtoGBP</f>
        <v>8.9169480566132613</v>
      </c>
      <c r="R408">
        <f>IFERROR(VLOOKUP(quantInv[[#This Row],[Assigned Item SKU]],skuQuantity[#All],2,FALSE),0)</f>
        <v>0</v>
      </c>
      <c r="S408" t="str">
        <f>PROPER(quantInv[[#This Row],[Metal]] &amp; " " &amp; quantInv[[#This Row],[Item Type]])</f>
        <v>925 Silver Earrings</v>
      </c>
      <c r="T408" s="33">
        <f>quantInv[[#This Row],[Quantity]]*quantInv[[#This Row],[WEIGHT]]</f>
        <v>0</v>
      </c>
      <c r="U408" s="33">
        <f>quantInv[[#This Row],[UNIT
VALUE]]*quantInv[[#This Row],[Quantity]]</f>
        <v>0</v>
      </c>
      <c r="V408" s="33">
        <f>quantInv[[#This Row],[Total Cost GBP]]/EURtoGBP</f>
        <v>0</v>
      </c>
      <c r="W408" s="33">
        <f>quantInv[[#This Row],[Total Cost GBP]]/USDtoGBP</f>
        <v>0</v>
      </c>
      <c r="X408" s="33">
        <f>quantInv[[#This Row],[Total Cost GBP]]/CADtoGBP</f>
        <v>0</v>
      </c>
      <c r="Y408" s="33">
        <f>quantInv[[#This Row],[Quantity]]*quantInv[[#This Row],[UNIT
VALUE AUD]]</f>
        <v>0</v>
      </c>
      <c r="Z408" s="33"/>
    </row>
    <row r="409" spans="1:26" x14ac:dyDescent="0.25">
      <c r="A409" t="s">
        <v>957</v>
      </c>
      <c r="B409" t="s">
        <v>958</v>
      </c>
      <c r="C409" t="s">
        <v>113</v>
      </c>
      <c r="D409" t="s">
        <v>959</v>
      </c>
      <c r="E409">
        <v>2</v>
      </c>
      <c r="F409" s="33">
        <v>2.6652999999999998</v>
      </c>
      <c r="G409" s="33" t="s">
        <v>117</v>
      </c>
      <c r="H409" t="s">
        <v>1310</v>
      </c>
      <c r="I409" t="str">
        <f>IF(quantInv[[#This Row],[Metal]] = "925 Silver",  "7113.11.00"," 7113.19.00")</f>
        <v>7113.11.00</v>
      </c>
      <c r="J409" t="str">
        <f>IF(quantInv[[#This Row],[Metal]] = "925 Silver", "7113.11.10.00"," 7113.19.10.00")</f>
        <v>7113.11.10.00</v>
      </c>
      <c r="K409" t="str">
        <f>IF(quantInv[[#This Row],[Metal]] = "925 Silver",  "7113.11.00"," 7113.19.00")</f>
        <v>7113.11.00</v>
      </c>
      <c r="L409" t="str">
        <f>IFERROR(VLOOKUP(quantInv[[#This Row],[Description for New Invoice]],Map!$G$12:$H$32,2,FALSE), IF(quantInv[[#This Row],[Metal]] = "925 Silver", "7113.11.10.00", "7113.19.29.00"))</f>
        <v>7113.11.50.00</v>
      </c>
      <c r="M409" t="str">
        <f>quantInv[[#This Row],[ASIN]] &amp; " " &amp; quantInv[[#This Row],[Short Description]]</f>
        <v>B06ZZV482J Earrings - Sun - 2</v>
      </c>
      <c r="N409" s="33">
        <f>quantInv[[#This Row],[UNIT
VALUE]] / EURtoGBP</f>
        <v>3.0254323384016391</v>
      </c>
      <c r="O409" s="33">
        <f>quantInv[[#This Row],[UNIT
VALUE]]/USDtoGBP</f>
        <v>3.6536834991356888</v>
      </c>
      <c r="P409" s="33">
        <f>quantInv[[#This Row],[UNIT
VALUE]] / CADtoGBP</f>
        <v>4.6769249126575101</v>
      </c>
      <c r="Q409" s="33">
        <f>quantInv[[#This Row],[UNIT
VALUE]]/AUDtoGBP</f>
        <v>4.7871614340110638</v>
      </c>
      <c r="R409">
        <f>IFERROR(VLOOKUP(quantInv[[#This Row],[Assigned Item SKU]],skuQuantity[#All],2,FALSE),0)</f>
        <v>0</v>
      </c>
      <c r="S409" t="str">
        <f>PROPER(quantInv[[#This Row],[Metal]] &amp; " " &amp; quantInv[[#This Row],[Item Type]])</f>
        <v>925 Silver Earrings</v>
      </c>
      <c r="T409" s="33">
        <f>quantInv[[#This Row],[Quantity]]*quantInv[[#This Row],[WEIGHT]]</f>
        <v>0</v>
      </c>
      <c r="U409" s="33">
        <f>quantInv[[#This Row],[UNIT
VALUE]]*quantInv[[#This Row],[Quantity]]</f>
        <v>0</v>
      </c>
      <c r="V409" s="33">
        <f>quantInv[[#This Row],[Total Cost GBP]]/EURtoGBP</f>
        <v>0</v>
      </c>
      <c r="W409" s="33">
        <f>quantInv[[#This Row],[Total Cost GBP]]/USDtoGBP</f>
        <v>0</v>
      </c>
      <c r="X409" s="33">
        <f>quantInv[[#This Row],[Total Cost GBP]]/CADtoGBP</f>
        <v>0</v>
      </c>
      <c r="Y409" s="33">
        <f>quantInv[[#This Row],[Quantity]]*quantInv[[#This Row],[UNIT
VALUE AUD]]</f>
        <v>0</v>
      </c>
      <c r="Z409" s="33"/>
    </row>
    <row r="410" spans="1:26" x14ac:dyDescent="0.25">
      <c r="A410" t="s">
        <v>960</v>
      </c>
      <c r="B410" t="s">
        <v>961</v>
      </c>
      <c r="C410" t="s">
        <v>113</v>
      </c>
      <c r="D410" t="s">
        <v>959</v>
      </c>
      <c r="E410">
        <v>2</v>
      </c>
      <c r="F410" s="33">
        <v>2.6652999999999998</v>
      </c>
      <c r="G410" s="33" t="s">
        <v>117</v>
      </c>
      <c r="H410" t="s">
        <v>1310</v>
      </c>
      <c r="I410" t="str">
        <f>IF(quantInv[[#This Row],[Metal]] = "925 Silver",  "7113.11.00"," 7113.19.00")</f>
        <v>7113.11.00</v>
      </c>
      <c r="J410" t="str">
        <f>IF(quantInv[[#This Row],[Metal]] = "925 Silver", "7113.11.10.00"," 7113.19.10.00")</f>
        <v>7113.11.10.00</v>
      </c>
      <c r="K410" t="str">
        <f>IF(quantInv[[#This Row],[Metal]] = "925 Silver",  "7113.11.00"," 7113.19.00")</f>
        <v>7113.11.00</v>
      </c>
      <c r="L410" t="str">
        <f>IFERROR(VLOOKUP(quantInv[[#This Row],[Description for New Invoice]],Map!$G$12:$H$32,2,FALSE), IF(quantInv[[#This Row],[Metal]] = "925 Silver", "7113.11.10.00", "7113.19.29.00"))</f>
        <v>7113.11.50.00</v>
      </c>
      <c r="M410" t="str">
        <f>quantInv[[#This Row],[ASIN]] &amp; " " &amp; quantInv[[#This Row],[Short Description]]</f>
        <v>B071DC9XF7 Earrings - Sun - 2</v>
      </c>
      <c r="N410" s="33">
        <f>quantInv[[#This Row],[UNIT
VALUE]] / EURtoGBP</f>
        <v>3.0254323384016391</v>
      </c>
      <c r="O410" s="33">
        <f>quantInv[[#This Row],[UNIT
VALUE]]/USDtoGBP</f>
        <v>3.6536834991356888</v>
      </c>
      <c r="P410" s="33">
        <f>quantInv[[#This Row],[UNIT
VALUE]] / CADtoGBP</f>
        <v>4.6769249126575101</v>
      </c>
      <c r="Q410" s="33">
        <f>quantInv[[#This Row],[UNIT
VALUE]]/AUDtoGBP</f>
        <v>4.7871614340110638</v>
      </c>
      <c r="R410">
        <f>IFERROR(VLOOKUP(quantInv[[#This Row],[Assigned Item SKU]],skuQuantity[#All],2,FALSE),0)</f>
        <v>0</v>
      </c>
      <c r="S410" t="str">
        <f>PROPER(quantInv[[#This Row],[Metal]] &amp; " " &amp; quantInv[[#This Row],[Item Type]])</f>
        <v>925 Silver Earrings</v>
      </c>
      <c r="T410" s="33">
        <f>quantInv[[#This Row],[Quantity]]*quantInv[[#This Row],[WEIGHT]]</f>
        <v>0</v>
      </c>
      <c r="U410" s="33">
        <f>quantInv[[#This Row],[UNIT
VALUE]]*quantInv[[#This Row],[Quantity]]</f>
        <v>0</v>
      </c>
      <c r="V410" s="33">
        <f>quantInv[[#This Row],[Total Cost GBP]]/EURtoGBP</f>
        <v>0</v>
      </c>
      <c r="W410" s="33">
        <f>quantInv[[#This Row],[Total Cost GBP]]/USDtoGBP</f>
        <v>0</v>
      </c>
      <c r="X410" s="33">
        <f>quantInv[[#This Row],[Total Cost GBP]]/CADtoGBP</f>
        <v>0</v>
      </c>
      <c r="Y410" s="33">
        <f>quantInv[[#This Row],[Quantity]]*quantInv[[#This Row],[UNIT
VALUE AUD]]</f>
        <v>0</v>
      </c>
      <c r="Z410" s="33"/>
    </row>
    <row r="411" spans="1:26" x14ac:dyDescent="0.25">
      <c r="A411" t="s">
        <v>962</v>
      </c>
      <c r="B411" t="s">
        <v>963</v>
      </c>
      <c r="C411" t="s">
        <v>113</v>
      </c>
      <c r="D411" t="s">
        <v>959</v>
      </c>
      <c r="E411">
        <v>2</v>
      </c>
      <c r="F411" s="33">
        <v>2.6652999999999998</v>
      </c>
      <c r="G411" s="33" t="s">
        <v>117</v>
      </c>
      <c r="H411" t="s">
        <v>1310</v>
      </c>
      <c r="I411" t="str">
        <f>IF(quantInv[[#This Row],[Metal]] = "925 Silver",  "7113.11.00"," 7113.19.00")</f>
        <v>7113.11.00</v>
      </c>
      <c r="J411" t="str">
        <f>IF(quantInv[[#This Row],[Metal]] = "925 Silver", "7113.11.10.00"," 7113.19.10.00")</f>
        <v>7113.11.10.00</v>
      </c>
      <c r="K411" t="str">
        <f>IF(quantInv[[#This Row],[Metal]] = "925 Silver",  "7113.11.00"," 7113.19.00")</f>
        <v>7113.11.00</v>
      </c>
      <c r="L411" t="str">
        <f>IFERROR(VLOOKUP(quantInv[[#This Row],[Description for New Invoice]],Map!$G$12:$H$32,2,FALSE), IF(quantInv[[#This Row],[Metal]] = "925 Silver", "7113.11.10.00", "7113.19.29.00"))</f>
        <v>7113.11.50.00</v>
      </c>
      <c r="M411" t="str">
        <f>quantInv[[#This Row],[ASIN]] &amp; " " &amp; quantInv[[#This Row],[Short Description]]</f>
        <v>B06ZYPQ75H Earrings - Sun - 2</v>
      </c>
      <c r="N411" s="33">
        <f>quantInv[[#This Row],[UNIT
VALUE]] / EURtoGBP</f>
        <v>3.0254323384016391</v>
      </c>
      <c r="O411" s="33">
        <f>quantInv[[#This Row],[UNIT
VALUE]]/USDtoGBP</f>
        <v>3.6536834991356888</v>
      </c>
      <c r="P411" s="33">
        <f>quantInv[[#This Row],[UNIT
VALUE]] / CADtoGBP</f>
        <v>4.6769249126575101</v>
      </c>
      <c r="Q411" s="33">
        <f>quantInv[[#This Row],[UNIT
VALUE]]/AUDtoGBP</f>
        <v>4.7871614340110638</v>
      </c>
      <c r="R411">
        <f>IFERROR(VLOOKUP(quantInv[[#This Row],[Assigned Item SKU]],skuQuantity[#All],2,FALSE),0)</f>
        <v>0</v>
      </c>
      <c r="S411" t="str">
        <f>PROPER(quantInv[[#This Row],[Metal]] &amp; " " &amp; quantInv[[#This Row],[Item Type]])</f>
        <v>925 Silver Earrings</v>
      </c>
      <c r="T411" s="33">
        <f>quantInv[[#This Row],[Quantity]]*quantInv[[#This Row],[WEIGHT]]</f>
        <v>0</v>
      </c>
      <c r="U411" s="33">
        <f>quantInv[[#This Row],[UNIT
VALUE]]*quantInv[[#This Row],[Quantity]]</f>
        <v>0</v>
      </c>
      <c r="V411" s="33">
        <f>quantInv[[#This Row],[Total Cost GBP]]/EURtoGBP</f>
        <v>0</v>
      </c>
      <c r="W411" s="33">
        <f>quantInv[[#This Row],[Total Cost GBP]]/USDtoGBP</f>
        <v>0</v>
      </c>
      <c r="X411" s="33">
        <f>quantInv[[#This Row],[Total Cost GBP]]/CADtoGBP</f>
        <v>0</v>
      </c>
      <c r="Y411" s="33">
        <f>quantInv[[#This Row],[Quantity]]*quantInv[[#This Row],[UNIT
VALUE AUD]]</f>
        <v>0</v>
      </c>
      <c r="Z411" s="33"/>
    </row>
    <row r="412" spans="1:26" x14ac:dyDescent="0.25">
      <c r="A412" t="s">
        <v>964</v>
      </c>
      <c r="B412" t="s">
        <v>965</v>
      </c>
      <c r="C412" t="s">
        <v>113</v>
      </c>
      <c r="D412" t="s">
        <v>959</v>
      </c>
      <c r="E412">
        <v>2</v>
      </c>
      <c r="F412" s="33">
        <v>2.6652999999999998</v>
      </c>
      <c r="G412" s="33" t="s">
        <v>117</v>
      </c>
      <c r="H412" t="s">
        <v>1310</v>
      </c>
      <c r="I412" t="str">
        <f>IF(quantInv[[#This Row],[Metal]] = "925 Silver",  "7113.11.00"," 7113.19.00")</f>
        <v>7113.11.00</v>
      </c>
      <c r="J412" t="str">
        <f>IF(quantInv[[#This Row],[Metal]] = "925 Silver", "7113.11.10.00"," 7113.19.10.00")</f>
        <v>7113.11.10.00</v>
      </c>
      <c r="K412" t="str">
        <f>IF(quantInv[[#This Row],[Metal]] = "925 Silver",  "7113.11.00"," 7113.19.00")</f>
        <v>7113.11.00</v>
      </c>
      <c r="L412" t="str">
        <f>IFERROR(VLOOKUP(quantInv[[#This Row],[Description for New Invoice]],Map!$G$12:$H$32,2,FALSE), IF(quantInv[[#This Row],[Metal]] = "925 Silver", "7113.11.10.00", "7113.19.29.00"))</f>
        <v>7113.11.50.00</v>
      </c>
      <c r="M412" t="str">
        <f>quantInv[[#This Row],[ASIN]] &amp; " " &amp; quantInv[[#This Row],[Short Description]]</f>
        <v>B06ZZKPVNC Earrings - Sun - 2</v>
      </c>
      <c r="N412" s="33">
        <f>quantInv[[#This Row],[UNIT
VALUE]] / EURtoGBP</f>
        <v>3.0254323384016391</v>
      </c>
      <c r="O412" s="33">
        <f>quantInv[[#This Row],[UNIT
VALUE]]/USDtoGBP</f>
        <v>3.6536834991356888</v>
      </c>
      <c r="P412" s="33">
        <f>quantInv[[#This Row],[UNIT
VALUE]] / CADtoGBP</f>
        <v>4.6769249126575101</v>
      </c>
      <c r="Q412" s="33">
        <f>quantInv[[#This Row],[UNIT
VALUE]]/AUDtoGBP</f>
        <v>4.7871614340110638</v>
      </c>
      <c r="R412">
        <f>IFERROR(VLOOKUP(quantInv[[#This Row],[Assigned Item SKU]],skuQuantity[#All],2,FALSE),0)</f>
        <v>0</v>
      </c>
      <c r="S412" t="str">
        <f>PROPER(quantInv[[#This Row],[Metal]] &amp; " " &amp; quantInv[[#This Row],[Item Type]])</f>
        <v>925 Silver Earrings</v>
      </c>
      <c r="T412" s="33">
        <f>quantInv[[#This Row],[Quantity]]*quantInv[[#This Row],[WEIGHT]]</f>
        <v>0</v>
      </c>
      <c r="U412" s="33">
        <f>quantInv[[#This Row],[UNIT
VALUE]]*quantInv[[#This Row],[Quantity]]</f>
        <v>0</v>
      </c>
      <c r="V412" s="33">
        <f>quantInv[[#This Row],[Total Cost GBP]]/EURtoGBP</f>
        <v>0</v>
      </c>
      <c r="W412" s="33">
        <f>quantInv[[#This Row],[Total Cost GBP]]/USDtoGBP</f>
        <v>0</v>
      </c>
      <c r="X412" s="33">
        <f>quantInv[[#This Row],[Total Cost GBP]]/CADtoGBP</f>
        <v>0</v>
      </c>
      <c r="Y412" s="33">
        <f>quantInv[[#This Row],[Quantity]]*quantInv[[#This Row],[UNIT
VALUE AUD]]</f>
        <v>0</v>
      </c>
      <c r="Z412" s="33"/>
    </row>
    <row r="413" spans="1:26" x14ac:dyDescent="0.25">
      <c r="A413" t="s">
        <v>966</v>
      </c>
      <c r="B413" t="s">
        <v>967</v>
      </c>
      <c r="C413" t="s">
        <v>113</v>
      </c>
      <c r="D413" t="s">
        <v>959</v>
      </c>
      <c r="E413">
        <v>2</v>
      </c>
      <c r="F413" s="33">
        <v>2.6652999999999998</v>
      </c>
      <c r="G413" s="33" t="s">
        <v>117</v>
      </c>
      <c r="H413" t="s">
        <v>1310</v>
      </c>
      <c r="I413" t="str">
        <f>IF(quantInv[[#This Row],[Metal]] = "925 Silver",  "7113.11.00"," 7113.19.00")</f>
        <v>7113.11.00</v>
      </c>
      <c r="J413" t="str">
        <f>IF(quantInv[[#This Row],[Metal]] = "925 Silver", "7113.11.10.00"," 7113.19.10.00")</f>
        <v>7113.11.10.00</v>
      </c>
      <c r="K413" t="str">
        <f>IF(quantInv[[#This Row],[Metal]] = "925 Silver",  "7113.11.00"," 7113.19.00")</f>
        <v>7113.11.00</v>
      </c>
      <c r="L413" t="str">
        <f>IFERROR(VLOOKUP(quantInv[[#This Row],[Description for New Invoice]],Map!$G$12:$H$32,2,FALSE), IF(quantInv[[#This Row],[Metal]] = "925 Silver", "7113.11.10.00", "7113.19.29.00"))</f>
        <v>7113.11.50.00</v>
      </c>
      <c r="M413" t="str">
        <f>quantInv[[#This Row],[ASIN]] &amp; " " &amp; quantInv[[#This Row],[Short Description]]</f>
        <v>B06ZZV4263 Earrings - Sun - 2</v>
      </c>
      <c r="N413" s="33">
        <f>quantInv[[#This Row],[UNIT
VALUE]] / EURtoGBP</f>
        <v>3.0254323384016391</v>
      </c>
      <c r="O413" s="33">
        <f>quantInv[[#This Row],[UNIT
VALUE]]/USDtoGBP</f>
        <v>3.6536834991356888</v>
      </c>
      <c r="P413" s="33">
        <f>quantInv[[#This Row],[UNIT
VALUE]] / CADtoGBP</f>
        <v>4.6769249126575101</v>
      </c>
      <c r="Q413" s="33">
        <f>quantInv[[#This Row],[UNIT
VALUE]]/AUDtoGBP</f>
        <v>4.7871614340110638</v>
      </c>
      <c r="R413">
        <f>IFERROR(VLOOKUP(quantInv[[#This Row],[Assigned Item SKU]],skuQuantity[#All],2,FALSE),0)</f>
        <v>0</v>
      </c>
      <c r="S413" t="str">
        <f>PROPER(quantInv[[#This Row],[Metal]] &amp; " " &amp; quantInv[[#This Row],[Item Type]])</f>
        <v>925 Silver Earrings</v>
      </c>
      <c r="T413" s="33">
        <f>quantInv[[#This Row],[Quantity]]*quantInv[[#This Row],[WEIGHT]]</f>
        <v>0</v>
      </c>
      <c r="U413" s="33">
        <f>quantInv[[#This Row],[UNIT
VALUE]]*quantInv[[#This Row],[Quantity]]</f>
        <v>0</v>
      </c>
      <c r="V413" s="33">
        <f>quantInv[[#This Row],[Total Cost GBP]]/EURtoGBP</f>
        <v>0</v>
      </c>
      <c r="W413" s="33">
        <f>quantInv[[#This Row],[Total Cost GBP]]/USDtoGBP</f>
        <v>0</v>
      </c>
      <c r="X413" s="33">
        <f>quantInv[[#This Row],[Total Cost GBP]]/CADtoGBP</f>
        <v>0</v>
      </c>
      <c r="Y413" s="33">
        <f>quantInv[[#This Row],[Quantity]]*quantInv[[#This Row],[UNIT
VALUE AUD]]</f>
        <v>0</v>
      </c>
      <c r="Z413" s="33"/>
    </row>
    <row r="414" spans="1:26" x14ac:dyDescent="0.25">
      <c r="A414" t="s">
        <v>968</v>
      </c>
      <c r="B414" t="s">
        <v>969</v>
      </c>
      <c r="C414" t="s">
        <v>113</v>
      </c>
      <c r="D414" t="s">
        <v>970</v>
      </c>
      <c r="E414">
        <v>1.8</v>
      </c>
      <c r="F414" s="33">
        <v>2.4098000000000002</v>
      </c>
      <c r="G414" s="33" t="s">
        <v>117</v>
      </c>
      <c r="H414" t="s">
        <v>1310</v>
      </c>
      <c r="I414" t="str">
        <f>IF(quantInv[[#This Row],[Metal]] = "925 Silver",  "7113.11.00"," 7113.19.00")</f>
        <v>7113.11.00</v>
      </c>
      <c r="J414" t="str">
        <f>IF(quantInv[[#This Row],[Metal]] = "925 Silver", "7113.11.10.00"," 7113.19.10.00")</f>
        <v>7113.11.10.00</v>
      </c>
      <c r="K414" t="str">
        <f>IF(quantInv[[#This Row],[Metal]] = "925 Silver",  "7113.11.00"," 7113.19.00")</f>
        <v>7113.11.00</v>
      </c>
      <c r="L414" t="str">
        <f>IFERROR(VLOOKUP(quantInv[[#This Row],[Description for New Invoice]],Map!$G$12:$H$32,2,FALSE), IF(quantInv[[#This Row],[Metal]] = "925 Silver", "7113.11.10.00", "7113.19.29.00"))</f>
        <v>7113.11.50.00</v>
      </c>
      <c r="M414" t="str">
        <f>quantInv[[#This Row],[ASIN]] &amp; " " &amp; quantInv[[#This Row],[Short Description]]</f>
        <v>B071DCB22X Earrings - Square Stud</v>
      </c>
      <c r="N414" s="33">
        <f>quantInv[[#This Row],[UNIT
VALUE]] / EURtoGBP</f>
        <v>2.7354094657563017</v>
      </c>
      <c r="O414" s="33">
        <f>quantInv[[#This Row],[UNIT
VALUE]]/USDtoGBP</f>
        <v>3.3034354467479026</v>
      </c>
      <c r="P414" s="33">
        <f>quantInv[[#This Row],[UNIT
VALUE]] / CADtoGBP</f>
        <v>4.2285872714223798</v>
      </c>
      <c r="Q414" s="33">
        <f>quantInv[[#This Row],[UNIT
VALUE]]/AUDtoGBP</f>
        <v>4.3282563402543284</v>
      </c>
      <c r="R414">
        <f>IFERROR(VLOOKUP(quantInv[[#This Row],[Assigned Item SKU]],skuQuantity[#All],2,FALSE),0)</f>
        <v>0</v>
      </c>
      <c r="S414" t="str">
        <f>PROPER(quantInv[[#This Row],[Metal]] &amp; " " &amp; quantInv[[#This Row],[Item Type]])</f>
        <v>925 Silver Earrings</v>
      </c>
      <c r="T414" s="33">
        <f>quantInv[[#This Row],[Quantity]]*quantInv[[#This Row],[WEIGHT]]</f>
        <v>0</v>
      </c>
      <c r="U414" s="33">
        <f>quantInv[[#This Row],[UNIT
VALUE]]*quantInv[[#This Row],[Quantity]]</f>
        <v>0</v>
      </c>
      <c r="V414" s="33">
        <f>quantInv[[#This Row],[Total Cost GBP]]/EURtoGBP</f>
        <v>0</v>
      </c>
      <c r="W414" s="33">
        <f>quantInv[[#This Row],[Total Cost GBP]]/USDtoGBP</f>
        <v>0</v>
      </c>
      <c r="X414" s="33">
        <f>quantInv[[#This Row],[Total Cost GBP]]/CADtoGBP</f>
        <v>0</v>
      </c>
      <c r="Y414" s="33">
        <f>quantInv[[#This Row],[Quantity]]*quantInv[[#This Row],[UNIT
VALUE AUD]]</f>
        <v>0</v>
      </c>
      <c r="Z414" s="33"/>
    </row>
    <row r="415" spans="1:26" x14ac:dyDescent="0.25">
      <c r="A415" t="s">
        <v>971</v>
      </c>
      <c r="B415" t="s">
        <v>972</v>
      </c>
      <c r="C415" t="s">
        <v>113</v>
      </c>
      <c r="D415" t="s">
        <v>970</v>
      </c>
      <c r="E415">
        <v>1.8</v>
      </c>
      <c r="F415" s="33">
        <v>2.4098000000000002</v>
      </c>
      <c r="G415" s="33" t="s">
        <v>117</v>
      </c>
      <c r="H415" t="s">
        <v>1310</v>
      </c>
      <c r="I415" t="str">
        <f>IF(quantInv[[#This Row],[Metal]] = "925 Silver",  "7113.11.00"," 7113.19.00")</f>
        <v>7113.11.00</v>
      </c>
      <c r="J415" t="str">
        <f>IF(quantInv[[#This Row],[Metal]] = "925 Silver", "7113.11.10.00"," 7113.19.10.00")</f>
        <v>7113.11.10.00</v>
      </c>
      <c r="K415" t="str">
        <f>IF(quantInv[[#This Row],[Metal]] = "925 Silver",  "7113.11.00"," 7113.19.00")</f>
        <v>7113.11.00</v>
      </c>
      <c r="L415" t="str">
        <f>IFERROR(VLOOKUP(quantInv[[#This Row],[Description for New Invoice]],Map!$G$12:$H$32,2,FALSE), IF(quantInv[[#This Row],[Metal]] = "925 Silver", "7113.11.10.00", "7113.19.29.00"))</f>
        <v>7113.11.50.00</v>
      </c>
      <c r="M415" t="str">
        <f>quantInv[[#This Row],[ASIN]] &amp; " " &amp; quantInv[[#This Row],[Short Description]]</f>
        <v>B06ZXV6GPZ Earrings - Square Stud</v>
      </c>
      <c r="N415" s="33">
        <f>quantInv[[#This Row],[UNIT
VALUE]] / EURtoGBP</f>
        <v>2.7354094657563017</v>
      </c>
      <c r="O415" s="33">
        <f>quantInv[[#This Row],[UNIT
VALUE]]/USDtoGBP</f>
        <v>3.3034354467479026</v>
      </c>
      <c r="P415" s="33">
        <f>quantInv[[#This Row],[UNIT
VALUE]] / CADtoGBP</f>
        <v>4.2285872714223798</v>
      </c>
      <c r="Q415" s="33">
        <f>quantInv[[#This Row],[UNIT
VALUE]]/AUDtoGBP</f>
        <v>4.3282563402543284</v>
      </c>
      <c r="R415">
        <f>IFERROR(VLOOKUP(quantInv[[#This Row],[Assigned Item SKU]],skuQuantity[#All],2,FALSE),0)</f>
        <v>0</v>
      </c>
      <c r="S415" t="str">
        <f>PROPER(quantInv[[#This Row],[Metal]] &amp; " " &amp; quantInv[[#This Row],[Item Type]])</f>
        <v>925 Silver Earrings</v>
      </c>
      <c r="T415" s="33">
        <f>quantInv[[#This Row],[Quantity]]*quantInv[[#This Row],[WEIGHT]]</f>
        <v>0</v>
      </c>
      <c r="U415" s="33">
        <f>quantInv[[#This Row],[UNIT
VALUE]]*quantInv[[#This Row],[Quantity]]</f>
        <v>0</v>
      </c>
      <c r="V415" s="33">
        <f>quantInv[[#This Row],[Total Cost GBP]]/EURtoGBP</f>
        <v>0</v>
      </c>
      <c r="W415" s="33">
        <f>quantInv[[#This Row],[Total Cost GBP]]/USDtoGBP</f>
        <v>0</v>
      </c>
      <c r="X415" s="33">
        <f>quantInv[[#This Row],[Total Cost GBP]]/CADtoGBP</f>
        <v>0</v>
      </c>
      <c r="Y415" s="33">
        <f>quantInv[[#This Row],[Quantity]]*quantInv[[#This Row],[UNIT
VALUE AUD]]</f>
        <v>0</v>
      </c>
      <c r="Z415" s="33"/>
    </row>
    <row r="416" spans="1:26" x14ac:dyDescent="0.25">
      <c r="A416" t="s">
        <v>973</v>
      </c>
      <c r="B416" t="s">
        <v>974</v>
      </c>
      <c r="C416" t="s">
        <v>113</v>
      </c>
      <c r="D416" t="s">
        <v>970</v>
      </c>
      <c r="E416">
        <v>1.8</v>
      </c>
      <c r="F416" s="33">
        <v>2.4098000000000002</v>
      </c>
      <c r="G416" s="33" t="s">
        <v>117</v>
      </c>
      <c r="H416" t="s">
        <v>1310</v>
      </c>
      <c r="I416" t="str">
        <f>IF(quantInv[[#This Row],[Metal]] = "925 Silver",  "7113.11.00"," 7113.19.00")</f>
        <v>7113.11.00</v>
      </c>
      <c r="J416" t="str">
        <f>IF(quantInv[[#This Row],[Metal]] = "925 Silver", "7113.11.10.00"," 7113.19.10.00")</f>
        <v>7113.11.10.00</v>
      </c>
      <c r="K416" t="str">
        <f>IF(quantInv[[#This Row],[Metal]] = "925 Silver",  "7113.11.00"," 7113.19.00")</f>
        <v>7113.11.00</v>
      </c>
      <c r="L416" t="str">
        <f>IFERROR(VLOOKUP(quantInv[[#This Row],[Description for New Invoice]],Map!$G$12:$H$32,2,FALSE), IF(quantInv[[#This Row],[Metal]] = "925 Silver", "7113.11.10.00", "7113.19.29.00"))</f>
        <v>7113.11.50.00</v>
      </c>
      <c r="M416" t="str">
        <f>quantInv[[#This Row],[ASIN]] &amp; " " &amp; quantInv[[#This Row],[Short Description]]</f>
        <v>B06ZY4LTKF Earrings - Square Stud</v>
      </c>
      <c r="N416" s="33">
        <f>quantInv[[#This Row],[UNIT
VALUE]] / EURtoGBP</f>
        <v>2.7354094657563017</v>
      </c>
      <c r="O416" s="33">
        <f>quantInv[[#This Row],[UNIT
VALUE]]/USDtoGBP</f>
        <v>3.3034354467479026</v>
      </c>
      <c r="P416" s="33">
        <f>quantInv[[#This Row],[UNIT
VALUE]] / CADtoGBP</f>
        <v>4.2285872714223798</v>
      </c>
      <c r="Q416" s="33">
        <f>quantInv[[#This Row],[UNIT
VALUE]]/AUDtoGBP</f>
        <v>4.3282563402543284</v>
      </c>
      <c r="R416">
        <f>IFERROR(VLOOKUP(quantInv[[#This Row],[Assigned Item SKU]],skuQuantity[#All],2,FALSE),0)</f>
        <v>0</v>
      </c>
      <c r="S416" t="str">
        <f>PROPER(quantInv[[#This Row],[Metal]] &amp; " " &amp; quantInv[[#This Row],[Item Type]])</f>
        <v>925 Silver Earrings</v>
      </c>
      <c r="T416" s="33">
        <f>quantInv[[#This Row],[Quantity]]*quantInv[[#This Row],[WEIGHT]]</f>
        <v>0</v>
      </c>
      <c r="U416" s="33">
        <f>quantInv[[#This Row],[UNIT
VALUE]]*quantInv[[#This Row],[Quantity]]</f>
        <v>0</v>
      </c>
      <c r="V416" s="33">
        <f>quantInv[[#This Row],[Total Cost GBP]]/EURtoGBP</f>
        <v>0</v>
      </c>
      <c r="W416" s="33">
        <f>quantInv[[#This Row],[Total Cost GBP]]/USDtoGBP</f>
        <v>0</v>
      </c>
      <c r="X416" s="33">
        <f>quantInv[[#This Row],[Total Cost GBP]]/CADtoGBP</f>
        <v>0</v>
      </c>
      <c r="Y416" s="33">
        <f>quantInv[[#This Row],[Quantity]]*quantInv[[#This Row],[UNIT
VALUE AUD]]</f>
        <v>0</v>
      </c>
      <c r="Z416" s="33"/>
    </row>
    <row r="417" spans="1:26" x14ac:dyDescent="0.25">
      <c r="A417" t="s">
        <v>975</v>
      </c>
      <c r="B417" t="s">
        <v>976</v>
      </c>
      <c r="C417" t="s">
        <v>113</v>
      </c>
      <c r="D417" t="s">
        <v>970</v>
      </c>
      <c r="E417">
        <v>1.8</v>
      </c>
      <c r="F417" s="33">
        <v>2.4098000000000002</v>
      </c>
      <c r="G417" s="33" t="s">
        <v>117</v>
      </c>
      <c r="H417" t="s">
        <v>1310</v>
      </c>
      <c r="I417" t="str">
        <f>IF(quantInv[[#This Row],[Metal]] = "925 Silver",  "7113.11.00"," 7113.19.00")</f>
        <v>7113.11.00</v>
      </c>
      <c r="J417" t="str">
        <f>IF(quantInv[[#This Row],[Metal]] = "925 Silver", "7113.11.10.00"," 7113.19.10.00")</f>
        <v>7113.11.10.00</v>
      </c>
      <c r="K417" t="str">
        <f>IF(quantInv[[#This Row],[Metal]] = "925 Silver",  "7113.11.00"," 7113.19.00")</f>
        <v>7113.11.00</v>
      </c>
      <c r="L417" t="str">
        <f>IFERROR(VLOOKUP(quantInv[[#This Row],[Description for New Invoice]],Map!$G$12:$H$32,2,FALSE), IF(quantInv[[#This Row],[Metal]] = "925 Silver", "7113.11.10.00", "7113.19.29.00"))</f>
        <v>7113.11.50.00</v>
      </c>
      <c r="M417" t="str">
        <f>quantInv[[#This Row],[ASIN]] &amp; " " &amp; quantInv[[#This Row],[Short Description]]</f>
        <v>B06ZXV6J81 Earrings - Square Stud</v>
      </c>
      <c r="N417" s="33">
        <f>quantInv[[#This Row],[UNIT
VALUE]] / EURtoGBP</f>
        <v>2.7354094657563017</v>
      </c>
      <c r="O417" s="33">
        <f>quantInv[[#This Row],[UNIT
VALUE]]/USDtoGBP</f>
        <v>3.3034354467479026</v>
      </c>
      <c r="P417" s="33">
        <f>quantInv[[#This Row],[UNIT
VALUE]] / CADtoGBP</f>
        <v>4.2285872714223798</v>
      </c>
      <c r="Q417" s="33">
        <f>quantInv[[#This Row],[UNIT
VALUE]]/AUDtoGBP</f>
        <v>4.3282563402543284</v>
      </c>
      <c r="R417">
        <f>IFERROR(VLOOKUP(quantInv[[#This Row],[Assigned Item SKU]],skuQuantity[#All],2,FALSE),0)</f>
        <v>0</v>
      </c>
      <c r="S417" t="str">
        <f>PROPER(quantInv[[#This Row],[Metal]] &amp; " " &amp; quantInv[[#This Row],[Item Type]])</f>
        <v>925 Silver Earrings</v>
      </c>
      <c r="T417" s="33">
        <f>quantInv[[#This Row],[Quantity]]*quantInv[[#This Row],[WEIGHT]]</f>
        <v>0</v>
      </c>
      <c r="U417" s="33">
        <f>quantInv[[#This Row],[UNIT
VALUE]]*quantInv[[#This Row],[Quantity]]</f>
        <v>0</v>
      </c>
      <c r="V417" s="33">
        <f>quantInv[[#This Row],[Total Cost GBP]]/EURtoGBP</f>
        <v>0</v>
      </c>
      <c r="W417" s="33">
        <f>quantInv[[#This Row],[Total Cost GBP]]/USDtoGBP</f>
        <v>0</v>
      </c>
      <c r="X417" s="33">
        <f>quantInv[[#This Row],[Total Cost GBP]]/CADtoGBP</f>
        <v>0</v>
      </c>
      <c r="Y417" s="33">
        <f>quantInv[[#This Row],[Quantity]]*quantInv[[#This Row],[UNIT
VALUE AUD]]</f>
        <v>0</v>
      </c>
      <c r="Z417" s="33"/>
    </row>
    <row r="418" spans="1:26" x14ac:dyDescent="0.25">
      <c r="A418" t="s">
        <v>977</v>
      </c>
      <c r="B418" t="s">
        <v>978</v>
      </c>
      <c r="C418" t="s">
        <v>113</v>
      </c>
      <c r="D418" t="s">
        <v>970</v>
      </c>
      <c r="E418">
        <v>1.8</v>
      </c>
      <c r="F418" s="33">
        <v>2.4098000000000002</v>
      </c>
      <c r="G418" s="33" t="s">
        <v>117</v>
      </c>
      <c r="H418" t="s">
        <v>1310</v>
      </c>
      <c r="I418" t="str">
        <f>IF(quantInv[[#This Row],[Metal]] = "925 Silver",  "7113.11.00"," 7113.19.00")</f>
        <v>7113.11.00</v>
      </c>
      <c r="J418" t="str">
        <f>IF(quantInv[[#This Row],[Metal]] = "925 Silver", "7113.11.10.00"," 7113.19.10.00")</f>
        <v>7113.11.10.00</v>
      </c>
      <c r="K418" t="str">
        <f>IF(quantInv[[#This Row],[Metal]] = "925 Silver",  "7113.11.00"," 7113.19.00")</f>
        <v>7113.11.00</v>
      </c>
      <c r="L418" t="str">
        <f>IFERROR(VLOOKUP(quantInv[[#This Row],[Description for New Invoice]],Map!$G$12:$H$32,2,FALSE), IF(quantInv[[#This Row],[Metal]] = "925 Silver", "7113.11.10.00", "7113.19.29.00"))</f>
        <v>7113.11.50.00</v>
      </c>
      <c r="M418" t="str">
        <f>quantInv[[#This Row],[ASIN]] &amp; " " &amp; quantInv[[#This Row],[Short Description]]</f>
        <v>B071DC7BVX Earrings - Square Stud</v>
      </c>
      <c r="N418" s="33">
        <f>quantInv[[#This Row],[UNIT
VALUE]] / EURtoGBP</f>
        <v>2.7354094657563017</v>
      </c>
      <c r="O418" s="33">
        <f>quantInv[[#This Row],[UNIT
VALUE]]/USDtoGBP</f>
        <v>3.3034354467479026</v>
      </c>
      <c r="P418" s="33">
        <f>quantInv[[#This Row],[UNIT
VALUE]] / CADtoGBP</f>
        <v>4.2285872714223798</v>
      </c>
      <c r="Q418" s="33">
        <f>quantInv[[#This Row],[UNIT
VALUE]]/AUDtoGBP</f>
        <v>4.3282563402543284</v>
      </c>
      <c r="R418">
        <f>IFERROR(VLOOKUP(quantInv[[#This Row],[Assigned Item SKU]],skuQuantity[#All],2,FALSE),0)</f>
        <v>0</v>
      </c>
      <c r="S418" t="str">
        <f>PROPER(quantInv[[#This Row],[Metal]] &amp; " " &amp; quantInv[[#This Row],[Item Type]])</f>
        <v>925 Silver Earrings</v>
      </c>
      <c r="T418" s="33">
        <f>quantInv[[#This Row],[Quantity]]*quantInv[[#This Row],[WEIGHT]]</f>
        <v>0</v>
      </c>
      <c r="U418" s="33">
        <f>quantInv[[#This Row],[UNIT
VALUE]]*quantInv[[#This Row],[Quantity]]</f>
        <v>0</v>
      </c>
      <c r="V418" s="33">
        <f>quantInv[[#This Row],[Total Cost GBP]]/EURtoGBP</f>
        <v>0</v>
      </c>
      <c r="W418" s="33">
        <f>quantInv[[#This Row],[Total Cost GBP]]/USDtoGBP</f>
        <v>0</v>
      </c>
      <c r="X418" s="33">
        <f>quantInv[[#This Row],[Total Cost GBP]]/CADtoGBP</f>
        <v>0</v>
      </c>
      <c r="Y418" s="33">
        <f>quantInv[[#This Row],[Quantity]]*quantInv[[#This Row],[UNIT
VALUE AUD]]</f>
        <v>0</v>
      </c>
      <c r="Z418" s="33"/>
    </row>
    <row r="419" spans="1:26" x14ac:dyDescent="0.25">
      <c r="A419" t="s">
        <v>979</v>
      </c>
      <c r="B419" t="s">
        <v>980</v>
      </c>
      <c r="C419" t="s">
        <v>113</v>
      </c>
      <c r="D419" t="s">
        <v>981</v>
      </c>
      <c r="E419">
        <v>4</v>
      </c>
      <c r="F419" s="33">
        <v>5.2201000000000004</v>
      </c>
      <c r="G419" s="33" t="s">
        <v>117</v>
      </c>
      <c r="H419" t="s">
        <v>1310</v>
      </c>
      <c r="I419" t="str">
        <f>IF(quantInv[[#This Row],[Metal]] = "925 Silver",  "7113.11.00"," 7113.19.00")</f>
        <v>7113.11.00</v>
      </c>
      <c r="J419" t="str">
        <f>IF(quantInv[[#This Row],[Metal]] = "925 Silver", "7113.11.10.00"," 7113.19.10.00")</f>
        <v>7113.11.10.00</v>
      </c>
      <c r="K419" t="str">
        <f>IF(quantInv[[#This Row],[Metal]] = "925 Silver",  "7113.11.00"," 7113.19.00")</f>
        <v>7113.11.00</v>
      </c>
      <c r="L419" t="str">
        <f>IFERROR(VLOOKUP(quantInv[[#This Row],[Description for New Invoice]],Map!$G$12:$H$32,2,FALSE), IF(quantInv[[#This Row],[Metal]] = "925 Silver", "7113.11.10.00", "7113.19.29.00"))</f>
        <v>7113.11.50.00</v>
      </c>
      <c r="M419" t="str">
        <f>quantInv[[#This Row],[ASIN]] &amp; " " &amp; quantInv[[#This Row],[Short Description]]</f>
        <v>B071CS9WLH Earrings - Teddy Bear</v>
      </c>
      <c r="N419" s="33">
        <f>quantInv[[#This Row],[UNIT
VALUE]] / EURtoGBP</f>
        <v>5.9254340410799529</v>
      </c>
      <c r="O419" s="33">
        <f>quantInv[[#This Row],[UNIT
VALUE]]/USDtoGBP</f>
        <v>7.1558898562406537</v>
      </c>
      <c r="P419" s="33">
        <f>quantInv[[#This Row],[UNIT
VALUE]] / CADtoGBP</f>
        <v>9.1599503757788874</v>
      </c>
      <c r="Q419" s="33">
        <f>quantInv[[#This Row],[UNIT
VALUE]]/AUDtoGBP</f>
        <v>9.3758531503699984</v>
      </c>
      <c r="R419">
        <f>IFERROR(VLOOKUP(quantInv[[#This Row],[Assigned Item SKU]],skuQuantity[#All],2,FALSE),0)</f>
        <v>0</v>
      </c>
      <c r="S419" t="str">
        <f>PROPER(quantInv[[#This Row],[Metal]] &amp; " " &amp; quantInv[[#This Row],[Item Type]])</f>
        <v>925 Silver Earrings</v>
      </c>
      <c r="T419" s="33">
        <f>quantInv[[#This Row],[Quantity]]*quantInv[[#This Row],[WEIGHT]]</f>
        <v>0</v>
      </c>
      <c r="U419" s="33">
        <f>quantInv[[#This Row],[UNIT
VALUE]]*quantInv[[#This Row],[Quantity]]</f>
        <v>0</v>
      </c>
      <c r="V419" s="33">
        <f>quantInv[[#This Row],[Total Cost GBP]]/EURtoGBP</f>
        <v>0</v>
      </c>
      <c r="W419" s="33">
        <f>quantInv[[#This Row],[Total Cost GBP]]/USDtoGBP</f>
        <v>0</v>
      </c>
      <c r="X419" s="33">
        <f>quantInv[[#This Row],[Total Cost GBP]]/CADtoGBP</f>
        <v>0</v>
      </c>
      <c r="Y419" s="33">
        <f>quantInv[[#This Row],[Quantity]]*quantInv[[#This Row],[UNIT
VALUE AUD]]</f>
        <v>0</v>
      </c>
      <c r="Z419" s="33"/>
    </row>
    <row r="420" spans="1:26" x14ac:dyDescent="0.25">
      <c r="A420" t="s">
        <v>982</v>
      </c>
      <c r="B420" t="s">
        <v>983</v>
      </c>
      <c r="C420" t="s">
        <v>113</v>
      </c>
      <c r="D420" t="s">
        <v>2916</v>
      </c>
      <c r="E420">
        <v>4</v>
      </c>
      <c r="F420" s="33">
        <v>5.2201000000000004</v>
      </c>
      <c r="G420" s="33" t="s">
        <v>117</v>
      </c>
      <c r="H420" t="s">
        <v>1310</v>
      </c>
      <c r="I420" t="str">
        <f>IF(quantInv[[#This Row],[Metal]] = "925 Silver",  "7113.11.00"," 7113.19.00")</f>
        <v>7113.11.00</v>
      </c>
      <c r="J420" t="str">
        <f>IF(quantInv[[#This Row],[Metal]] = "925 Silver", "7113.11.10.00"," 7113.19.10.00")</f>
        <v>7113.11.10.00</v>
      </c>
      <c r="K420" t="str">
        <f>IF(quantInv[[#This Row],[Metal]] = "925 Silver",  "7113.11.00"," 7113.19.00")</f>
        <v>7113.11.00</v>
      </c>
      <c r="L420" t="str">
        <f>IFERROR(VLOOKUP(quantInv[[#This Row],[Description for New Invoice]],Map!$G$12:$H$32,2,FALSE), IF(quantInv[[#This Row],[Metal]] = "925 Silver", "7113.11.10.00", "7113.19.29.00"))</f>
        <v>7113.11.50.00</v>
      </c>
      <c r="M420" t="str">
        <f>quantInv[[#This Row],[ASIN]] &amp; " " &amp; quantInv[[#This Row],[Short Description]]</f>
        <v>B071CH7P2D Earrings - Hook  Round</v>
      </c>
      <c r="N420" s="33">
        <f>quantInv[[#This Row],[UNIT
VALUE]] / EURtoGBP</f>
        <v>5.9254340410799529</v>
      </c>
      <c r="O420" s="33">
        <f>quantInv[[#This Row],[UNIT
VALUE]]/USDtoGBP</f>
        <v>7.1558898562406537</v>
      </c>
      <c r="P420" s="33">
        <f>quantInv[[#This Row],[UNIT
VALUE]] / CADtoGBP</f>
        <v>9.1599503757788874</v>
      </c>
      <c r="Q420" s="33">
        <f>quantInv[[#This Row],[UNIT
VALUE]]/AUDtoGBP</f>
        <v>9.3758531503699984</v>
      </c>
      <c r="R420" s="106">
        <f>IFERROR(VLOOKUP(quantInv[[#This Row],[Assigned Item SKU]],skuQuantity[#All],2,FALSE),0)</f>
        <v>0</v>
      </c>
      <c r="S420" t="str">
        <f>PROPER(quantInv[[#This Row],[Metal]] &amp; " " &amp; quantInv[[#This Row],[Item Type]])</f>
        <v>925 Silver Earrings</v>
      </c>
      <c r="T420" s="33">
        <f>quantInv[[#This Row],[Quantity]]*quantInv[[#This Row],[WEIGHT]]</f>
        <v>0</v>
      </c>
      <c r="U420" s="33">
        <f>quantInv[[#This Row],[UNIT
VALUE]]*quantInv[[#This Row],[Quantity]]</f>
        <v>0</v>
      </c>
      <c r="V420" s="33">
        <f>quantInv[[#This Row],[Total Cost GBP]]/EURtoGBP</f>
        <v>0</v>
      </c>
      <c r="W420" s="33">
        <f>quantInv[[#This Row],[Total Cost GBP]]/USDtoGBP</f>
        <v>0</v>
      </c>
      <c r="X420" s="33">
        <f>quantInv[[#This Row],[Total Cost GBP]]/CADtoGBP</f>
        <v>0</v>
      </c>
      <c r="Y420" s="33">
        <f>quantInv[[#This Row],[Quantity]]*quantInv[[#This Row],[UNIT
VALUE AUD]]</f>
        <v>0</v>
      </c>
      <c r="Z420" s="33"/>
    </row>
    <row r="421" spans="1:26" x14ac:dyDescent="0.25">
      <c r="A421" t="s">
        <v>45</v>
      </c>
      <c r="B421" t="s">
        <v>476</v>
      </c>
      <c r="C421" t="s">
        <v>113</v>
      </c>
      <c r="D421" t="s">
        <v>200</v>
      </c>
      <c r="E421">
        <v>3.1294117647058801</v>
      </c>
      <c r="F421" s="33">
        <v>3.1052</v>
      </c>
      <c r="G421" s="33" t="s">
        <v>117</v>
      </c>
      <c r="H421" t="s">
        <v>103</v>
      </c>
      <c r="I421" t="str">
        <f>IF(quantInv[[#This Row],[Metal]] = "925 Silver",  "7113.11.00"," 7113.19.00")</f>
        <v>7113.11.00</v>
      </c>
      <c r="J421" t="str">
        <f>IF(quantInv[[#This Row],[Metal]] = "925 Silver", "7113.11.10.00"," 7113.19.10.00")</f>
        <v>7113.11.10.00</v>
      </c>
      <c r="K421" t="str">
        <f>IF(quantInv[[#This Row],[Metal]] = "925 Silver",  "7113.11.00"," 7113.19.00")</f>
        <v>7113.11.00</v>
      </c>
      <c r="L421" t="str">
        <f>IFERROR(VLOOKUP(quantInv[[#This Row],[Description for New Invoice]],Map!$G$12:$H$32,2,FALSE), IF(quantInv[[#This Row],[Metal]] = "925 Silver", "7113.11.10.00", "7113.19.29.00"))</f>
        <v>7113.11.10.00</v>
      </c>
      <c r="M421" t="str">
        <f>quantInv[[#This Row],[ASIN]] &amp; " " &amp; quantInv[[#This Row],[Short Description]]</f>
        <v>B012EOLN4Q Venice Box Chain</v>
      </c>
      <c r="N421" s="33">
        <f>quantInv[[#This Row],[UNIT
VALUE]] / EURtoGBP</f>
        <v>3.5247711316567627</v>
      </c>
      <c r="O421" s="33">
        <f>quantInv[[#This Row],[UNIT
VALUE]]/USDtoGBP</f>
        <v>4.2567133161430766</v>
      </c>
      <c r="P421" s="33">
        <f>quantInv[[#This Row],[UNIT
VALUE]] / CADtoGBP</f>
        <v>5.44883774388778</v>
      </c>
      <c r="Q421" s="33">
        <f>quantInv[[#This Row],[UNIT
VALUE]]/AUDtoGBP</f>
        <v>5.5772684819311724</v>
      </c>
      <c r="R421">
        <f>IFERROR(VLOOKUP(quantInv[[#This Row],[Assigned Item SKU]],skuQuantity[#All],2,FALSE),0)</f>
        <v>0</v>
      </c>
      <c r="S421" t="str">
        <f>PROPER(quantInv[[#This Row],[Metal]] &amp; " " &amp; quantInv[[#This Row],[Item Type]])</f>
        <v>925 Silver Chain</v>
      </c>
      <c r="T421" s="33">
        <f>quantInv[[#This Row],[Quantity]]*quantInv[[#This Row],[WEIGHT]]</f>
        <v>0</v>
      </c>
      <c r="U421" s="33">
        <f>quantInv[[#This Row],[UNIT
VALUE]]*quantInv[[#This Row],[Quantity]]</f>
        <v>0</v>
      </c>
      <c r="V421" s="33">
        <f>quantInv[[#This Row],[Total Cost GBP]]/EURtoGBP</f>
        <v>0</v>
      </c>
      <c r="W421" s="33">
        <f>quantInv[[#This Row],[Total Cost GBP]]/USDtoGBP</f>
        <v>0</v>
      </c>
      <c r="X421" s="33">
        <f>quantInv[[#This Row],[Total Cost GBP]]/CADtoGBP</f>
        <v>0</v>
      </c>
      <c r="Y421" s="33">
        <f>quantInv[[#This Row],[Quantity]]*quantInv[[#This Row],[UNIT
VALUE AUD]]</f>
        <v>0</v>
      </c>
      <c r="Z421" s="33"/>
    </row>
    <row r="422" spans="1:26" x14ac:dyDescent="0.25">
      <c r="A422" t="s">
        <v>987</v>
      </c>
      <c r="B422" t="s">
        <v>988</v>
      </c>
      <c r="C422" t="s">
        <v>113</v>
      </c>
      <c r="D422" t="s">
        <v>2917</v>
      </c>
      <c r="E422">
        <v>1.8</v>
      </c>
      <c r="F422" s="33">
        <v>2.4098000000000002</v>
      </c>
      <c r="G422" s="33" t="s">
        <v>117</v>
      </c>
      <c r="H422" t="s">
        <v>1310</v>
      </c>
      <c r="I422" t="str">
        <f>IF(quantInv[[#This Row],[Metal]] = "925 Silver",  "7113.11.00"," 7113.19.00")</f>
        <v>7113.11.00</v>
      </c>
      <c r="J422" t="str">
        <f>IF(quantInv[[#This Row],[Metal]] = "925 Silver", "7113.11.10.00"," 7113.19.10.00")</f>
        <v>7113.11.10.00</v>
      </c>
      <c r="K422" t="str">
        <f>IF(quantInv[[#This Row],[Metal]] = "925 Silver",  "7113.11.00"," 7113.19.00")</f>
        <v>7113.11.00</v>
      </c>
      <c r="L422" t="str">
        <f>IFERROR(VLOOKUP(quantInv[[#This Row],[Description for New Invoice]],Map!$G$12:$H$32,2,FALSE), IF(quantInv[[#This Row],[Metal]] = "925 Silver", "7113.11.10.00", "7113.19.29.00"))</f>
        <v>7113.11.50.00</v>
      </c>
      <c r="M422" t="str">
        <f>quantInv[[#This Row],[ASIN]] &amp; " " &amp; quantInv[[#This Row],[Short Description]]</f>
        <v>B06ZYZP4BW Earrings - Round Stud  petals</v>
      </c>
      <c r="N422" s="33">
        <f>quantInv[[#This Row],[UNIT
VALUE]] / EURtoGBP</f>
        <v>2.7354094657563017</v>
      </c>
      <c r="O422" s="33">
        <f>quantInv[[#This Row],[UNIT
VALUE]]/USDtoGBP</f>
        <v>3.3034354467479026</v>
      </c>
      <c r="P422" s="33">
        <f>quantInv[[#This Row],[UNIT
VALUE]] / CADtoGBP</f>
        <v>4.2285872714223798</v>
      </c>
      <c r="Q422" s="33">
        <f>quantInv[[#This Row],[UNIT
VALUE]]/AUDtoGBP</f>
        <v>4.3282563402543284</v>
      </c>
      <c r="R422" s="106">
        <f>IFERROR(VLOOKUP(quantInv[[#This Row],[Assigned Item SKU]],skuQuantity[#All],2,FALSE),0)</f>
        <v>0</v>
      </c>
      <c r="S422" t="str">
        <f>PROPER(quantInv[[#This Row],[Metal]] &amp; " " &amp; quantInv[[#This Row],[Item Type]])</f>
        <v>925 Silver Earrings</v>
      </c>
      <c r="T422" s="33">
        <f>quantInv[[#This Row],[Quantity]]*quantInv[[#This Row],[WEIGHT]]</f>
        <v>0</v>
      </c>
      <c r="U422" s="33">
        <f>quantInv[[#This Row],[UNIT
VALUE]]*quantInv[[#This Row],[Quantity]]</f>
        <v>0</v>
      </c>
      <c r="V422" s="33">
        <f>quantInv[[#This Row],[Total Cost GBP]]/EURtoGBP</f>
        <v>0</v>
      </c>
      <c r="W422" s="33">
        <f>quantInv[[#This Row],[Total Cost GBP]]/USDtoGBP</f>
        <v>0</v>
      </c>
      <c r="X422" s="33">
        <f>quantInv[[#This Row],[Total Cost GBP]]/CADtoGBP</f>
        <v>0</v>
      </c>
      <c r="Y422" s="33">
        <f>quantInv[[#This Row],[Quantity]]*quantInv[[#This Row],[UNIT
VALUE AUD]]</f>
        <v>0</v>
      </c>
      <c r="Z422" s="33"/>
    </row>
    <row r="423" spans="1:26" x14ac:dyDescent="0.25">
      <c r="A423" t="s">
        <v>42</v>
      </c>
      <c r="B423" t="s">
        <v>488</v>
      </c>
      <c r="C423" t="s">
        <v>114</v>
      </c>
      <c r="D423" t="s">
        <v>213</v>
      </c>
      <c r="E423">
        <v>2.0009803921568601</v>
      </c>
      <c r="F423" s="33">
        <v>2.1993</v>
      </c>
      <c r="G423" s="33" t="s">
        <v>117</v>
      </c>
      <c r="H423" t="s">
        <v>103</v>
      </c>
      <c r="I423" t="str">
        <f>IF(quantInv[[#This Row],[Metal]] = "925 Silver",  "7113.11.00"," 7113.19.00")</f>
        <v>7113.11.00</v>
      </c>
      <c r="J423" t="str">
        <f>IF(quantInv[[#This Row],[Metal]] = "925 Silver", "7113.11.10.00"," 7113.19.10.00")</f>
        <v>7113.11.10.00</v>
      </c>
      <c r="K423" t="str">
        <f>IF(quantInv[[#This Row],[Metal]] = "925 Silver",  "7113.11.00"," 7113.19.00")</f>
        <v>7113.11.00</v>
      </c>
      <c r="L423" t="str">
        <f>IFERROR(VLOOKUP(quantInv[[#This Row],[Description for New Invoice]],Map!$G$12:$H$32,2,FALSE), IF(quantInv[[#This Row],[Metal]] = "925 Silver", "7113.11.10.00", "7113.19.29.00"))</f>
        <v>7113.11.10.00</v>
      </c>
      <c r="M423" t="str">
        <f>quantInv[[#This Row],[ASIN]] &amp; " " &amp; quantInv[[#This Row],[Short Description]]</f>
        <v>B00DKD0874 Ball Chain</v>
      </c>
      <c r="N423" s="33">
        <f>quantInv[[#This Row],[UNIT
VALUE]] / EURtoGBP</f>
        <v>2.4964669425005535</v>
      </c>
      <c r="O423" s="33">
        <f>quantInv[[#This Row],[UNIT
VALUE]]/USDtoGBP</f>
        <v>3.0148749182640309</v>
      </c>
      <c r="P423" s="33">
        <f>quantInv[[#This Row],[UNIT
VALUE]] / CADtoGBP</f>
        <v>3.8592132069214204</v>
      </c>
      <c r="Q423" s="33">
        <f>quantInv[[#This Row],[UNIT
VALUE]]/AUDtoGBP</f>
        <v>3.9501760183921255</v>
      </c>
      <c r="R423">
        <f>IFERROR(VLOOKUP(quantInv[[#This Row],[Assigned Item SKU]],skuQuantity[#All],2,FALSE),0)</f>
        <v>50</v>
      </c>
      <c r="S423" t="str">
        <f>PROPER(quantInv[[#This Row],[Metal]] &amp; " " &amp; quantInv[[#This Row],[Item Type]])</f>
        <v>925 Silver Chain</v>
      </c>
      <c r="T423" s="33">
        <f>quantInv[[#This Row],[Quantity]]*quantInv[[#This Row],[WEIGHT]]</f>
        <v>100.04901960784301</v>
      </c>
      <c r="U423" s="33">
        <f>quantInv[[#This Row],[UNIT
VALUE]]*quantInv[[#This Row],[Quantity]]</f>
        <v>109.965</v>
      </c>
      <c r="V423" s="33">
        <f>quantInv[[#This Row],[Total Cost GBP]]/EURtoGBP</f>
        <v>124.82334712502767</v>
      </c>
      <c r="W423" s="33">
        <f>quantInv[[#This Row],[Total Cost GBP]]/USDtoGBP</f>
        <v>150.74374591320154</v>
      </c>
      <c r="X423" s="33">
        <f>quantInv[[#This Row],[Total Cost GBP]]/CADtoGBP</f>
        <v>192.96066034607102</v>
      </c>
      <c r="Y423" s="33">
        <f>quantInv[[#This Row],[Quantity]]*quantInv[[#This Row],[UNIT
VALUE AUD]]</f>
        <v>197.50880091960627</v>
      </c>
      <c r="Z423" s="33"/>
    </row>
    <row r="424" spans="1:26" x14ac:dyDescent="0.25">
      <c r="A424" t="s">
        <v>991</v>
      </c>
      <c r="B424" t="s">
        <v>992</v>
      </c>
      <c r="C424" t="s">
        <v>113</v>
      </c>
      <c r="D424" t="s">
        <v>2917</v>
      </c>
      <c r="E424">
        <v>1.8</v>
      </c>
      <c r="F424" s="33">
        <v>2.4098000000000002</v>
      </c>
      <c r="G424" s="33" t="s">
        <v>117</v>
      </c>
      <c r="H424" t="s">
        <v>1310</v>
      </c>
      <c r="I424" t="str">
        <f>IF(quantInv[[#This Row],[Metal]] = "925 Silver",  "7113.11.00"," 7113.19.00")</f>
        <v>7113.11.00</v>
      </c>
      <c r="J424" t="str">
        <f>IF(quantInv[[#This Row],[Metal]] = "925 Silver", "7113.11.10.00"," 7113.19.10.00")</f>
        <v>7113.11.10.00</v>
      </c>
      <c r="K424" t="str">
        <f>IF(quantInv[[#This Row],[Metal]] = "925 Silver",  "7113.11.00"," 7113.19.00")</f>
        <v>7113.11.00</v>
      </c>
      <c r="L424" t="str">
        <f>IFERROR(VLOOKUP(quantInv[[#This Row],[Description for New Invoice]],Map!$G$12:$H$32,2,FALSE), IF(quantInv[[#This Row],[Metal]] = "925 Silver", "7113.11.10.00", "7113.19.29.00"))</f>
        <v>7113.11.50.00</v>
      </c>
      <c r="M424" t="str">
        <f>quantInv[[#This Row],[ASIN]] &amp; " " &amp; quantInv[[#This Row],[Short Description]]</f>
        <v>B071R9FRCM Earrings - Round Stud  petals</v>
      </c>
      <c r="N424" s="33">
        <f>quantInv[[#This Row],[UNIT
VALUE]] / EURtoGBP</f>
        <v>2.7354094657563017</v>
      </c>
      <c r="O424" s="33">
        <f>quantInv[[#This Row],[UNIT
VALUE]]/USDtoGBP</f>
        <v>3.3034354467479026</v>
      </c>
      <c r="P424" s="33">
        <f>quantInv[[#This Row],[UNIT
VALUE]] / CADtoGBP</f>
        <v>4.2285872714223798</v>
      </c>
      <c r="Q424" s="33">
        <f>quantInv[[#This Row],[UNIT
VALUE]]/AUDtoGBP</f>
        <v>4.3282563402543284</v>
      </c>
      <c r="R424" s="106">
        <f>IFERROR(VLOOKUP(quantInv[[#This Row],[Assigned Item SKU]],skuQuantity[#All],2,FALSE),0)</f>
        <v>0</v>
      </c>
      <c r="S424" t="str">
        <f>PROPER(quantInv[[#This Row],[Metal]] &amp; " " &amp; quantInv[[#This Row],[Item Type]])</f>
        <v>925 Silver Earrings</v>
      </c>
      <c r="T424" s="33">
        <f>quantInv[[#This Row],[Quantity]]*quantInv[[#This Row],[WEIGHT]]</f>
        <v>0</v>
      </c>
      <c r="U424" s="33">
        <f>quantInv[[#This Row],[UNIT
VALUE]]*quantInv[[#This Row],[Quantity]]</f>
        <v>0</v>
      </c>
      <c r="V424" s="33">
        <f>quantInv[[#This Row],[Total Cost GBP]]/EURtoGBP</f>
        <v>0</v>
      </c>
      <c r="W424" s="33">
        <f>quantInv[[#This Row],[Total Cost GBP]]/USDtoGBP</f>
        <v>0</v>
      </c>
      <c r="X424" s="33">
        <f>quantInv[[#This Row],[Total Cost GBP]]/CADtoGBP</f>
        <v>0</v>
      </c>
      <c r="Y424" s="33">
        <f>quantInv[[#This Row],[Quantity]]*quantInv[[#This Row],[UNIT
VALUE AUD]]</f>
        <v>0</v>
      </c>
      <c r="Z424" s="33"/>
    </row>
    <row r="425" spans="1:26" x14ac:dyDescent="0.25">
      <c r="A425" t="s">
        <v>495</v>
      </c>
      <c r="B425" t="s">
        <v>496</v>
      </c>
      <c r="C425" t="s">
        <v>114</v>
      </c>
      <c r="D425" t="s">
        <v>494</v>
      </c>
      <c r="E425">
        <v>3.2775510204081599</v>
      </c>
      <c r="F425" s="33">
        <v>3.5821999999999998</v>
      </c>
      <c r="G425" s="33" t="s">
        <v>117</v>
      </c>
      <c r="H425" t="s">
        <v>1414</v>
      </c>
      <c r="I425" t="str">
        <f>IF(quantInv[[#This Row],[Metal]] = "925 Silver",  "7113.11.00"," 7113.19.00")</f>
        <v>7113.11.00</v>
      </c>
      <c r="J425" t="str">
        <f>IF(quantInv[[#This Row],[Metal]] = "925 Silver", "7113.11.10.00"," 7113.19.10.00")</f>
        <v>7113.11.10.00</v>
      </c>
      <c r="K425" t="str">
        <f>IF(quantInv[[#This Row],[Metal]] = "925 Silver",  "7113.11.00"," 7113.19.00")</f>
        <v>7113.11.00</v>
      </c>
      <c r="L425" t="str">
        <f>IFERROR(VLOOKUP(quantInv[[#This Row],[Description for New Invoice]],Map!$G$12:$H$32,2,FALSE), IF(quantInv[[#This Row],[Metal]] = "925 Silver", "7113.11.10.00", "7113.19.29.00"))</f>
        <v>7113.11.10.00</v>
      </c>
      <c r="M425" t="str">
        <f>quantInv[[#This Row],[ASIN]] &amp; " " &amp; quantInv[[#This Row],[Short Description]]</f>
        <v>B01MYAH52W Ball and Bar Chain</v>
      </c>
      <c r="N425" s="33">
        <f>quantInv[[#This Row],[UNIT
VALUE]] / EURtoGBP</f>
        <v>4.0662228351864149</v>
      </c>
      <c r="O425" s="33">
        <f>quantInv[[#This Row],[UNIT
VALUE]]/USDtoGBP</f>
        <v>4.9106010695245805</v>
      </c>
      <c r="P425" s="33">
        <f>quantInv[[#This Row],[UNIT
VALUE]] / CADtoGBP</f>
        <v>6.2858516572700003</v>
      </c>
      <c r="Q425" s="33">
        <f>quantInv[[#This Row],[UNIT
VALUE]]/AUDtoGBP</f>
        <v>6.4340110640132187</v>
      </c>
      <c r="R425">
        <f>IFERROR(VLOOKUP(quantInv[[#This Row],[Assigned Item SKU]],skuQuantity[#All],2,FALSE),0)</f>
        <v>5</v>
      </c>
      <c r="S425" t="str">
        <f>PROPER(quantInv[[#This Row],[Metal]] &amp; " " &amp; quantInv[[#This Row],[Item Type]])</f>
        <v>925 Silver Bracelet</v>
      </c>
      <c r="T425" s="33">
        <f>quantInv[[#This Row],[Quantity]]*quantInv[[#This Row],[WEIGHT]]</f>
        <v>16.387755102040799</v>
      </c>
      <c r="U425" s="33">
        <f>quantInv[[#This Row],[UNIT
VALUE]]*quantInv[[#This Row],[Quantity]]</f>
        <v>17.910999999999998</v>
      </c>
      <c r="V425" s="33">
        <f>quantInv[[#This Row],[Total Cost GBP]]/EURtoGBP</f>
        <v>20.331114175932072</v>
      </c>
      <c r="W425" s="33">
        <f>quantInv[[#This Row],[Total Cost GBP]]/USDtoGBP</f>
        <v>24.553005347622904</v>
      </c>
      <c r="X425" s="33">
        <f>quantInv[[#This Row],[Total Cost GBP]]/CADtoGBP</f>
        <v>31.429258286349999</v>
      </c>
      <c r="Y425" s="33">
        <f>quantInv[[#This Row],[Quantity]]*quantInv[[#This Row],[UNIT
VALUE AUD]]</f>
        <v>32.170055320066091</v>
      </c>
      <c r="Z425" s="33"/>
    </row>
    <row r="426" spans="1:26" x14ac:dyDescent="0.25">
      <c r="A426" t="s">
        <v>994</v>
      </c>
      <c r="B426" t="s">
        <v>995</v>
      </c>
      <c r="C426" t="s">
        <v>113</v>
      </c>
      <c r="D426" t="s">
        <v>2918</v>
      </c>
      <c r="E426">
        <v>2.4</v>
      </c>
      <c r="F426" s="33">
        <v>3.1762000000000001</v>
      </c>
      <c r="G426" s="33" t="s">
        <v>117</v>
      </c>
      <c r="H426" t="s">
        <v>1310</v>
      </c>
      <c r="I426" t="str">
        <f>IF(quantInv[[#This Row],[Metal]] = "925 Silver",  "7113.11.00"," 7113.19.00")</f>
        <v>7113.11.00</v>
      </c>
      <c r="J426" t="str">
        <f>IF(quantInv[[#This Row],[Metal]] = "925 Silver", "7113.11.10.00"," 7113.19.10.00")</f>
        <v>7113.11.10.00</v>
      </c>
      <c r="K426" t="str">
        <f>IF(quantInv[[#This Row],[Metal]] = "925 Silver",  "7113.11.00"," 7113.19.00")</f>
        <v>7113.11.00</v>
      </c>
      <c r="L426" t="str">
        <f>IFERROR(VLOOKUP(quantInv[[#This Row],[Description for New Invoice]],Map!$G$12:$H$32,2,FALSE), IF(quantInv[[#This Row],[Metal]] = "925 Silver", "7113.11.10.00", "7113.19.29.00"))</f>
        <v>7113.11.50.00</v>
      </c>
      <c r="M426" t="str">
        <f>quantInv[[#This Row],[ASIN]] &amp; " " &amp; quantInv[[#This Row],[Short Description]]</f>
        <v>B06ZYZP65S Earrings - stud  heart shape  complex</v>
      </c>
      <c r="N426" s="33">
        <f>quantInv[[#This Row],[UNIT
VALUE]] / EURtoGBP</f>
        <v>3.6053645718047824</v>
      </c>
      <c r="O426" s="33">
        <f>quantInv[[#This Row],[UNIT
VALUE]]/USDtoGBP</f>
        <v>4.3540425205248106</v>
      </c>
      <c r="P426" s="33">
        <f>quantInv[[#This Row],[UNIT
VALUE]] / CADtoGBP</f>
        <v>5.5734247205128069</v>
      </c>
      <c r="Q426" s="33">
        <f>quantInv[[#This Row],[UNIT
VALUE]]/AUDtoGBP</f>
        <v>5.7047920109203245</v>
      </c>
      <c r="R426">
        <f>IFERROR(VLOOKUP(quantInv[[#This Row],[Assigned Item SKU]],skuQuantity[#All],2,FALSE),0)</f>
        <v>0</v>
      </c>
      <c r="S426" t="str">
        <f>PROPER(quantInv[[#This Row],[Metal]] &amp; " " &amp; quantInv[[#This Row],[Item Type]])</f>
        <v>925 Silver Earrings</v>
      </c>
      <c r="T426" s="33">
        <f>quantInv[[#This Row],[Quantity]]*quantInv[[#This Row],[WEIGHT]]</f>
        <v>0</v>
      </c>
      <c r="U426" s="33">
        <f>quantInv[[#This Row],[UNIT
VALUE]]*quantInv[[#This Row],[Quantity]]</f>
        <v>0</v>
      </c>
      <c r="V426" s="33">
        <f>quantInv[[#This Row],[Total Cost GBP]]/EURtoGBP</f>
        <v>0</v>
      </c>
      <c r="W426" s="33">
        <f>quantInv[[#This Row],[Total Cost GBP]]/USDtoGBP</f>
        <v>0</v>
      </c>
      <c r="X426" s="33">
        <f>quantInv[[#This Row],[Total Cost GBP]]/CADtoGBP</f>
        <v>0</v>
      </c>
      <c r="Y426" s="33">
        <f>quantInv[[#This Row],[Quantity]]*quantInv[[#This Row],[UNIT
VALUE AUD]]</f>
        <v>0</v>
      </c>
      <c r="Z426" s="33"/>
    </row>
    <row r="427" spans="1:26" x14ac:dyDescent="0.25">
      <c r="A427" t="s">
        <v>996</v>
      </c>
      <c r="B427" t="s">
        <v>997</v>
      </c>
      <c r="C427" t="s">
        <v>113</v>
      </c>
      <c r="D427" t="s">
        <v>2918</v>
      </c>
      <c r="E427">
        <v>2.4</v>
      </c>
      <c r="F427" s="33">
        <v>3.1762000000000001</v>
      </c>
      <c r="G427" s="33" t="s">
        <v>117</v>
      </c>
      <c r="H427" t="s">
        <v>1310</v>
      </c>
      <c r="I427" t="str">
        <f>IF(quantInv[[#This Row],[Metal]] = "925 Silver",  "7113.11.00"," 7113.19.00")</f>
        <v>7113.11.00</v>
      </c>
      <c r="J427" t="str">
        <f>IF(quantInv[[#This Row],[Metal]] = "925 Silver", "7113.11.10.00"," 7113.19.10.00")</f>
        <v>7113.11.10.00</v>
      </c>
      <c r="K427" t="str">
        <f>IF(quantInv[[#This Row],[Metal]] = "925 Silver",  "7113.11.00"," 7113.19.00")</f>
        <v>7113.11.00</v>
      </c>
      <c r="L427" t="str">
        <f>IFERROR(VLOOKUP(quantInv[[#This Row],[Description for New Invoice]],Map!$G$12:$H$32,2,FALSE), IF(quantInv[[#This Row],[Metal]] = "925 Silver", "7113.11.10.00", "7113.19.29.00"))</f>
        <v>7113.11.50.00</v>
      </c>
      <c r="M427" t="str">
        <f>quantInv[[#This Row],[ASIN]] &amp; " " &amp; quantInv[[#This Row],[Short Description]]</f>
        <v>B071XRDYD3 Earrings - stud  heart shape  complex</v>
      </c>
      <c r="N427" s="33">
        <f>quantInv[[#This Row],[UNIT
VALUE]] / EURtoGBP</f>
        <v>3.6053645718047824</v>
      </c>
      <c r="O427" s="33">
        <f>quantInv[[#This Row],[UNIT
VALUE]]/USDtoGBP</f>
        <v>4.3540425205248106</v>
      </c>
      <c r="P427" s="33">
        <f>quantInv[[#This Row],[UNIT
VALUE]] / CADtoGBP</f>
        <v>5.5734247205128069</v>
      </c>
      <c r="Q427" s="33">
        <f>quantInv[[#This Row],[UNIT
VALUE]]/AUDtoGBP</f>
        <v>5.7047920109203245</v>
      </c>
      <c r="R427">
        <f>IFERROR(VLOOKUP(quantInv[[#This Row],[Assigned Item SKU]],skuQuantity[#All],2,FALSE),0)</f>
        <v>0</v>
      </c>
      <c r="S427" t="str">
        <f>PROPER(quantInv[[#This Row],[Metal]] &amp; " " &amp; quantInv[[#This Row],[Item Type]])</f>
        <v>925 Silver Earrings</v>
      </c>
      <c r="T427" s="33">
        <f>quantInv[[#This Row],[Quantity]]*quantInv[[#This Row],[WEIGHT]]</f>
        <v>0</v>
      </c>
      <c r="U427" s="33">
        <f>quantInv[[#This Row],[UNIT
VALUE]]*quantInv[[#This Row],[Quantity]]</f>
        <v>0</v>
      </c>
      <c r="V427" s="33">
        <f>quantInv[[#This Row],[Total Cost GBP]]/EURtoGBP</f>
        <v>0</v>
      </c>
      <c r="W427" s="33">
        <f>quantInv[[#This Row],[Total Cost GBP]]/USDtoGBP</f>
        <v>0</v>
      </c>
      <c r="X427" s="33">
        <f>quantInv[[#This Row],[Total Cost GBP]]/CADtoGBP</f>
        <v>0</v>
      </c>
      <c r="Y427" s="33">
        <f>quantInv[[#This Row],[Quantity]]*quantInv[[#This Row],[UNIT
VALUE AUD]]</f>
        <v>0</v>
      </c>
      <c r="Z427" s="33"/>
    </row>
    <row r="428" spans="1:26" x14ac:dyDescent="0.25">
      <c r="A428" t="s">
        <v>998</v>
      </c>
      <c r="B428" t="s">
        <v>999</v>
      </c>
      <c r="C428" t="s">
        <v>113</v>
      </c>
      <c r="D428" t="s">
        <v>2918</v>
      </c>
      <c r="E428">
        <v>2.4</v>
      </c>
      <c r="F428" s="33">
        <v>3.1762000000000001</v>
      </c>
      <c r="G428" s="33" t="s">
        <v>117</v>
      </c>
      <c r="H428" t="s">
        <v>1310</v>
      </c>
      <c r="I428" t="str">
        <f>IF(quantInv[[#This Row],[Metal]] = "925 Silver",  "7113.11.00"," 7113.19.00")</f>
        <v>7113.11.00</v>
      </c>
      <c r="J428" t="str">
        <f>IF(quantInv[[#This Row],[Metal]] = "925 Silver", "7113.11.10.00"," 7113.19.10.00")</f>
        <v>7113.11.10.00</v>
      </c>
      <c r="K428" t="str">
        <f>IF(quantInv[[#This Row],[Metal]] = "925 Silver",  "7113.11.00"," 7113.19.00")</f>
        <v>7113.11.00</v>
      </c>
      <c r="L428" t="str">
        <f>IFERROR(VLOOKUP(quantInv[[#This Row],[Description for New Invoice]],Map!$G$12:$H$32,2,FALSE), IF(quantInv[[#This Row],[Metal]] = "925 Silver", "7113.11.10.00", "7113.19.29.00"))</f>
        <v>7113.11.50.00</v>
      </c>
      <c r="M428" t="str">
        <f>quantInv[[#This Row],[ASIN]] &amp; " " &amp; quantInv[[#This Row],[Short Description]]</f>
        <v>B06ZZ8YGYG Earrings - stud  heart shape  complex</v>
      </c>
      <c r="N428" s="33">
        <f>quantInv[[#This Row],[UNIT
VALUE]] / EURtoGBP</f>
        <v>3.6053645718047824</v>
      </c>
      <c r="O428" s="33">
        <f>quantInv[[#This Row],[UNIT
VALUE]]/USDtoGBP</f>
        <v>4.3540425205248106</v>
      </c>
      <c r="P428" s="33">
        <f>quantInv[[#This Row],[UNIT
VALUE]] / CADtoGBP</f>
        <v>5.5734247205128069</v>
      </c>
      <c r="Q428" s="33">
        <f>quantInv[[#This Row],[UNIT
VALUE]]/AUDtoGBP</f>
        <v>5.7047920109203245</v>
      </c>
      <c r="R428">
        <f>IFERROR(VLOOKUP(quantInv[[#This Row],[Assigned Item SKU]],skuQuantity[#All],2,FALSE),0)</f>
        <v>0</v>
      </c>
      <c r="S428" t="str">
        <f>PROPER(quantInv[[#This Row],[Metal]] &amp; " " &amp; quantInv[[#This Row],[Item Type]])</f>
        <v>925 Silver Earrings</v>
      </c>
      <c r="T428" s="33">
        <f>quantInv[[#This Row],[Quantity]]*quantInv[[#This Row],[WEIGHT]]</f>
        <v>0</v>
      </c>
      <c r="U428" s="33">
        <f>quantInv[[#This Row],[UNIT
VALUE]]*quantInv[[#This Row],[Quantity]]</f>
        <v>0</v>
      </c>
      <c r="V428" s="33">
        <f>quantInv[[#This Row],[Total Cost GBP]]/EURtoGBP</f>
        <v>0</v>
      </c>
      <c r="W428" s="33">
        <f>quantInv[[#This Row],[Total Cost GBP]]/USDtoGBP</f>
        <v>0</v>
      </c>
      <c r="X428" s="33">
        <f>quantInv[[#This Row],[Total Cost GBP]]/CADtoGBP</f>
        <v>0</v>
      </c>
      <c r="Y428" s="33">
        <f>quantInv[[#This Row],[Quantity]]*quantInv[[#This Row],[UNIT
VALUE AUD]]</f>
        <v>0</v>
      </c>
      <c r="Z428" s="33"/>
    </row>
    <row r="429" spans="1:26" x14ac:dyDescent="0.25">
      <c r="A429" t="s">
        <v>1000</v>
      </c>
      <c r="B429" t="s">
        <v>1001</v>
      </c>
      <c r="C429" t="s">
        <v>113</v>
      </c>
      <c r="D429" t="s">
        <v>2919</v>
      </c>
      <c r="E429">
        <v>2</v>
      </c>
      <c r="F429" s="33">
        <v>2.6652999999999998</v>
      </c>
      <c r="G429" s="33" t="s">
        <v>117</v>
      </c>
      <c r="H429" t="s">
        <v>1310</v>
      </c>
      <c r="I429" t="str">
        <f>IF(quantInv[[#This Row],[Metal]] = "925 Silver",  "7113.11.00"," 7113.19.00")</f>
        <v>7113.11.00</v>
      </c>
      <c r="J429" t="str">
        <f>IF(quantInv[[#This Row],[Metal]] = "925 Silver", "7113.11.10.00"," 7113.19.10.00")</f>
        <v>7113.11.10.00</v>
      </c>
      <c r="K429" t="str">
        <f>IF(quantInv[[#This Row],[Metal]] = "925 Silver",  "7113.11.00"," 7113.19.00")</f>
        <v>7113.11.00</v>
      </c>
      <c r="L429" t="str">
        <f>IFERROR(VLOOKUP(quantInv[[#This Row],[Description for New Invoice]],Map!$G$12:$H$32,2,FALSE), IF(quantInv[[#This Row],[Metal]] = "925 Silver", "7113.11.10.00", "7113.19.29.00"))</f>
        <v>7113.11.50.00</v>
      </c>
      <c r="M429" t="str">
        <f>quantInv[[#This Row],[ASIN]] &amp; " " &amp; quantInv[[#This Row],[Short Description]]</f>
        <v>B06ZYPQ59C Earrings - stud  heart shape</v>
      </c>
      <c r="N429" s="33">
        <f>quantInv[[#This Row],[UNIT
VALUE]] / EURtoGBP</f>
        <v>3.0254323384016391</v>
      </c>
      <c r="O429" s="33">
        <f>quantInv[[#This Row],[UNIT
VALUE]]/USDtoGBP</f>
        <v>3.6536834991356888</v>
      </c>
      <c r="P429" s="33">
        <f>quantInv[[#This Row],[UNIT
VALUE]] / CADtoGBP</f>
        <v>4.6769249126575101</v>
      </c>
      <c r="Q429" s="33">
        <f>quantInv[[#This Row],[UNIT
VALUE]]/AUDtoGBP</f>
        <v>4.7871614340110638</v>
      </c>
      <c r="R429">
        <f>IFERROR(VLOOKUP(quantInv[[#This Row],[Assigned Item SKU]],skuQuantity[#All],2,FALSE),0)</f>
        <v>0</v>
      </c>
      <c r="S429" t="str">
        <f>PROPER(quantInv[[#This Row],[Metal]] &amp; " " &amp; quantInv[[#This Row],[Item Type]])</f>
        <v>925 Silver Earrings</v>
      </c>
      <c r="T429" s="33">
        <f>quantInv[[#This Row],[Quantity]]*quantInv[[#This Row],[WEIGHT]]</f>
        <v>0</v>
      </c>
      <c r="U429" s="33">
        <f>quantInv[[#This Row],[UNIT
VALUE]]*quantInv[[#This Row],[Quantity]]</f>
        <v>0</v>
      </c>
      <c r="V429" s="33">
        <f>quantInv[[#This Row],[Total Cost GBP]]/EURtoGBP</f>
        <v>0</v>
      </c>
      <c r="W429" s="33">
        <f>quantInv[[#This Row],[Total Cost GBP]]/USDtoGBP</f>
        <v>0</v>
      </c>
      <c r="X429" s="33">
        <f>quantInv[[#This Row],[Total Cost GBP]]/CADtoGBP</f>
        <v>0</v>
      </c>
      <c r="Y429" s="33">
        <f>quantInv[[#This Row],[Quantity]]*quantInv[[#This Row],[UNIT
VALUE AUD]]</f>
        <v>0</v>
      </c>
      <c r="Z429" s="33"/>
    </row>
    <row r="430" spans="1:26" x14ac:dyDescent="0.25">
      <c r="A430" t="s">
        <v>1002</v>
      </c>
      <c r="B430" t="s">
        <v>1003</v>
      </c>
      <c r="C430" t="s">
        <v>113</v>
      </c>
      <c r="D430" t="s">
        <v>2919</v>
      </c>
      <c r="E430">
        <v>2</v>
      </c>
      <c r="F430" s="33">
        <v>2.6652999999999998</v>
      </c>
      <c r="G430" s="33" t="s">
        <v>117</v>
      </c>
      <c r="H430" t="s">
        <v>1310</v>
      </c>
      <c r="I430" t="str">
        <f>IF(quantInv[[#This Row],[Metal]] = "925 Silver",  "7113.11.00"," 7113.19.00")</f>
        <v>7113.11.00</v>
      </c>
      <c r="J430" t="str">
        <f>IF(quantInv[[#This Row],[Metal]] = "925 Silver", "7113.11.10.00"," 7113.19.10.00")</f>
        <v>7113.11.10.00</v>
      </c>
      <c r="K430" t="str">
        <f>IF(quantInv[[#This Row],[Metal]] = "925 Silver",  "7113.11.00"," 7113.19.00")</f>
        <v>7113.11.00</v>
      </c>
      <c r="L430" t="str">
        <f>IFERROR(VLOOKUP(quantInv[[#This Row],[Description for New Invoice]],Map!$G$12:$H$32,2,FALSE), IF(quantInv[[#This Row],[Metal]] = "925 Silver", "7113.11.10.00", "7113.19.29.00"))</f>
        <v>7113.11.50.00</v>
      </c>
      <c r="M430" t="str">
        <f>quantInv[[#This Row],[ASIN]] &amp; " " &amp; quantInv[[#This Row],[Short Description]]</f>
        <v>B06ZYZP8D2 Earrings - stud  heart shape</v>
      </c>
      <c r="N430" s="33">
        <f>quantInv[[#This Row],[UNIT
VALUE]] / EURtoGBP</f>
        <v>3.0254323384016391</v>
      </c>
      <c r="O430" s="33">
        <f>quantInv[[#This Row],[UNIT
VALUE]]/USDtoGBP</f>
        <v>3.6536834991356888</v>
      </c>
      <c r="P430" s="33">
        <f>quantInv[[#This Row],[UNIT
VALUE]] / CADtoGBP</f>
        <v>4.6769249126575101</v>
      </c>
      <c r="Q430" s="33">
        <f>quantInv[[#This Row],[UNIT
VALUE]]/AUDtoGBP</f>
        <v>4.7871614340110638</v>
      </c>
      <c r="R430">
        <f>IFERROR(VLOOKUP(quantInv[[#This Row],[Assigned Item SKU]],skuQuantity[#All],2,FALSE),0)</f>
        <v>0</v>
      </c>
      <c r="S430" t="str">
        <f>PROPER(quantInv[[#This Row],[Metal]] &amp; " " &amp; quantInv[[#This Row],[Item Type]])</f>
        <v>925 Silver Earrings</v>
      </c>
      <c r="T430" s="33">
        <f>quantInv[[#This Row],[Quantity]]*quantInv[[#This Row],[WEIGHT]]</f>
        <v>0</v>
      </c>
      <c r="U430" s="33">
        <f>quantInv[[#This Row],[UNIT
VALUE]]*quantInv[[#This Row],[Quantity]]</f>
        <v>0</v>
      </c>
      <c r="V430" s="33">
        <f>quantInv[[#This Row],[Total Cost GBP]]/EURtoGBP</f>
        <v>0</v>
      </c>
      <c r="W430" s="33">
        <f>quantInv[[#This Row],[Total Cost GBP]]/USDtoGBP</f>
        <v>0</v>
      </c>
      <c r="X430" s="33">
        <f>quantInv[[#This Row],[Total Cost GBP]]/CADtoGBP</f>
        <v>0</v>
      </c>
      <c r="Y430" s="33">
        <f>quantInv[[#This Row],[Quantity]]*quantInv[[#This Row],[UNIT
VALUE AUD]]</f>
        <v>0</v>
      </c>
      <c r="Z430" s="33"/>
    </row>
    <row r="431" spans="1:26" x14ac:dyDescent="0.25">
      <c r="A431" t="s">
        <v>1004</v>
      </c>
      <c r="B431" t="s">
        <v>1005</v>
      </c>
      <c r="C431" t="s">
        <v>113</v>
      </c>
      <c r="D431" t="s">
        <v>2919</v>
      </c>
      <c r="E431">
        <v>2</v>
      </c>
      <c r="F431" s="33">
        <v>2.6652999999999998</v>
      </c>
      <c r="G431" s="33" t="s">
        <v>117</v>
      </c>
      <c r="H431" t="s">
        <v>1310</v>
      </c>
      <c r="I431" t="str">
        <f>IF(quantInv[[#This Row],[Metal]] = "925 Silver",  "7113.11.00"," 7113.19.00")</f>
        <v>7113.11.00</v>
      </c>
      <c r="J431" t="str">
        <f>IF(quantInv[[#This Row],[Metal]] = "925 Silver", "7113.11.10.00"," 7113.19.10.00")</f>
        <v>7113.11.10.00</v>
      </c>
      <c r="K431" t="str">
        <f>IF(quantInv[[#This Row],[Metal]] = "925 Silver",  "7113.11.00"," 7113.19.00")</f>
        <v>7113.11.00</v>
      </c>
      <c r="L431" t="str">
        <f>IFERROR(VLOOKUP(quantInv[[#This Row],[Description for New Invoice]],Map!$G$12:$H$32,2,FALSE), IF(quantInv[[#This Row],[Metal]] = "925 Silver", "7113.11.10.00", "7113.19.29.00"))</f>
        <v>7113.11.50.00</v>
      </c>
      <c r="M431" t="str">
        <f>quantInv[[#This Row],[ASIN]] &amp; " " &amp; quantInv[[#This Row],[Short Description]]</f>
        <v>B06ZY4LS3Y Earrings - stud  heart shape</v>
      </c>
      <c r="N431" s="33">
        <f>quantInv[[#This Row],[UNIT
VALUE]] / EURtoGBP</f>
        <v>3.0254323384016391</v>
      </c>
      <c r="O431" s="33">
        <f>quantInv[[#This Row],[UNIT
VALUE]]/USDtoGBP</f>
        <v>3.6536834991356888</v>
      </c>
      <c r="P431" s="33">
        <f>quantInv[[#This Row],[UNIT
VALUE]] / CADtoGBP</f>
        <v>4.6769249126575101</v>
      </c>
      <c r="Q431" s="33">
        <f>quantInv[[#This Row],[UNIT
VALUE]]/AUDtoGBP</f>
        <v>4.7871614340110638</v>
      </c>
      <c r="R431">
        <f>IFERROR(VLOOKUP(quantInv[[#This Row],[Assigned Item SKU]],skuQuantity[#All],2,FALSE),0)</f>
        <v>0</v>
      </c>
      <c r="S431" t="str">
        <f>PROPER(quantInv[[#This Row],[Metal]] &amp; " " &amp; quantInv[[#This Row],[Item Type]])</f>
        <v>925 Silver Earrings</v>
      </c>
      <c r="T431" s="33">
        <f>quantInv[[#This Row],[Quantity]]*quantInv[[#This Row],[WEIGHT]]</f>
        <v>0</v>
      </c>
      <c r="U431" s="33">
        <f>quantInv[[#This Row],[UNIT
VALUE]]*quantInv[[#This Row],[Quantity]]</f>
        <v>0</v>
      </c>
      <c r="V431" s="33">
        <f>quantInv[[#This Row],[Total Cost GBP]]/EURtoGBP</f>
        <v>0</v>
      </c>
      <c r="W431" s="33">
        <f>quantInv[[#This Row],[Total Cost GBP]]/USDtoGBP</f>
        <v>0</v>
      </c>
      <c r="X431" s="33">
        <f>quantInv[[#This Row],[Total Cost GBP]]/CADtoGBP</f>
        <v>0</v>
      </c>
      <c r="Y431" s="33">
        <f>quantInv[[#This Row],[Quantity]]*quantInv[[#This Row],[UNIT
VALUE AUD]]</f>
        <v>0</v>
      </c>
      <c r="Z431" s="33"/>
    </row>
    <row r="432" spans="1:26" x14ac:dyDescent="0.25">
      <c r="A432" t="s">
        <v>1006</v>
      </c>
      <c r="B432" t="s">
        <v>1007</v>
      </c>
      <c r="C432" t="s">
        <v>113</v>
      </c>
      <c r="D432" t="s">
        <v>2919</v>
      </c>
      <c r="E432">
        <v>2</v>
      </c>
      <c r="F432" s="33">
        <v>2.6652999999999998</v>
      </c>
      <c r="G432" s="33" t="s">
        <v>117</v>
      </c>
      <c r="H432" t="s">
        <v>1310</v>
      </c>
      <c r="I432" t="str">
        <f>IF(quantInv[[#This Row],[Metal]] = "925 Silver",  "7113.11.00"," 7113.19.00")</f>
        <v>7113.11.00</v>
      </c>
      <c r="J432" t="str">
        <f>IF(quantInv[[#This Row],[Metal]] = "925 Silver", "7113.11.10.00"," 7113.19.10.00")</f>
        <v>7113.11.10.00</v>
      </c>
      <c r="K432" t="str">
        <f>IF(quantInv[[#This Row],[Metal]] = "925 Silver",  "7113.11.00"," 7113.19.00")</f>
        <v>7113.11.00</v>
      </c>
      <c r="L432" t="str">
        <f>IFERROR(VLOOKUP(quantInv[[#This Row],[Description for New Invoice]],Map!$G$12:$H$32,2,FALSE), IF(quantInv[[#This Row],[Metal]] = "925 Silver", "7113.11.10.00", "7113.19.29.00"))</f>
        <v>7113.11.50.00</v>
      </c>
      <c r="M432" t="str">
        <f>quantInv[[#This Row],[ASIN]] &amp; " " &amp; quantInv[[#This Row],[Short Description]]</f>
        <v>B06ZZTKMY4 Earrings - stud  heart shape</v>
      </c>
      <c r="N432" s="33">
        <f>quantInv[[#This Row],[UNIT
VALUE]] / EURtoGBP</f>
        <v>3.0254323384016391</v>
      </c>
      <c r="O432" s="33">
        <f>quantInv[[#This Row],[UNIT
VALUE]]/USDtoGBP</f>
        <v>3.6536834991356888</v>
      </c>
      <c r="P432" s="33">
        <f>quantInv[[#This Row],[UNIT
VALUE]] / CADtoGBP</f>
        <v>4.6769249126575101</v>
      </c>
      <c r="Q432" s="33">
        <f>quantInv[[#This Row],[UNIT
VALUE]]/AUDtoGBP</f>
        <v>4.7871614340110638</v>
      </c>
      <c r="R432">
        <f>IFERROR(VLOOKUP(quantInv[[#This Row],[Assigned Item SKU]],skuQuantity[#All],2,FALSE),0)</f>
        <v>0</v>
      </c>
      <c r="S432" t="str">
        <f>PROPER(quantInv[[#This Row],[Metal]] &amp; " " &amp; quantInv[[#This Row],[Item Type]])</f>
        <v>925 Silver Earrings</v>
      </c>
      <c r="T432" s="33">
        <f>quantInv[[#This Row],[Quantity]]*quantInv[[#This Row],[WEIGHT]]</f>
        <v>0</v>
      </c>
      <c r="U432" s="33">
        <f>quantInv[[#This Row],[UNIT
VALUE]]*quantInv[[#This Row],[Quantity]]</f>
        <v>0</v>
      </c>
      <c r="V432" s="33">
        <f>quantInv[[#This Row],[Total Cost GBP]]/EURtoGBP</f>
        <v>0</v>
      </c>
      <c r="W432" s="33">
        <f>quantInv[[#This Row],[Total Cost GBP]]/USDtoGBP</f>
        <v>0</v>
      </c>
      <c r="X432" s="33">
        <f>quantInv[[#This Row],[Total Cost GBP]]/CADtoGBP</f>
        <v>0</v>
      </c>
      <c r="Y432" s="33">
        <f>quantInv[[#This Row],[Quantity]]*quantInv[[#This Row],[UNIT
VALUE AUD]]</f>
        <v>0</v>
      </c>
      <c r="Z432" s="33"/>
    </row>
    <row r="433" spans="1:26" x14ac:dyDescent="0.25">
      <c r="A433" t="s">
        <v>1008</v>
      </c>
      <c r="B433" t="s">
        <v>1009</v>
      </c>
      <c r="C433" t="s">
        <v>113</v>
      </c>
      <c r="D433" t="s">
        <v>2919</v>
      </c>
      <c r="E433">
        <v>2</v>
      </c>
      <c r="F433" s="33">
        <v>2.6652999999999998</v>
      </c>
      <c r="G433" s="33" t="s">
        <v>117</v>
      </c>
      <c r="H433" t="s">
        <v>1310</v>
      </c>
      <c r="I433" t="str">
        <f>IF(quantInv[[#This Row],[Metal]] = "925 Silver",  "7113.11.00"," 7113.19.00")</f>
        <v>7113.11.00</v>
      </c>
      <c r="J433" t="str">
        <f>IF(quantInv[[#This Row],[Metal]] = "925 Silver", "7113.11.10.00"," 7113.19.10.00")</f>
        <v>7113.11.10.00</v>
      </c>
      <c r="K433" t="str">
        <f>IF(quantInv[[#This Row],[Metal]] = "925 Silver",  "7113.11.00"," 7113.19.00")</f>
        <v>7113.11.00</v>
      </c>
      <c r="L433" t="str">
        <f>IFERROR(VLOOKUP(quantInv[[#This Row],[Description for New Invoice]],Map!$G$12:$H$32,2,FALSE), IF(quantInv[[#This Row],[Metal]] = "925 Silver", "7113.11.10.00", "7113.19.29.00"))</f>
        <v>7113.11.50.00</v>
      </c>
      <c r="M433" t="str">
        <f>quantInv[[#This Row],[ASIN]] &amp; " " &amp; quantInv[[#This Row],[Short Description]]</f>
        <v>B071CS9HKW Earrings - stud  heart shape</v>
      </c>
      <c r="N433" s="33">
        <f>quantInv[[#This Row],[UNIT
VALUE]] / EURtoGBP</f>
        <v>3.0254323384016391</v>
      </c>
      <c r="O433" s="33">
        <f>quantInv[[#This Row],[UNIT
VALUE]]/USDtoGBP</f>
        <v>3.6536834991356888</v>
      </c>
      <c r="P433" s="33">
        <f>quantInv[[#This Row],[UNIT
VALUE]] / CADtoGBP</f>
        <v>4.6769249126575101</v>
      </c>
      <c r="Q433" s="33">
        <f>quantInv[[#This Row],[UNIT
VALUE]]/AUDtoGBP</f>
        <v>4.7871614340110638</v>
      </c>
      <c r="R433">
        <f>IFERROR(VLOOKUP(quantInv[[#This Row],[Assigned Item SKU]],skuQuantity[#All],2,FALSE),0)</f>
        <v>0</v>
      </c>
      <c r="S433" t="str">
        <f>PROPER(quantInv[[#This Row],[Metal]] &amp; " " &amp; quantInv[[#This Row],[Item Type]])</f>
        <v>925 Silver Earrings</v>
      </c>
      <c r="T433" s="33">
        <f>quantInv[[#This Row],[Quantity]]*quantInv[[#This Row],[WEIGHT]]</f>
        <v>0</v>
      </c>
      <c r="U433" s="33">
        <f>quantInv[[#This Row],[UNIT
VALUE]]*quantInv[[#This Row],[Quantity]]</f>
        <v>0</v>
      </c>
      <c r="V433" s="33">
        <f>quantInv[[#This Row],[Total Cost GBP]]/EURtoGBP</f>
        <v>0</v>
      </c>
      <c r="W433" s="33">
        <f>quantInv[[#This Row],[Total Cost GBP]]/USDtoGBP</f>
        <v>0</v>
      </c>
      <c r="X433" s="33">
        <f>quantInv[[#This Row],[Total Cost GBP]]/CADtoGBP</f>
        <v>0</v>
      </c>
      <c r="Y433" s="33">
        <f>quantInv[[#This Row],[Quantity]]*quantInv[[#This Row],[UNIT
VALUE AUD]]</f>
        <v>0</v>
      </c>
      <c r="Z433" s="33"/>
    </row>
    <row r="434" spans="1:26" x14ac:dyDescent="0.25">
      <c r="A434" t="s">
        <v>1010</v>
      </c>
      <c r="B434" t="s">
        <v>1011</v>
      </c>
      <c r="C434" t="s">
        <v>113</v>
      </c>
      <c r="D434" t="s">
        <v>2920</v>
      </c>
      <c r="E434">
        <v>1.8</v>
      </c>
      <c r="F434" s="33">
        <v>2.4098000000000002</v>
      </c>
      <c r="G434" s="33" t="s">
        <v>117</v>
      </c>
      <c r="H434" t="s">
        <v>1310</v>
      </c>
      <c r="I434" t="str">
        <f>IF(quantInv[[#This Row],[Metal]] = "925 Silver",  "7113.11.00"," 7113.19.00")</f>
        <v>7113.11.00</v>
      </c>
      <c r="J434" t="str">
        <f>IF(quantInv[[#This Row],[Metal]] = "925 Silver", "7113.11.10.00"," 7113.19.10.00")</f>
        <v>7113.11.10.00</v>
      </c>
      <c r="K434" t="str">
        <f>IF(quantInv[[#This Row],[Metal]] = "925 Silver",  "7113.11.00"," 7113.19.00")</f>
        <v>7113.11.00</v>
      </c>
      <c r="L434" t="str">
        <f>IFERROR(VLOOKUP(quantInv[[#This Row],[Description for New Invoice]],Map!$G$12:$H$32,2,FALSE), IF(quantInv[[#This Row],[Metal]] = "925 Silver", "7113.11.10.00", "7113.19.29.00"))</f>
        <v>7113.11.50.00</v>
      </c>
      <c r="M434" t="str">
        <f>quantInv[[#This Row],[ASIN]] &amp; " " &amp; quantInv[[#This Row],[Short Description]]</f>
        <v>B06ZYF4ZMZ Earrings - Trangles  stud</v>
      </c>
      <c r="N434" s="33">
        <f>quantInv[[#This Row],[UNIT
VALUE]] / EURtoGBP</f>
        <v>2.7354094657563017</v>
      </c>
      <c r="O434" s="33">
        <f>quantInv[[#This Row],[UNIT
VALUE]]/USDtoGBP</f>
        <v>3.3034354467479026</v>
      </c>
      <c r="P434" s="33">
        <f>quantInv[[#This Row],[UNIT
VALUE]] / CADtoGBP</f>
        <v>4.2285872714223798</v>
      </c>
      <c r="Q434" s="33">
        <f>quantInv[[#This Row],[UNIT
VALUE]]/AUDtoGBP</f>
        <v>4.3282563402543284</v>
      </c>
      <c r="R434">
        <f>IFERROR(VLOOKUP(quantInv[[#This Row],[Assigned Item SKU]],skuQuantity[#All],2,FALSE),0)</f>
        <v>0</v>
      </c>
      <c r="S434" t="str">
        <f>PROPER(quantInv[[#This Row],[Metal]] &amp; " " &amp; quantInv[[#This Row],[Item Type]])</f>
        <v>925 Silver Earrings</v>
      </c>
      <c r="T434" s="33">
        <f>quantInv[[#This Row],[Quantity]]*quantInv[[#This Row],[WEIGHT]]</f>
        <v>0</v>
      </c>
      <c r="U434" s="33">
        <f>quantInv[[#This Row],[UNIT
VALUE]]*quantInv[[#This Row],[Quantity]]</f>
        <v>0</v>
      </c>
      <c r="V434" s="33">
        <f>quantInv[[#This Row],[Total Cost GBP]]/EURtoGBP</f>
        <v>0</v>
      </c>
      <c r="W434" s="33">
        <f>quantInv[[#This Row],[Total Cost GBP]]/USDtoGBP</f>
        <v>0</v>
      </c>
      <c r="X434" s="33">
        <f>quantInv[[#This Row],[Total Cost GBP]]/CADtoGBP</f>
        <v>0</v>
      </c>
      <c r="Y434" s="33">
        <f>quantInv[[#This Row],[Quantity]]*quantInv[[#This Row],[UNIT
VALUE AUD]]</f>
        <v>0</v>
      </c>
      <c r="Z434" s="33"/>
    </row>
    <row r="435" spans="1:26" x14ac:dyDescent="0.25">
      <c r="A435" t="s">
        <v>1012</v>
      </c>
      <c r="B435" t="s">
        <v>1013</v>
      </c>
      <c r="C435" t="s">
        <v>113</v>
      </c>
      <c r="D435" t="s">
        <v>2920</v>
      </c>
      <c r="E435">
        <v>1.8</v>
      </c>
      <c r="F435" s="33">
        <v>2.4098000000000002</v>
      </c>
      <c r="G435" s="33" t="s">
        <v>117</v>
      </c>
      <c r="H435" t="s">
        <v>1310</v>
      </c>
      <c r="I435" t="str">
        <f>IF(quantInv[[#This Row],[Metal]] = "925 Silver",  "7113.11.00"," 7113.19.00")</f>
        <v>7113.11.00</v>
      </c>
      <c r="J435" t="str">
        <f>IF(quantInv[[#This Row],[Metal]] = "925 Silver", "7113.11.10.00"," 7113.19.10.00")</f>
        <v>7113.11.10.00</v>
      </c>
      <c r="K435" t="str">
        <f>IF(quantInv[[#This Row],[Metal]] = "925 Silver",  "7113.11.00"," 7113.19.00")</f>
        <v>7113.11.00</v>
      </c>
      <c r="L435" t="str">
        <f>IFERROR(VLOOKUP(quantInv[[#This Row],[Description for New Invoice]],Map!$G$12:$H$32,2,FALSE), IF(quantInv[[#This Row],[Metal]] = "925 Silver", "7113.11.10.00", "7113.19.29.00"))</f>
        <v>7113.11.50.00</v>
      </c>
      <c r="M435" t="str">
        <f>quantInv[[#This Row],[ASIN]] &amp; " " &amp; quantInv[[#This Row],[Short Description]]</f>
        <v>B071DC9ZXW Earrings - Trangles  stud</v>
      </c>
      <c r="N435" s="33">
        <f>quantInv[[#This Row],[UNIT
VALUE]] / EURtoGBP</f>
        <v>2.7354094657563017</v>
      </c>
      <c r="O435" s="33">
        <f>quantInv[[#This Row],[UNIT
VALUE]]/USDtoGBP</f>
        <v>3.3034354467479026</v>
      </c>
      <c r="P435" s="33">
        <f>quantInv[[#This Row],[UNIT
VALUE]] / CADtoGBP</f>
        <v>4.2285872714223798</v>
      </c>
      <c r="Q435" s="33">
        <f>quantInv[[#This Row],[UNIT
VALUE]]/AUDtoGBP</f>
        <v>4.3282563402543284</v>
      </c>
      <c r="R435">
        <f>IFERROR(VLOOKUP(quantInv[[#This Row],[Assigned Item SKU]],skuQuantity[#All],2,FALSE),0)</f>
        <v>0</v>
      </c>
      <c r="S435" t="str">
        <f>PROPER(quantInv[[#This Row],[Metal]] &amp; " " &amp; quantInv[[#This Row],[Item Type]])</f>
        <v>925 Silver Earrings</v>
      </c>
      <c r="T435" s="33">
        <f>quantInv[[#This Row],[Quantity]]*quantInv[[#This Row],[WEIGHT]]</f>
        <v>0</v>
      </c>
      <c r="U435" s="33">
        <f>quantInv[[#This Row],[UNIT
VALUE]]*quantInv[[#This Row],[Quantity]]</f>
        <v>0</v>
      </c>
      <c r="V435" s="33">
        <f>quantInv[[#This Row],[Total Cost GBP]]/EURtoGBP</f>
        <v>0</v>
      </c>
      <c r="W435" s="33">
        <f>quantInv[[#This Row],[Total Cost GBP]]/USDtoGBP</f>
        <v>0</v>
      </c>
      <c r="X435" s="33">
        <f>quantInv[[#This Row],[Total Cost GBP]]/CADtoGBP</f>
        <v>0</v>
      </c>
      <c r="Y435" s="33">
        <f>quantInv[[#This Row],[Quantity]]*quantInv[[#This Row],[UNIT
VALUE AUD]]</f>
        <v>0</v>
      </c>
      <c r="Z435" s="33"/>
    </row>
    <row r="436" spans="1:26" x14ac:dyDescent="0.25">
      <c r="A436" t="s">
        <v>1014</v>
      </c>
      <c r="B436" t="s">
        <v>1015</v>
      </c>
      <c r="C436" t="s">
        <v>113</v>
      </c>
      <c r="D436" t="s">
        <v>2920</v>
      </c>
      <c r="E436">
        <v>1.8</v>
      </c>
      <c r="F436" s="33">
        <v>2.4098000000000002</v>
      </c>
      <c r="G436" s="33" t="s">
        <v>117</v>
      </c>
      <c r="H436" t="s">
        <v>1310</v>
      </c>
      <c r="I436" t="str">
        <f>IF(quantInv[[#This Row],[Metal]] = "925 Silver",  "7113.11.00"," 7113.19.00")</f>
        <v>7113.11.00</v>
      </c>
      <c r="J436" t="str">
        <f>IF(quantInv[[#This Row],[Metal]] = "925 Silver", "7113.11.10.00"," 7113.19.10.00")</f>
        <v>7113.11.10.00</v>
      </c>
      <c r="K436" t="str">
        <f>IF(quantInv[[#This Row],[Metal]] = "925 Silver",  "7113.11.00"," 7113.19.00")</f>
        <v>7113.11.00</v>
      </c>
      <c r="L436" t="str">
        <f>IFERROR(VLOOKUP(quantInv[[#This Row],[Description for New Invoice]],Map!$G$12:$H$32,2,FALSE), IF(quantInv[[#This Row],[Metal]] = "925 Silver", "7113.11.10.00", "7113.19.29.00"))</f>
        <v>7113.11.50.00</v>
      </c>
      <c r="M436" t="str">
        <f>quantInv[[#This Row],[ASIN]] &amp; " " &amp; quantInv[[#This Row],[Short Description]]</f>
        <v>B071CS7VXP Earrings - Trangles  stud</v>
      </c>
      <c r="N436" s="33">
        <f>quantInv[[#This Row],[UNIT
VALUE]] / EURtoGBP</f>
        <v>2.7354094657563017</v>
      </c>
      <c r="O436" s="33">
        <f>quantInv[[#This Row],[UNIT
VALUE]]/USDtoGBP</f>
        <v>3.3034354467479026</v>
      </c>
      <c r="P436" s="33">
        <f>quantInv[[#This Row],[UNIT
VALUE]] / CADtoGBP</f>
        <v>4.2285872714223798</v>
      </c>
      <c r="Q436" s="33">
        <f>quantInv[[#This Row],[UNIT
VALUE]]/AUDtoGBP</f>
        <v>4.3282563402543284</v>
      </c>
      <c r="R436">
        <f>IFERROR(VLOOKUP(quantInv[[#This Row],[Assigned Item SKU]],skuQuantity[#All],2,FALSE),0)</f>
        <v>0</v>
      </c>
      <c r="S436" t="str">
        <f>PROPER(quantInv[[#This Row],[Metal]] &amp; " " &amp; quantInv[[#This Row],[Item Type]])</f>
        <v>925 Silver Earrings</v>
      </c>
      <c r="T436" s="33">
        <f>quantInv[[#This Row],[Quantity]]*quantInv[[#This Row],[WEIGHT]]</f>
        <v>0</v>
      </c>
      <c r="U436" s="33">
        <f>quantInv[[#This Row],[UNIT
VALUE]]*quantInv[[#This Row],[Quantity]]</f>
        <v>0</v>
      </c>
      <c r="V436" s="33">
        <f>quantInv[[#This Row],[Total Cost GBP]]/EURtoGBP</f>
        <v>0</v>
      </c>
      <c r="W436" s="33">
        <f>quantInv[[#This Row],[Total Cost GBP]]/USDtoGBP</f>
        <v>0</v>
      </c>
      <c r="X436" s="33">
        <f>quantInv[[#This Row],[Total Cost GBP]]/CADtoGBP</f>
        <v>0</v>
      </c>
      <c r="Y436" s="33">
        <f>quantInv[[#This Row],[Quantity]]*quantInv[[#This Row],[UNIT
VALUE AUD]]</f>
        <v>0</v>
      </c>
      <c r="Z436" s="33"/>
    </row>
    <row r="437" spans="1:26" x14ac:dyDescent="0.25">
      <c r="A437" t="s">
        <v>1016</v>
      </c>
      <c r="B437" t="s">
        <v>1017</v>
      </c>
      <c r="C437" t="s">
        <v>113</v>
      </c>
      <c r="D437" t="s">
        <v>2920</v>
      </c>
      <c r="E437">
        <v>1.8</v>
      </c>
      <c r="F437" s="33">
        <v>2.4098000000000002</v>
      </c>
      <c r="G437" s="33" t="s">
        <v>117</v>
      </c>
      <c r="H437" t="s">
        <v>1310</v>
      </c>
      <c r="I437" t="str">
        <f>IF(quantInv[[#This Row],[Metal]] = "925 Silver",  "7113.11.00"," 7113.19.00")</f>
        <v>7113.11.00</v>
      </c>
      <c r="J437" t="str">
        <f>IF(quantInv[[#This Row],[Metal]] = "925 Silver", "7113.11.10.00"," 7113.19.10.00")</f>
        <v>7113.11.10.00</v>
      </c>
      <c r="K437" t="str">
        <f>IF(quantInv[[#This Row],[Metal]] = "925 Silver",  "7113.11.00"," 7113.19.00")</f>
        <v>7113.11.00</v>
      </c>
      <c r="L437" t="str">
        <f>IFERROR(VLOOKUP(quantInv[[#This Row],[Description for New Invoice]],Map!$G$12:$H$32,2,FALSE), IF(quantInv[[#This Row],[Metal]] = "925 Silver", "7113.11.10.00", "7113.19.29.00"))</f>
        <v>7113.11.50.00</v>
      </c>
      <c r="M437" t="str">
        <f>quantInv[[#This Row],[ASIN]] &amp; " " &amp; quantInv[[#This Row],[Short Description]]</f>
        <v>B071DCB5KP Earrings - Trangles  stud</v>
      </c>
      <c r="N437" s="33">
        <f>quantInv[[#This Row],[UNIT
VALUE]] / EURtoGBP</f>
        <v>2.7354094657563017</v>
      </c>
      <c r="O437" s="33">
        <f>quantInv[[#This Row],[UNIT
VALUE]]/USDtoGBP</f>
        <v>3.3034354467479026</v>
      </c>
      <c r="P437" s="33">
        <f>quantInv[[#This Row],[UNIT
VALUE]] / CADtoGBP</f>
        <v>4.2285872714223798</v>
      </c>
      <c r="Q437" s="33">
        <f>quantInv[[#This Row],[UNIT
VALUE]]/AUDtoGBP</f>
        <v>4.3282563402543284</v>
      </c>
      <c r="R437">
        <f>IFERROR(VLOOKUP(quantInv[[#This Row],[Assigned Item SKU]],skuQuantity[#All],2,FALSE),0)</f>
        <v>0</v>
      </c>
      <c r="S437" t="str">
        <f>PROPER(quantInv[[#This Row],[Metal]] &amp; " " &amp; quantInv[[#This Row],[Item Type]])</f>
        <v>925 Silver Earrings</v>
      </c>
      <c r="T437" s="33">
        <f>quantInv[[#This Row],[Quantity]]*quantInv[[#This Row],[WEIGHT]]</f>
        <v>0</v>
      </c>
      <c r="U437" s="33">
        <f>quantInv[[#This Row],[UNIT
VALUE]]*quantInv[[#This Row],[Quantity]]</f>
        <v>0</v>
      </c>
      <c r="V437" s="33">
        <f>quantInv[[#This Row],[Total Cost GBP]]/EURtoGBP</f>
        <v>0</v>
      </c>
      <c r="W437" s="33">
        <f>quantInv[[#This Row],[Total Cost GBP]]/USDtoGBP</f>
        <v>0</v>
      </c>
      <c r="X437" s="33">
        <f>quantInv[[#This Row],[Total Cost GBP]]/CADtoGBP</f>
        <v>0</v>
      </c>
      <c r="Y437" s="33">
        <f>quantInv[[#This Row],[Quantity]]*quantInv[[#This Row],[UNIT
VALUE AUD]]</f>
        <v>0</v>
      </c>
      <c r="Z437" s="33"/>
    </row>
    <row r="438" spans="1:26" x14ac:dyDescent="0.25">
      <c r="A438" t="s">
        <v>1018</v>
      </c>
      <c r="B438" t="s">
        <v>1019</v>
      </c>
      <c r="C438" t="s">
        <v>113</v>
      </c>
      <c r="D438" t="s">
        <v>2920</v>
      </c>
      <c r="E438">
        <v>1.8</v>
      </c>
      <c r="F438" s="33">
        <v>2.4098000000000002</v>
      </c>
      <c r="G438" s="33" t="s">
        <v>117</v>
      </c>
      <c r="H438" t="s">
        <v>1310</v>
      </c>
      <c r="I438" t="str">
        <f>IF(quantInv[[#This Row],[Metal]] = "925 Silver",  "7113.11.00"," 7113.19.00")</f>
        <v>7113.11.00</v>
      </c>
      <c r="J438" t="str">
        <f>IF(quantInv[[#This Row],[Metal]] = "925 Silver", "7113.11.10.00"," 7113.19.10.00")</f>
        <v>7113.11.10.00</v>
      </c>
      <c r="K438" t="str">
        <f>IF(quantInv[[#This Row],[Metal]] = "925 Silver",  "7113.11.00"," 7113.19.00")</f>
        <v>7113.11.00</v>
      </c>
      <c r="L438" t="str">
        <f>IFERROR(VLOOKUP(quantInv[[#This Row],[Description for New Invoice]],Map!$G$12:$H$32,2,FALSE), IF(quantInv[[#This Row],[Metal]] = "925 Silver", "7113.11.10.00", "7113.19.29.00"))</f>
        <v>7113.11.50.00</v>
      </c>
      <c r="M438" t="str">
        <f>quantInv[[#This Row],[ASIN]] &amp; " " &amp; quantInv[[#This Row],[Short Description]]</f>
        <v>B071XR15W6 Earrings - Trangles  stud</v>
      </c>
      <c r="N438" s="33">
        <f>quantInv[[#This Row],[UNIT
VALUE]] / EURtoGBP</f>
        <v>2.7354094657563017</v>
      </c>
      <c r="O438" s="33">
        <f>quantInv[[#This Row],[UNIT
VALUE]]/USDtoGBP</f>
        <v>3.3034354467479026</v>
      </c>
      <c r="P438" s="33">
        <f>quantInv[[#This Row],[UNIT
VALUE]] / CADtoGBP</f>
        <v>4.2285872714223798</v>
      </c>
      <c r="Q438" s="33">
        <f>quantInv[[#This Row],[UNIT
VALUE]]/AUDtoGBP</f>
        <v>4.3282563402543284</v>
      </c>
      <c r="R438">
        <f>IFERROR(VLOOKUP(quantInv[[#This Row],[Assigned Item SKU]],skuQuantity[#All],2,FALSE),0)</f>
        <v>0</v>
      </c>
      <c r="S438" t="str">
        <f>PROPER(quantInv[[#This Row],[Metal]] &amp; " " &amp; quantInv[[#This Row],[Item Type]])</f>
        <v>925 Silver Earrings</v>
      </c>
      <c r="T438" s="33">
        <f>quantInv[[#This Row],[Quantity]]*quantInv[[#This Row],[WEIGHT]]</f>
        <v>0</v>
      </c>
      <c r="U438" s="33">
        <f>quantInv[[#This Row],[UNIT
VALUE]]*quantInv[[#This Row],[Quantity]]</f>
        <v>0</v>
      </c>
      <c r="V438" s="33">
        <f>quantInv[[#This Row],[Total Cost GBP]]/EURtoGBP</f>
        <v>0</v>
      </c>
      <c r="W438" s="33">
        <f>quantInv[[#This Row],[Total Cost GBP]]/USDtoGBP</f>
        <v>0</v>
      </c>
      <c r="X438" s="33">
        <f>quantInv[[#This Row],[Total Cost GBP]]/CADtoGBP</f>
        <v>0</v>
      </c>
      <c r="Y438" s="33">
        <f>quantInv[[#This Row],[Quantity]]*quantInv[[#This Row],[UNIT
VALUE AUD]]</f>
        <v>0</v>
      </c>
      <c r="Z438" s="33"/>
    </row>
    <row r="439" spans="1:26" x14ac:dyDescent="0.25">
      <c r="A439" t="s">
        <v>1020</v>
      </c>
      <c r="B439" t="s">
        <v>1021</v>
      </c>
      <c r="C439" t="s">
        <v>113</v>
      </c>
      <c r="D439" t="s">
        <v>986</v>
      </c>
      <c r="E439">
        <v>1.2</v>
      </c>
      <c r="F439" s="33">
        <v>1.6434</v>
      </c>
      <c r="G439" s="33" t="s">
        <v>117</v>
      </c>
      <c r="H439" t="s">
        <v>1310</v>
      </c>
      <c r="I439" t="str">
        <f>IF(quantInv[[#This Row],[Metal]] = "925 Silver",  "7113.11.00"," 7113.19.00")</f>
        <v>7113.11.00</v>
      </c>
      <c r="J439" t="str">
        <f>IF(quantInv[[#This Row],[Metal]] = "925 Silver", "7113.11.10.00"," 7113.19.10.00")</f>
        <v>7113.11.10.00</v>
      </c>
      <c r="K439" t="str">
        <f>IF(quantInv[[#This Row],[Metal]] = "925 Silver",  "7113.11.00"," 7113.19.00")</f>
        <v>7113.11.00</v>
      </c>
      <c r="L439" t="str">
        <f>IFERROR(VLOOKUP(quantInv[[#This Row],[Description for New Invoice]],Map!$G$12:$H$32,2,FALSE), IF(quantInv[[#This Row],[Metal]] = "925 Silver", "7113.11.10.00", "7113.19.29.00"))</f>
        <v>7113.11.50.00</v>
      </c>
      <c r="M439" t="str">
        <f>quantInv[[#This Row],[ASIN]] &amp; " " &amp; quantInv[[#This Row],[Short Description]]</f>
        <v>B071QZH2GN Earrings - Round Stud</v>
      </c>
      <c r="N439" s="33">
        <f>quantInv[[#This Row],[UNIT
VALUE]] / EURtoGBP</f>
        <v>1.8654543597078204</v>
      </c>
      <c r="O439" s="33">
        <f>quantInv[[#This Row],[UNIT
VALUE]]/USDtoGBP</f>
        <v>2.2528283729709946</v>
      </c>
      <c r="P439" s="33">
        <f>quantInv[[#This Row],[UNIT
VALUE]] / CADtoGBP</f>
        <v>2.8837498223319522</v>
      </c>
      <c r="Q439" s="33">
        <f>quantInv[[#This Row],[UNIT
VALUE]]/AUDtoGBP</f>
        <v>2.9517206695883322</v>
      </c>
      <c r="R439">
        <f>IFERROR(VLOOKUP(quantInv[[#This Row],[Assigned Item SKU]],skuQuantity[#All],2,FALSE),0)</f>
        <v>0</v>
      </c>
      <c r="S439" t="str">
        <f>PROPER(quantInv[[#This Row],[Metal]] &amp; " " &amp; quantInv[[#This Row],[Item Type]])</f>
        <v>925 Silver Earrings</v>
      </c>
      <c r="T439" s="33">
        <f>quantInv[[#This Row],[Quantity]]*quantInv[[#This Row],[WEIGHT]]</f>
        <v>0</v>
      </c>
      <c r="U439" s="33">
        <f>quantInv[[#This Row],[UNIT
VALUE]]*quantInv[[#This Row],[Quantity]]</f>
        <v>0</v>
      </c>
      <c r="V439" s="33">
        <f>quantInv[[#This Row],[Total Cost GBP]]/EURtoGBP</f>
        <v>0</v>
      </c>
      <c r="W439" s="33">
        <f>quantInv[[#This Row],[Total Cost GBP]]/USDtoGBP</f>
        <v>0</v>
      </c>
      <c r="X439" s="33">
        <f>quantInv[[#This Row],[Total Cost GBP]]/CADtoGBP</f>
        <v>0</v>
      </c>
      <c r="Y439" s="33">
        <f>quantInv[[#This Row],[Quantity]]*quantInv[[#This Row],[UNIT
VALUE AUD]]</f>
        <v>0</v>
      </c>
      <c r="Z439" s="33"/>
    </row>
    <row r="440" spans="1:26" x14ac:dyDescent="0.25">
      <c r="A440" t="s">
        <v>1022</v>
      </c>
      <c r="B440" t="s">
        <v>1023</v>
      </c>
      <c r="C440" t="s">
        <v>113</v>
      </c>
      <c r="D440" t="s">
        <v>986</v>
      </c>
      <c r="E440">
        <v>1.2</v>
      </c>
      <c r="F440" s="33">
        <v>1.6434</v>
      </c>
      <c r="G440" s="33" t="s">
        <v>117</v>
      </c>
      <c r="H440" t="s">
        <v>1310</v>
      </c>
      <c r="I440" t="str">
        <f>IF(quantInv[[#This Row],[Metal]] = "925 Silver",  "7113.11.00"," 7113.19.00")</f>
        <v>7113.11.00</v>
      </c>
      <c r="J440" t="str">
        <f>IF(quantInv[[#This Row],[Metal]] = "925 Silver", "7113.11.10.00"," 7113.19.10.00")</f>
        <v>7113.11.10.00</v>
      </c>
      <c r="K440" t="str">
        <f>IF(quantInv[[#This Row],[Metal]] = "925 Silver",  "7113.11.00"," 7113.19.00")</f>
        <v>7113.11.00</v>
      </c>
      <c r="L440" t="str">
        <f>IFERROR(VLOOKUP(quantInv[[#This Row],[Description for New Invoice]],Map!$G$12:$H$32,2,FALSE), IF(quantInv[[#This Row],[Metal]] = "925 Silver", "7113.11.10.00", "7113.19.29.00"))</f>
        <v>7113.11.50.00</v>
      </c>
      <c r="M440" t="str">
        <f>quantInv[[#This Row],[ASIN]] &amp; " " &amp; quantInv[[#This Row],[Short Description]]</f>
        <v>B071XR7DZ9 Earrings - Round Stud</v>
      </c>
      <c r="N440" s="33">
        <f>quantInv[[#This Row],[UNIT
VALUE]] / EURtoGBP</f>
        <v>1.8654543597078204</v>
      </c>
      <c r="O440" s="33">
        <f>quantInv[[#This Row],[UNIT
VALUE]]/USDtoGBP</f>
        <v>2.2528283729709946</v>
      </c>
      <c r="P440" s="33">
        <f>quantInv[[#This Row],[UNIT
VALUE]] / CADtoGBP</f>
        <v>2.8837498223319522</v>
      </c>
      <c r="Q440" s="33">
        <f>quantInv[[#This Row],[UNIT
VALUE]]/AUDtoGBP</f>
        <v>2.9517206695883322</v>
      </c>
      <c r="R440">
        <f>IFERROR(VLOOKUP(quantInv[[#This Row],[Assigned Item SKU]],skuQuantity[#All],2,FALSE),0)</f>
        <v>0</v>
      </c>
      <c r="S440" t="str">
        <f>PROPER(quantInv[[#This Row],[Metal]] &amp; " " &amp; quantInv[[#This Row],[Item Type]])</f>
        <v>925 Silver Earrings</v>
      </c>
      <c r="T440" s="33">
        <f>quantInv[[#This Row],[Quantity]]*quantInv[[#This Row],[WEIGHT]]</f>
        <v>0</v>
      </c>
      <c r="U440" s="33">
        <f>quantInv[[#This Row],[UNIT
VALUE]]*quantInv[[#This Row],[Quantity]]</f>
        <v>0</v>
      </c>
      <c r="V440" s="33">
        <f>quantInv[[#This Row],[Total Cost GBP]]/EURtoGBP</f>
        <v>0</v>
      </c>
      <c r="W440" s="33">
        <f>quantInv[[#This Row],[Total Cost GBP]]/USDtoGBP</f>
        <v>0</v>
      </c>
      <c r="X440" s="33">
        <f>quantInv[[#This Row],[Total Cost GBP]]/CADtoGBP</f>
        <v>0</v>
      </c>
      <c r="Y440" s="33">
        <f>quantInv[[#This Row],[Quantity]]*quantInv[[#This Row],[UNIT
VALUE AUD]]</f>
        <v>0</v>
      </c>
      <c r="Z440" s="33"/>
    </row>
    <row r="441" spans="1:26" x14ac:dyDescent="0.25">
      <c r="A441" t="s">
        <v>1024</v>
      </c>
      <c r="B441" t="s">
        <v>1025</v>
      </c>
      <c r="C441" t="s">
        <v>113</v>
      </c>
      <c r="D441" t="s">
        <v>986</v>
      </c>
      <c r="E441">
        <v>1.2</v>
      </c>
      <c r="F441" s="33">
        <v>1.6434</v>
      </c>
      <c r="G441" s="33" t="s">
        <v>117</v>
      </c>
      <c r="H441" t="s">
        <v>1310</v>
      </c>
      <c r="I441" t="str">
        <f>IF(quantInv[[#This Row],[Metal]] = "925 Silver",  "7113.11.00"," 7113.19.00")</f>
        <v>7113.11.00</v>
      </c>
      <c r="J441" t="str">
        <f>IF(quantInv[[#This Row],[Metal]] = "925 Silver", "7113.11.10.00"," 7113.19.10.00")</f>
        <v>7113.11.10.00</v>
      </c>
      <c r="K441" t="str">
        <f>IF(quantInv[[#This Row],[Metal]] = "925 Silver",  "7113.11.00"," 7113.19.00")</f>
        <v>7113.11.00</v>
      </c>
      <c r="L441" t="str">
        <f>IFERROR(VLOOKUP(quantInv[[#This Row],[Description for New Invoice]],Map!$G$12:$H$32,2,FALSE), IF(quantInv[[#This Row],[Metal]] = "925 Silver", "7113.11.10.00", "7113.19.29.00"))</f>
        <v>7113.11.50.00</v>
      </c>
      <c r="M441" t="str">
        <f>quantInv[[#This Row],[ASIN]] &amp; " " &amp; quantInv[[#This Row],[Short Description]]</f>
        <v>B071DCB4YY Earrings - Round Stud</v>
      </c>
      <c r="N441" s="33">
        <f>quantInv[[#This Row],[UNIT
VALUE]] / EURtoGBP</f>
        <v>1.8654543597078204</v>
      </c>
      <c r="O441" s="33">
        <f>quantInv[[#This Row],[UNIT
VALUE]]/USDtoGBP</f>
        <v>2.2528283729709946</v>
      </c>
      <c r="P441" s="33">
        <f>quantInv[[#This Row],[UNIT
VALUE]] / CADtoGBP</f>
        <v>2.8837498223319522</v>
      </c>
      <c r="Q441" s="33">
        <f>quantInv[[#This Row],[UNIT
VALUE]]/AUDtoGBP</f>
        <v>2.9517206695883322</v>
      </c>
      <c r="R441">
        <f>IFERROR(VLOOKUP(quantInv[[#This Row],[Assigned Item SKU]],skuQuantity[#All],2,FALSE),0)</f>
        <v>0</v>
      </c>
      <c r="S441" t="str">
        <f>PROPER(quantInv[[#This Row],[Metal]] &amp; " " &amp; quantInv[[#This Row],[Item Type]])</f>
        <v>925 Silver Earrings</v>
      </c>
      <c r="T441" s="33">
        <f>quantInv[[#This Row],[Quantity]]*quantInv[[#This Row],[WEIGHT]]</f>
        <v>0</v>
      </c>
      <c r="U441" s="33">
        <f>quantInv[[#This Row],[UNIT
VALUE]]*quantInv[[#This Row],[Quantity]]</f>
        <v>0</v>
      </c>
      <c r="V441" s="33">
        <f>quantInv[[#This Row],[Total Cost GBP]]/EURtoGBP</f>
        <v>0</v>
      </c>
      <c r="W441" s="33">
        <f>quantInv[[#This Row],[Total Cost GBP]]/USDtoGBP</f>
        <v>0</v>
      </c>
      <c r="X441" s="33">
        <f>quantInv[[#This Row],[Total Cost GBP]]/CADtoGBP</f>
        <v>0</v>
      </c>
      <c r="Y441" s="33">
        <f>quantInv[[#This Row],[Quantity]]*quantInv[[#This Row],[UNIT
VALUE AUD]]</f>
        <v>0</v>
      </c>
      <c r="Z441" s="33"/>
    </row>
    <row r="442" spans="1:26" x14ac:dyDescent="0.25">
      <c r="A442" t="s">
        <v>1026</v>
      </c>
      <c r="B442" t="s">
        <v>1027</v>
      </c>
      <c r="C442" t="s">
        <v>113</v>
      </c>
      <c r="D442" t="s">
        <v>2921</v>
      </c>
      <c r="E442">
        <v>2.8</v>
      </c>
      <c r="F442" s="33">
        <v>3.6871999999999998</v>
      </c>
      <c r="G442" s="33" t="s">
        <v>117</v>
      </c>
      <c r="H442" t="s">
        <v>1310</v>
      </c>
      <c r="I442" t="str">
        <f>IF(quantInv[[#This Row],[Metal]] = "925 Silver",  "7113.11.00"," 7113.19.00")</f>
        <v>7113.11.00</v>
      </c>
      <c r="J442" t="str">
        <f>IF(quantInv[[#This Row],[Metal]] = "925 Silver", "7113.11.10.00"," 7113.19.10.00")</f>
        <v>7113.11.10.00</v>
      </c>
      <c r="K442" t="str">
        <f>IF(quantInv[[#This Row],[Metal]] = "925 Silver",  "7113.11.00"," 7113.19.00")</f>
        <v>7113.11.00</v>
      </c>
      <c r="L442" t="str">
        <f>IFERROR(VLOOKUP(quantInv[[#This Row],[Description for New Invoice]],Map!$G$12:$H$32,2,FALSE), IF(quantInv[[#This Row],[Metal]] = "925 Silver", "7113.11.10.00", "7113.19.29.00"))</f>
        <v>7113.11.50.00</v>
      </c>
      <c r="M442" t="str">
        <f>quantInv[[#This Row],[ASIN]] &amp; " " &amp; quantInv[[#This Row],[Short Description]]</f>
        <v>B071R98M2N Earrings - comlex  drop  stud</v>
      </c>
      <c r="N442" s="33">
        <f>quantInv[[#This Row],[UNIT
VALUE]] / EURtoGBP</f>
        <v>4.1854103170954575</v>
      </c>
      <c r="O442" s="33">
        <f>quantInv[[#This Row],[UNIT
VALUE]]/USDtoGBP</f>
        <v>5.0545386253003839</v>
      </c>
      <c r="P442" s="33">
        <f>quantInv[[#This Row],[UNIT
VALUE]] / CADtoGBP</f>
        <v>6.4701000029830675</v>
      </c>
      <c r="Q442" s="33">
        <f>quantInv[[#This Row],[UNIT
VALUE]]/AUDtoGBP</f>
        <v>6.6226021984337944</v>
      </c>
      <c r="R442">
        <f>IFERROR(VLOOKUP(quantInv[[#This Row],[Assigned Item SKU]],skuQuantity[#All],2,FALSE),0)</f>
        <v>0</v>
      </c>
      <c r="S442" t="str">
        <f>PROPER(quantInv[[#This Row],[Metal]] &amp; " " &amp; quantInv[[#This Row],[Item Type]])</f>
        <v>925 Silver Earrings</v>
      </c>
      <c r="T442" s="33">
        <f>quantInv[[#This Row],[Quantity]]*quantInv[[#This Row],[WEIGHT]]</f>
        <v>0</v>
      </c>
      <c r="U442" s="33">
        <f>quantInv[[#This Row],[UNIT
VALUE]]*quantInv[[#This Row],[Quantity]]</f>
        <v>0</v>
      </c>
      <c r="V442" s="33">
        <f>quantInv[[#This Row],[Total Cost GBP]]/EURtoGBP</f>
        <v>0</v>
      </c>
      <c r="W442" s="33">
        <f>quantInv[[#This Row],[Total Cost GBP]]/USDtoGBP</f>
        <v>0</v>
      </c>
      <c r="X442" s="33">
        <f>quantInv[[#This Row],[Total Cost GBP]]/CADtoGBP</f>
        <v>0</v>
      </c>
      <c r="Y442" s="33">
        <f>quantInv[[#This Row],[Quantity]]*quantInv[[#This Row],[UNIT
VALUE AUD]]</f>
        <v>0</v>
      </c>
      <c r="Z442" s="33"/>
    </row>
    <row r="443" spans="1:26" x14ac:dyDescent="0.25">
      <c r="A443" t="s">
        <v>1028</v>
      </c>
      <c r="B443" t="s">
        <v>1029</v>
      </c>
      <c r="C443" t="s">
        <v>113</v>
      </c>
      <c r="D443" t="s">
        <v>986</v>
      </c>
      <c r="E443">
        <v>1.4</v>
      </c>
      <c r="F443" s="33">
        <v>1.8988</v>
      </c>
      <c r="G443" s="33" t="s">
        <v>117</v>
      </c>
      <c r="H443" t="s">
        <v>1310</v>
      </c>
      <c r="I443" t="str">
        <f>IF(quantInv[[#This Row],[Metal]] = "925 Silver",  "7113.11.00"," 7113.19.00")</f>
        <v>7113.11.00</v>
      </c>
      <c r="J443" t="str">
        <f>IF(quantInv[[#This Row],[Metal]] = "925 Silver", "7113.11.10.00"," 7113.19.10.00")</f>
        <v>7113.11.10.00</v>
      </c>
      <c r="K443" t="str">
        <f>IF(quantInv[[#This Row],[Metal]] = "925 Silver",  "7113.11.00"," 7113.19.00")</f>
        <v>7113.11.00</v>
      </c>
      <c r="L443" t="str">
        <f>IFERROR(VLOOKUP(quantInv[[#This Row],[Description for New Invoice]],Map!$G$12:$H$32,2,FALSE), IF(quantInv[[#This Row],[Metal]] = "925 Silver", "7113.11.10.00", "7113.19.29.00"))</f>
        <v>7113.11.50.00</v>
      </c>
      <c r="M443" t="str">
        <f>quantInv[[#This Row],[ASIN]] &amp; " " &amp; quantInv[[#This Row],[Short Description]]</f>
        <v>B071XR5KJP Earrings - Round Stud</v>
      </c>
      <c r="N443" s="33">
        <f>quantInv[[#This Row],[UNIT
VALUE]] / EURtoGBP</f>
        <v>2.1553637204656257</v>
      </c>
      <c r="O443" s="33">
        <f>quantInv[[#This Row],[UNIT
VALUE]]/USDtoGBP</f>
        <v>2.6029393419723283</v>
      </c>
      <c r="P443" s="33">
        <f>quantInv[[#This Row],[UNIT
VALUE]] / CADtoGBP</f>
        <v>3.3319119889521183</v>
      </c>
      <c r="Q443" s="33">
        <f>quantInv[[#This Row],[UNIT
VALUE]]/AUDtoGBP</f>
        <v>3.4104461527408576</v>
      </c>
      <c r="R443">
        <f>IFERROR(VLOOKUP(quantInv[[#This Row],[Assigned Item SKU]],skuQuantity[#All],2,FALSE),0)</f>
        <v>0</v>
      </c>
      <c r="S443" t="str">
        <f>PROPER(quantInv[[#This Row],[Metal]] &amp; " " &amp; quantInv[[#This Row],[Item Type]])</f>
        <v>925 Silver Earrings</v>
      </c>
      <c r="T443" s="33">
        <f>quantInv[[#This Row],[Quantity]]*quantInv[[#This Row],[WEIGHT]]</f>
        <v>0</v>
      </c>
      <c r="U443" s="33">
        <f>quantInv[[#This Row],[UNIT
VALUE]]*quantInv[[#This Row],[Quantity]]</f>
        <v>0</v>
      </c>
      <c r="V443" s="33">
        <f>quantInv[[#This Row],[Total Cost GBP]]/EURtoGBP</f>
        <v>0</v>
      </c>
      <c r="W443" s="33">
        <f>quantInv[[#This Row],[Total Cost GBP]]/USDtoGBP</f>
        <v>0</v>
      </c>
      <c r="X443" s="33">
        <f>quantInv[[#This Row],[Total Cost GBP]]/CADtoGBP</f>
        <v>0</v>
      </c>
      <c r="Y443" s="33">
        <f>quantInv[[#This Row],[Quantity]]*quantInv[[#This Row],[UNIT
VALUE AUD]]</f>
        <v>0</v>
      </c>
      <c r="Z443" s="33"/>
    </row>
    <row r="444" spans="1:26" x14ac:dyDescent="0.25">
      <c r="A444" t="s">
        <v>1030</v>
      </c>
      <c r="B444" t="s">
        <v>1031</v>
      </c>
      <c r="C444" t="s">
        <v>113</v>
      </c>
      <c r="D444" t="s">
        <v>986</v>
      </c>
      <c r="E444">
        <v>1.4</v>
      </c>
      <c r="F444" s="33">
        <v>1.8988</v>
      </c>
      <c r="G444" s="33" t="s">
        <v>117</v>
      </c>
      <c r="H444" t="s">
        <v>1310</v>
      </c>
      <c r="I444" t="str">
        <f>IF(quantInv[[#This Row],[Metal]] = "925 Silver",  "7113.11.00"," 7113.19.00")</f>
        <v>7113.11.00</v>
      </c>
      <c r="J444" t="str">
        <f>IF(quantInv[[#This Row],[Metal]] = "925 Silver", "7113.11.10.00"," 7113.19.10.00")</f>
        <v>7113.11.10.00</v>
      </c>
      <c r="K444" t="str">
        <f>IF(quantInv[[#This Row],[Metal]] = "925 Silver",  "7113.11.00"," 7113.19.00")</f>
        <v>7113.11.00</v>
      </c>
      <c r="L444" t="str">
        <f>IFERROR(VLOOKUP(quantInv[[#This Row],[Description for New Invoice]],Map!$G$12:$H$32,2,FALSE), IF(quantInv[[#This Row],[Metal]] = "925 Silver", "7113.11.10.00", "7113.19.29.00"))</f>
        <v>7113.11.50.00</v>
      </c>
      <c r="M444" t="str">
        <f>quantInv[[#This Row],[ASIN]] &amp; " " &amp; quantInv[[#This Row],[Short Description]]</f>
        <v>B071R9B9HW Earrings - Round Stud</v>
      </c>
      <c r="N444" s="33">
        <f>quantInv[[#This Row],[UNIT
VALUE]] / EURtoGBP</f>
        <v>2.1553637204656257</v>
      </c>
      <c r="O444" s="33">
        <f>quantInv[[#This Row],[UNIT
VALUE]]/USDtoGBP</f>
        <v>2.6029393419723283</v>
      </c>
      <c r="P444" s="33">
        <f>quantInv[[#This Row],[UNIT
VALUE]] / CADtoGBP</f>
        <v>3.3319119889521183</v>
      </c>
      <c r="Q444" s="33">
        <f>quantInv[[#This Row],[UNIT
VALUE]]/AUDtoGBP</f>
        <v>3.4104461527408576</v>
      </c>
      <c r="R444">
        <f>IFERROR(VLOOKUP(quantInv[[#This Row],[Assigned Item SKU]],skuQuantity[#All],2,FALSE),0)</f>
        <v>0</v>
      </c>
      <c r="S444" t="str">
        <f>PROPER(quantInv[[#This Row],[Metal]] &amp; " " &amp; quantInv[[#This Row],[Item Type]])</f>
        <v>925 Silver Earrings</v>
      </c>
      <c r="T444" s="33">
        <f>quantInv[[#This Row],[Quantity]]*quantInv[[#This Row],[WEIGHT]]</f>
        <v>0</v>
      </c>
      <c r="U444" s="33">
        <f>quantInv[[#This Row],[UNIT
VALUE]]*quantInv[[#This Row],[Quantity]]</f>
        <v>0</v>
      </c>
      <c r="V444" s="33">
        <f>quantInv[[#This Row],[Total Cost GBP]]/EURtoGBP</f>
        <v>0</v>
      </c>
      <c r="W444" s="33">
        <f>quantInv[[#This Row],[Total Cost GBP]]/USDtoGBP</f>
        <v>0</v>
      </c>
      <c r="X444" s="33">
        <f>quantInv[[#This Row],[Total Cost GBP]]/CADtoGBP</f>
        <v>0</v>
      </c>
      <c r="Y444" s="33">
        <f>quantInv[[#This Row],[Quantity]]*quantInv[[#This Row],[UNIT
VALUE AUD]]</f>
        <v>0</v>
      </c>
      <c r="Z444" s="33"/>
    </row>
    <row r="445" spans="1:26" x14ac:dyDescent="0.25">
      <c r="A445" t="s">
        <v>1032</v>
      </c>
      <c r="B445" t="s">
        <v>1033</v>
      </c>
      <c r="C445" t="s">
        <v>113</v>
      </c>
      <c r="D445" t="s">
        <v>986</v>
      </c>
      <c r="E445">
        <v>1.4</v>
      </c>
      <c r="F445" s="33">
        <v>1.8988</v>
      </c>
      <c r="G445" s="33" t="s">
        <v>117</v>
      </c>
      <c r="H445" t="s">
        <v>1310</v>
      </c>
      <c r="I445" t="str">
        <f>IF(quantInv[[#This Row],[Metal]] = "925 Silver",  "7113.11.00"," 7113.19.00")</f>
        <v>7113.11.00</v>
      </c>
      <c r="J445" t="str">
        <f>IF(quantInv[[#This Row],[Metal]] = "925 Silver", "7113.11.10.00"," 7113.19.10.00")</f>
        <v>7113.11.10.00</v>
      </c>
      <c r="K445" t="str">
        <f>IF(quantInv[[#This Row],[Metal]] = "925 Silver",  "7113.11.00"," 7113.19.00")</f>
        <v>7113.11.00</v>
      </c>
      <c r="L445" t="str">
        <f>IFERROR(VLOOKUP(quantInv[[#This Row],[Description for New Invoice]],Map!$G$12:$H$32,2,FALSE), IF(quantInv[[#This Row],[Metal]] = "925 Silver", "7113.11.10.00", "7113.19.29.00"))</f>
        <v>7113.11.50.00</v>
      </c>
      <c r="M445" t="str">
        <f>quantInv[[#This Row],[ASIN]] &amp; " " &amp; quantInv[[#This Row],[Short Description]]</f>
        <v>B06ZYF5FR4 Earrings - Round Stud</v>
      </c>
      <c r="N445" s="33">
        <f>quantInv[[#This Row],[UNIT
VALUE]] / EURtoGBP</f>
        <v>2.1553637204656257</v>
      </c>
      <c r="O445" s="33">
        <f>quantInv[[#This Row],[UNIT
VALUE]]/USDtoGBP</f>
        <v>2.6029393419723283</v>
      </c>
      <c r="P445" s="33">
        <f>quantInv[[#This Row],[UNIT
VALUE]] / CADtoGBP</f>
        <v>3.3319119889521183</v>
      </c>
      <c r="Q445" s="33">
        <f>quantInv[[#This Row],[UNIT
VALUE]]/AUDtoGBP</f>
        <v>3.4104461527408576</v>
      </c>
      <c r="R445">
        <f>IFERROR(VLOOKUP(quantInv[[#This Row],[Assigned Item SKU]],skuQuantity[#All],2,FALSE),0)</f>
        <v>0</v>
      </c>
      <c r="S445" t="str">
        <f>PROPER(quantInv[[#This Row],[Metal]] &amp; " " &amp; quantInv[[#This Row],[Item Type]])</f>
        <v>925 Silver Earrings</v>
      </c>
      <c r="T445" s="33">
        <f>quantInv[[#This Row],[Quantity]]*quantInv[[#This Row],[WEIGHT]]</f>
        <v>0</v>
      </c>
      <c r="U445" s="33">
        <f>quantInv[[#This Row],[UNIT
VALUE]]*quantInv[[#This Row],[Quantity]]</f>
        <v>0</v>
      </c>
      <c r="V445" s="33">
        <f>quantInv[[#This Row],[Total Cost GBP]]/EURtoGBP</f>
        <v>0</v>
      </c>
      <c r="W445" s="33">
        <f>quantInv[[#This Row],[Total Cost GBP]]/USDtoGBP</f>
        <v>0</v>
      </c>
      <c r="X445" s="33">
        <f>quantInv[[#This Row],[Total Cost GBP]]/CADtoGBP</f>
        <v>0</v>
      </c>
      <c r="Y445" s="33">
        <f>quantInv[[#This Row],[Quantity]]*quantInv[[#This Row],[UNIT
VALUE AUD]]</f>
        <v>0</v>
      </c>
      <c r="Z445" s="33"/>
    </row>
    <row r="446" spans="1:26" x14ac:dyDescent="0.25">
      <c r="A446" t="s">
        <v>1034</v>
      </c>
      <c r="B446" t="s">
        <v>1035</v>
      </c>
      <c r="C446" t="s">
        <v>113</v>
      </c>
      <c r="D446" t="s">
        <v>986</v>
      </c>
      <c r="E446">
        <v>1.4</v>
      </c>
      <c r="F446" s="33">
        <v>1.8988</v>
      </c>
      <c r="G446" s="33" t="s">
        <v>117</v>
      </c>
      <c r="H446" t="s">
        <v>1310</v>
      </c>
      <c r="I446" t="str">
        <f>IF(quantInv[[#This Row],[Metal]] = "925 Silver",  "7113.11.00"," 7113.19.00")</f>
        <v>7113.11.00</v>
      </c>
      <c r="J446" t="str">
        <f>IF(quantInv[[#This Row],[Metal]] = "925 Silver", "7113.11.10.00"," 7113.19.10.00")</f>
        <v>7113.11.10.00</v>
      </c>
      <c r="K446" t="str">
        <f>IF(quantInv[[#This Row],[Metal]] = "925 Silver",  "7113.11.00"," 7113.19.00")</f>
        <v>7113.11.00</v>
      </c>
      <c r="L446" t="str">
        <f>IFERROR(VLOOKUP(quantInv[[#This Row],[Description for New Invoice]],Map!$G$12:$H$32,2,FALSE), IF(quantInv[[#This Row],[Metal]] = "925 Silver", "7113.11.10.00", "7113.19.29.00"))</f>
        <v>7113.11.50.00</v>
      </c>
      <c r="M446" t="str">
        <f>quantInv[[#This Row],[ASIN]] &amp; " " &amp; quantInv[[#This Row],[Short Description]]</f>
        <v>B071CHQJN5 Earrings - Round Stud</v>
      </c>
      <c r="N446" s="33">
        <f>quantInv[[#This Row],[UNIT
VALUE]] / EURtoGBP</f>
        <v>2.1553637204656257</v>
      </c>
      <c r="O446" s="33">
        <f>quantInv[[#This Row],[UNIT
VALUE]]/USDtoGBP</f>
        <v>2.6029393419723283</v>
      </c>
      <c r="P446" s="33">
        <f>quantInv[[#This Row],[UNIT
VALUE]] / CADtoGBP</f>
        <v>3.3319119889521183</v>
      </c>
      <c r="Q446" s="33">
        <f>quantInv[[#This Row],[UNIT
VALUE]]/AUDtoGBP</f>
        <v>3.4104461527408576</v>
      </c>
      <c r="R446">
        <f>IFERROR(VLOOKUP(quantInv[[#This Row],[Assigned Item SKU]],skuQuantity[#All],2,FALSE),0)</f>
        <v>0</v>
      </c>
      <c r="S446" t="str">
        <f>PROPER(quantInv[[#This Row],[Metal]] &amp; " " &amp; quantInv[[#This Row],[Item Type]])</f>
        <v>925 Silver Earrings</v>
      </c>
      <c r="T446" s="33">
        <f>quantInv[[#This Row],[Quantity]]*quantInv[[#This Row],[WEIGHT]]</f>
        <v>0</v>
      </c>
      <c r="U446" s="33">
        <f>quantInv[[#This Row],[UNIT
VALUE]]*quantInv[[#This Row],[Quantity]]</f>
        <v>0</v>
      </c>
      <c r="V446" s="33">
        <f>quantInv[[#This Row],[Total Cost GBP]]/EURtoGBP</f>
        <v>0</v>
      </c>
      <c r="W446" s="33">
        <f>quantInv[[#This Row],[Total Cost GBP]]/USDtoGBP</f>
        <v>0</v>
      </c>
      <c r="X446" s="33">
        <f>quantInv[[#This Row],[Total Cost GBP]]/CADtoGBP</f>
        <v>0</v>
      </c>
      <c r="Y446" s="33">
        <f>quantInv[[#This Row],[Quantity]]*quantInv[[#This Row],[UNIT
VALUE AUD]]</f>
        <v>0</v>
      </c>
      <c r="Z446" s="33"/>
    </row>
    <row r="447" spans="1:26" x14ac:dyDescent="0.25">
      <c r="A447" t="s">
        <v>1036</v>
      </c>
      <c r="B447" t="s">
        <v>1037</v>
      </c>
      <c r="C447" t="s">
        <v>113</v>
      </c>
      <c r="D447" t="s">
        <v>2922</v>
      </c>
      <c r="E447">
        <v>2.7</v>
      </c>
      <c r="F447" s="33">
        <v>3.5594999999999999</v>
      </c>
      <c r="G447" s="33" t="s">
        <v>117</v>
      </c>
      <c r="H447" t="s">
        <v>1310</v>
      </c>
      <c r="I447" t="str">
        <f>IF(quantInv[[#This Row],[Metal]] = "925 Silver",  "7113.11.00"," 7113.19.00")</f>
        <v>7113.11.00</v>
      </c>
      <c r="J447" t="str">
        <f>IF(quantInv[[#This Row],[Metal]] = "925 Silver", "7113.11.10.00"," 7113.19.10.00")</f>
        <v>7113.11.10.00</v>
      </c>
      <c r="K447" t="str">
        <f>IF(quantInv[[#This Row],[Metal]] = "925 Silver",  "7113.11.00"," 7113.19.00")</f>
        <v>7113.11.00</v>
      </c>
      <c r="L447" t="str">
        <f>IFERROR(VLOOKUP(quantInv[[#This Row],[Description for New Invoice]],Map!$G$12:$H$32,2,FALSE), IF(quantInv[[#This Row],[Metal]] = "925 Silver", "7113.11.10.00", "7113.19.29.00"))</f>
        <v>7113.11.50.00</v>
      </c>
      <c r="M447" t="str">
        <f>quantInv[[#This Row],[ASIN]] &amp; " " &amp; quantInv[[#This Row],[Short Description]]</f>
        <v>B071R916JC Earrings - stud  multicolored  cube</v>
      </c>
      <c r="N447" s="33">
        <f>quantInv[[#This Row],[UNIT
VALUE]] / EURtoGBP</f>
        <v>4.0404556367165547</v>
      </c>
      <c r="O447" s="33">
        <f>quantInv[[#This Row],[UNIT
VALUE]]/USDtoGBP</f>
        <v>4.8794831407997172</v>
      </c>
      <c r="P447" s="33">
        <f>quantInv[[#This Row],[UNIT
VALUE]] / CADtoGBP</f>
        <v>6.2460189196729852</v>
      </c>
      <c r="Q447" s="33">
        <f>quantInv[[#This Row],[UNIT
VALUE]]/AUDtoGBP</f>
        <v>6.3932394568575326</v>
      </c>
      <c r="R447">
        <f>IFERROR(VLOOKUP(quantInv[[#This Row],[Assigned Item SKU]],skuQuantity[#All],2,FALSE),0)</f>
        <v>0</v>
      </c>
      <c r="S447" t="str">
        <f>PROPER(quantInv[[#This Row],[Metal]] &amp; " " &amp; quantInv[[#This Row],[Item Type]])</f>
        <v>925 Silver Earrings</v>
      </c>
      <c r="T447" s="33">
        <f>quantInv[[#This Row],[Quantity]]*quantInv[[#This Row],[WEIGHT]]</f>
        <v>0</v>
      </c>
      <c r="U447" s="33">
        <f>quantInv[[#This Row],[UNIT
VALUE]]*quantInv[[#This Row],[Quantity]]</f>
        <v>0</v>
      </c>
      <c r="V447" s="33">
        <f>quantInv[[#This Row],[Total Cost GBP]]/EURtoGBP</f>
        <v>0</v>
      </c>
      <c r="W447" s="33">
        <f>quantInv[[#This Row],[Total Cost GBP]]/USDtoGBP</f>
        <v>0</v>
      </c>
      <c r="X447" s="33">
        <f>quantInv[[#This Row],[Total Cost GBP]]/CADtoGBP</f>
        <v>0</v>
      </c>
      <c r="Y447" s="33">
        <f>quantInv[[#This Row],[Quantity]]*quantInv[[#This Row],[UNIT
VALUE AUD]]</f>
        <v>0</v>
      </c>
      <c r="Z447" s="33"/>
    </row>
    <row r="448" spans="1:26" x14ac:dyDescent="0.25">
      <c r="A448" t="s">
        <v>1038</v>
      </c>
      <c r="B448" t="s">
        <v>1039</v>
      </c>
      <c r="C448" t="s">
        <v>113</v>
      </c>
      <c r="D448" t="s">
        <v>1040</v>
      </c>
      <c r="E448">
        <v>3.4</v>
      </c>
      <c r="F448" s="33">
        <v>4.4535999999999998</v>
      </c>
      <c r="G448" s="33" t="s">
        <v>117</v>
      </c>
      <c r="H448" t="s">
        <v>1310</v>
      </c>
      <c r="I448" t="str">
        <f>IF(quantInv[[#This Row],[Metal]] = "925 Silver",  "7113.11.00"," 7113.19.00")</f>
        <v>7113.11.00</v>
      </c>
      <c r="J448" t="str">
        <f>IF(quantInv[[#This Row],[Metal]] = "925 Silver", "7113.11.10.00"," 7113.19.10.00")</f>
        <v>7113.11.10.00</v>
      </c>
      <c r="K448" t="str">
        <f>IF(quantInv[[#This Row],[Metal]] = "925 Silver",  "7113.11.00"," 7113.19.00")</f>
        <v>7113.11.00</v>
      </c>
      <c r="L448" t="str">
        <f>IFERROR(VLOOKUP(quantInv[[#This Row],[Description for New Invoice]],Map!$G$12:$H$32,2,FALSE), IF(quantInv[[#This Row],[Metal]] = "925 Silver", "7113.11.10.00", "7113.19.29.00"))</f>
        <v>7113.11.50.00</v>
      </c>
      <c r="M448" t="str">
        <f>quantInv[[#This Row],[ASIN]] &amp; " " &amp; quantInv[[#This Row],[Short Description]]</f>
        <v>B06ZYPQ7G1 Earrings - Sun - 3.4</v>
      </c>
      <c r="N448" s="33">
        <f>quantInv[[#This Row],[UNIT
VALUE]] / EURtoGBP</f>
        <v>5.0553654231439387</v>
      </c>
      <c r="O448" s="33">
        <f>quantInv[[#This Row],[UNIT
VALUE]]/USDtoGBP</f>
        <v>6.1051456990772914</v>
      </c>
      <c r="P448" s="33">
        <f>quantInv[[#This Row],[UNIT
VALUE]] / CADtoGBP</f>
        <v>7.8149374520734947</v>
      </c>
      <c r="Q448" s="33">
        <f>quantInv[[#This Row],[UNIT
VALUE]]/AUDtoGBP</f>
        <v>7.9991378690997905</v>
      </c>
      <c r="R448">
        <f>IFERROR(VLOOKUP(quantInv[[#This Row],[Assigned Item SKU]],skuQuantity[#All],2,FALSE),0)</f>
        <v>0</v>
      </c>
      <c r="S448" t="str">
        <f>PROPER(quantInv[[#This Row],[Metal]] &amp; " " &amp; quantInv[[#This Row],[Item Type]])</f>
        <v>925 Silver Earrings</v>
      </c>
      <c r="T448" s="33">
        <f>quantInv[[#This Row],[Quantity]]*quantInv[[#This Row],[WEIGHT]]</f>
        <v>0</v>
      </c>
      <c r="U448" s="33">
        <f>quantInv[[#This Row],[UNIT
VALUE]]*quantInv[[#This Row],[Quantity]]</f>
        <v>0</v>
      </c>
      <c r="V448" s="33">
        <f>quantInv[[#This Row],[Total Cost GBP]]/EURtoGBP</f>
        <v>0</v>
      </c>
      <c r="W448" s="33">
        <f>quantInv[[#This Row],[Total Cost GBP]]/USDtoGBP</f>
        <v>0</v>
      </c>
      <c r="X448" s="33">
        <f>quantInv[[#This Row],[Total Cost GBP]]/CADtoGBP</f>
        <v>0</v>
      </c>
      <c r="Y448" s="33">
        <f>quantInv[[#This Row],[Quantity]]*quantInv[[#This Row],[UNIT
VALUE AUD]]</f>
        <v>0</v>
      </c>
      <c r="Z448" s="33"/>
    </row>
    <row r="449" spans="1:26" x14ac:dyDescent="0.25">
      <c r="A449" t="s">
        <v>1041</v>
      </c>
      <c r="B449" t="s">
        <v>1042</v>
      </c>
      <c r="C449" t="s">
        <v>113</v>
      </c>
      <c r="D449" t="s">
        <v>1040</v>
      </c>
      <c r="E449">
        <v>3.4</v>
      </c>
      <c r="F449" s="33">
        <v>4.4535999999999998</v>
      </c>
      <c r="G449" s="33" t="s">
        <v>117</v>
      </c>
      <c r="H449" t="s">
        <v>1310</v>
      </c>
      <c r="I449" t="str">
        <f>IF(quantInv[[#This Row],[Metal]] = "925 Silver",  "7113.11.00"," 7113.19.00")</f>
        <v>7113.11.00</v>
      </c>
      <c r="J449" t="str">
        <f>IF(quantInv[[#This Row],[Metal]] = "925 Silver", "7113.11.10.00"," 7113.19.10.00")</f>
        <v>7113.11.10.00</v>
      </c>
      <c r="K449" t="str">
        <f>IF(quantInv[[#This Row],[Metal]] = "925 Silver",  "7113.11.00"," 7113.19.00")</f>
        <v>7113.11.00</v>
      </c>
      <c r="L449" t="str">
        <f>IFERROR(VLOOKUP(quantInv[[#This Row],[Description for New Invoice]],Map!$G$12:$H$32,2,FALSE), IF(quantInv[[#This Row],[Metal]] = "925 Silver", "7113.11.10.00", "7113.19.29.00"))</f>
        <v>7113.11.50.00</v>
      </c>
      <c r="M449" t="str">
        <f>quantInv[[#This Row],[ASIN]] &amp; " " &amp; quantInv[[#This Row],[Short Description]]</f>
        <v>B071QZWMWZ Earrings - Sun - 3.4</v>
      </c>
      <c r="N449" s="33">
        <f>quantInv[[#This Row],[UNIT
VALUE]] / EURtoGBP</f>
        <v>5.0553654231439387</v>
      </c>
      <c r="O449" s="33">
        <f>quantInv[[#This Row],[UNIT
VALUE]]/USDtoGBP</f>
        <v>6.1051456990772914</v>
      </c>
      <c r="P449" s="33">
        <f>quantInv[[#This Row],[UNIT
VALUE]] / CADtoGBP</f>
        <v>7.8149374520734947</v>
      </c>
      <c r="Q449" s="33">
        <f>quantInv[[#This Row],[UNIT
VALUE]]/AUDtoGBP</f>
        <v>7.9991378690997905</v>
      </c>
      <c r="R449">
        <f>IFERROR(VLOOKUP(quantInv[[#This Row],[Assigned Item SKU]],skuQuantity[#All],2,FALSE),0)</f>
        <v>0</v>
      </c>
      <c r="S449" t="str">
        <f>PROPER(quantInv[[#This Row],[Metal]] &amp; " " &amp; quantInv[[#This Row],[Item Type]])</f>
        <v>925 Silver Earrings</v>
      </c>
      <c r="T449" s="33">
        <f>quantInv[[#This Row],[Quantity]]*quantInv[[#This Row],[WEIGHT]]</f>
        <v>0</v>
      </c>
      <c r="U449" s="33">
        <f>quantInv[[#This Row],[UNIT
VALUE]]*quantInv[[#This Row],[Quantity]]</f>
        <v>0</v>
      </c>
      <c r="V449" s="33">
        <f>quantInv[[#This Row],[Total Cost GBP]]/EURtoGBP</f>
        <v>0</v>
      </c>
      <c r="W449" s="33">
        <f>quantInv[[#This Row],[Total Cost GBP]]/USDtoGBP</f>
        <v>0</v>
      </c>
      <c r="X449" s="33">
        <f>quantInv[[#This Row],[Total Cost GBP]]/CADtoGBP</f>
        <v>0</v>
      </c>
      <c r="Y449" s="33">
        <f>quantInv[[#This Row],[Quantity]]*quantInv[[#This Row],[UNIT
VALUE AUD]]</f>
        <v>0</v>
      </c>
      <c r="Z449" s="33"/>
    </row>
    <row r="450" spans="1:26" x14ac:dyDescent="0.25">
      <c r="A450" t="s">
        <v>1043</v>
      </c>
      <c r="B450" t="s">
        <v>1044</v>
      </c>
      <c r="C450" t="s">
        <v>113</v>
      </c>
      <c r="D450" t="s">
        <v>1040</v>
      </c>
      <c r="E450">
        <v>3.4</v>
      </c>
      <c r="F450" s="33">
        <v>4.4535999999999998</v>
      </c>
      <c r="G450" s="33" t="s">
        <v>117</v>
      </c>
      <c r="H450" t="s">
        <v>1310</v>
      </c>
      <c r="I450" t="str">
        <f>IF(quantInv[[#This Row],[Metal]] = "925 Silver",  "7113.11.00"," 7113.19.00")</f>
        <v>7113.11.00</v>
      </c>
      <c r="J450" t="str">
        <f>IF(quantInv[[#This Row],[Metal]] = "925 Silver", "7113.11.10.00"," 7113.19.10.00")</f>
        <v>7113.11.10.00</v>
      </c>
      <c r="K450" t="str">
        <f>IF(quantInv[[#This Row],[Metal]] = "925 Silver",  "7113.11.00"," 7113.19.00")</f>
        <v>7113.11.00</v>
      </c>
      <c r="L450" t="str">
        <f>IFERROR(VLOOKUP(quantInv[[#This Row],[Description for New Invoice]],Map!$G$12:$H$32,2,FALSE), IF(quantInv[[#This Row],[Metal]] = "925 Silver", "7113.11.10.00", "7113.19.29.00"))</f>
        <v>7113.11.50.00</v>
      </c>
      <c r="M450" t="str">
        <f>quantInv[[#This Row],[ASIN]] &amp; " " &amp; quantInv[[#This Row],[Short Description]]</f>
        <v>B06ZZKPV4W Earrings - Sun - 3.4</v>
      </c>
      <c r="N450" s="33">
        <f>quantInv[[#This Row],[UNIT
VALUE]] / EURtoGBP</f>
        <v>5.0553654231439387</v>
      </c>
      <c r="O450" s="33">
        <f>quantInv[[#This Row],[UNIT
VALUE]]/USDtoGBP</f>
        <v>6.1051456990772914</v>
      </c>
      <c r="P450" s="33">
        <f>quantInv[[#This Row],[UNIT
VALUE]] / CADtoGBP</f>
        <v>7.8149374520734947</v>
      </c>
      <c r="Q450" s="33">
        <f>quantInv[[#This Row],[UNIT
VALUE]]/AUDtoGBP</f>
        <v>7.9991378690997905</v>
      </c>
      <c r="R450">
        <f>IFERROR(VLOOKUP(quantInv[[#This Row],[Assigned Item SKU]],skuQuantity[#All],2,FALSE),0)</f>
        <v>0</v>
      </c>
      <c r="S450" t="str">
        <f>PROPER(quantInv[[#This Row],[Metal]] &amp; " " &amp; quantInv[[#This Row],[Item Type]])</f>
        <v>925 Silver Earrings</v>
      </c>
      <c r="T450" s="33">
        <f>quantInv[[#This Row],[Quantity]]*quantInv[[#This Row],[WEIGHT]]</f>
        <v>0</v>
      </c>
      <c r="U450" s="33">
        <f>quantInv[[#This Row],[UNIT
VALUE]]*quantInv[[#This Row],[Quantity]]</f>
        <v>0</v>
      </c>
      <c r="V450" s="33">
        <f>quantInv[[#This Row],[Total Cost GBP]]/EURtoGBP</f>
        <v>0</v>
      </c>
      <c r="W450" s="33">
        <f>quantInv[[#This Row],[Total Cost GBP]]/USDtoGBP</f>
        <v>0</v>
      </c>
      <c r="X450" s="33">
        <f>quantInv[[#This Row],[Total Cost GBP]]/CADtoGBP</f>
        <v>0</v>
      </c>
      <c r="Y450" s="33">
        <f>quantInv[[#This Row],[Quantity]]*quantInv[[#This Row],[UNIT
VALUE AUD]]</f>
        <v>0</v>
      </c>
      <c r="Z450" s="33"/>
    </row>
    <row r="451" spans="1:26" x14ac:dyDescent="0.25">
      <c r="A451" t="s">
        <v>1045</v>
      </c>
      <c r="B451" t="s">
        <v>1046</v>
      </c>
      <c r="C451" t="s">
        <v>113</v>
      </c>
      <c r="D451" t="s">
        <v>1040</v>
      </c>
      <c r="E451">
        <v>3.4</v>
      </c>
      <c r="F451" s="33">
        <v>4.4535999999999998</v>
      </c>
      <c r="G451" s="33" t="s">
        <v>117</v>
      </c>
      <c r="H451" t="s">
        <v>1310</v>
      </c>
      <c r="I451" t="str">
        <f>IF(quantInv[[#This Row],[Metal]] = "925 Silver",  "7113.11.00"," 7113.19.00")</f>
        <v>7113.11.00</v>
      </c>
      <c r="J451" t="str">
        <f>IF(quantInv[[#This Row],[Metal]] = "925 Silver", "7113.11.10.00"," 7113.19.10.00")</f>
        <v>7113.11.10.00</v>
      </c>
      <c r="K451" t="str">
        <f>IF(quantInv[[#This Row],[Metal]] = "925 Silver",  "7113.11.00"," 7113.19.00")</f>
        <v>7113.11.00</v>
      </c>
      <c r="L451" t="str">
        <f>IFERROR(VLOOKUP(quantInv[[#This Row],[Description for New Invoice]],Map!$G$12:$H$32,2,FALSE), IF(quantInv[[#This Row],[Metal]] = "925 Silver", "7113.11.10.00", "7113.19.29.00"))</f>
        <v>7113.11.50.00</v>
      </c>
      <c r="M451" t="str">
        <f>quantInv[[#This Row],[ASIN]] &amp; " " &amp; quantInv[[#This Row],[Short Description]]</f>
        <v>B06ZY4LVFR Earrings - Sun - 3.4</v>
      </c>
      <c r="N451" s="33">
        <f>quantInv[[#This Row],[UNIT
VALUE]] / EURtoGBP</f>
        <v>5.0553654231439387</v>
      </c>
      <c r="O451" s="33">
        <f>quantInv[[#This Row],[UNIT
VALUE]]/USDtoGBP</f>
        <v>6.1051456990772914</v>
      </c>
      <c r="P451" s="33">
        <f>quantInv[[#This Row],[UNIT
VALUE]] / CADtoGBP</f>
        <v>7.8149374520734947</v>
      </c>
      <c r="Q451" s="33">
        <f>quantInv[[#This Row],[UNIT
VALUE]]/AUDtoGBP</f>
        <v>7.9991378690997905</v>
      </c>
      <c r="R451">
        <f>IFERROR(VLOOKUP(quantInv[[#This Row],[Assigned Item SKU]],skuQuantity[#All],2,FALSE),0)</f>
        <v>0</v>
      </c>
      <c r="S451" t="str">
        <f>PROPER(quantInv[[#This Row],[Metal]] &amp; " " &amp; quantInv[[#This Row],[Item Type]])</f>
        <v>925 Silver Earrings</v>
      </c>
      <c r="T451" s="33">
        <f>quantInv[[#This Row],[Quantity]]*quantInv[[#This Row],[WEIGHT]]</f>
        <v>0</v>
      </c>
      <c r="U451" s="33">
        <f>quantInv[[#This Row],[UNIT
VALUE]]*quantInv[[#This Row],[Quantity]]</f>
        <v>0</v>
      </c>
      <c r="V451" s="33">
        <f>quantInv[[#This Row],[Total Cost GBP]]/EURtoGBP</f>
        <v>0</v>
      </c>
      <c r="W451" s="33">
        <f>quantInv[[#This Row],[Total Cost GBP]]/USDtoGBP</f>
        <v>0</v>
      </c>
      <c r="X451" s="33">
        <f>quantInv[[#This Row],[Total Cost GBP]]/CADtoGBP</f>
        <v>0</v>
      </c>
      <c r="Y451" s="33">
        <f>quantInv[[#This Row],[Quantity]]*quantInv[[#This Row],[UNIT
VALUE AUD]]</f>
        <v>0</v>
      </c>
      <c r="Z451" s="33"/>
    </row>
    <row r="452" spans="1:26" x14ac:dyDescent="0.25">
      <c r="A452" t="s">
        <v>1047</v>
      </c>
      <c r="B452" t="s">
        <v>1048</v>
      </c>
      <c r="C452" t="s">
        <v>113</v>
      </c>
      <c r="D452" t="s">
        <v>1040</v>
      </c>
      <c r="E452">
        <v>3.4</v>
      </c>
      <c r="F452" s="33">
        <v>4.4535999999999998</v>
      </c>
      <c r="G452" s="33" t="s">
        <v>117</v>
      </c>
      <c r="H452" t="s">
        <v>1310</v>
      </c>
      <c r="I452" t="str">
        <f>IF(quantInv[[#This Row],[Metal]] = "925 Silver",  "7113.11.00"," 7113.19.00")</f>
        <v>7113.11.00</v>
      </c>
      <c r="J452" t="str">
        <f>IF(quantInv[[#This Row],[Metal]] = "925 Silver", "7113.11.10.00"," 7113.19.10.00")</f>
        <v>7113.11.10.00</v>
      </c>
      <c r="K452" t="str">
        <f>IF(quantInv[[#This Row],[Metal]] = "925 Silver",  "7113.11.00"," 7113.19.00")</f>
        <v>7113.11.00</v>
      </c>
      <c r="L452" t="str">
        <f>IFERROR(VLOOKUP(quantInv[[#This Row],[Description for New Invoice]],Map!$G$12:$H$32,2,FALSE), IF(quantInv[[#This Row],[Metal]] = "925 Silver", "7113.11.10.00", "7113.19.29.00"))</f>
        <v>7113.11.50.00</v>
      </c>
      <c r="M452" t="str">
        <f>quantInv[[#This Row],[ASIN]] &amp; " " &amp; quantInv[[#This Row],[Short Description]]</f>
        <v>B071CHQLSM Earrings - Sun - 3.4</v>
      </c>
      <c r="N452" s="33">
        <f>quantInv[[#This Row],[UNIT
VALUE]] / EURtoGBP</f>
        <v>5.0553654231439387</v>
      </c>
      <c r="O452" s="33">
        <f>quantInv[[#This Row],[UNIT
VALUE]]/USDtoGBP</f>
        <v>6.1051456990772914</v>
      </c>
      <c r="P452" s="33">
        <f>quantInv[[#This Row],[UNIT
VALUE]] / CADtoGBP</f>
        <v>7.8149374520734947</v>
      </c>
      <c r="Q452" s="33">
        <f>quantInv[[#This Row],[UNIT
VALUE]]/AUDtoGBP</f>
        <v>7.9991378690997905</v>
      </c>
      <c r="R452">
        <f>IFERROR(VLOOKUP(quantInv[[#This Row],[Assigned Item SKU]],skuQuantity[#All],2,FALSE),0)</f>
        <v>0</v>
      </c>
      <c r="S452" t="str">
        <f>PROPER(quantInv[[#This Row],[Metal]] &amp; " " &amp; quantInv[[#This Row],[Item Type]])</f>
        <v>925 Silver Earrings</v>
      </c>
      <c r="T452" s="33">
        <f>quantInv[[#This Row],[Quantity]]*quantInv[[#This Row],[WEIGHT]]</f>
        <v>0</v>
      </c>
      <c r="U452" s="33">
        <f>quantInv[[#This Row],[UNIT
VALUE]]*quantInv[[#This Row],[Quantity]]</f>
        <v>0</v>
      </c>
      <c r="V452" s="33">
        <f>quantInv[[#This Row],[Total Cost GBP]]/EURtoGBP</f>
        <v>0</v>
      </c>
      <c r="W452" s="33">
        <f>quantInv[[#This Row],[Total Cost GBP]]/USDtoGBP</f>
        <v>0</v>
      </c>
      <c r="X452" s="33">
        <f>quantInv[[#This Row],[Total Cost GBP]]/CADtoGBP</f>
        <v>0</v>
      </c>
      <c r="Y452" s="33">
        <f>quantInv[[#This Row],[Quantity]]*quantInv[[#This Row],[UNIT
VALUE AUD]]</f>
        <v>0</v>
      </c>
      <c r="Z452" s="33"/>
    </row>
    <row r="453" spans="1:26" x14ac:dyDescent="0.25">
      <c r="A453" t="s">
        <v>1049</v>
      </c>
      <c r="B453" t="s">
        <v>1050</v>
      </c>
      <c r="C453" t="s">
        <v>113</v>
      </c>
      <c r="D453" t="s">
        <v>2923</v>
      </c>
      <c r="E453">
        <v>1.6</v>
      </c>
      <c r="F453" s="33">
        <v>2.1543000000000001</v>
      </c>
      <c r="G453" s="33" t="s">
        <v>117</v>
      </c>
      <c r="H453" t="s">
        <v>1310</v>
      </c>
      <c r="I453" t="str">
        <f>IF(quantInv[[#This Row],[Metal]] = "925 Silver",  "7113.11.00"," 7113.19.00")</f>
        <v>7113.11.00</v>
      </c>
      <c r="J453" t="str">
        <f>IF(quantInv[[#This Row],[Metal]] = "925 Silver", "7113.11.10.00"," 7113.19.10.00")</f>
        <v>7113.11.10.00</v>
      </c>
      <c r="K453" t="str">
        <f>IF(quantInv[[#This Row],[Metal]] = "925 Silver",  "7113.11.00"," 7113.19.00")</f>
        <v>7113.11.00</v>
      </c>
      <c r="L453" t="str">
        <f>IFERROR(VLOOKUP(quantInv[[#This Row],[Description for New Invoice]],Map!$G$12:$H$32,2,FALSE), IF(quantInv[[#This Row],[Metal]] = "925 Silver", "7113.11.10.00", "7113.19.29.00"))</f>
        <v>7113.11.50.00</v>
      </c>
      <c r="M453" t="str">
        <f>quantInv[[#This Row],[ASIN]] &amp; " " &amp; quantInv[[#This Row],[Short Description]]</f>
        <v>B071XQWXW4 Earrings - Square Stud  generic</v>
      </c>
      <c r="N453" s="33">
        <f>quantInv[[#This Row],[UNIT
VALUE]] / EURtoGBP</f>
        <v>2.4453865931109635</v>
      </c>
      <c r="O453" s="33">
        <f>quantInv[[#This Row],[UNIT
VALUE]]/USDtoGBP</f>
        <v>2.9531873943601155</v>
      </c>
      <c r="P453" s="33">
        <f>quantInv[[#This Row],[UNIT
VALUE]] / CADtoGBP</f>
        <v>3.780249630187249</v>
      </c>
      <c r="Q453" s="33">
        <f>quantInv[[#This Row],[UNIT
VALUE]]/AUDtoGBP</f>
        <v>3.869351246497593</v>
      </c>
      <c r="R453">
        <f>IFERROR(VLOOKUP(quantInv[[#This Row],[Assigned Item SKU]],skuQuantity[#All],2,FALSE),0)</f>
        <v>0</v>
      </c>
      <c r="S453" t="str">
        <f>PROPER(quantInv[[#This Row],[Metal]] &amp; " " &amp; quantInv[[#This Row],[Item Type]])</f>
        <v>925 Silver Earrings</v>
      </c>
      <c r="T453" s="33">
        <f>quantInv[[#This Row],[Quantity]]*quantInv[[#This Row],[WEIGHT]]</f>
        <v>0</v>
      </c>
      <c r="U453" s="33">
        <f>quantInv[[#This Row],[UNIT
VALUE]]*quantInv[[#This Row],[Quantity]]</f>
        <v>0</v>
      </c>
      <c r="V453" s="33">
        <f>quantInv[[#This Row],[Total Cost GBP]]/EURtoGBP</f>
        <v>0</v>
      </c>
      <c r="W453" s="33">
        <f>quantInv[[#This Row],[Total Cost GBP]]/USDtoGBP</f>
        <v>0</v>
      </c>
      <c r="X453" s="33">
        <f>quantInv[[#This Row],[Total Cost GBP]]/CADtoGBP</f>
        <v>0</v>
      </c>
      <c r="Y453" s="33">
        <f>quantInv[[#This Row],[Quantity]]*quantInv[[#This Row],[UNIT
VALUE AUD]]</f>
        <v>0</v>
      </c>
      <c r="Z453" s="33"/>
    </row>
    <row r="454" spans="1:26" x14ac:dyDescent="0.25">
      <c r="A454" t="s">
        <v>1051</v>
      </c>
      <c r="B454" t="s">
        <v>1052</v>
      </c>
      <c r="C454" t="s">
        <v>113</v>
      </c>
      <c r="D454" t="s">
        <v>2923</v>
      </c>
      <c r="E454">
        <v>1.6</v>
      </c>
      <c r="F454" s="33">
        <v>2.1543000000000001</v>
      </c>
      <c r="G454" s="33" t="s">
        <v>117</v>
      </c>
      <c r="H454" t="s">
        <v>1310</v>
      </c>
      <c r="I454" t="str">
        <f>IF(quantInv[[#This Row],[Metal]] = "925 Silver",  "7113.11.00"," 7113.19.00")</f>
        <v>7113.11.00</v>
      </c>
      <c r="J454" t="str">
        <f>IF(quantInv[[#This Row],[Metal]] = "925 Silver", "7113.11.10.00"," 7113.19.10.00")</f>
        <v>7113.11.10.00</v>
      </c>
      <c r="K454" t="str">
        <f>IF(quantInv[[#This Row],[Metal]] = "925 Silver",  "7113.11.00"," 7113.19.00")</f>
        <v>7113.11.00</v>
      </c>
      <c r="L454" t="str">
        <f>IFERROR(VLOOKUP(quantInv[[#This Row],[Description for New Invoice]],Map!$G$12:$H$32,2,FALSE), IF(quantInv[[#This Row],[Metal]] = "925 Silver", "7113.11.10.00", "7113.19.29.00"))</f>
        <v>7113.11.50.00</v>
      </c>
      <c r="M454" t="str">
        <f>quantInv[[#This Row],[ASIN]] &amp; " " &amp; quantInv[[#This Row],[Short Description]]</f>
        <v>B06ZZV3GBS Earrings - Square Stud  generic</v>
      </c>
      <c r="N454" s="33">
        <f>quantInv[[#This Row],[UNIT
VALUE]] / EURtoGBP</f>
        <v>2.4453865931109635</v>
      </c>
      <c r="O454" s="33">
        <f>quantInv[[#This Row],[UNIT
VALUE]]/USDtoGBP</f>
        <v>2.9531873943601155</v>
      </c>
      <c r="P454" s="33">
        <f>quantInv[[#This Row],[UNIT
VALUE]] / CADtoGBP</f>
        <v>3.780249630187249</v>
      </c>
      <c r="Q454" s="33">
        <f>quantInv[[#This Row],[UNIT
VALUE]]/AUDtoGBP</f>
        <v>3.869351246497593</v>
      </c>
      <c r="R454">
        <f>IFERROR(VLOOKUP(quantInv[[#This Row],[Assigned Item SKU]],skuQuantity[#All],2,FALSE),0)</f>
        <v>0</v>
      </c>
      <c r="S454" t="str">
        <f>PROPER(quantInv[[#This Row],[Metal]] &amp; " " &amp; quantInv[[#This Row],[Item Type]])</f>
        <v>925 Silver Earrings</v>
      </c>
      <c r="T454" s="33">
        <f>quantInv[[#This Row],[Quantity]]*quantInv[[#This Row],[WEIGHT]]</f>
        <v>0</v>
      </c>
      <c r="U454" s="33">
        <f>quantInv[[#This Row],[UNIT
VALUE]]*quantInv[[#This Row],[Quantity]]</f>
        <v>0</v>
      </c>
      <c r="V454" s="33">
        <f>quantInv[[#This Row],[Total Cost GBP]]/EURtoGBP</f>
        <v>0</v>
      </c>
      <c r="W454" s="33">
        <f>quantInv[[#This Row],[Total Cost GBP]]/USDtoGBP</f>
        <v>0</v>
      </c>
      <c r="X454" s="33">
        <f>quantInv[[#This Row],[Total Cost GBP]]/CADtoGBP</f>
        <v>0</v>
      </c>
      <c r="Y454" s="33">
        <f>quantInv[[#This Row],[Quantity]]*quantInv[[#This Row],[UNIT
VALUE AUD]]</f>
        <v>0</v>
      </c>
      <c r="Z454" s="33"/>
    </row>
    <row r="455" spans="1:26" x14ac:dyDescent="0.25">
      <c r="A455" t="s">
        <v>1053</v>
      </c>
      <c r="B455" t="s">
        <v>1054</v>
      </c>
      <c r="C455" t="s">
        <v>113</v>
      </c>
      <c r="D455" t="s">
        <v>2923</v>
      </c>
      <c r="E455">
        <v>1.6</v>
      </c>
      <c r="F455" s="33">
        <v>2.1543000000000001</v>
      </c>
      <c r="G455" s="33" t="s">
        <v>117</v>
      </c>
      <c r="H455" t="s">
        <v>1310</v>
      </c>
      <c r="I455" t="str">
        <f>IF(quantInv[[#This Row],[Metal]] = "925 Silver",  "7113.11.00"," 7113.19.00")</f>
        <v>7113.11.00</v>
      </c>
      <c r="J455" t="str">
        <f>IF(quantInv[[#This Row],[Metal]] = "925 Silver", "7113.11.10.00"," 7113.19.10.00")</f>
        <v>7113.11.10.00</v>
      </c>
      <c r="K455" t="str">
        <f>IF(quantInv[[#This Row],[Metal]] = "925 Silver",  "7113.11.00"," 7113.19.00")</f>
        <v>7113.11.00</v>
      </c>
      <c r="L455" t="str">
        <f>IFERROR(VLOOKUP(quantInv[[#This Row],[Description for New Invoice]],Map!$G$12:$H$32,2,FALSE), IF(quantInv[[#This Row],[Metal]] = "925 Silver", "7113.11.10.00", "7113.19.29.00"))</f>
        <v>7113.11.50.00</v>
      </c>
      <c r="M455" t="str">
        <f>quantInv[[#This Row],[ASIN]] &amp; " " &amp; quantInv[[#This Row],[Short Description]]</f>
        <v>B071DCB5PV Earrings - Square Stud  generic</v>
      </c>
      <c r="N455" s="33">
        <f>quantInv[[#This Row],[UNIT
VALUE]] / EURtoGBP</f>
        <v>2.4453865931109635</v>
      </c>
      <c r="O455" s="33">
        <f>quantInv[[#This Row],[UNIT
VALUE]]/USDtoGBP</f>
        <v>2.9531873943601155</v>
      </c>
      <c r="P455" s="33">
        <f>quantInv[[#This Row],[UNIT
VALUE]] / CADtoGBP</f>
        <v>3.780249630187249</v>
      </c>
      <c r="Q455" s="33">
        <f>quantInv[[#This Row],[UNIT
VALUE]]/AUDtoGBP</f>
        <v>3.869351246497593</v>
      </c>
      <c r="R455">
        <f>IFERROR(VLOOKUP(quantInv[[#This Row],[Assigned Item SKU]],skuQuantity[#All],2,FALSE),0)</f>
        <v>0</v>
      </c>
      <c r="S455" t="str">
        <f>PROPER(quantInv[[#This Row],[Metal]] &amp; " " &amp; quantInv[[#This Row],[Item Type]])</f>
        <v>925 Silver Earrings</v>
      </c>
      <c r="T455" s="33">
        <f>quantInv[[#This Row],[Quantity]]*quantInv[[#This Row],[WEIGHT]]</f>
        <v>0</v>
      </c>
      <c r="U455" s="33">
        <f>quantInv[[#This Row],[UNIT
VALUE]]*quantInv[[#This Row],[Quantity]]</f>
        <v>0</v>
      </c>
      <c r="V455" s="33">
        <f>quantInv[[#This Row],[Total Cost GBP]]/EURtoGBP</f>
        <v>0</v>
      </c>
      <c r="W455" s="33">
        <f>quantInv[[#This Row],[Total Cost GBP]]/USDtoGBP</f>
        <v>0</v>
      </c>
      <c r="X455" s="33">
        <f>quantInv[[#This Row],[Total Cost GBP]]/CADtoGBP</f>
        <v>0</v>
      </c>
      <c r="Y455" s="33">
        <f>quantInv[[#This Row],[Quantity]]*quantInv[[#This Row],[UNIT
VALUE AUD]]</f>
        <v>0</v>
      </c>
      <c r="Z455" s="33"/>
    </row>
    <row r="456" spans="1:26" x14ac:dyDescent="0.25">
      <c r="A456" t="s">
        <v>1055</v>
      </c>
      <c r="B456" t="s">
        <v>1056</v>
      </c>
      <c r="C456" t="s">
        <v>113</v>
      </c>
      <c r="D456" t="s">
        <v>2923</v>
      </c>
      <c r="E456">
        <v>1.6</v>
      </c>
      <c r="F456" s="33">
        <v>2.1543000000000001</v>
      </c>
      <c r="G456" s="33" t="s">
        <v>117</v>
      </c>
      <c r="H456" t="s">
        <v>1310</v>
      </c>
      <c r="I456" t="str">
        <f>IF(quantInv[[#This Row],[Metal]] = "925 Silver",  "7113.11.00"," 7113.19.00")</f>
        <v>7113.11.00</v>
      </c>
      <c r="J456" t="str">
        <f>IF(quantInv[[#This Row],[Metal]] = "925 Silver", "7113.11.10.00"," 7113.19.10.00")</f>
        <v>7113.11.10.00</v>
      </c>
      <c r="K456" t="str">
        <f>IF(quantInv[[#This Row],[Metal]] = "925 Silver",  "7113.11.00"," 7113.19.00")</f>
        <v>7113.11.00</v>
      </c>
      <c r="L456" t="str">
        <f>IFERROR(VLOOKUP(quantInv[[#This Row],[Description for New Invoice]],Map!$G$12:$H$32,2,FALSE), IF(quantInv[[#This Row],[Metal]] = "925 Silver", "7113.11.10.00", "7113.19.29.00"))</f>
        <v>7113.11.50.00</v>
      </c>
      <c r="M456" t="str">
        <f>quantInv[[#This Row],[ASIN]] &amp; " " &amp; quantInv[[#This Row],[Short Description]]</f>
        <v>B071QZWLJS Earrings - Square Stud  generic</v>
      </c>
      <c r="N456" s="33">
        <f>quantInv[[#This Row],[UNIT
VALUE]] / EURtoGBP</f>
        <v>2.4453865931109635</v>
      </c>
      <c r="O456" s="33">
        <f>quantInv[[#This Row],[UNIT
VALUE]]/USDtoGBP</f>
        <v>2.9531873943601155</v>
      </c>
      <c r="P456" s="33">
        <f>quantInv[[#This Row],[UNIT
VALUE]] / CADtoGBP</f>
        <v>3.780249630187249</v>
      </c>
      <c r="Q456" s="33">
        <f>quantInv[[#This Row],[UNIT
VALUE]]/AUDtoGBP</f>
        <v>3.869351246497593</v>
      </c>
      <c r="R456">
        <f>IFERROR(VLOOKUP(quantInv[[#This Row],[Assigned Item SKU]],skuQuantity[#All],2,FALSE),0)</f>
        <v>0</v>
      </c>
      <c r="S456" t="str">
        <f>PROPER(quantInv[[#This Row],[Metal]] &amp; " " &amp; quantInv[[#This Row],[Item Type]])</f>
        <v>925 Silver Earrings</v>
      </c>
      <c r="T456" s="33">
        <f>quantInv[[#This Row],[Quantity]]*quantInv[[#This Row],[WEIGHT]]</f>
        <v>0</v>
      </c>
      <c r="U456" s="33">
        <f>quantInv[[#This Row],[UNIT
VALUE]]*quantInv[[#This Row],[Quantity]]</f>
        <v>0</v>
      </c>
      <c r="V456" s="33">
        <f>quantInv[[#This Row],[Total Cost GBP]]/EURtoGBP</f>
        <v>0</v>
      </c>
      <c r="W456" s="33">
        <f>quantInv[[#This Row],[Total Cost GBP]]/USDtoGBP</f>
        <v>0</v>
      </c>
      <c r="X456" s="33">
        <f>quantInv[[#This Row],[Total Cost GBP]]/CADtoGBP</f>
        <v>0</v>
      </c>
      <c r="Y456" s="33">
        <f>quantInv[[#This Row],[Quantity]]*quantInv[[#This Row],[UNIT
VALUE AUD]]</f>
        <v>0</v>
      </c>
      <c r="Z456" s="33"/>
    </row>
    <row r="457" spans="1:26" x14ac:dyDescent="0.25">
      <c r="A457" t="s">
        <v>1057</v>
      </c>
      <c r="B457" t="s">
        <v>1058</v>
      </c>
      <c r="C457" t="s">
        <v>113</v>
      </c>
      <c r="D457" t="s">
        <v>2923</v>
      </c>
      <c r="E457">
        <v>1.6</v>
      </c>
      <c r="F457" s="33">
        <v>2.1543000000000001</v>
      </c>
      <c r="G457" s="33" t="s">
        <v>117</v>
      </c>
      <c r="H457" t="s">
        <v>1310</v>
      </c>
      <c r="I457" t="str">
        <f>IF(quantInv[[#This Row],[Metal]] = "925 Silver",  "7113.11.00"," 7113.19.00")</f>
        <v>7113.11.00</v>
      </c>
      <c r="J457" t="str">
        <f>IF(quantInv[[#This Row],[Metal]] = "925 Silver", "7113.11.10.00"," 7113.19.10.00")</f>
        <v>7113.11.10.00</v>
      </c>
      <c r="K457" t="str">
        <f>IF(quantInv[[#This Row],[Metal]] = "925 Silver",  "7113.11.00"," 7113.19.00")</f>
        <v>7113.11.00</v>
      </c>
      <c r="L457" t="str">
        <f>IFERROR(VLOOKUP(quantInv[[#This Row],[Description for New Invoice]],Map!$G$12:$H$32,2,FALSE), IF(quantInv[[#This Row],[Metal]] = "925 Silver", "7113.11.10.00", "7113.19.29.00"))</f>
        <v>7113.11.50.00</v>
      </c>
      <c r="M457" t="str">
        <f>quantInv[[#This Row],[ASIN]] &amp; " " &amp; quantInv[[#This Row],[Short Description]]</f>
        <v>B06ZZKPV1J Earrings - Square Stud  generic</v>
      </c>
      <c r="N457" s="33">
        <f>quantInv[[#This Row],[UNIT
VALUE]] / EURtoGBP</f>
        <v>2.4453865931109635</v>
      </c>
      <c r="O457" s="33">
        <f>quantInv[[#This Row],[UNIT
VALUE]]/USDtoGBP</f>
        <v>2.9531873943601155</v>
      </c>
      <c r="P457" s="33">
        <f>quantInv[[#This Row],[UNIT
VALUE]] / CADtoGBP</f>
        <v>3.780249630187249</v>
      </c>
      <c r="Q457" s="33">
        <f>quantInv[[#This Row],[UNIT
VALUE]]/AUDtoGBP</f>
        <v>3.869351246497593</v>
      </c>
      <c r="R457">
        <f>IFERROR(VLOOKUP(quantInv[[#This Row],[Assigned Item SKU]],skuQuantity[#All],2,FALSE),0)</f>
        <v>0</v>
      </c>
      <c r="S457" t="str">
        <f>PROPER(quantInv[[#This Row],[Metal]] &amp; " " &amp; quantInv[[#This Row],[Item Type]])</f>
        <v>925 Silver Earrings</v>
      </c>
      <c r="T457" s="33">
        <f>quantInv[[#This Row],[Quantity]]*quantInv[[#This Row],[WEIGHT]]</f>
        <v>0</v>
      </c>
      <c r="U457" s="33">
        <f>quantInv[[#This Row],[UNIT
VALUE]]*quantInv[[#This Row],[Quantity]]</f>
        <v>0</v>
      </c>
      <c r="V457" s="33">
        <f>quantInv[[#This Row],[Total Cost GBP]]/EURtoGBP</f>
        <v>0</v>
      </c>
      <c r="W457" s="33">
        <f>quantInv[[#This Row],[Total Cost GBP]]/USDtoGBP</f>
        <v>0</v>
      </c>
      <c r="X457" s="33">
        <f>quantInv[[#This Row],[Total Cost GBP]]/CADtoGBP</f>
        <v>0</v>
      </c>
      <c r="Y457" s="33">
        <f>quantInv[[#This Row],[Quantity]]*quantInv[[#This Row],[UNIT
VALUE AUD]]</f>
        <v>0</v>
      </c>
      <c r="Z457" s="33"/>
    </row>
    <row r="458" spans="1:26" x14ac:dyDescent="0.25">
      <c r="A458" t="s">
        <v>1059</v>
      </c>
      <c r="B458" t="s">
        <v>1060</v>
      </c>
      <c r="C458" t="s">
        <v>113</v>
      </c>
      <c r="D458" t="s">
        <v>2924</v>
      </c>
      <c r="E458">
        <v>2.5</v>
      </c>
      <c r="F458" s="33">
        <v>3.3039999999999998</v>
      </c>
      <c r="G458" s="33" t="s">
        <v>117</v>
      </c>
      <c r="H458" t="s">
        <v>1310</v>
      </c>
      <c r="I458" t="str">
        <f>IF(quantInv[[#This Row],[Metal]] = "925 Silver",  "7113.11.00"," 7113.19.00")</f>
        <v>7113.11.00</v>
      </c>
      <c r="J458" t="str">
        <f>IF(quantInv[[#This Row],[Metal]] = "925 Silver", "7113.11.10.00"," 7113.19.10.00")</f>
        <v>7113.11.10.00</v>
      </c>
      <c r="K458" t="str">
        <f>IF(quantInv[[#This Row],[Metal]] = "925 Silver",  "7113.11.00"," 7113.19.00")</f>
        <v>7113.11.00</v>
      </c>
      <c r="L458" t="str">
        <f>IFERROR(VLOOKUP(quantInv[[#This Row],[Description for New Invoice]],Map!$G$12:$H$32,2,FALSE), IF(quantInv[[#This Row],[Metal]] = "925 Silver", "7113.11.10.00", "7113.19.29.00"))</f>
        <v>7113.11.50.00</v>
      </c>
      <c r="M458" t="str">
        <f>quantInv[[#This Row],[ASIN]] &amp; " " &amp; quantInv[[#This Row],[Short Description]]</f>
        <v>B06ZYZNYYW Earrings - stud  buffalo's</v>
      </c>
      <c r="N458" s="33">
        <f>quantInv[[#This Row],[UNIT
VALUE]] / EURtoGBP</f>
        <v>3.750432764071217</v>
      </c>
      <c r="O458" s="33">
        <f>quantInv[[#This Row],[UNIT
VALUE]]/USDtoGBP</f>
        <v>4.5292350884119301</v>
      </c>
      <c r="P458" s="33">
        <f>quantInv[[#This Row],[UNIT
VALUE]] / CADtoGBP</f>
        <v>5.797681278437854</v>
      </c>
      <c r="Q458" s="33">
        <f>quantInv[[#This Row],[UNIT
VALUE]]/AUDtoGBP</f>
        <v>5.9343343631007972</v>
      </c>
      <c r="R458">
        <f>IFERROR(VLOOKUP(quantInv[[#This Row],[Assigned Item SKU]],skuQuantity[#All],2,FALSE),0)</f>
        <v>0</v>
      </c>
      <c r="S458" t="str">
        <f>PROPER(quantInv[[#This Row],[Metal]] &amp; " " &amp; quantInv[[#This Row],[Item Type]])</f>
        <v>925 Silver Earrings</v>
      </c>
      <c r="T458" s="33">
        <f>quantInv[[#This Row],[Quantity]]*quantInv[[#This Row],[WEIGHT]]</f>
        <v>0</v>
      </c>
      <c r="U458" s="33">
        <f>quantInv[[#This Row],[UNIT
VALUE]]*quantInv[[#This Row],[Quantity]]</f>
        <v>0</v>
      </c>
      <c r="V458" s="33">
        <f>quantInv[[#This Row],[Total Cost GBP]]/EURtoGBP</f>
        <v>0</v>
      </c>
      <c r="W458" s="33">
        <f>quantInv[[#This Row],[Total Cost GBP]]/USDtoGBP</f>
        <v>0</v>
      </c>
      <c r="X458" s="33">
        <f>quantInv[[#This Row],[Total Cost GBP]]/CADtoGBP</f>
        <v>0</v>
      </c>
      <c r="Y458" s="33">
        <f>quantInv[[#This Row],[Quantity]]*quantInv[[#This Row],[UNIT
VALUE AUD]]</f>
        <v>0</v>
      </c>
      <c r="Z458" s="33"/>
    </row>
    <row r="459" spans="1:26" x14ac:dyDescent="0.25">
      <c r="A459" t="s">
        <v>1061</v>
      </c>
      <c r="B459" t="s">
        <v>1062</v>
      </c>
      <c r="C459" t="s">
        <v>113</v>
      </c>
      <c r="D459" t="s">
        <v>2924</v>
      </c>
      <c r="E459">
        <v>2.5</v>
      </c>
      <c r="F459" s="33">
        <v>3.3039999999999998</v>
      </c>
      <c r="G459" s="33" t="s">
        <v>117</v>
      </c>
      <c r="H459" t="s">
        <v>1310</v>
      </c>
      <c r="I459" t="str">
        <f>IF(quantInv[[#This Row],[Metal]] = "925 Silver",  "7113.11.00"," 7113.19.00")</f>
        <v>7113.11.00</v>
      </c>
      <c r="J459" t="str">
        <f>IF(quantInv[[#This Row],[Metal]] = "925 Silver", "7113.11.10.00"," 7113.19.10.00")</f>
        <v>7113.11.10.00</v>
      </c>
      <c r="K459" t="str">
        <f>IF(quantInv[[#This Row],[Metal]] = "925 Silver",  "7113.11.00"," 7113.19.00")</f>
        <v>7113.11.00</v>
      </c>
      <c r="L459" t="str">
        <f>IFERROR(VLOOKUP(quantInv[[#This Row],[Description for New Invoice]],Map!$G$12:$H$32,2,FALSE), IF(quantInv[[#This Row],[Metal]] = "925 Silver", "7113.11.10.00", "7113.19.29.00"))</f>
        <v>7113.11.50.00</v>
      </c>
      <c r="M459" t="str">
        <f>quantInv[[#This Row],[ASIN]] &amp; " " &amp; quantInv[[#This Row],[Short Description]]</f>
        <v>B06ZY4LQ5J Earrings - stud  buffalo's</v>
      </c>
      <c r="N459" s="33">
        <f>quantInv[[#This Row],[UNIT
VALUE]] / EURtoGBP</f>
        <v>3.750432764071217</v>
      </c>
      <c r="O459" s="33">
        <f>quantInv[[#This Row],[UNIT
VALUE]]/USDtoGBP</f>
        <v>4.5292350884119301</v>
      </c>
      <c r="P459" s="33">
        <f>quantInv[[#This Row],[UNIT
VALUE]] / CADtoGBP</f>
        <v>5.797681278437854</v>
      </c>
      <c r="Q459" s="33">
        <f>quantInv[[#This Row],[UNIT
VALUE]]/AUDtoGBP</f>
        <v>5.9343343631007972</v>
      </c>
      <c r="R459">
        <f>IFERROR(VLOOKUP(quantInv[[#This Row],[Assigned Item SKU]],skuQuantity[#All],2,FALSE),0)</f>
        <v>0</v>
      </c>
      <c r="S459" t="str">
        <f>PROPER(quantInv[[#This Row],[Metal]] &amp; " " &amp; quantInv[[#This Row],[Item Type]])</f>
        <v>925 Silver Earrings</v>
      </c>
      <c r="T459" s="33">
        <f>quantInv[[#This Row],[Quantity]]*quantInv[[#This Row],[WEIGHT]]</f>
        <v>0</v>
      </c>
      <c r="U459" s="33">
        <f>quantInv[[#This Row],[UNIT
VALUE]]*quantInv[[#This Row],[Quantity]]</f>
        <v>0</v>
      </c>
      <c r="V459" s="33">
        <f>quantInv[[#This Row],[Total Cost GBP]]/EURtoGBP</f>
        <v>0</v>
      </c>
      <c r="W459" s="33">
        <f>quantInv[[#This Row],[Total Cost GBP]]/USDtoGBP</f>
        <v>0</v>
      </c>
      <c r="X459" s="33">
        <f>quantInv[[#This Row],[Total Cost GBP]]/CADtoGBP</f>
        <v>0</v>
      </c>
      <c r="Y459" s="33">
        <f>quantInv[[#This Row],[Quantity]]*quantInv[[#This Row],[UNIT
VALUE AUD]]</f>
        <v>0</v>
      </c>
      <c r="Z459" s="33"/>
    </row>
    <row r="460" spans="1:26" x14ac:dyDescent="0.25">
      <c r="A460" t="s">
        <v>1063</v>
      </c>
      <c r="B460" t="s">
        <v>1064</v>
      </c>
      <c r="C460" t="s">
        <v>113</v>
      </c>
      <c r="D460" t="s">
        <v>2925</v>
      </c>
      <c r="E460">
        <v>3.5</v>
      </c>
      <c r="F460" s="33">
        <v>4.5814000000000004</v>
      </c>
      <c r="G460" s="33" t="s">
        <v>117</v>
      </c>
      <c r="H460" t="s">
        <v>1310</v>
      </c>
      <c r="I460" t="str">
        <f>IF(quantInv[[#This Row],[Metal]] = "925 Silver",  "7113.11.00"," 7113.19.00")</f>
        <v>7113.11.00</v>
      </c>
      <c r="J460" t="str">
        <f>IF(quantInv[[#This Row],[Metal]] = "925 Silver", "7113.11.10.00"," 7113.19.10.00")</f>
        <v>7113.11.10.00</v>
      </c>
      <c r="K460" t="str">
        <f>IF(quantInv[[#This Row],[Metal]] = "925 Silver",  "7113.11.00"," 7113.19.00")</f>
        <v>7113.11.00</v>
      </c>
      <c r="L460" t="str">
        <f>IFERROR(VLOOKUP(quantInv[[#This Row],[Description for New Invoice]],Map!$G$12:$H$32,2,FALSE), IF(quantInv[[#This Row],[Metal]] = "925 Silver", "7113.11.10.00", "7113.19.29.00"))</f>
        <v>7113.11.50.00</v>
      </c>
      <c r="M460" t="str">
        <f>quantInv[[#This Row],[ASIN]] &amp; " " &amp; quantInv[[#This Row],[Short Description]]</f>
        <v>B071R9BCM6 Earrings - Squirrels  stud</v>
      </c>
      <c r="N460" s="33">
        <f>quantInv[[#This Row],[UNIT
VALUE]] / EURtoGBP</f>
        <v>5.2004336154103745</v>
      </c>
      <c r="O460" s="33">
        <f>quantInv[[#This Row],[UNIT
VALUE]]/USDtoGBP</f>
        <v>6.2803382669644128</v>
      </c>
      <c r="P460" s="33">
        <f>quantInv[[#This Row],[UNIT
VALUE]] / CADtoGBP</f>
        <v>8.0391940099985444</v>
      </c>
      <c r="Q460" s="33">
        <f>quantInv[[#This Row],[UNIT
VALUE]]/AUDtoGBP</f>
        <v>8.2286802212802641</v>
      </c>
      <c r="R460">
        <f>IFERROR(VLOOKUP(quantInv[[#This Row],[Assigned Item SKU]],skuQuantity[#All],2,FALSE),0)</f>
        <v>0</v>
      </c>
      <c r="S460" t="str">
        <f>PROPER(quantInv[[#This Row],[Metal]] &amp; " " &amp; quantInv[[#This Row],[Item Type]])</f>
        <v>925 Silver Earrings</v>
      </c>
      <c r="T460" s="33">
        <f>quantInv[[#This Row],[Quantity]]*quantInv[[#This Row],[WEIGHT]]</f>
        <v>0</v>
      </c>
      <c r="U460" s="33">
        <f>quantInv[[#This Row],[UNIT
VALUE]]*quantInv[[#This Row],[Quantity]]</f>
        <v>0</v>
      </c>
      <c r="V460" s="33">
        <f>quantInv[[#This Row],[Total Cost GBP]]/EURtoGBP</f>
        <v>0</v>
      </c>
      <c r="W460" s="33">
        <f>quantInv[[#This Row],[Total Cost GBP]]/USDtoGBP</f>
        <v>0</v>
      </c>
      <c r="X460" s="33">
        <f>quantInv[[#This Row],[Total Cost GBP]]/CADtoGBP</f>
        <v>0</v>
      </c>
      <c r="Y460" s="33">
        <f>quantInv[[#This Row],[Quantity]]*quantInv[[#This Row],[UNIT
VALUE AUD]]</f>
        <v>0</v>
      </c>
      <c r="Z460" s="33"/>
    </row>
    <row r="461" spans="1:26" x14ac:dyDescent="0.25">
      <c r="A461" t="s">
        <v>1065</v>
      </c>
      <c r="B461" t="s">
        <v>1066</v>
      </c>
      <c r="C461" t="s">
        <v>113</v>
      </c>
      <c r="D461" t="s">
        <v>2926</v>
      </c>
      <c r="E461">
        <v>4.5999999999999996</v>
      </c>
      <c r="F461" s="33">
        <v>5.9865000000000004</v>
      </c>
      <c r="G461" s="33" t="s">
        <v>117</v>
      </c>
      <c r="H461" t="s">
        <v>1310</v>
      </c>
      <c r="I461" t="str">
        <f>IF(quantInv[[#This Row],[Metal]] = "925 Silver",  "7113.11.00"," 7113.19.00")</f>
        <v>7113.11.00</v>
      </c>
      <c r="J461" t="str">
        <f>IF(quantInv[[#This Row],[Metal]] = "925 Silver", "7113.11.10.00"," 7113.19.10.00")</f>
        <v>7113.11.10.00</v>
      </c>
      <c r="K461" t="str">
        <f>IF(quantInv[[#This Row],[Metal]] = "925 Silver",  "7113.11.00"," 7113.19.00")</f>
        <v>7113.11.00</v>
      </c>
      <c r="L461" t="str">
        <f>IFERROR(VLOOKUP(quantInv[[#This Row],[Description for New Invoice]],Map!$G$12:$H$32,2,FALSE), IF(quantInv[[#This Row],[Metal]] = "925 Silver", "7113.11.10.00", "7113.19.29.00"))</f>
        <v>7113.11.50.00</v>
      </c>
      <c r="M461" t="str">
        <f>quantInv[[#This Row],[ASIN]] &amp; " " &amp; quantInv[[#This Row],[Short Description]]</f>
        <v>B071QZQJRM Earrings - Teddy Bear  omega</v>
      </c>
      <c r="N461" s="33">
        <f>quantInv[[#This Row],[UNIT
VALUE]] / EURtoGBP</f>
        <v>6.7953891471284331</v>
      </c>
      <c r="O461" s="33">
        <f>quantInv[[#This Row],[UNIT
VALUE]]/USDtoGBP</f>
        <v>8.2064969300175612</v>
      </c>
      <c r="P461" s="33">
        <f>quantInv[[#This Row],[UNIT
VALUE]] / CADtoGBP</f>
        <v>10.504787824869316</v>
      </c>
      <c r="Q461" s="33">
        <f>quantInv[[#This Row],[UNIT
VALUE]]/AUDtoGBP</f>
        <v>10.752388821035995</v>
      </c>
      <c r="R461">
        <f>IFERROR(VLOOKUP(quantInv[[#This Row],[Assigned Item SKU]],skuQuantity[#All],2,FALSE),0)</f>
        <v>0</v>
      </c>
      <c r="S461" t="str">
        <f>PROPER(quantInv[[#This Row],[Metal]] &amp; " " &amp; quantInv[[#This Row],[Item Type]])</f>
        <v>925 Silver Earrings</v>
      </c>
      <c r="T461" s="33">
        <f>quantInv[[#This Row],[Quantity]]*quantInv[[#This Row],[WEIGHT]]</f>
        <v>0</v>
      </c>
      <c r="U461" s="33">
        <f>quantInv[[#This Row],[UNIT
VALUE]]*quantInv[[#This Row],[Quantity]]</f>
        <v>0</v>
      </c>
      <c r="V461" s="33">
        <f>quantInv[[#This Row],[Total Cost GBP]]/EURtoGBP</f>
        <v>0</v>
      </c>
      <c r="W461" s="33">
        <f>quantInv[[#This Row],[Total Cost GBP]]/USDtoGBP</f>
        <v>0</v>
      </c>
      <c r="X461" s="33">
        <f>quantInv[[#This Row],[Total Cost GBP]]/CADtoGBP</f>
        <v>0</v>
      </c>
      <c r="Y461" s="33">
        <f>quantInv[[#This Row],[Quantity]]*quantInv[[#This Row],[UNIT
VALUE AUD]]</f>
        <v>0</v>
      </c>
      <c r="Z461" s="33"/>
    </row>
    <row r="462" spans="1:26" x14ac:dyDescent="0.25">
      <c r="A462" t="s">
        <v>1067</v>
      </c>
      <c r="B462" t="s">
        <v>1068</v>
      </c>
      <c r="C462" t="s">
        <v>113</v>
      </c>
      <c r="D462" t="s">
        <v>2927</v>
      </c>
      <c r="E462">
        <v>3.6</v>
      </c>
      <c r="F462" s="33">
        <v>4.7091000000000003</v>
      </c>
      <c r="G462" s="33" t="s">
        <v>117</v>
      </c>
      <c r="H462" t="s">
        <v>1310</v>
      </c>
      <c r="I462" t="str">
        <f>IF(quantInv[[#This Row],[Metal]] = "925 Silver",  "7113.11.00"," 7113.19.00")</f>
        <v>7113.11.00</v>
      </c>
      <c r="J462" t="str">
        <f>IF(quantInv[[#This Row],[Metal]] = "925 Silver", "7113.11.10.00"," 7113.19.10.00")</f>
        <v>7113.11.10.00</v>
      </c>
      <c r="K462" t="str">
        <f>IF(quantInv[[#This Row],[Metal]] = "925 Silver",  "7113.11.00"," 7113.19.00")</f>
        <v>7113.11.00</v>
      </c>
      <c r="L462" t="str">
        <f>IFERROR(VLOOKUP(quantInv[[#This Row],[Description for New Invoice]],Map!$G$12:$H$32,2,FALSE), IF(quantInv[[#This Row],[Metal]] = "925 Silver", "7113.11.10.00", "7113.19.29.00"))</f>
        <v>7113.11.50.00</v>
      </c>
      <c r="M462" t="str">
        <f>quantInv[[#This Row],[ASIN]] &amp; " " &amp; quantInv[[#This Row],[Short Description]]</f>
        <v>B071CS9M92 Earrings - Squirrels  omega</v>
      </c>
      <c r="N462" s="33">
        <f>quantInv[[#This Row],[UNIT
VALUE]] / EURtoGBP</f>
        <v>5.3453882957892764</v>
      </c>
      <c r="O462" s="33">
        <f>quantInv[[#This Row],[UNIT
VALUE]]/USDtoGBP</f>
        <v>6.4553937514650794</v>
      </c>
      <c r="P462" s="33">
        <f>quantInv[[#This Row],[UNIT
VALUE]] / CADtoGBP</f>
        <v>8.2632750933086268</v>
      </c>
      <c r="Q462" s="33">
        <f>quantInv[[#This Row],[UNIT
VALUE]]/AUDtoGBP</f>
        <v>8.4580429628565277</v>
      </c>
      <c r="R462">
        <f>IFERROR(VLOOKUP(quantInv[[#This Row],[Assigned Item SKU]],skuQuantity[#All],2,FALSE),0)</f>
        <v>0</v>
      </c>
      <c r="S462" t="str">
        <f>PROPER(quantInv[[#This Row],[Metal]] &amp; " " &amp; quantInv[[#This Row],[Item Type]])</f>
        <v>925 Silver Earrings</v>
      </c>
      <c r="T462" s="33">
        <f>quantInv[[#This Row],[Quantity]]*quantInv[[#This Row],[WEIGHT]]</f>
        <v>0</v>
      </c>
      <c r="U462" s="33">
        <f>quantInv[[#This Row],[UNIT
VALUE]]*quantInv[[#This Row],[Quantity]]</f>
        <v>0</v>
      </c>
      <c r="V462" s="33">
        <f>quantInv[[#This Row],[Total Cost GBP]]/EURtoGBP</f>
        <v>0</v>
      </c>
      <c r="W462" s="33">
        <f>quantInv[[#This Row],[Total Cost GBP]]/USDtoGBP</f>
        <v>0</v>
      </c>
      <c r="X462" s="33">
        <f>quantInv[[#This Row],[Total Cost GBP]]/CADtoGBP</f>
        <v>0</v>
      </c>
      <c r="Y462" s="33">
        <f>quantInv[[#This Row],[Quantity]]*quantInv[[#This Row],[UNIT
VALUE AUD]]</f>
        <v>0</v>
      </c>
      <c r="Z462" s="33"/>
    </row>
    <row r="463" spans="1:26" x14ac:dyDescent="0.25">
      <c r="A463" t="s">
        <v>1069</v>
      </c>
      <c r="B463" t="s">
        <v>1070</v>
      </c>
      <c r="C463" t="s">
        <v>113</v>
      </c>
      <c r="D463" t="s">
        <v>2928</v>
      </c>
      <c r="E463">
        <v>3</v>
      </c>
      <c r="F463" s="33">
        <v>3.9426999999999999</v>
      </c>
      <c r="G463" s="33" t="s">
        <v>117</v>
      </c>
      <c r="H463" t="s">
        <v>1310</v>
      </c>
      <c r="I463" t="str">
        <f>IF(quantInv[[#This Row],[Metal]] = "925 Silver",  "7113.11.00"," 7113.19.00")</f>
        <v>7113.11.00</v>
      </c>
      <c r="J463" t="str">
        <f>IF(quantInv[[#This Row],[Metal]] = "925 Silver", "7113.11.10.00"," 7113.19.10.00")</f>
        <v>7113.11.10.00</v>
      </c>
      <c r="K463" t="str">
        <f>IF(quantInv[[#This Row],[Metal]] = "925 Silver",  "7113.11.00"," 7113.19.00")</f>
        <v>7113.11.00</v>
      </c>
      <c r="L463" t="str">
        <f>IFERROR(VLOOKUP(quantInv[[#This Row],[Description for New Invoice]],Map!$G$12:$H$32,2,FALSE), IF(quantInv[[#This Row],[Metal]] = "925 Silver", "7113.11.10.00", "7113.19.29.00"))</f>
        <v>7113.11.50.00</v>
      </c>
      <c r="M463" t="str">
        <f>quantInv[[#This Row],[ASIN]] &amp; " " &amp; quantInv[[#This Row],[Short Description]]</f>
        <v>B06ZXV6HVN Earrings - Stud  Circle  complex</v>
      </c>
      <c r="N463" s="33">
        <f>quantInv[[#This Row],[UNIT
VALUE]] / EURtoGBP</f>
        <v>4.4754331897407953</v>
      </c>
      <c r="O463" s="33">
        <f>quantInv[[#This Row],[UNIT
VALUE]]/USDtoGBP</f>
        <v>5.404786677688171</v>
      </c>
      <c r="P463" s="33">
        <f>quantInv[[#This Row],[UNIT
VALUE]] / CADtoGBP</f>
        <v>6.9184376442181987</v>
      </c>
      <c r="Q463" s="33">
        <f>quantInv[[#This Row],[UNIT
VALUE]]/AUDtoGBP</f>
        <v>7.0815072921905307</v>
      </c>
      <c r="R463">
        <f>IFERROR(VLOOKUP(quantInv[[#This Row],[Assigned Item SKU]],skuQuantity[#All],2,FALSE),0)</f>
        <v>0</v>
      </c>
      <c r="S463" t="str">
        <f>PROPER(quantInv[[#This Row],[Metal]] &amp; " " &amp; quantInv[[#This Row],[Item Type]])</f>
        <v>925 Silver Earrings</v>
      </c>
      <c r="T463" s="33">
        <f>quantInv[[#This Row],[Quantity]]*quantInv[[#This Row],[WEIGHT]]</f>
        <v>0</v>
      </c>
      <c r="U463" s="33">
        <f>quantInv[[#This Row],[UNIT
VALUE]]*quantInv[[#This Row],[Quantity]]</f>
        <v>0</v>
      </c>
      <c r="V463" s="33">
        <f>quantInv[[#This Row],[Total Cost GBP]]/EURtoGBP</f>
        <v>0</v>
      </c>
      <c r="W463" s="33">
        <f>quantInv[[#This Row],[Total Cost GBP]]/USDtoGBP</f>
        <v>0</v>
      </c>
      <c r="X463" s="33">
        <f>quantInv[[#This Row],[Total Cost GBP]]/CADtoGBP</f>
        <v>0</v>
      </c>
      <c r="Y463" s="33">
        <f>quantInv[[#This Row],[Quantity]]*quantInv[[#This Row],[UNIT
VALUE AUD]]</f>
        <v>0</v>
      </c>
      <c r="Z463" s="33"/>
    </row>
    <row r="464" spans="1:26" x14ac:dyDescent="0.25">
      <c r="A464" t="s">
        <v>1071</v>
      </c>
      <c r="B464" t="s">
        <v>1072</v>
      </c>
      <c r="C464" t="s">
        <v>113</v>
      </c>
      <c r="D464" t="s">
        <v>2928</v>
      </c>
      <c r="E464">
        <v>3</v>
      </c>
      <c r="F464" s="33">
        <v>3.9426999999999999</v>
      </c>
      <c r="G464" s="33" t="s">
        <v>117</v>
      </c>
      <c r="H464" t="s">
        <v>1310</v>
      </c>
      <c r="I464" t="str">
        <f>IF(quantInv[[#This Row],[Metal]] = "925 Silver",  "7113.11.00"," 7113.19.00")</f>
        <v>7113.11.00</v>
      </c>
      <c r="J464" t="str">
        <f>IF(quantInv[[#This Row],[Metal]] = "925 Silver", "7113.11.10.00"," 7113.19.10.00")</f>
        <v>7113.11.10.00</v>
      </c>
      <c r="K464" t="str">
        <f>IF(quantInv[[#This Row],[Metal]] = "925 Silver",  "7113.11.00"," 7113.19.00")</f>
        <v>7113.11.00</v>
      </c>
      <c r="L464" t="str">
        <f>IFERROR(VLOOKUP(quantInv[[#This Row],[Description for New Invoice]],Map!$G$12:$H$32,2,FALSE), IF(quantInv[[#This Row],[Metal]] = "925 Silver", "7113.11.10.00", "7113.19.29.00"))</f>
        <v>7113.11.50.00</v>
      </c>
      <c r="M464" t="str">
        <f>quantInv[[#This Row],[ASIN]] &amp; " " &amp; quantInv[[#This Row],[Short Description]]</f>
        <v>B071XR1RKS Earrings - Stud  Circle  complex</v>
      </c>
      <c r="N464" s="33">
        <f>quantInv[[#This Row],[UNIT
VALUE]] / EURtoGBP</f>
        <v>4.4754331897407953</v>
      </c>
      <c r="O464" s="33">
        <f>quantInv[[#This Row],[UNIT
VALUE]]/USDtoGBP</f>
        <v>5.404786677688171</v>
      </c>
      <c r="P464" s="33">
        <f>quantInv[[#This Row],[UNIT
VALUE]] / CADtoGBP</f>
        <v>6.9184376442181987</v>
      </c>
      <c r="Q464" s="33">
        <f>quantInv[[#This Row],[UNIT
VALUE]]/AUDtoGBP</f>
        <v>7.0815072921905307</v>
      </c>
      <c r="R464">
        <f>IFERROR(VLOOKUP(quantInv[[#This Row],[Assigned Item SKU]],skuQuantity[#All],2,FALSE),0)</f>
        <v>0</v>
      </c>
      <c r="S464" t="str">
        <f>PROPER(quantInv[[#This Row],[Metal]] &amp; " " &amp; quantInv[[#This Row],[Item Type]])</f>
        <v>925 Silver Earrings</v>
      </c>
      <c r="T464" s="33">
        <f>quantInv[[#This Row],[Quantity]]*quantInv[[#This Row],[WEIGHT]]</f>
        <v>0</v>
      </c>
      <c r="U464" s="33">
        <f>quantInv[[#This Row],[UNIT
VALUE]]*quantInv[[#This Row],[Quantity]]</f>
        <v>0</v>
      </c>
      <c r="V464" s="33">
        <f>quantInv[[#This Row],[Total Cost GBP]]/EURtoGBP</f>
        <v>0</v>
      </c>
      <c r="W464" s="33">
        <f>quantInv[[#This Row],[Total Cost GBP]]/USDtoGBP</f>
        <v>0</v>
      </c>
      <c r="X464" s="33">
        <f>quantInv[[#This Row],[Total Cost GBP]]/CADtoGBP</f>
        <v>0</v>
      </c>
      <c r="Y464" s="33">
        <f>quantInv[[#This Row],[Quantity]]*quantInv[[#This Row],[UNIT
VALUE AUD]]</f>
        <v>0</v>
      </c>
      <c r="Z464" s="33"/>
    </row>
    <row r="465" spans="1:26" x14ac:dyDescent="0.25">
      <c r="A465" t="s">
        <v>1073</v>
      </c>
      <c r="B465" t="s">
        <v>1074</v>
      </c>
      <c r="C465" t="s">
        <v>113</v>
      </c>
      <c r="D465" t="s">
        <v>2928</v>
      </c>
      <c r="E465">
        <v>3</v>
      </c>
      <c r="F465" s="33">
        <v>3.9426999999999999</v>
      </c>
      <c r="G465" s="33" t="s">
        <v>117</v>
      </c>
      <c r="H465" t="s">
        <v>1310</v>
      </c>
      <c r="I465" t="str">
        <f>IF(quantInv[[#This Row],[Metal]] = "925 Silver",  "7113.11.00"," 7113.19.00")</f>
        <v>7113.11.00</v>
      </c>
      <c r="J465" t="str">
        <f>IF(quantInv[[#This Row],[Metal]] = "925 Silver", "7113.11.10.00"," 7113.19.10.00")</f>
        <v>7113.11.10.00</v>
      </c>
      <c r="K465" t="str">
        <f>IF(quantInv[[#This Row],[Metal]] = "925 Silver",  "7113.11.00"," 7113.19.00")</f>
        <v>7113.11.00</v>
      </c>
      <c r="L465" t="str">
        <f>IFERROR(VLOOKUP(quantInv[[#This Row],[Description for New Invoice]],Map!$G$12:$H$32,2,FALSE), IF(quantInv[[#This Row],[Metal]] = "925 Silver", "7113.11.10.00", "7113.19.29.00"))</f>
        <v>7113.11.50.00</v>
      </c>
      <c r="M465" t="str">
        <f>quantInv[[#This Row],[ASIN]] &amp; " " &amp; quantInv[[#This Row],[Short Description]]</f>
        <v>B06ZZ94DN3 Earrings - Stud  Circle  complex</v>
      </c>
      <c r="N465" s="33">
        <f>quantInv[[#This Row],[UNIT
VALUE]] / EURtoGBP</f>
        <v>4.4754331897407953</v>
      </c>
      <c r="O465" s="33">
        <f>quantInv[[#This Row],[UNIT
VALUE]]/USDtoGBP</f>
        <v>5.404786677688171</v>
      </c>
      <c r="P465" s="33">
        <f>quantInv[[#This Row],[UNIT
VALUE]] / CADtoGBP</f>
        <v>6.9184376442181987</v>
      </c>
      <c r="Q465" s="33">
        <f>quantInv[[#This Row],[UNIT
VALUE]]/AUDtoGBP</f>
        <v>7.0815072921905307</v>
      </c>
      <c r="R465">
        <f>IFERROR(VLOOKUP(quantInv[[#This Row],[Assigned Item SKU]],skuQuantity[#All],2,FALSE),0)</f>
        <v>0</v>
      </c>
      <c r="S465" t="str">
        <f>PROPER(quantInv[[#This Row],[Metal]] &amp; " " &amp; quantInv[[#This Row],[Item Type]])</f>
        <v>925 Silver Earrings</v>
      </c>
      <c r="T465" s="33">
        <f>quantInv[[#This Row],[Quantity]]*quantInv[[#This Row],[WEIGHT]]</f>
        <v>0</v>
      </c>
      <c r="U465" s="33">
        <f>quantInv[[#This Row],[UNIT
VALUE]]*quantInv[[#This Row],[Quantity]]</f>
        <v>0</v>
      </c>
      <c r="V465" s="33">
        <f>quantInv[[#This Row],[Total Cost GBP]]/EURtoGBP</f>
        <v>0</v>
      </c>
      <c r="W465" s="33">
        <f>quantInv[[#This Row],[Total Cost GBP]]/USDtoGBP</f>
        <v>0</v>
      </c>
      <c r="X465" s="33">
        <f>quantInv[[#This Row],[Total Cost GBP]]/CADtoGBP</f>
        <v>0</v>
      </c>
      <c r="Y465" s="33">
        <f>quantInv[[#This Row],[Quantity]]*quantInv[[#This Row],[UNIT
VALUE AUD]]</f>
        <v>0</v>
      </c>
      <c r="Z465" s="33"/>
    </row>
    <row r="466" spans="1:26" x14ac:dyDescent="0.25">
      <c r="A466" t="s">
        <v>1075</v>
      </c>
      <c r="B466" t="s">
        <v>1076</v>
      </c>
      <c r="C466" t="s">
        <v>113</v>
      </c>
      <c r="D466" t="s">
        <v>2928</v>
      </c>
      <c r="E466">
        <v>3</v>
      </c>
      <c r="F466" s="33">
        <v>3.9426999999999999</v>
      </c>
      <c r="G466" s="33" t="s">
        <v>117</v>
      </c>
      <c r="H466" t="s">
        <v>1310</v>
      </c>
      <c r="I466" t="str">
        <f>IF(quantInv[[#This Row],[Metal]] = "925 Silver",  "7113.11.00"," 7113.19.00")</f>
        <v>7113.11.00</v>
      </c>
      <c r="J466" t="str">
        <f>IF(quantInv[[#This Row],[Metal]] = "925 Silver", "7113.11.10.00"," 7113.19.10.00")</f>
        <v>7113.11.10.00</v>
      </c>
      <c r="K466" t="str">
        <f>IF(quantInv[[#This Row],[Metal]] = "925 Silver",  "7113.11.00"," 7113.19.00")</f>
        <v>7113.11.00</v>
      </c>
      <c r="L466" t="str">
        <f>IFERROR(VLOOKUP(quantInv[[#This Row],[Description for New Invoice]],Map!$G$12:$H$32,2,FALSE), IF(quantInv[[#This Row],[Metal]] = "925 Silver", "7113.11.10.00", "7113.19.29.00"))</f>
        <v>7113.11.50.00</v>
      </c>
      <c r="M466" t="str">
        <f>quantInv[[#This Row],[ASIN]] &amp; " " &amp; quantInv[[#This Row],[Short Description]]</f>
        <v>B071R9FRCS Earrings - Stud  Circle  complex</v>
      </c>
      <c r="N466" s="33">
        <f>quantInv[[#This Row],[UNIT
VALUE]] / EURtoGBP</f>
        <v>4.4754331897407953</v>
      </c>
      <c r="O466" s="33">
        <f>quantInv[[#This Row],[UNIT
VALUE]]/USDtoGBP</f>
        <v>5.404786677688171</v>
      </c>
      <c r="P466" s="33">
        <f>quantInv[[#This Row],[UNIT
VALUE]] / CADtoGBP</f>
        <v>6.9184376442181987</v>
      </c>
      <c r="Q466" s="33">
        <f>quantInv[[#This Row],[UNIT
VALUE]]/AUDtoGBP</f>
        <v>7.0815072921905307</v>
      </c>
      <c r="R466">
        <f>IFERROR(VLOOKUP(quantInv[[#This Row],[Assigned Item SKU]],skuQuantity[#All],2,FALSE),0)</f>
        <v>0</v>
      </c>
      <c r="S466" t="str">
        <f>PROPER(quantInv[[#This Row],[Metal]] &amp; " " &amp; quantInv[[#This Row],[Item Type]])</f>
        <v>925 Silver Earrings</v>
      </c>
      <c r="T466" s="33">
        <f>quantInv[[#This Row],[Quantity]]*quantInv[[#This Row],[WEIGHT]]</f>
        <v>0</v>
      </c>
      <c r="U466" s="33">
        <f>quantInv[[#This Row],[UNIT
VALUE]]*quantInv[[#This Row],[Quantity]]</f>
        <v>0</v>
      </c>
      <c r="V466" s="33">
        <f>quantInv[[#This Row],[Total Cost GBP]]/EURtoGBP</f>
        <v>0</v>
      </c>
      <c r="W466" s="33">
        <f>quantInv[[#This Row],[Total Cost GBP]]/USDtoGBP</f>
        <v>0</v>
      </c>
      <c r="X466" s="33">
        <f>quantInv[[#This Row],[Total Cost GBP]]/CADtoGBP</f>
        <v>0</v>
      </c>
      <c r="Y466" s="33">
        <f>quantInv[[#This Row],[Quantity]]*quantInv[[#This Row],[UNIT
VALUE AUD]]</f>
        <v>0</v>
      </c>
      <c r="Z466" s="33"/>
    </row>
    <row r="467" spans="1:26" x14ac:dyDescent="0.25">
      <c r="A467" t="s">
        <v>1077</v>
      </c>
      <c r="B467" t="s">
        <v>1078</v>
      </c>
      <c r="C467" t="s">
        <v>113</v>
      </c>
      <c r="D467" t="s">
        <v>2928</v>
      </c>
      <c r="E467">
        <v>3</v>
      </c>
      <c r="F467" s="33">
        <v>3.9426999999999999</v>
      </c>
      <c r="G467" s="33" t="s">
        <v>117</v>
      </c>
      <c r="H467" t="s">
        <v>1310</v>
      </c>
      <c r="I467" t="str">
        <f>IF(quantInv[[#This Row],[Metal]] = "925 Silver",  "7113.11.00"," 7113.19.00")</f>
        <v>7113.11.00</v>
      </c>
      <c r="J467" t="str">
        <f>IF(quantInv[[#This Row],[Metal]] = "925 Silver", "7113.11.10.00"," 7113.19.10.00")</f>
        <v>7113.11.10.00</v>
      </c>
      <c r="K467" t="str">
        <f>IF(quantInv[[#This Row],[Metal]] = "925 Silver",  "7113.11.00"," 7113.19.00")</f>
        <v>7113.11.00</v>
      </c>
      <c r="L467" t="str">
        <f>IFERROR(VLOOKUP(quantInv[[#This Row],[Description for New Invoice]],Map!$G$12:$H$32,2,FALSE), IF(quantInv[[#This Row],[Metal]] = "925 Silver", "7113.11.10.00", "7113.19.29.00"))</f>
        <v>7113.11.50.00</v>
      </c>
      <c r="M467" t="str">
        <f>quantInv[[#This Row],[ASIN]] &amp; " " &amp; quantInv[[#This Row],[Short Description]]</f>
        <v>B071CS9XF5 Earrings - Stud  Circle  complex</v>
      </c>
      <c r="N467" s="33">
        <f>quantInv[[#This Row],[UNIT
VALUE]] / EURtoGBP</f>
        <v>4.4754331897407953</v>
      </c>
      <c r="O467" s="33">
        <f>quantInv[[#This Row],[UNIT
VALUE]]/USDtoGBP</f>
        <v>5.404786677688171</v>
      </c>
      <c r="P467" s="33">
        <f>quantInv[[#This Row],[UNIT
VALUE]] / CADtoGBP</f>
        <v>6.9184376442181987</v>
      </c>
      <c r="Q467" s="33">
        <f>quantInv[[#This Row],[UNIT
VALUE]]/AUDtoGBP</f>
        <v>7.0815072921905307</v>
      </c>
      <c r="R467">
        <f>IFERROR(VLOOKUP(quantInv[[#This Row],[Assigned Item SKU]],skuQuantity[#All],2,FALSE),0)</f>
        <v>0</v>
      </c>
      <c r="S467" t="str">
        <f>PROPER(quantInv[[#This Row],[Metal]] &amp; " " &amp; quantInv[[#This Row],[Item Type]])</f>
        <v>925 Silver Earrings</v>
      </c>
      <c r="T467" s="33">
        <f>quantInv[[#This Row],[Quantity]]*quantInv[[#This Row],[WEIGHT]]</f>
        <v>0</v>
      </c>
      <c r="U467" s="33">
        <f>quantInv[[#This Row],[UNIT
VALUE]]*quantInv[[#This Row],[Quantity]]</f>
        <v>0</v>
      </c>
      <c r="V467" s="33">
        <f>quantInv[[#This Row],[Total Cost GBP]]/EURtoGBP</f>
        <v>0</v>
      </c>
      <c r="W467" s="33">
        <f>quantInv[[#This Row],[Total Cost GBP]]/USDtoGBP</f>
        <v>0</v>
      </c>
      <c r="X467" s="33">
        <f>quantInv[[#This Row],[Total Cost GBP]]/CADtoGBP</f>
        <v>0</v>
      </c>
      <c r="Y467" s="33">
        <f>quantInv[[#This Row],[Quantity]]*quantInv[[#This Row],[UNIT
VALUE AUD]]</f>
        <v>0</v>
      </c>
      <c r="Z467" s="33"/>
    </row>
    <row r="468" spans="1:26" x14ac:dyDescent="0.25">
      <c r="A468" t="s">
        <v>1079</v>
      </c>
      <c r="B468" t="s">
        <v>1080</v>
      </c>
      <c r="C468" t="s">
        <v>113</v>
      </c>
      <c r="D468" t="s">
        <v>1081</v>
      </c>
      <c r="E468">
        <v>1.4</v>
      </c>
      <c r="F468" s="33">
        <v>1.8988</v>
      </c>
      <c r="G468" s="33" t="s">
        <v>117</v>
      </c>
      <c r="H468" t="s">
        <v>1310</v>
      </c>
      <c r="I468" t="str">
        <f>IF(quantInv[[#This Row],[Metal]] = "925 Silver",  "7113.11.00"," 7113.19.00")</f>
        <v>7113.11.00</v>
      </c>
      <c r="J468" t="str">
        <f>IF(quantInv[[#This Row],[Metal]] = "925 Silver", "7113.11.10.00"," 7113.19.10.00")</f>
        <v>7113.11.10.00</v>
      </c>
      <c r="K468" t="str">
        <f>IF(quantInv[[#This Row],[Metal]] = "925 Silver",  "7113.11.00"," 7113.19.00")</f>
        <v>7113.11.00</v>
      </c>
      <c r="L468" t="str">
        <f>IFERROR(VLOOKUP(quantInv[[#This Row],[Description for New Invoice]],Map!$G$12:$H$32,2,FALSE), IF(quantInv[[#This Row],[Metal]] = "925 Silver", "7113.11.10.00", "7113.19.29.00"))</f>
        <v>7113.11.50.00</v>
      </c>
      <c r="M468" t="str">
        <f>quantInv[[#This Row],[ASIN]] &amp; " " &amp; quantInv[[#This Row],[Short Description]]</f>
        <v>B06ZXV6GQW Earrings - circle stud</v>
      </c>
      <c r="N468" s="33">
        <f>quantInv[[#This Row],[UNIT
VALUE]] / EURtoGBP</f>
        <v>2.1553637204656257</v>
      </c>
      <c r="O468" s="33">
        <f>quantInv[[#This Row],[UNIT
VALUE]]/USDtoGBP</f>
        <v>2.6029393419723283</v>
      </c>
      <c r="P468" s="33">
        <f>quantInv[[#This Row],[UNIT
VALUE]] / CADtoGBP</f>
        <v>3.3319119889521183</v>
      </c>
      <c r="Q468" s="33">
        <f>quantInv[[#This Row],[UNIT
VALUE]]/AUDtoGBP</f>
        <v>3.4104461527408576</v>
      </c>
      <c r="R468">
        <f>IFERROR(VLOOKUP(quantInv[[#This Row],[Assigned Item SKU]],skuQuantity[#All],2,FALSE),0)</f>
        <v>0</v>
      </c>
      <c r="S468" t="str">
        <f>PROPER(quantInv[[#This Row],[Metal]] &amp; " " &amp; quantInv[[#This Row],[Item Type]])</f>
        <v>925 Silver Earrings</v>
      </c>
      <c r="T468" s="33">
        <f>quantInv[[#This Row],[Quantity]]*quantInv[[#This Row],[WEIGHT]]</f>
        <v>0</v>
      </c>
      <c r="U468" s="33">
        <f>quantInv[[#This Row],[UNIT
VALUE]]*quantInv[[#This Row],[Quantity]]</f>
        <v>0</v>
      </c>
      <c r="V468" s="33">
        <f>quantInv[[#This Row],[Total Cost GBP]]/EURtoGBP</f>
        <v>0</v>
      </c>
      <c r="W468" s="33">
        <f>quantInv[[#This Row],[Total Cost GBP]]/USDtoGBP</f>
        <v>0</v>
      </c>
      <c r="X468" s="33">
        <f>quantInv[[#This Row],[Total Cost GBP]]/CADtoGBP</f>
        <v>0</v>
      </c>
      <c r="Y468" s="33">
        <f>quantInv[[#This Row],[Quantity]]*quantInv[[#This Row],[UNIT
VALUE AUD]]</f>
        <v>0</v>
      </c>
      <c r="Z468" s="33"/>
    </row>
    <row r="469" spans="1:26" x14ac:dyDescent="0.25">
      <c r="A469" t="s">
        <v>1082</v>
      </c>
      <c r="B469" t="s">
        <v>1083</v>
      </c>
      <c r="C469" t="s">
        <v>113</v>
      </c>
      <c r="D469" t="s">
        <v>1081</v>
      </c>
      <c r="E469">
        <v>1.4</v>
      </c>
      <c r="F469" s="33">
        <v>1.8988</v>
      </c>
      <c r="G469" s="33" t="s">
        <v>117</v>
      </c>
      <c r="H469" t="s">
        <v>1310</v>
      </c>
      <c r="I469" t="str">
        <f>IF(quantInv[[#This Row],[Metal]] = "925 Silver",  "7113.11.00"," 7113.19.00")</f>
        <v>7113.11.00</v>
      </c>
      <c r="J469" t="str">
        <f>IF(quantInv[[#This Row],[Metal]] = "925 Silver", "7113.11.10.00"," 7113.19.10.00")</f>
        <v>7113.11.10.00</v>
      </c>
      <c r="K469" t="str">
        <f>IF(quantInv[[#This Row],[Metal]] = "925 Silver",  "7113.11.00"," 7113.19.00")</f>
        <v>7113.11.00</v>
      </c>
      <c r="L469" t="str">
        <f>IFERROR(VLOOKUP(quantInv[[#This Row],[Description for New Invoice]],Map!$G$12:$H$32,2,FALSE), IF(quantInv[[#This Row],[Metal]] = "925 Silver", "7113.11.10.00", "7113.19.29.00"))</f>
        <v>7113.11.50.00</v>
      </c>
      <c r="M469" t="str">
        <f>quantInv[[#This Row],[ASIN]] &amp; " " &amp; quantInv[[#This Row],[Short Description]]</f>
        <v>B071D2S8LL Earrings - circle stud</v>
      </c>
      <c r="N469" s="33">
        <f>quantInv[[#This Row],[UNIT
VALUE]] / EURtoGBP</f>
        <v>2.1553637204656257</v>
      </c>
      <c r="O469" s="33">
        <f>quantInv[[#This Row],[UNIT
VALUE]]/USDtoGBP</f>
        <v>2.6029393419723283</v>
      </c>
      <c r="P469" s="33">
        <f>quantInv[[#This Row],[UNIT
VALUE]] / CADtoGBP</f>
        <v>3.3319119889521183</v>
      </c>
      <c r="Q469" s="33">
        <f>quantInv[[#This Row],[UNIT
VALUE]]/AUDtoGBP</f>
        <v>3.4104461527408576</v>
      </c>
      <c r="R469">
        <f>IFERROR(VLOOKUP(quantInv[[#This Row],[Assigned Item SKU]],skuQuantity[#All],2,FALSE),0)</f>
        <v>0</v>
      </c>
      <c r="S469" t="str">
        <f>PROPER(quantInv[[#This Row],[Metal]] &amp; " " &amp; quantInv[[#This Row],[Item Type]])</f>
        <v>925 Silver Earrings</v>
      </c>
      <c r="T469" s="33">
        <f>quantInv[[#This Row],[Quantity]]*quantInv[[#This Row],[WEIGHT]]</f>
        <v>0</v>
      </c>
      <c r="U469" s="33">
        <f>quantInv[[#This Row],[UNIT
VALUE]]*quantInv[[#This Row],[Quantity]]</f>
        <v>0</v>
      </c>
      <c r="V469" s="33">
        <f>quantInv[[#This Row],[Total Cost GBP]]/EURtoGBP</f>
        <v>0</v>
      </c>
      <c r="W469" s="33">
        <f>quantInv[[#This Row],[Total Cost GBP]]/USDtoGBP</f>
        <v>0</v>
      </c>
      <c r="X469" s="33">
        <f>quantInv[[#This Row],[Total Cost GBP]]/CADtoGBP</f>
        <v>0</v>
      </c>
      <c r="Y469" s="33">
        <f>quantInv[[#This Row],[Quantity]]*quantInv[[#This Row],[UNIT
VALUE AUD]]</f>
        <v>0</v>
      </c>
      <c r="Z469" s="33"/>
    </row>
    <row r="470" spans="1:26" x14ac:dyDescent="0.25">
      <c r="A470" t="s">
        <v>1084</v>
      </c>
      <c r="B470" t="s">
        <v>1085</v>
      </c>
      <c r="C470" t="s">
        <v>113</v>
      </c>
      <c r="D470" t="s">
        <v>1081</v>
      </c>
      <c r="E470">
        <v>1.4</v>
      </c>
      <c r="F470" s="33">
        <v>1.8988</v>
      </c>
      <c r="G470" s="33" t="s">
        <v>117</v>
      </c>
      <c r="H470" t="s">
        <v>1310</v>
      </c>
      <c r="I470" t="str">
        <f>IF(quantInv[[#This Row],[Metal]] = "925 Silver",  "7113.11.00"," 7113.19.00")</f>
        <v>7113.11.00</v>
      </c>
      <c r="J470" t="str">
        <f>IF(quantInv[[#This Row],[Metal]] = "925 Silver", "7113.11.10.00"," 7113.19.10.00")</f>
        <v>7113.11.10.00</v>
      </c>
      <c r="K470" t="str">
        <f>IF(quantInv[[#This Row],[Metal]] = "925 Silver",  "7113.11.00"," 7113.19.00")</f>
        <v>7113.11.00</v>
      </c>
      <c r="L470" t="str">
        <f>IFERROR(VLOOKUP(quantInv[[#This Row],[Description for New Invoice]],Map!$G$12:$H$32,2,FALSE), IF(quantInv[[#This Row],[Metal]] = "925 Silver", "7113.11.10.00", "7113.19.29.00"))</f>
        <v>7113.11.50.00</v>
      </c>
      <c r="M470" t="str">
        <f>quantInv[[#This Row],[ASIN]] &amp; " " &amp; quantInv[[#This Row],[Short Description]]</f>
        <v>B06ZZV483K Earrings - circle stud</v>
      </c>
      <c r="N470" s="33">
        <f>quantInv[[#This Row],[UNIT
VALUE]] / EURtoGBP</f>
        <v>2.1553637204656257</v>
      </c>
      <c r="O470" s="33">
        <f>quantInv[[#This Row],[UNIT
VALUE]]/USDtoGBP</f>
        <v>2.6029393419723283</v>
      </c>
      <c r="P470" s="33">
        <f>quantInv[[#This Row],[UNIT
VALUE]] / CADtoGBP</f>
        <v>3.3319119889521183</v>
      </c>
      <c r="Q470" s="33">
        <f>quantInv[[#This Row],[UNIT
VALUE]]/AUDtoGBP</f>
        <v>3.4104461527408576</v>
      </c>
      <c r="R470">
        <f>IFERROR(VLOOKUP(quantInv[[#This Row],[Assigned Item SKU]],skuQuantity[#All],2,FALSE),0)</f>
        <v>0</v>
      </c>
      <c r="S470" t="str">
        <f>PROPER(quantInv[[#This Row],[Metal]] &amp; " " &amp; quantInv[[#This Row],[Item Type]])</f>
        <v>925 Silver Earrings</v>
      </c>
      <c r="T470" s="33">
        <f>quantInv[[#This Row],[Quantity]]*quantInv[[#This Row],[WEIGHT]]</f>
        <v>0</v>
      </c>
      <c r="U470" s="33">
        <f>quantInv[[#This Row],[UNIT
VALUE]]*quantInv[[#This Row],[Quantity]]</f>
        <v>0</v>
      </c>
      <c r="V470" s="33">
        <f>quantInv[[#This Row],[Total Cost GBP]]/EURtoGBP</f>
        <v>0</v>
      </c>
      <c r="W470" s="33">
        <f>quantInv[[#This Row],[Total Cost GBP]]/USDtoGBP</f>
        <v>0</v>
      </c>
      <c r="X470" s="33">
        <f>quantInv[[#This Row],[Total Cost GBP]]/CADtoGBP</f>
        <v>0</v>
      </c>
      <c r="Y470" s="33">
        <f>quantInv[[#This Row],[Quantity]]*quantInv[[#This Row],[UNIT
VALUE AUD]]</f>
        <v>0</v>
      </c>
      <c r="Z470" s="33"/>
    </row>
    <row r="471" spans="1:26" x14ac:dyDescent="0.25">
      <c r="A471" t="s">
        <v>1086</v>
      </c>
      <c r="B471" t="s">
        <v>1087</v>
      </c>
      <c r="C471" t="s">
        <v>113</v>
      </c>
      <c r="D471" t="s">
        <v>1081</v>
      </c>
      <c r="E471">
        <v>1.4</v>
      </c>
      <c r="F471" s="33">
        <v>1.8988</v>
      </c>
      <c r="G471" s="33" t="s">
        <v>117</v>
      </c>
      <c r="H471" t="s">
        <v>1310</v>
      </c>
      <c r="I471" t="str">
        <f>IF(quantInv[[#This Row],[Metal]] = "925 Silver",  "7113.11.00"," 7113.19.00")</f>
        <v>7113.11.00</v>
      </c>
      <c r="J471" t="str">
        <f>IF(quantInv[[#This Row],[Metal]] = "925 Silver", "7113.11.10.00"," 7113.19.10.00")</f>
        <v>7113.11.10.00</v>
      </c>
      <c r="K471" t="str">
        <f>IF(quantInv[[#This Row],[Metal]] = "925 Silver",  "7113.11.00"," 7113.19.00")</f>
        <v>7113.11.00</v>
      </c>
      <c r="L471" t="str">
        <f>IFERROR(VLOOKUP(quantInv[[#This Row],[Description for New Invoice]],Map!$G$12:$H$32,2,FALSE), IF(quantInv[[#This Row],[Metal]] = "925 Silver", "7113.11.10.00", "7113.19.29.00"))</f>
        <v>7113.11.50.00</v>
      </c>
      <c r="M471" t="str">
        <f>quantInv[[#This Row],[ASIN]] &amp; " " &amp; quantInv[[#This Row],[Short Description]]</f>
        <v>B071DCB494 Earrings - circle stud</v>
      </c>
      <c r="N471" s="33">
        <f>quantInv[[#This Row],[UNIT
VALUE]] / EURtoGBP</f>
        <v>2.1553637204656257</v>
      </c>
      <c r="O471" s="33">
        <f>quantInv[[#This Row],[UNIT
VALUE]]/USDtoGBP</f>
        <v>2.6029393419723283</v>
      </c>
      <c r="P471" s="33">
        <f>quantInv[[#This Row],[UNIT
VALUE]] / CADtoGBP</f>
        <v>3.3319119889521183</v>
      </c>
      <c r="Q471" s="33">
        <f>quantInv[[#This Row],[UNIT
VALUE]]/AUDtoGBP</f>
        <v>3.4104461527408576</v>
      </c>
      <c r="R471">
        <f>IFERROR(VLOOKUP(quantInv[[#This Row],[Assigned Item SKU]],skuQuantity[#All],2,FALSE),0)</f>
        <v>0</v>
      </c>
      <c r="S471" t="str">
        <f>PROPER(quantInv[[#This Row],[Metal]] &amp; " " &amp; quantInv[[#This Row],[Item Type]])</f>
        <v>925 Silver Earrings</v>
      </c>
      <c r="T471" s="33">
        <f>quantInv[[#This Row],[Quantity]]*quantInv[[#This Row],[WEIGHT]]</f>
        <v>0</v>
      </c>
      <c r="U471" s="33">
        <f>quantInv[[#This Row],[UNIT
VALUE]]*quantInv[[#This Row],[Quantity]]</f>
        <v>0</v>
      </c>
      <c r="V471" s="33">
        <f>quantInv[[#This Row],[Total Cost GBP]]/EURtoGBP</f>
        <v>0</v>
      </c>
      <c r="W471" s="33">
        <f>quantInv[[#This Row],[Total Cost GBP]]/USDtoGBP</f>
        <v>0</v>
      </c>
      <c r="X471" s="33">
        <f>quantInv[[#This Row],[Total Cost GBP]]/CADtoGBP</f>
        <v>0</v>
      </c>
      <c r="Y471" s="33">
        <f>quantInv[[#This Row],[Quantity]]*quantInv[[#This Row],[UNIT
VALUE AUD]]</f>
        <v>0</v>
      </c>
      <c r="Z471" s="33"/>
    </row>
    <row r="472" spans="1:26" x14ac:dyDescent="0.25">
      <c r="A472" t="s">
        <v>1088</v>
      </c>
      <c r="B472" t="s">
        <v>1089</v>
      </c>
      <c r="C472" t="s">
        <v>113</v>
      </c>
      <c r="D472" t="s">
        <v>1081</v>
      </c>
      <c r="E472">
        <v>1.4</v>
      </c>
      <c r="F472" s="33">
        <v>1.8988</v>
      </c>
      <c r="G472" s="33" t="s">
        <v>117</v>
      </c>
      <c r="H472" t="s">
        <v>1310</v>
      </c>
      <c r="I472" t="str">
        <f>IF(quantInv[[#This Row],[Metal]] = "925 Silver",  "7113.11.00"," 7113.19.00")</f>
        <v>7113.11.00</v>
      </c>
      <c r="J472" t="str">
        <f>IF(quantInv[[#This Row],[Metal]] = "925 Silver", "7113.11.10.00"," 7113.19.10.00")</f>
        <v>7113.11.10.00</v>
      </c>
      <c r="K472" t="str">
        <f>IF(quantInv[[#This Row],[Metal]] = "925 Silver",  "7113.11.00"," 7113.19.00")</f>
        <v>7113.11.00</v>
      </c>
      <c r="L472" t="str">
        <f>IFERROR(VLOOKUP(quantInv[[#This Row],[Description for New Invoice]],Map!$G$12:$H$32,2,FALSE), IF(quantInv[[#This Row],[Metal]] = "925 Silver", "7113.11.10.00", "7113.19.29.00"))</f>
        <v>7113.11.50.00</v>
      </c>
      <c r="M472" t="str">
        <f>quantInv[[#This Row],[ASIN]] &amp; " " &amp; quantInv[[#This Row],[Short Description]]</f>
        <v>B071Y1DJZF Earrings - circle stud</v>
      </c>
      <c r="N472" s="33">
        <f>quantInv[[#This Row],[UNIT
VALUE]] / EURtoGBP</f>
        <v>2.1553637204656257</v>
      </c>
      <c r="O472" s="33">
        <f>quantInv[[#This Row],[UNIT
VALUE]]/USDtoGBP</f>
        <v>2.6029393419723283</v>
      </c>
      <c r="P472" s="33">
        <f>quantInv[[#This Row],[UNIT
VALUE]] / CADtoGBP</f>
        <v>3.3319119889521183</v>
      </c>
      <c r="Q472" s="33">
        <f>quantInv[[#This Row],[UNIT
VALUE]]/AUDtoGBP</f>
        <v>3.4104461527408576</v>
      </c>
      <c r="R472">
        <f>IFERROR(VLOOKUP(quantInv[[#This Row],[Assigned Item SKU]],skuQuantity[#All],2,FALSE),0)</f>
        <v>0</v>
      </c>
      <c r="S472" t="str">
        <f>PROPER(quantInv[[#This Row],[Metal]] &amp; " " &amp; quantInv[[#This Row],[Item Type]])</f>
        <v>925 Silver Earrings</v>
      </c>
      <c r="T472" s="33">
        <f>quantInv[[#This Row],[Quantity]]*quantInv[[#This Row],[WEIGHT]]</f>
        <v>0</v>
      </c>
      <c r="U472" s="33">
        <f>quantInv[[#This Row],[UNIT
VALUE]]*quantInv[[#This Row],[Quantity]]</f>
        <v>0</v>
      </c>
      <c r="V472" s="33">
        <f>quantInv[[#This Row],[Total Cost GBP]]/EURtoGBP</f>
        <v>0</v>
      </c>
      <c r="W472" s="33">
        <f>quantInv[[#This Row],[Total Cost GBP]]/USDtoGBP</f>
        <v>0</v>
      </c>
      <c r="X472" s="33">
        <f>quantInv[[#This Row],[Total Cost GBP]]/CADtoGBP</f>
        <v>0</v>
      </c>
      <c r="Y472" s="33">
        <f>quantInv[[#This Row],[Quantity]]*quantInv[[#This Row],[UNIT
VALUE AUD]]</f>
        <v>0</v>
      </c>
      <c r="Z472" s="33"/>
    </row>
    <row r="473" spans="1:26" x14ac:dyDescent="0.25">
      <c r="A473" t="s">
        <v>1090</v>
      </c>
      <c r="B473" t="s">
        <v>1091</v>
      </c>
      <c r="C473" t="s">
        <v>114</v>
      </c>
      <c r="D473" t="s">
        <v>2929</v>
      </c>
      <c r="E473">
        <v>2.5</v>
      </c>
      <c r="F473" s="33">
        <v>3.6783999999999999</v>
      </c>
      <c r="G473" s="33" t="s">
        <v>117</v>
      </c>
      <c r="H473" t="s">
        <v>1414</v>
      </c>
      <c r="I473" t="str">
        <f>IF(quantInv[[#This Row],[Metal]] = "925 Silver",  "7113.11.00"," 7113.19.00")</f>
        <v>7113.11.00</v>
      </c>
      <c r="J473" t="str">
        <f>IF(quantInv[[#This Row],[Metal]] = "925 Silver", "7113.11.10.00"," 7113.19.10.00")</f>
        <v>7113.11.10.00</v>
      </c>
      <c r="K473" t="str">
        <f>IF(quantInv[[#This Row],[Metal]] = "925 Silver",  "7113.11.00"," 7113.19.00")</f>
        <v>7113.11.00</v>
      </c>
      <c r="L473" t="str">
        <f>IFERROR(VLOOKUP(quantInv[[#This Row],[Description for New Invoice]],Map!$G$12:$H$32,2,FALSE), IF(quantInv[[#This Row],[Metal]] = "925 Silver", "7113.11.10.00", "7113.19.29.00"))</f>
        <v>7113.11.10.00</v>
      </c>
      <c r="M473" t="str">
        <f>quantInv[[#This Row],[ASIN]] &amp; " " &amp; quantInv[[#This Row],[Short Description]]</f>
        <v xml:space="preserve">B077T3Y5N7 trace chain  Teddy  Big Tag  with beads </v>
      </c>
      <c r="N473" s="33">
        <f>quantInv[[#This Row],[UNIT
VALUE]] / EURtoGBP</f>
        <v>4.1754212709926044</v>
      </c>
      <c r="O473" s="33">
        <f>quantInv[[#This Row],[UNIT
VALUE]]/USDtoGBP</f>
        <v>5.0424752872925067</v>
      </c>
      <c r="P473" s="33">
        <f>quantInv[[#This Row],[UNIT
VALUE]] / CADtoGBP</f>
        <v>6.4546582368661634</v>
      </c>
      <c r="Q473" s="33">
        <f>quantInv[[#This Row],[UNIT
VALUE]]/AUDtoGBP</f>
        <v>6.6067964652633089</v>
      </c>
      <c r="R473">
        <f>IFERROR(VLOOKUP(quantInv[[#This Row],[Assigned Item SKU]],skuQuantity[#All],2,FALSE),0)</f>
        <v>0</v>
      </c>
      <c r="S473" t="str">
        <f>PROPER(quantInv[[#This Row],[Metal]] &amp; " " &amp; quantInv[[#This Row],[Item Type]])</f>
        <v>925 Silver Bracelet</v>
      </c>
      <c r="T473" s="33">
        <f>quantInv[[#This Row],[Quantity]]*quantInv[[#This Row],[WEIGHT]]</f>
        <v>0</v>
      </c>
      <c r="U473" s="33">
        <f>quantInv[[#This Row],[UNIT
VALUE]]*quantInv[[#This Row],[Quantity]]</f>
        <v>0</v>
      </c>
      <c r="V473" s="33">
        <f>quantInv[[#This Row],[Total Cost GBP]]/EURtoGBP</f>
        <v>0</v>
      </c>
      <c r="W473" s="33">
        <f>quantInv[[#This Row],[Total Cost GBP]]/USDtoGBP</f>
        <v>0</v>
      </c>
      <c r="X473" s="33">
        <f>quantInv[[#This Row],[Total Cost GBP]]/CADtoGBP</f>
        <v>0</v>
      </c>
      <c r="Y473" s="33">
        <f>quantInv[[#This Row],[Quantity]]*quantInv[[#This Row],[UNIT
VALUE AUD]]</f>
        <v>0</v>
      </c>
      <c r="Z473" s="33"/>
    </row>
    <row r="474" spans="1:26" x14ac:dyDescent="0.25">
      <c r="A474" t="s">
        <v>1092</v>
      </c>
      <c r="B474" t="s">
        <v>1093</v>
      </c>
      <c r="C474" t="s">
        <v>114</v>
      </c>
      <c r="D474" t="s">
        <v>2929</v>
      </c>
      <c r="E474">
        <v>2.8</v>
      </c>
      <c r="F474" s="33">
        <v>4.1064999999999996</v>
      </c>
      <c r="G474" s="33" t="s">
        <v>117</v>
      </c>
      <c r="H474" t="s">
        <v>1414</v>
      </c>
      <c r="I474" t="str">
        <f>IF(quantInv[[#This Row],[Metal]] = "925 Silver",  "7113.11.00"," 7113.19.00")</f>
        <v>7113.11.00</v>
      </c>
      <c r="J474" t="str">
        <f>IF(quantInv[[#This Row],[Metal]] = "925 Silver", "7113.11.10.00"," 7113.19.10.00")</f>
        <v>7113.11.10.00</v>
      </c>
      <c r="K474" t="str">
        <f>IF(quantInv[[#This Row],[Metal]] = "925 Silver",  "7113.11.00"," 7113.19.00")</f>
        <v>7113.11.00</v>
      </c>
      <c r="L474" t="str">
        <f>IFERROR(VLOOKUP(quantInv[[#This Row],[Description for New Invoice]],Map!$G$12:$H$32,2,FALSE), IF(quantInv[[#This Row],[Metal]] = "925 Silver", "7113.11.10.00", "7113.19.29.00"))</f>
        <v>7113.11.10.00</v>
      </c>
      <c r="M474" t="str">
        <f>quantInv[[#This Row],[ASIN]] &amp; " " &amp; quantInv[[#This Row],[Short Description]]</f>
        <v xml:space="preserve">B077TK8B4P trace chain  Teddy  Big Tag  with beads </v>
      </c>
      <c r="N474" s="33">
        <f>quantInv[[#This Row],[UNIT
VALUE]] / EURtoGBP</f>
        <v>4.6613656615189019</v>
      </c>
      <c r="O474" s="33">
        <f>quantInv[[#This Row],[UNIT
VALUE]]/USDtoGBP</f>
        <v>5.6293292646984225</v>
      </c>
      <c r="P474" s="33">
        <f>quantInv[[#This Row],[UNIT
VALUE]] / CADtoGBP</f>
        <v>7.2058650635305836</v>
      </c>
      <c r="Q474" s="33">
        <f>quantInv[[#This Row],[UNIT
VALUE]]/AUDtoGBP</f>
        <v>7.375709461886629</v>
      </c>
      <c r="R474">
        <f>IFERROR(VLOOKUP(quantInv[[#This Row],[Assigned Item SKU]],skuQuantity[#All],2,FALSE),0)</f>
        <v>0</v>
      </c>
      <c r="S474" t="str">
        <f>PROPER(quantInv[[#This Row],[Metal]] &amp; " " &amp; quantInv[[#This Row],[Item Type]])</f>
        <v>925 Silver Bracelet</v>
      </c>
      <c r="T474" s="33">
        <f>quantInv[[#This Row],[Quantity]]*quantInv[[#This Row],[WEIGHT]]</f>
        <v>0</v>
      </c>
      <c r="U474" s="33">
        <f>quantInv[[#This Row],[UNIT
VALUE]]*quantInv[[#This Row],[Quantity]]</f>
        <v>0</v>
      </c>
      <c r="V474" s="33">
        <f>quantInv[[#This Row],[Total Cost GBP]]/EURtoGBP</f>
        <v>0</v>
      </c>
      <c r="W474" s="33">
        <f>quantInv[[#This Row],[Total Cost GBP]]/USDtoGBP</f>
        <v>0</v>
      </c>
      <c r="X474" s="33">
        <f>quantInv[[#This Row],[Total Cost GBP]]/CADtoGBP</f>
        <v>0</v>
      </c>
      <c r="Y474" s="33">
        <f>quantInv[[#This Row],[Quantity]]*quantInv[[#This Row],[UNIT
VALUE AUD]]</f>
        <v>0</v>
      </c>
      <c r="Z474" s="33"/>
    </row>
    <row r="475" spans="1:26" x14ac:dyDescent="0.25">
      <c r="A475" t="s">
        <v>1094</v>
      </c>
      <c r="B475" t="s">
        <v>1095</v>
      </c>
      <c r="C475" t="s">
        <v>114</v>
      </c>
      <c r="D475" t="s">
        <v>2930</v>
      </c>
      <c r="E475">
        <v>2.5</v>
      </c>
      <c r="F475" s="33">
        <v>3.6783999999999999</v>
      </c>
      <c r="G475" s="33" t="s">
        <v>117</v>
      </c>
      <c r="H475" t="s">
        <v>1414</v>
      </c>
      <c r="I475" t="str">
        <f>IF(quantInv[[#This Row],[Metal]] = "925 Silver",  "7113.11.00"," 7113.19.00")</f>
        <v>7113.11.00</v>
      </c>
      <c r="J475" t="str">
        <f>IF(quantInv[[#This Row],[Metal]] = "925 Silver", "7113.11.10.00"," 7113.19.10.00")</f>
        <v>7113.11.10.00</v>
      </c>
      <c r="K475" t="str">
        <f>IF(quantInv[[#This Row],[Metal]] = "925 Silver",  "7113.11.00"," 7113.19.00")</f>
        <v>7113.11.00</v>
      </c>
      <c r="L475" t="str">
        <f>IFERROR(VLOOKUP(quantInv[[#This Row],[Description for New Invoice]],Map!$G$12:$H$32,2,FALSE), IF(quantInv[[#This Row],[Metal]] = "925 Silver", "7113.11.10.00", "7113.19.29.00"))</f>
        <v>7113.11.10.00</v>
      </c>
      <c r="M475" t="str">
        <f>quantInv[[#This Row],[ASIN]] &amp; " " &amp; quantInv[[#This Row],[Short Description]]</f>
        <v xml:space="preserve">B077TB9WP2 ball chain  Duck  Big Tag  with beads </v>
      </c>
      <c r="N475" s="33">
        <f>quantInv[[#This Row],[UNIT
VALUE]] / EURtoGBP</f>
        <v>4.1754212709926044</v>
      </c>
      <c r="O475" s="33">
        <f>quantInv[[#This Row],[UNIT
VALUE]]/USDtoGBP</f>
        <v>5.0424752872925067</v>
      </c>
      <c r="P475" s="33">
        <f>quantInv[[#This Row],[UNIT
VALUE]] / CADtoGBP</f>
        <v>6.4546582368661634</v>
      </c>
      <c r="Q475" s="33">
        <f>quantInv[[#This Row],[UNIT
VALUE]]/AUDtoGBP</f>
        <v>6.6067964652633089</v>
      </c>
      <c r="R475">
        <f>IFERROR(VLOOKUP(quantInv[[#This Row],[Assigned Item SKU]],skuQuantity[#All],2,FALSE),0)</f>
        <v>0</v>
      </c>
      <c r="S475" t="str">
        <f>PROPER(quantInv[[#This Row],[Metal]] &amp; " " &amp; quantInv[[#This Row],[Item Type]])</f>
        <v>925 Silver Bracelet</v>
      </c>
      <c r="T475" s="33">
        <f>quantInv[[#This Row],[Quantity]]*quantInv[[#This Row],[WEIGHT]]</f>
        <v>0</v>
      </c>
      <c r="U475" s="33">
        <f>quantInv[[#This Row],[UNIT
VALUE]]*quantInv[[#This Row],[Quantity]]</f>
        <v>0</v>
      </c>
      <c r="V475" s="33">
        <f>quantInv[[#This Row],[Total Cost GBP]]/EURtoGBP</f>
        <v>0</v>
      </c>
      <c r="W475" s="33">
        <f>quantInv[[#This Row],[Total Cost GBP]]/USDtoGBP</f>
        <v>0</v>
      </c>
      <c r="X475" s="33">
        <f>quantInv[[#This Row],[Total Cost GBP]]/CADtoGBP</f>
        <v>0</v>
      </c>
      <c r="Y475" s="33">
        <f>quantInv[[#This Row],[Quantity]]*quantInv[[#This Row],[UNIT
VALUE AUD]]</f>
        <v>0</v>
      </c>
      <c r="Z475" s="33"/>
    </row>
    <row r="476" spans="1:26" x14ac:dyDescent="0.25">
      <c r="A476" t="s">
        <v>1096</v>
      </c>
      <c r="B476" t="s">
        <v>1097</v>
      </c>
      <c r="C476" t="s">
        <v>114</v>
      </c>
      <c r="D476" t="s">
        <v>2931</v>
      </c>
      <c r="E476">
        <v>3.5</v>
      </c>
      <c r="F476" s="33">
        <v>5.1055000000000001</v>
      </c>
      <c r="G476" s="33" t="s">
        <v>117</v>
      </c>
      <c r="H476" t="s">
        <v>1414</v>
      </c>
      <c r="I476" t="str">
        <f>IF(quantInv[[#This Row],[Metal]] = "925 Silver",  "7113.11.00"," 7113.19.00")</f>
        <v>7113.11.00</v>
      </c>
      <c r="J476" t="str">
        <f>IF(quantInv[[#This Row],[Metal]] = "925 Silver", "7113.11.10.00"," 7113.19.10.00")</f>
        <v>7113.11.10.00</v>
      </c>
      <c r="K476" t="str">
        <f>IF(quantInv[[#This Row],[Metal]] = "925 Silver",  "7113.11.00"," 7113.19.00")</f>
        <v>7113.11.00</v>
      </c>
      <c r="L476" t="str">
        <f>IFERROR(VLOOKUP(quantInv[[#This Row],[Description for New Invoice]],Map!$G$12:$H$32,2,FALSE), IF(quantInv[[#This Row],[Metal]] = "925 Silver", "7113.11.10.00", "7113.19.29.00"))</f>
        <v>7113.11.10.00</v>
      </c>
      <c r="M476" t="str">
        <f>quantInv[[#This Row],[ASIN]] &amp; " " &amp; quantInv[[#This Row],[Short Description]]</f>
        <v>B077T8TYX9 rolo chain  Bunny  Big Tag  none multiple tags</v>
      </c>
      <c r="N476" s="33">
        <f>quantInv[[#This Row],[UNIT
VALUE]] / EURtoGBP</f>
        <v>5.7953494179677971</v>
      </c>
      <c r="O476" s="33">
        <f>quantInv[[#This Row],[UNIT
VALUE]]/USDtoGBP</f>
        <v>6.9987922953653481</v>
      </c>
      <c r="P476" s="33">
        <f>quantInv[[#This Row],[UNIT
VALUE]] / CADtoGBP</f>
        <v>8.9588564670291966</v>
      </c>
      <c r="Q476" s="33">
        <f>quantInv[[#This Row],[UNIT
VALUE]]/AUDtoGBP</f>
        <v>9.1700193979452536</v>
      </c>
      <c r="R476">
        <f>IFERROR(VLOOKUP(quantInv[[#This Row],[Assigned Item SKU]],skuQuantity[#All],2,FALSE),0)</f>
        <v>0</v>
      </c>
      <c r="S476" t="str">
        <f>PROPER(quantInv[[#This Row],[Metal]] &amp; " " &amp; quantInv[[#This Row],[Item Type]])</f>
        <v>925 Silver Bracelet</v>
      </c>
      <c r="T476" s="33">
        <f>quantInv[[#This Row],[Quantity]]*quantInv[[#This Row],[WEIGHT]]</f>
        <v>0</v>
      </c>
      <c r="U476" s="33">
        <f>quantInv[[#This Row],[UNIT
VALUE]]*quantInv[[#This Row],[Quantity]]</f>
        <v>0</v>
      </c>
      <c r="V476" s="33">
        <f>quantInv[[#This Row],[Total Cost GBP]]/EURtoGBP</f>
        <v>0</v>
      </c>
      <c r="W476" s="33">
        <f>quantInv[[#This Row],[Total Cost GBP]]/USDtoGBP</f>
        <v>0</v>
      </c>
      <c r="X476" s="33">
        <f>quantInv[[#This Row],[Total Cost GBP]]/CADtoGBP</f>
        <v>0</v>
      </c>
      <c r="Y476" s="33">
        <f>quantInv[[#This Row],[Quantity]]*quantInv[[#This Row],[UNIT
VALUE AUD]]</f>
        <v>0</v>
      </c>
      <c r="Z476" s="33"/>
    </row>
    <row r="477" spans="1:26" x14ac:dyDescent="0.25">
      <c r="A477" t="s">
        <v>1098</v>
      </c>
      <c r="B477" t="s">
        <v>1099</v>
      </c>
      <c r="C477" t="s">
        <v>114</v>
      </c>
      <c r="D477" t="s">
        <v>2932</v>
      </c>
      <c r="E477">
        <v>2.6</v>
      </c>
      <c r="F477" s="33">
        <v>3.8668999999999998</v>
      </c>
      <c r="G477" s="33" t="s">
        <v>117</v>
      </c>
      <c r="H477" t="s">
        <v>1414</v>
      </c>
      <c r="I477" t="str">
        <f>IF(quantInv[[#This Row],[Metal]] = "925 Silver",  "7113.11.00"," 7113.19.00")</f>
        <v>7113.11.00</v>
      </c>
      <c r="J477" t="str">
        <f>IF(quantInv[[#This Row],[Metal]] = "925 Silver", "7113.11.10.00"," 7113.19.10.00")</f>
        <v>7113.11.10.00</v>
      </c>
      <c r="K477" t="str">
        <f>IF(quantInv[[#This Row],[Metal]] = "925 Silver",  "7113.11.00"," 7113.19.00")</f>
        <v>7113.11.00</v>
      </c>
      <c r="L477" t="str">
        <f>IFERROR(VLOOKUP(quantInv[[#This Row],[Description for New Invoice]],Map!$G$12:$H$32,2,FALSE), IF(quantInv[[#This Row],[Metal]] = "925 Silver", "7113.11.10.00", "7113.19.29.00"))</f>
        <v>7113.11.10.00</v>
      </c>
      <c r="M477" t="str">
        <f>quantInv[[#This Row],[ASIN]] &amp; " " &amp; quantInv[[#This Row],[Short Description]]</f>
        <v xml:space="preserve">B0784Y55C4 trace with balls chain  Butterfly  Big Tag  no beads </v>
      </c>
      <c r="N477" s="33">
        <f>quantInv[[#This Row],[UNIT
VALUE]] / EURtoGBP</f>
        <v>4.3893911789912199</v>
      </c>
      <c r="O477" s="33">
        <f>quantInv[[#This Row],[UNIT
VALUE]]/USDtoGBP</f>
        <v>5.3008774707566859</v>
      </c>
      <c r="P477" s="33">
        <f>quantInv[[#This Row],[UNIT
VALUE]] / CADtoGBP</f>
        <v>6.78542788607486</v>
      </c>
      <c r="Q477" s="33">
        <f>quantInv[[#This Row],[UNIT
VALUE]]/AUDtoGBP</f>
        <v>6.9453624541992953</v>
      </c>
      <c r="R477">
        <f>IFERROR(VLOOKUP(quantInv[[#This Row],[Assigned Item SKU]],skuQuantity[#All],2,FALSE),0)</f>
        <v>0</v>
      </c>
      <c r="S477" t="str">
        <f>PROPER(quantInv[[#This Row],[Metal]] &amp; " " &amp; quantInv[[#This Row],[Item Type]])</f>
        <v>925 Silver Bracelet</v>
      </c>
      <c r="T477" s="33">
        <f>quantInv[[#This Row],[Quantity]]*quantInv[[#This Row],[WEIGHT]]</f>
        <v>0</v>
      </c>
      <c r="U477" s="33">
        <f>quantInv[[#This Row],[UNIT
VALUE]]*quantInv[[#This Row],[Quantity]]</f>
        <v>0</v>
      </c>
      <c r="V477" s="33">
        <f>quantInv[[#This Row],[Total Cost GBP]]/EURtoGBP</f>
        <v>0</v>
      </c>
      <c r="W477" s="33">
        <f>quantInv[[#This Row],[Total Cost GBP]]/USDtoGBP</f>
        <v>0</v>
      </c>
      <c r="X477" s="33">
        <f>quantInv[[#This Row],[Total Cost GBP]]/CADtoGBP</f>
        <v>0</v>
      </c>
      <c r="Y477" s="33">
        <f>quantInv[[#This Row],[Quantity]]*quantInv[[#This Row],[UNIT
VALUE AUD]]</f>
        <v>0</v>
      </c>
      <c r="Z477" s="33"/>
    </row>
    <row r="478" spans="1:26" x14ac:dyDescent="0.25">
      <c r="A478" t="s">
        <v>1100</v>
      </c>
      <c r="B478" t="s">
        <v>1101</v>
      </c>
      <c r="C478" t="s">
        <v>114</v>
      </c>
      <c r="D478" t="s">
        <v>2933</v>
      </c>
      <c r="E478">
        <v>4.3</v>
      </c>
      <c r="F478" s="33">
        <v>5.6791</v>
      </c>
      <c r="G478" s="33" t="s">
        <v>117</v>
      </c>
      <c r="H478" t="s">
        <v>1414</v>
      </c>
      <c r="I478" t="str">
        <f>IF(quantInv[[#This Row],[Metal]] = "925 Silver",  "7113.11.00"," 7113.19.00")</f>
        <v>7113.11.00</v>
      </c>
      <c r="J478" t="str">
        <f>IF(quantInv[[#This Row],[Metal]] = "925 Silver", "7113.11.10.00"," 7113.19.10.00")</f>
        <v>7113.11.10.00</v>
      </c>
      <c r="K478" t="str">
        <f>IF(quantInv[[#This Row],[Metal]] = "925 Silver",  "7113.11.00"," 7113.19.00")</f>
        <v>7113.11.00</v>
      </c>
      <c r="L478" t="str">
        <f>IFERROR(VLOOKUP(quantInv[[#This Row],[Description for New Invoice]],Map!$G$12:$H$32,2,FALSE), IF(quantInv[[#This Row],[Metal]] = "925 Silver", "7113.11.10.00", "7113.19.29.00"))</f>
        <v>7113.11.10.00</v>
      </c>
      <c r="M478" t="str">
        <f>quantInv[[#This Row],[ASIN]] &amp; " " &amp; quantInv[[#This Row],[Short Description]]</f>
        <v xml:space="preserve">B077T8QPFX rolo chain - thick  Angel  Big Tag  Big Circles </v>
      </c>
      <c r="N478" s="33">
        <f>quantInv[[#This Row],[UNIT
VALUE]] / EURtoGBP</f>
        <v>6.4464536048537679</v>
      </c>
      <c r="O478" s="33">
        <f>quantInv[[#This Row],[UNIT
VALUE]]/USDtoGBP</f>
        <v>7.7851026000605907</v>
      </c>
      <c r="P478" s="33">
        <f>quantInv[[#This Row],[UNIT
VALUE]] / CADtoGBP</f>
        <v>9.9653788584674388</v>
      </c>
      <c r="Q478" s="33">
        <f>quantInv[[#This Row],[UNIT
VALUE]]/AUDtoGBP</f>
        <v>10.200265823694231</v>
      </c>
      <c r="R478">
        <f>IFERROR(VLOOKUP(quantInv[[#This Row],[Assigned Item SKU]],skuQuantity[#All],2,FALSE),0)</f>
        <v>0</v>
      </c>
      <c r="S478" t="str">
        <f>PROPER(quantInv[[#This Row],[Metal]] &amp; " " &amp; quantInv[[#This Row],[Item Type]])</f>
        <v>925 Silver Bracelet</v>
      </c>
      <c r="T478" s="33">
        <f>quantInv[[#This Row],[Quantity]]*quantInv[[#This Row],[WEIGHT]]</f>
        <v>0</v>
      </c>
      <c r="U478" s="33">
        <f>quantInv[[#This Row],[UNIT
VALUE]]*quantInv[[#This Row],[Quantity]]</f>
        <v>0</v>
      </c>
      <c r="V478" s="33">
        <f>quantInv[[#This Row],[Total Cost GBP]]/EURtoGBP</f>
        <v>0</v>
      </c>
      <c r="W478" s="33">
        <f>quantInv[[#This Row],[Total Cost GBP]]/USDtoGBP</f>
        <v>0</v>
      </c>
      <c r="X478" s="33">
        <f>quantInv[[#This Row],[Total Cost GBP]]/CADtoGBP</f>
        <v>0</v>
      </c>
      <c r="Y478" s="33">
        <f>quantInv[[#This Row],[Quantity]]*quantInv[[#This Row],[UNIT
VALUE AUD]]</f>
        <v>0</v>
      </c>
      <c r="Z478" s="33"/>
    </row>
    <row r="479" spans="1:26" x14ac:dyDescent="0.25">
      <c r="A479" t="s">
        <v>1102</v>
      </c>
      <c r="B479" t="s">
        <v>1103</v>
      </c>
      <c r="C479" t="s">
        <v>114</v>
      </c>
      <c r="D479" t="s">
        <v>2934</v>
      </c>
      <c r="E479">
        <v>3.7</v>
      </c>
      <c r="F479" s="33">
        <v>4.9345999999999997</v>
      </c>
      <c r="G479" s="33" t="s">
        <v>117</v>
      </c>
      <c r="H479" t="s">
        <v>1414</v>
      </c>
      <c r="I479" t="str">
        <f>IF(quantInv[[#This Row],[Metal]] = "925 Silver",  "7113.11.00"," 7113.19.00")</f>
        <v>7113.11.00</v>
      </c>
      <c r="J479" t="str">
        <f>IF(quantInv[[#This Row],[Metal]] = "925 Silver", "7113.11.10.00"," 7113.19.10.00")</f>
        <v>7113.11.10.00</v>
      </c>
      <c r="K479" t="str">
        <f>IF(quantInv[[#This Row],[Metal]] = "925 Silver",  "7113.11.00"," 7113.19.00")</f>
        <v>7113.11.00</v>
      </c>
      <c r="L479" t="str">
        <f>IFERROR(VLOOKUP(quantInv[[#This Row],[Description for New Invoice]],Map!$G$12:$H$32,2,FALSE), IF(quantInv[[#This Row],[Metal]] = "925 Silver", "7113.11.10.00", "7113.19.29.00"))</f>
        <v>7113.11.10.00</v>
      </c>
      <c r="M479" t="str">
        <f>quantInv[[#This Row],[ASIN]] &amp; " " &amp; quantInv[[#This Row],[Short Description]]</f>
        <v xml:space="preserve">B077T8SQNQ rolo chain  Irish Flower  Large tag  rings </v>
      </c>
      <c r="N479" s="33">
        <f>quantInv[[#This Row],[UNIT
VALUE]] / EURtoGBP</f>
        <v>5.601357602174887</v>
      </c>
      <c r="O479" s="33">
        <f>quantInv[[#This Row],[UNIT
VALUE]]/USDtoGBP</f>
        <v>6.7645167879169215</v>
      </c>
      <c r="P479" s="33">
        <f>quantInv[[#This Row],[UNIT
VALUE]] / CADtoGBP</f>
        <v>8.6589703500543092</v>
      </c>
      <c r="Q479" s="33">
        <f>quantInv[[#This Row],[UNIT
VALUE]]/AUDtoGBP</f>
        <v>8.8630648753502399</v>
      </c>
      <c r="R479">
        <f>IFERROR(VLOOKUP(quantInv[[#This Row],[Assigned Item SKU]],skuQuantity[#All],2,FALSE),0)</f>
        <v>0</v>
      </c>
      <c r="S479" t="str">
        <f>PROPER(quantInv[[#This Row],[Metal]] &amp; " " &amp; quantInv[[#This Row],[Item Type]])</f>
        <v>925 Silver Bracelet</v>
      </c>
      <c r="T479" s="33">
        <f>quantInv[[#This Row],[Quantity]]*quantInv[[#This Row],[WEIGHT]]</f>
        <v>0</v>
      </c>
      <c r="U479" s="33">
        <f>quantInv[[#This Row],[UNIT
VALUE]]*quantInv[[#This Row],[Quantity]]</f>
        <v>0</v>
      </c>
      <c r="V479" s="33">
        <f>quantInv[[#This Row],[Total Cost GBP]]/EURtoGBP</f>
        <v>0</v>
      </c>
      <c r="W479" s="33">
        <f>quantInv[[#This Row],[Total Cost GBP]]/USDtoGBP</f>
        <v>0</v>
      </c>
      <c r="X479" s="33">
        <f>quantInv[[#This Row],[Total Cost GBP]]/CADtoGBP</f>
        <v>0</v>
      </c>
      <c r="Y479" s="33">
        <f>quantInv[[#This Row],[Quantity]]*quantInv[[#This Row],[UNIT
VALUE AUD]]</f>
        <v>0</v>
      </c>
      <c r="Z479" s="33"/>
    </row>
    <row r="480" spans="1:26" x14ac:dyDescent="0.25">
      <c r="A480" t="s">
        <v>1104</v>
      </c>
      <c r="B480" t="s">
        <v>1105</v>
      </c>
      <c r="C480" t="s">
        <v>114</v>
      </c>
      <c r="D480" t="s">
        <v>2935</v>
      </c>
      <c r="E480">
        <v>1.9</v>
      </c>
      <c r="F480" s="33">
        <v>2.8220999999999998</v>
      </c>
      <c r="G480" s="33" t="s">
        <v>117</v>
      </c>
      <c r="H480" t="s">
        <v>1414</v>
      </c>
      <c r="I480" t="str">
        <f>IF(quantInv[[#This Row],[Metal]] = "925 Silver",  "7113.11.00"," 7113.19.00")</f>
        <v>7113.11.00</v>
      </c>
      <c r="J480" t="str">
        <f>IF(quantInv[[#This Row],[Metal]] = "925 Silver", "7113.11.10.00"," 7113.19.10.00")</f>
        <v>7113.11.10.00</v>
      </c>
      <c r="K480" t="str">
        <f>IF(quantInv[[#This Row],[Metal]] = "925 Silver",  "7113.11.00"," 7113.19.00")</f>
        <v>7113.11.00</v>
      </c>
      <c r="L480" t="str">
        <f>IFERROR(VLOOKUP(quantInv[[#This Row],[Description for New Invoice]],Map!$G$12:$H$32,2,FALSE), IF(quantInv[[#This Row],[Metal]] = "925 Silver", "7113.11.10.00", "7113.19.29.00"))</f>
        <v>7113.11.10.00</v>
      </c>
      <c r="M480" t="str">
        <f>quantInv[[#This Row],[ASIN]] &amp; " " &amp; quantInv[[#This Row],[Short Description]]</f>
        <v xml:space="preserve">B077T3Y2V8 tace chain - thick  Buterrfly  Medium Tag  with beads </v>
      </c>
      <c r="N480" s="33">
        <f>quantInv[[#This Row],[UNIT
VALUE]] / EURtoGBP</f>
        <v>3.2034189780524764</v>
      </c>
      <c r="O480" s="33">
        <f>quantInv[[#This Row],[UNIT
VALUE]]/USDtoGBP</f>
        <v>3.8686302490942213</v>
      </c>
      <c r="P480" s="33">
        <f>quantInv[[#This Row],[UNIT
VALUE]] / CADtoGBP</f>
        <v>4.9520691089223572</v>
      </c>
      <c r="Q480" s="33">
        <f>quantInv[[#This Row],[UNIT
VALUE]]/AUDtoGBP</f>
        <v>5.0687908614124568</v>
      </c>
      <c r="R480">
        <f>IFERROR(VLOOKUP(quantInv[[#This Row],[Assigned Item SKU]],skuQuantity[#All],2,FALSE),0)</f>
        <v>0</v>
      </c>
      <c r="S480" t="str">
        <f>PROPER(quantInv[[#This Row],[Metal]] &amp; " " &amp; quantInv[[#This Row],[Item Type]])</f>
        <v>925 Silver Bracelet</v>
      </c>
      <c r="T480" s="33">
        <f>quantInv[[#This Row],[Quantity]]*quantInv[[#This Row],[WEIGHT]]</f>
        <v>0</v>
      </c>
      <c r="U480" s="33">
        <f>quantInv[[#This Row],[UNIT
VALUE]]*quantInv[[#This Row],[Quantity]]</f>
        <v>0</v>
      </c>
      <c r="V480" s="33">
        <f>quantInv[[#This Row],[Total Cost GBP]]/EURtoGBP</f>
        <v>0</v>
      </c>
      <c r="W480" s="33">
        <f>quantInv[[#This Row],[Total Cost GBP]]/USDtoGBP</f>
        <v>0</v>
      </c>
      <c r="X480" s="33">
        <f>quantInv[[#This Row],[Total Cost GBP]]/CADtoGBP</f>
        <v>0</v>
      </c>
      <c r="Y480" s="33">
        <f>quantInv[[#This Row],[Quantity]]*quantInv[[#This Row],[UNIT
VALUE AUD]]</f>
        <v>0</v>
      </c>
      <c r="Z480" s="33"/>
    </row>
    <row r="481" spans="1:26" x14ac:dyDescent="0.25">
      <c r="A481" t="s">
        <v>1106</v>
      </c>
      <c r="B481" t="s">
        <v>1107</v>
      </c>
      <c r="C481" t="s">
        <v>114</v>
      </c>
      <c r="D481" t="s">
        <v>2936</v>
      </c>
      <c r="E481">
        <v>2.9</v>
      </c>
      <c r="F481" s="33">
        <v>4.2492999999999999</v>
      </c>
      <c r="G481" s="33" t="s">
        <v>117</v>
      </c>
      <c r="H481" t="s">
        <v>1414</v>
      </c>
      <c r="I481" t="str">
        <f>IF(quantInv[[#This Row],[Metal]] = "925 Silver",  "7113.11.00"," 7113.19.00")</f>
        <v>7113.11.00</v>
      </c>
      <c r="J481" t="str">
        <f>IF(quantInv[[#This Row],[Metal]] = "925 Silver", "7113.11.10.00"," 7113.19.10.00")</f>
        <v>7113.11.10.00</v>
      </c>
      <c r="K481" t="str">
        <f>IF(quantInv[[#This Row],[Metal]] = "925 Silver",  "7113.11.00"," 7113.19.00")</f>
        <v>7113.11.00</v>
      </c>
      <c r="L481" t="str">
        <f>IFERROR(VLOOKUP(quantInv[[#This Row],[Description for New Invoice]],Map!$G$12:$H$32,2,FALSE), IF(quantInv[[#This Row],[Metal]] = "925 Silver", "7113.11.10.00", "7113.19.29.00"))</f>
        <v>7113.11.10.00</v>
      </c>
      <c r="M481" t="str">
        <f>quantInv[[#This Row],[ASIN]] &amp; " " &amp; quantInv[[#This Row],[Short Description]]</f>
        <v xml:space="preserve">B078C9RDKG snake chain  Teddy  small  with beads </v>
      </c>
      <c r="N481" s="33">
        <f>quantInv[[#This Row],[UNIT
VALUE]] / EURtoGBP</f>
        <v>4.8234606369152004</v>
      </c>
      <c r="O481" s="33">
        <f>quantInv[[#This Row],[UNIT
VALUE]]/USDtoGBP</f>
        <v>5.8250843405535155</v>
      </c>
      <c r="P481" s="33">
        <f>quantInv[[#This Row],[UNIT
VALUE]] / CADtoGBP</f>
        <v>7.4564428137003551</v>
      </c>
      <c r="Q481" s="33">
        <f>quantInv[[#This Row],[UNIT
VALUE]]/AUDtoGBP</f>
        <v>7.6321934046986124</v>
      </c>
      <c r="R481">
        <f>IFERROR(VLOOKUP(quantInv[[#This Row],[Assigned Item SKU]],skuQuantity[#All],2,FALSE),0)</f>
        <v>0</v>
      </c>
      <c r="S481" t="str">
        <f>PROPER(quantInv[[#This Row],[Metal]] &amp; " " &amp; quantInv[[#This Row],[Item Type]])</f>
        <v>925 Silver Bracelet</v>
      </c>
      <c r="T481" s="33">
        <f>quantInv[[#This Row],[Quantity]]*quantInv[[#This Row],[WEIGHT]]</f>
        <v>0</v>
      </c>
      <c r="U481" s="33">
        <f>quantInv[[#This Row],[UNIT
VALUE]]*quantInv[[#This Row],[Quantity]]</f>
        <v>0</v>
      </c>
      <c r="V481" s="33">
        <f>quantInv[[#This Row],[Total Cost GBP]]/EURtoGBP</f>
        <v>0</v>
      </c>
      <c r="W481" s="33">
        <f>quantInv[[#This Row],[Total Cost GBP]]/USDtoGBP</f>
        <v>0</v>
      </c>
      <c r="X481" s="33">
        <f>quantInv[[#This Row],[Total Cost GBP]]/CADtoGBP</f>
        <v>0</v>
      </c>
      <c r="Y481" s="33">
        <f>quantInv[[#This Row],[Quantity]]*quantInv[[#This Row],[UNIT
VALUE AUD]]</f>
        <v>0</v>
      </c>
      <c r="Z481" s="33"/>
    </row>
    <row r="482" spans="1:26" x14ac:dyDescent="0.25">
      <c r="A482" t="s">
        <v>1108</v>
      </c>
      <c r="B482" t="s">
        <v>1109</v>
      </c>
      <c r="C482" t="s">
        <v>114</v>
      </c>
      <c r="D482" t="s">
        <v>2937</v>
      </c>
      <c r="E482">
        <v>2.4</v>
      </c>
      <c r="F482" s="33">
        <v>3.5779999999999998</v>
      </c>
      <c r="G482" s="33" t="s">
        <v>117</v>
      </c>
      <c r="H482" t="s">
        <v>1414</v>
      </c>
      <c r="I482" t="str">
        <f>IF(quantInv[[#This Row],[Metal]] = "925 Silver",  "7113.11.00"," 7113.19.00")</f>
        <v>7113.11.00</v>
      </c>
      <c r="J482" t="str">
        <f>IF(quantInv[[#This Row],[Metal]] = "925 Silver", "7113.11.10.00"," 7113.19.10.00")</f>
        <v>7113.11.10.00</v>
      </c>
      <c r="K482" t="str">
        <f>IF(quantInv[[#This Row],[Metal]] = "925 Silver",  "7113.11.00"," 7113.19.00")</f>
        <v>7113.11.00</v>
      </c>
      <c r="L482" t="str">
        <f>IFERROR(VLOOKUP(quantInv[[#This Row],[Description for New Invoice]],Map!$G$12:$H$32,2,FALSE), IF(quantInv[[#This Row],[Metal]] = "925 Silver", "7113.11.10.00", "7113.19.29.00"))</f>
        <v>7113.11.10.00</v>
      </c>
      <c r="M482" t="str">
        <f>quantInv[[#This Row],[ASIN]] &amp; " " &amp; quantInv[[#This Row],[Short Description]]</f>
        <v xml:space="preserve">B077T8SNV2 trace with balls chain  Butterfly  Medium Tag  no beads </v>
      </c>
      <c r="N482" s="33">
        <f>quantInv[[#This Row],[UNIT
VALUE]] / EURtoGBP</f>
        <v>4.0614553359100531</v>
      </c>
      <c r="O482" s="33">
        <f>quantInv[[#This Row],[UNIT
VALUE]]/USDtoGBP</f>
        <v>4.9048435672935486</v>
      </c>
      <c r="P482" s="33">
        <f>quantInv[[#This Row],[UNIT
VALUE]] / CADtoGBP</f>
        <v>6.2784817234414776</v>
      </c>
      <c r="Q482" s="33">
        <f>quantInv[[#This Row],[UNIT
VALUE]]/AUDtoGBP</f>
        <v>6.4264674186363955</v>
      </c>
      <c r="R482">
        <f>IFERROR(VLOOKUP(quantInv[[#This Row],[Assigned Item SKU]],skuQuantity[#All],2,FALSE),0)</f>
        <v>0</v>
      </c>
      <c r="S482" t="str">
        <f>PROPER(quantInv[[#This Row],[Metal]] &amp; " " &amp; quantInv[[#This Row],[Item Type]])</f>
        <v>925 Silver Bracelet</v>
      </c>
      <c r="T482" s="33">
        <f>quantInv[[#This Row],[Quantity]]*quantInv[[#This Row],[WEIGHT]]</f>
        <v>0</v>
      </c>
      <c r="U482" s="33">
        <f>quantInv[[#This Row],[UNIT
VALUE]]*quantInv[[#This Row],[Quantity]]</f>
        <v>0</v>
      </c>
      <c r="V482" s="33">
        <f>quantInv[[#This Row],[Total Cost GBP]]/EURtoGBP</f>
        <v>0</v>
      </c>
      <c r="W482" s="33">
        <f>quantInv[[#This Row],[Total Cost GBP]]/USDtoGBP</f>
        <v>0</v>
      </c>
      <c r="X482" s="33">
        <f>quantInv[[#This Row],[Total Cost GBP]]/CADtoGBP</f>
        <v>0</v>
      </c>
      <c r="Y482" s="33">
        <f>quantInv[[#This Row],[Quantity]]*quantInv[[#This Row],[UNIT
VALUE AUD]]</f>
        <v>0</v>
      </c>
      <c r="Z482" s="33"/>
    </row>
    <row r="483" spans="1:26" x14ac:dyDescent="0.25">
      <c r="A483" t="s">
        <v>1110</v>
      </c>
      <c r="B483" t="s">
        <v>1111</v>
      </c>
      <c r="C483" t="s">
        <v>114</v>
      </c>
      <c r="D483" t="s">
        <v>2938</v>
      </c>
      <c r="E483">
        <v>2.2999999999999998</v>
      </c>
      <c r="F483" s="33">
        <v>2.8052999999999999</v>
      </c>
      <c r="G483" s="33" t="s">
        <v>117</v>
      </c>
      <c r="H483" t="s">
        <v>1414</v>
      </c>
      <c r="I483" t="str">
        <f>IF(quantInv[[#This Row],[Metal]] = "925 Silver",  "7113.11.00"," 7113.19.00")</f>
        <v>7113.11.00</v>
      </c>
      <c r="J483" t="str">
        <f>IF(quantInv[[#This Row],[Metal]] = "925 Silver", "7113.11.10.00"," 7113.19.10.00")</f>
        <v>7113.11.10.00</v>
      </c>
      <c r="K483" t="str">
        <f>IF(quantInv[[#This Row],[Metal]] = "925 Silver",  "7113.11.00"," 7113.19.00")</f>
        <v>7113.11.00</v>
      </c>
      <c r="L483" t="str">
        <f>IFERROR(VLOOKUP(quantInv[[#This Row],[Description for New Invoice]],Map!$G$12:$H$32,2,FALSE), IF(quantInv[[#This Row],[Metal]] = "925 Silver", "7113.11.10.00", "7113.19.29.00"))</f>
        <v>7113.11.10.00</v>
      </c>
      <c r="M483" t="str">
        <f>quantInv[[#This Row],[ASIN]] &amp; " " &amp; quantInv[[#This Row],[Short Description]]</f>
        <v xml:space="preserve">B077T8SLKQ box chain  Sun  small tag  with beads </v>
      </c>
      <c r="N483" s="33">
        <f>quantInv[[#This Row],[UNIT
VALUE]] / EURtoGBP</f>
        <v>3.1843489809470298</v>
      </c>
      <c r="O483" s="33">
        <f>quantInv[[#This Row],[UNIT
VALUE]]/USDtoGBP</f>
        <v>3.8456002401700928</v>
      </c>
      <c r="P483" s="33">
        <f>quantInv[[#This Row],[UNIT
VALUE]] / CADtoGBP</f>
        <v>4.9225893736082664</v>
      </c>
      <c r="Q483" s="33">
        <f>quantInv[[#This Row],[UNIT
VALUE]]/AUDtoGBP</f>
        <v>5.038616279905165</v>
      </c>
      <c r="R483">
        <f>IFERROR(VLOOKUP(quantInv[[#This Row],[Assigned Item SKU]],skuQuantity[#All],2,FALSE),0)</f>
        <v>0</v>
      </c>
      <c r="S483" t="str">
        <f>PROPER(quantInv[[#This Row],[Metal]] &amp; " " &amp; quantInv[[#This Row],[Item Type]])</f>
        <v>925 Silver Bracelet</v>
      </c>
      <c r="T483" s="33">
        <f>quantInv[[#This Row],[Quantity]]*quantInv[[#This Row],[WEIGHT]]</f>
        <v>0</v>
      </c>
      <c r="U483" s="33">
        <f>quantInv[[#This Row],[UNIT
VALUE]]*quantInv[[#This Row],[Quantity]]</f>
        <v>0</v>
      </c>
      <c r="V483" s="33">
        <f>quantInv[[#This Row],[Total Cost GBP]]/EURtoGBP</f>
        <v>0</v>
      </c>
      <c r="W483" s="33">
        <f>quantInv[[#This Row],[Total Cost GBP]]/USDtoGBP</f>
        <v>0</v>
      </c>
      <c r="X483" s="33">
        <f>quantInv[[#This Row],[Total Cost GBP]]/CADtoGBP</f>
        <v>0</v>
      </c>
      <c r="Y483" s="33">
        <f>quantInv[[#This Row],[Quantity]]*quantInv[[#This Row],[UNIT
VALUE AUD]]</f>
        <v>0</v>
      </c>
      <c r="Z483" s="33"/>
    </row>
    <row r="484" spans="1:26" x14ac:dyDescent="0.25">
      <c r="A484" t="s">
        <v>1112</v>
      </c>
      <c r="B484" t="s">
        <v>1113</v>
      </c>
      <c r="C484" t="s">
        <v>114</v>
      </c>
      <c r="D484" t="s">
        <v>2939</v>
      </c>
      <c r="E484">
        <v>3.1</v>
      </c>
      <c r="F484" s="33">
        <v>4.8624000000000001</v>
      </c>
      <c r="G484" s="33" t="s">
        <v>117</v>
      </c>
      <c r="H484" t="s">
        <v>1414</v>
      </c>
      <c r="I484" t="str">
        <f>IF(quantInv[[#This Row],[Metal]] = "925 Silver",  "7113.11.00"," 7113.19.00")</f>
        <v>7113.11.00</v>
      </c>
      <c r="J484" t="str">
        <f>IF(quantInv[[#This Row],[Metal]] = "925 Silver", "7113.11.10.00"," 7113.19.10.00")</f>
        <v>7113.11.10.00</v>
      </c>
      <c r="K484" t="str">
        <f>IF(quantInv[[#This Row],[Metal]] = "925 Silver",  "7113.11.00"," 7113.19.00")</f>
        <v>7113.11.00</v>
      </c>
      <c r="L484" t="str">
        <f>IFERROR(VLOOKUP(quantInv[[#This Row],[Description for New Invoice]],Map!$G$12:$H$32,2,FALSE), IF(quantInv[[#This Row],[Metal]] = "925 Silver", "7113.11.10.00", "7113.19.29.00"))</f>
        <v>7113.11.10.00</v>
      </c>
      <c r="M484" t="str">
        <f>quantInv[[#This Row],[ASIN]] &amp; " " &amp; quantInv[[#This Row],[Short Description]]</f>
        <v>B077TK8LZL trace chain  Hearts  small tags  rings multiple tags</v>
      </c>
      <c r="N484" s="33">
        <f>quantInv[[#This Row],[UNIT
VALUE]] / EURtoGBP</f>
        <v>5.5194020193764795</v>
      </c>
      <c r="O484" s="33">
        <f>quantInv[[#This Row],[UNIT
VALUE]]/USDtoGBP</f>
        <v>6.6655425828977508</v>
      </c>
      <c r="P484" s="33">
        <f>quantInv[[#This Row],[UNIT
VALUE]] / CADtoGBP</f>
        <v>8.5322776780497041</v>
      </c>
      <c r="Q484" s="33">
        <f>quantInv[[#This Row],[UNIT
VALUE]]/AUDtoGBP</f>
        <v>8.7333860191105686</v>
      </c>
      <c r="R484">
        <f>IFERROR(VLOOKUP(quantInv[[#This Row],[Assigned Item SKU]],skuQuantity[#All],2,FALSE),0)</f>
        <v>0</v>
      </c>
      <c r="S484" t="str">
        <f>PROPER(quantInv[[#This Row],[Metal]] &amp; " " &amp; quantInv[[#This Row],[Item Type]])</f>
        <v>925 Silver Bracelet</v>
      </c>
      <c r="T484" s="33">
        <f>quantInv[[#This Row],[Quantity]]*quantInv[[#This Row],[WEIGHT]]</f>
        <v>0</v>
      </c>
      <c r="U484" s="33">
        <f>quantInv[[#This Row],[UNIT
VALUE]]*quantInv[[#This Row],[Quantity]]</f>
        <v>0</v>
      </c>
      <c r="V484" s="33">
        <f>quantInv[[#This Row],[Total Cost GBP]]/EURtoGBP</f>
        <v>0</v>
      </c>
      <c r="W484" s="33">
        <f>quantInv[[#This Row],[Total Cost GBP]]/USDtoGBP</f>
        <v>0</v>
      </c>
      <c r="X484" s="33">
        <f>quantInv[[#This Row],[Total Cost GBP]]/CADtoGBP</f>
        <v>0</v>
      </c>
      <c r="Y484" s="33">
        <f>quantInv[[#This Row],[Quantity]]*quantInv[[#This Row],[UNIT
VALUE AUD]]</f>
        <v>0</v>
      </c>
      <c r="Z484" s="33"/>
    </row>
    <row r="485" spans="1:26" x14ac:dyDescent="0.25">
      <c r="A485" t="s">
        <v>1114</v>
      </c>
      <c r="B485" t="s">
        <v>1115</v>
      </c>
      <c r="C485" t="s">
        <v>114</v>
      </c>
      <c r="D485" t="s">
        <v>2940</v>
      </c>
      <c r="E485">
        <v>2.7</v>
      </c>
      <c r="F485" s="33">
        <v>4.2492999999999999</v>
      </c>
      <c r="G485" s="33" t="s">
        <v>117</v>
      </c>
      <c r="H485" t="s">
        <v>1414</v>
      </c>
      <c r="I485" t="str">
        <f>IF(quantInv[[#This Row],[Metal]] = "925 Silver",  "7113.11.00"," 7113.19.00")</f>
        <v>7113.11.00</v>
      </c>
      <c r="J485" t="str">
        <f>IF(quantInv[[#This Row],[Metal]] = "925 Silver", "7113.11.10.00"," 7113.19.10.00")</f>
        <v>7113.11.10.00</v>
      </c>
      <c r="K485" t="str">
        <f>IF(quantInv[[#This Row],[Metal]] = "925 Silver",  "7113.11.00"," 7113.19.00")</f>
        <v>7113.11.00</v>
      </c>
      <c r="L485" t="str">
        <f>IFERROR(VLOOKUP(quantInv[[#This Row],[Description for New Invoice]],Map!$G$12:$H$32,2,FALSE), IF(quantInv[[#This Row],[Metal]] = "925 Silver", "7113.11.10.00", "7113.19.29.00"))</f>
        <v>7113.11.10.00</v>
      </c>
      <c r="M485" t="str">
        <f>quantInv[[#This Row],[ASIN]] &amp; " " &amp; quantInv[[#This Row],[Short Description]]</f>
        <v>B077TG89TW rolo chain  Hearts  small tags  rings multiple tags</v>
      </c>
      <c r="N485" s="33">
        <f>quantInv[[#This Row],[UNIT
VALUE]] / EURtoGBP</f>
        <v>4.8234606369152004</v>
      </c>
      <c r="O485" s="33">
        <f>quantInv[[#This Row],[UNIT
VALUE]]/USDtoGBP</f>
        <v>5.8250843405535155</v>
      </c>
      <c r="P485" s="33">
        <f>quantInv[[#This Row],[UNIT
VALUE]] / CADtoGBP</f>
        <v>7.4564428137003551</v>
      </c>
      <c r="Q485" s="33">
        <f>quantInv[[#This Row],[UNIT
VALUE]]/AUDtoGBP</f>
        <v>7.6321934046986124</v>
      </c>
      <c r="R485">
        <f>IFERROR(VLOOKUP(quantInv[[#This Row],[Assigned Item SKU]],skuQuantity[#All],2,FALSE),0)</f>
        <v>0</v>
      </c>
      <c r="S485" t="str">
        <f>PROPER(quantInv[[#This Row],[Metal]] &amp; " " &amp; quantInv[[#This Row],[Item Type]])</f>
        <v>925 Silver Bracelet</v>
      </c>
      <c r="T485" s="33">
        <f>quantInv[[#This Row],[Quantity]]*quantInv[[#This Row],[WEIGHT]]</f>
        <v>0</v>
      </c>
      <c r="U485" s="33">
        <f>quantInv[[#This Row],[UNIT
VALUE]]*quantInv[[#This Row],[Quantity]]</f>
        <v>0</v>
      </c>
      <c r="V485" s="33">
        <f>quantInv[[#This Row],[Total Cost GBP]]/EURtoGBP</f>
        <v>0</v>
      </c>
      <c r="W485" s="33">
        <f>quantInv[[#This Row],[Total Cost GBP]]/USDtoGBP</f>
        <v>0</v>
      </c>
      <c r="X485" s="33">
        <f>quantInv[[#This Row],[Total Cost GBP]]/CADtoGBP</f>
        <v>0</v>
      </c>
      <c r="Y485" s="33">
        <f>quantInv[[#This Row],[Quantity]]*quantInv[[#This Row],[UNIT
VALUE AUD]]</f>
        <v>0</v>
      </c>
      <c r="Z485" s="33"/>
    </row>
    <row r="486" spans="1:26" x14ac:dyDescent="0.25">
      <c r="A486" t="s">
        <v>1116</v>
      </c>
      <c r="B486" t="s">
        <v>1117</v>
      </c>
      <c r="C486" t="s">
        <v>114</v>
      </c>
      <c r="D486" t="s">
        <v>2941</v>
      </c>
      <c r="E486">
        <v>4</v>
      </c>
      <c r="F486" s="33">
        <v>4.8677000000000001</v>
      </c>
      <c r="G486" s="33" t="s">
        <v>117</v>
      </c>
      <c r="H486" t="s">
        <v>1414</v>
      </c>
      <c r="I486" t="str">
        <f>IF(quantInv[[#This Row],[Metal]] = "925 Silver",  "7113.11.00"," 7113.19.00")</f>
        <v>7113.11.00</v>
      </c>
      <c r="J486" t="str">
        <f>IF(quantInv[[#This Row],[Metal]] = "925 Silver", "7113.11.10.00"," 7113.19.10.00")</f>
        <v>7113.11.10.00</v>
      </c>
      <c r="K486" t="str">
        <f>IF(quantInv[[#This Row],[Metal]] = "925 Silver",  "7113.11.00"," 7113.19.00")</f>
        <v>7113.11.00</v>
      </c>
      <c r="L486" t="str">
        <f>IFERROR(VLOOKUP(quantInv[[#This Row],[Description for New Invoice]],Map!$G$12:$H$32,2,FALSE), IF(quantInv[[#This Row],[Metal]] = "925 Silver", "7113.11.10.00", "7113.19.29.00"))</f>
        <v>7113.11.10.00</v>
      </c>
      <c r="M486" t="str">
        <f>quantInv[[#This Row],[ASIN]] &amp; " " &amp; quantInv[[#This Row],[Short Description]]</f>
        <v>B077T8V8QJ rolo chain - thick  Hearts  Medium tag  Ring multiple tags</v>
      </c>
      <c r="N486" s="33">
        <f>quantInv[[#This Row],[UNIT
VALUE]] / EURtoGBP</f>
        <v>5.5254181494156978</v>
      </c>
      <c r="O486" s="33">
        <f>quantInv[[#This Row],[UNIT
VALUE]]/USDtoGBP</f>
        <v>6.6728080023797682</v>
      </c>
      <c r="P486" s="33">
        <f>quantInv[[#This Row],[UNIT
VALUE]] / CADtoGBP</f>
        <v>8.5415778326428402</v>
      </c>
      <c r="Q486" s="33">
        <f>quantInv[[#This Row],[UNIT
VALUE]]/AUDtoGBP</f>
        <v>8.7429053811337027</v>
      </c>
      <c r="R486">
        <f>IFERROR(VLOOKUP(quantInv[[#This Row],[Assigned Item SKU]],skuQuantity[#All],2,FALSE),0)</f>
        <v>0</v>
      </c>
      <c r="S486" t="str">
        <f>PROPER(quantInv[[#This Row],[Metal]] &amp; " " &amp; quantInv[[#This Row],[Item Type]])</f>
        <v>925 Silver Bracelet</v>
      </c>
      <c r="T486" s="33">
        <f>quantInv[[#This Row],[Quantity]]*quantInv[[#This Row],[WEIGHT]]</f>
        <v>0</v>
      </c>
      <c r="U486" s="33">
        <f>quantInv[[#This Row],[UNIT
VALUE]]*quantInv[[#This Row],[Quantity]]</f>
        <v>0</v>
      </c>
      <c r="V486" s="33">
        <f>quantInv[[#This Row],[Total Cost GBP]]/EURtoGBP</f>
        <v>0</v>
      </c>
      <c r="W486" s="33">
        <f>quantInv[[#This Row],[Total Cost GBP]]/USDtoGBP</f>
        <v>0</v>
      </c>
      <c r="X486" s="33">
        <f>quantInv[[#This Row],[Total Cost GBP]]/CADtoGBP</f>
        <v>0</v>
      </c>
      <c r="Y486" s="33">
        <f>quantInv[[#This Row],[Quantity]]*quantInv[[#This Row],[UNIT
VALUE AUD]]</f>
        <v>0</v>
      </c>
      <c r="Z486" s="33"/>
    </row>
    <row r="487" spans="1:26" x14ac:dyDescent="0.25">
      <c r="A487" t="s">
        <v>1118</v>
      </c>
      <c r="B487" t="s">
        <v>1119</v>
      </c>
      <c r="C487" t="s">
        <v>114</v>
      </c>
      <c r="D487" t="s">
        <v>2942</v>
      </c>
      <c r="E487">
        <v>2.6</v>
      </c>
      <c r="F487" s="33">
        <v>3.7294999999999998</v>
      </c>
      <c r="G487" s="33" t="s">
        <v>117</v>
      </c>
      <c r="H487" t="s">
        <v>1414</v>
      </c>
      <c r="I487" t="str">
        <f>IF(quantInv[[#This Row],[Metal]] = "925 Silver",  "7113.11.00"," 7113.19.00")</f>
        <v>7113.11.00</v>
      </c>
      <c r="J487" t="str">
        <f>IF(quantInv[[#This Row],[Metal]] = "925 Silver", "7113.11.10.00"," 7113.19.10.00")</f>
        <v>7113.11.10.00</v>
      </c>
      <c r="K487" t="str">
        <f>IF(quantInv[[#This Row],[Metal]] = "925 Silver",  "7113.11.00"," 7113.19.00")</f>
        <v>7113.11.00</v>
      </c>
      <c r="L487" t="str">
        <f>IFERROR(VLOOKUP(quantInv[[#This Row],[Description for New Invoice]],Map!$G$12:$H$32,2,FALSE), IF(quantInv[[#This Row],[Metal]] = "925 Silver", "7113.11.10.00", "7113.19.29.00"))</f>
        <v>7113.11.10.00</v>
      </c>
      <c r="M487" t="str">
        <f>quantInv[[#This Row],[ASIN]] &amp; " " &amp; quantInv[[#This Row],[Short Description]]</f>
        <v>B077TK8MFG box chain  Flowers  small tag  rings multiple tags</v>
      </c>
      <c r="N487" s="33">
        <f>quantInv[[#This Row],[UNIT
VALUE]] / EURtoGBP</f>
        <v>4.2334258455216718</v>
      </c>
      <c r="O487" s="33">
        <f>quantInv[[#This Row],[UNIT
VALUE]]/USDtoGBP</f>
        <v>5.1125248977700641</v>
      </c>
      <c r="P487" s="33">
        <f>quantInv[[#This Row],[UNIT
VALUE]] / CADtoGBP</f>
        <v>6.5443257651131894</v>
      </c>
      <c r="Q487" s="33">
        <f>quantInv[[#This Row],[UNIT
VALUE]]/AUDtoGBP</f>
        <v>6.6985774840146552</v>
      </c>
      <c r="R487">
        <f>IFERROR(VLOOKUP(quantInv[[#This Row],[Assigned Item SKU]],skuQuantity[#All],2,FALSE),0)</f>
        <v>0</v>
      </c>
      <c r="S487" t="str">
        <f>PROPER(quantInv[[#This Row],[Metal]] &amp; " " &amp; quantInv[[#This Row],[Item Type]])</f>
        <v>925 Silver Bracelet</v>
      </c>
      <c r="T487" s="33">
        <f>quantInv[[#This Row],[Quantity]]*quantInv[[#This Row],[WEIGHT]]</f>
        <v>0</v>
      </c>
      <c r="U487" s="33">
        <f>quantInv[[#This Row],[UNIT
VALUE]]*quantInv[[#This Row],[Quantity]]</f>
        <v>0</v>
      </c>
      <c r="V487" s="33">
        <f>quantInv[[#This Row],[Total Cost GBP]]/EURtoGBP</f>
        <v>0</v>
      </c>
      <c r="W487" s="33">
        <f>quantInv[[#This Row],[Total Cost GBP]]/USDtoGBP</f>
        <v>0</v>
      </c>
      <c r="X487" s="33">
        <f>quantInv[[#This Row],[Total Cost GBP]]/CADtoGBP</f>
        <v>0</v>
      </c>
      <c r="Y487" s="33">
        <f>quantInv[[#This Row],[Quantity]]*quantInv[[#This Row],[UNIT
VALUE AUD]]</f>
        <v>0</v>
      </c>
      <c r="Z487" s="33"/>
    </row>
    <row r="488" spans="1:26" x14ac:dyDescent="0.25">
      <c r="A488" t="s">
        <v>1120</v>
      </c>
      <c r="B488" t="s">
        <v>1121</v>
      </c>
      <c r="C488" t="s">
        <v>114</v>
      </c>
      <c r="D488" t="s">
        <v>2943</v>
      </c>
      <c r="E488">
        <v>3.8</v>
      </c>
      <c r="F488" s="33">
        <v>4.8642000000000003</v>
      </c>
      <c r="G488" s="33" t="s">
        <v>117</v>
      </c>
      <c r="H488" t="s">
        <v>1414</v>
      </c>
      <c r="I488" t="str">
        <f>IF(quantInv[[#This Row],[Metal]] = "925 Silver",  "7113.11.00"," 7113.19.00")</f>
        <v>7113.11.00</v>
      </c>
      <c r="J488" t="str">
        <f>IF(quantInv[[#This Row],[Metal]] = "925 Silver", "7113.11.10.00"," 7113.19.10.00")</f>
        <v>7113.11.10.00</v>
      </c>
      <c r="K488" t="str">
        <f>IF(quantInv[[#This Row],[Metal]] = "925 Silver",  "7113.11.00"," 7113.19.00")</f>
        <v>7113.11.00</v>
      </c>
      <c r="L488" t="str">
        <f>IFERROR(VLOOKUP(quantInv[[#This Row],[Description for New Invoice]],Map!$G$12:$H$32,2,FALSE), IF(quantInv[[#This Row],[Metal]] = "925 Silver", "7113.11.10.00", "7113.19.29.00"))</f>
        <v>7113.11.10.00</v>
      </c>
      <c r="M488" t="str">
        <f>quantInv[[#This Row],[ASIN]] &amp; " " &amp; quantInv[[#This Row],[Short Description]]</f>
        <v>B077TK8NL9 rolo chain  Flowers  Medium tags  rings multiple tags</v>
      </c>
      <c r="N488" s="33">
        <f>quantInv[[#This Row],[UNIT
VALUE]] / EURtoGBP</f>
        <v>5.5214452333520629</v>
      </c>
      <c r="O488" s="33">
        <f>quantInv[[#This Row],[UNIT
VALUE]]/USDtoGBP</f>
        <v>6.6680100838539076</v>
      </c>
      <c r="P488" s="33">
        <f>quantInv[[#This Row],[UNIT
VALUE]] / CADtoGBP</f>
        <v>8.5354362211190722</v>
      </c>
      <c r="Q488" s="33">
        <f>quantInv[[#This Row],[UNIT
VALUE]]/AUDtoGBP</f>
        <v>8.7366190099863488</v>
      </c>
      <c r="R488">
        <f>IFERROR(VLOOKUP(quantInv[[#This Row],[Assigned Item SKU]],skuQuantity[#All],2,FALSE),0)</f>
        <v>0</v>
      </c>
      <c r="S488" t="str">
        <f>PROPER(quantInv[[#This Row],[Metal]] &amp; " " &amp; quantInv[[#This Row],[Item Type]])</f>
        <v>925 Silver Bracelet</v>
      </c>
      <c r="T488" s="33">
        <f>quantInv[[#This Row],[Quantity]]*quantInv[[#This Row],[WEIGHT]]</f>
        <v>0</v>
      </c>
      <c r="U488" s="33">
        <f>quantInv[[#This Row],[UNIT
VALUE]]*quantInv[[#This Row],[Quantity]]</f>
        <v>0</v>
      </c>
      <c r="V488" s="33">
        <f>quantInv[[#This Row],[Total Cost GBP]]/EURtoGBP</f>
        <v>0</v>
      </c>
      <c r="W488" s="33">
        <f>quantInv[[#This Row],[Total Cost GBP]]/USDtoGBP</f>
        <v>0</v>
      </c>
      <c r="X488" s="33">
        <f>quantInv[[#This Row],[Total Cost GBP]]/CADtoGBP</f>
        <v>0</v>
      </c>
      <c r="Y488" s="33">
        <f>quantInv[[#This Row],[Quantity]]*quantInv[[#This Row],[UNIT
VALUE AUD]]</f>
        <v>0</v>
      </c>
      <c r="Z488" s="33"/>
    </row>
    <row r="489" spans="1:26" x14ac:dyDescent="0.25">
      <c r="A489" t="s">
        <v>1122</v>
      </c>
      <c r="B489" t="s">
        <v>1123</v>
      </c>
      <c r="C489" t="s">
        <v>114</v>
      </c>
      <c r="D489" t="s">
        <v>2944</v>
      </c>
      <c r="E489">
        <v>3.4</v>
      </c>
      <c r="F489" s="33">
        <v>5.1725000000000003</v>
      </c>
      <c r="G489" s="33" t="s">
        <v>117</v>
      </c>
      <c r="H489" t="s">
        <v>1414</v>
      </c>
      <c r="I489" t="str">
        <f>IF(quantInv[[#This Row],[Metal]] = "925 Silver",  "7113.11.00"," 7113.19.00")</f>
        <v>7113.11.00</v>
      </c>
      <c r="J489" t="str">
        <f>IF(quantInv[[#This Row],[Metal]] = "925 Silver", "7113.11.10.00"," 7113.19.10.00")</f>
        <v>7113.11.10.00</v>
      </c>
      <c r="K489" t="str">
        <f>IF(quantInv[[#This Row],[Metal]] = "925 Silver",  "7113.11.00"," 7113.19.00")</f>
        <v>7113.11.00</v>
      </c>
      <c r="L489" t="str">
        <f>IFERROR(VLOOKUP(quantInv[[#This Row],[Description for New Invoice]],Map!$G$12:$H$32,2,FALSE), IF(quantInv[[#This Row],[Metal]] = "925 Silver", "7113.11.10.00", "7113.19.29.00"))</f>
        <v>7113.11.10.00</v>
      </c>
      <c r="M489" t="str">
        <f>quantInv[[#This Row],[ASIN]] &amp; " " &amp; quantInv[[#This Row],[Short Description]]</f>
        <v>B077TBB6MJ ball chain  Flowers  small tags  none multiple tags</v>
      </c>
      <c r="N489" s="33">
        <f>quantInv[[#This Row],[UNIT
VALUE]] / EURtoGBP</f>
        <v>5.8714023826145194</v>
      </c>
      <c r="O489" s="33">
        <f>quantInv[[#This Row],[UNIT
VALUE]]/USDtoGBP</f>
        <v>7.090638164288956</v>
      </c>
      <c r="P489" s="33">
        <f>quantInv[[#This Row],[UNIT
VALUE]] / CADtoGBP</f>
        <v>9.0764244590556302</v>
      </c>
      <c r="Q489" s="33">
        <f>quantInv[[#This Row],[UNIT
VALUE]]/AUDtoGBP</f>
        <v>9.2903585027660025</v>
      </c>
      <c r="R489">
        <f>IFERROR(VLOOKUP(quantInv[[#This Row],[Assigned Item SKU]],skuQuantity[#All],2,FALSE),0)</f>
        <v>0</v>
      </c>
      <c r="S489" t="str">
        <f>PROPER(quantInv[[#This Row],[Metal]] &amp; " " &amp; quantInv[[#This Row],[Item Type]])</f>
        <v>925 Silver Bracelet</v>
      </c>
      <c r="T489" s="33">
        <f>quantInv[[#This Row],[Quantity]]*quantInv[[#This Row],[WEIGHT]]</f>
        <v>0</v>
      </c>
      <c r="U489" s="33">
        <f>quantInv[[#This Row],[UNIT
VALUE]]*quantInv[[#This Row],[Quantity]]</f>
        <v>0</v>
      </c>
      <c r="V489" s="33">
        <f>quantInv[[#This Row],[Total Cost GBP]]/EURtoGBP</f>
        <v>0</v>
      </c>
      <c r="W489" s="33">
        <f>quantInv[[#This Row],[Total Cost GBP]]/USDtoGBP</f>
        <v>0</v>
      </c>
      <c r="X489" s="33">
        <f>quantInv[[#This Row],[Total Cost GBP]]/CADtoGBP</f>
        <v>0</v>
      </c>
      <c r="Y489" s="33">
        <f>quantInv[[#This Row],[Quantity]]*quantInv[[#This Row],[UNIT
VALUE AUD]]</f>
        <v>0</v>
      </c>
      <c r="Z489" s="33"/>
    </row>
    <row r="490" spans="1:26" x14ac:dyDescent="0.25">
      <c r="A490" t="s">
        <v>1124</v>
      </c>
      <c r="B490" t="s">
        <v>1125</v>
      </c>
      <c r="C490" t="s">
        <v>114</v>
      </c>
      <c r="D490" t="s">
        <v>2945</v>
      </c>
      <c r="E490">
        <v>2.6</v>
      </c>
      <c r="F490" s="33">
        <v>3.7294999999999998</v>
      </c>
      <c r="G490" s="33" t="s">
        <v>117</v>
      </c>
      <c r="H490" t="s">
        <v>1414</v>
      </c>
      <c r="I490" t="str">
        <f>IF(quantInv[[#This Row],[Metal]] = "925 Silver",  "7113.11.00"," 7113.19.00")</f>
        <v>7113.11.00</v>
      </c>
      <c r="J490" t="str">
        <f>IF(quantInv[[#This Row],[Metal]] = "925 Silver", "7113.11.10.00"," 7113.19.10.00")</f>
        <v>7113.11.10.00</v>
      </c>
      <c r="K490" t="str">
        <f>IF(quantInv[[#This Row],[Metal]] = "925 Silver",  "7113.11.00"," 7113.19.00")</f>
        <v>7113.11.00</v>
      </c>
      <c r="L490" t="str">
        <f>IFERROR(VLOOKUP(quantInv[[#This Row],[Description for New Invoice]],Map!$G$12:$H$32,2,FALSE), IF(quantInv[[#This Row],[Metal]] = "925 Silver", "7113.11.10.00", "7113.19.29.00"))</f>
        <v>7113.11.10.00</v>
      </c>
      <c r="M490" t="str">
        <f>quantInv[[#This Row],[ASIN]] &amp; " " &amp; quantInv[[#This Row],[Short Description]]</f>
        <v>B077TK8DG7 trace chain  Flowers  small tags  none multiple tags</v>
      </c>
      <c r="N490" s="33">
        <f>quantInv[[#This Row],[UNIT
VALUE]] / EURtoGBP</f>
        <v>4.2334258455216718</v>
      </c>
      <c r="O490" s="33">
        <f>quantInv[[#This Row],[UNIT
VALUE]]/USDtoGBP</f>
        <v>5.1125248977700641</v>
      </c>
      <c r="P490" s="33">
        <f>quantInv[[#This Row],[UNIT
VALUE]] / CADtoGBP</f>
        <v>6.5443257651131894</v>
      </c>
      <c r="Q490" s="33">
        <f>quantInv[[#This Row],[UNIT
VALUE]]/AUDtoGBP</f>
        <v>6.6985774840146552</v>
      </c>
      <c r="R490">
        <f>IFERROR(VLOOKUP(quantInv[[#This Row],[Assigned Item SKU]],skuQuantity[#All],2,FALSE),0)</f>
        <v>0</v>
      </c>
      <c r="S490" t="str">
        <f>PROPER(quantInv[[#This Row],[Metal]] &amp; " " &amp; quantInv[[#This Row],[Item Type]])</f>
        <v>925 Silver Bracelet</v>
      </c>
      <c r="T490" s="33">
        <f>quantInv[[#This Row],[Quantity]]*quantInv[[#This Row],[WEIGHT]]</f>
        <v>0</v>
      </c>
      <c r="U490" s="33">
        <f>quantInv[[#This Row],[UNIT
VALUE]]*quantInv[[#This Row],[Quantity]]</f>
        <v>0</v>
      </c>
      <c r="V490" s="33">
        <f>quantInv[[#This Row],[Total Cost GBP]]/EURtoGBP</f>
        <v>0</v>
      </c>
      <c r="W490" s="33">
        <f>quantInv[[#This Row],[Total Cost GBP]]/USDtoGBP</f>
        <v>0</v>
      </c>
      <c r="X490" s="33">
        <f>quantInv[[#This Row],[Total Cost GBP]]/CADtoGBP</f>
        <v>0</v>
      </c>
      <c r="Y490" s="33">
        <f>quantInv[[#This Row],[Quantity]]*quantInv[[#This Row],[UNIT
VALUE AUD]]</f>
        <v>0</v>
      </c>
      <c r="Z490" s="33"/>
    </row>
    <row r="491" spans="1:26" x14ac:dyDescent="0.25">
      <c r="A491" t="s">
        <v>1126</v>
      </c>
      <c r="B491" t="s">
        <v>1127</v>
      </c>
      <c r="C491" t="s">
        <v>114</v>
      </c>
      <c r="D491" t="s">
        <v>2946</v>
      </c>
      <c r="E491">
        <v>3.2</v>
      </c>
      <c r="F491" s="33">
        <v>4.3391000000000002</v>
      </c>
      <c r="G491" s="33" t="s">
        <v>117</v>
      </c>
      <c r="H491" t="s">
        <v>1414</v>
      </c>
      <c r="I491" t="str">
        <f>IF(quantInv[[#This Row],[Metal]] = "925 Silver",  "7113.11.00"," 7113.19.00")</f>
        <v>7113.11.00</v>
      </c>
      <c r="J491" t="str">
        <f>IF(quantInv[[#This Row],[Metal]] = "925 Silver", "7113.11.10.00"," 7113.19.10.00")</f>
        <v>7113.11.10.00</v>
      </c>
      <c r="K491" t="str">
        <f>IF(quantInv[[#This Row],[Metal]] = "925 Silver",  "7113.11.00"," 7113.19.00")</f>
        <v>7113.11.00</v>
      </c>
      <c r="L491" t="str">
        <f>IFERROR(VLOOKUP(quantInv[[#This Row],[Description for New Invoice]],Map!$G$12:$H$32,2,FALSE), IF(quantInv[[#This Row],[Metal]] = "925 Silver", "7113.11.10.00", "7113.19.29.00"))</f>
        <v>7113.11.10.00</v>
      </c>
      <c r="M491" t="str">
        <f>quantInv[[#This Row],[ASIN]] &amp; " " &amp; quantInv[[#This Row],[Short Description]]</f>
        <v>B077T8SMSJ square snake chain  Roses  small  none multiple tags</v>
      </c>
      <c r="N491" s="33">
        <f>quantInv[[#This Row],[UNIT
VALUE]] / EURtoGBP</f>
        <v>4.925394311919316</v>
      </c>
      <c r="O491" s="33">
        <f>quantInv[[#This Row],[UNIT
VALUE]]/USDtoGBP</f>
        <v>5.9481852215884405</v>
      </c>
      <c r="P491" s="33">
        <f>quantInv[[#This Row],[UNIT
VALUE]] / CADtoGBP</f>
        <v>7.6140190179387695</v>
      </c>
      <c r="Q491" s="33">
        <f>quantInv[[#This Row],[UNIT
VALUE]]/AUDtoGBP</f>
        <v>7.7934837272792583</v>
      </c>
      <c r="R491">
        <f>IFERROR(VLOOKUP(quantInv[[#This Row],[Assigned Item SKU]],skuQuantity[#All],2,FALSE),0)</f>
        <v>0</v>
      </c>
      <c r="S491" t="str">
        <f>PROPER(quantInv[[#This Row],[Metal]] &amp; " " &amp; quantInv[[#This Row],[Item Type]])</f>
        <v>925 Silver Bracelet</v>
      </c>
      <c r="T491" s="33">
        <f>quantInv[[#This Row],[Quantity]]*quantInv[[#This Row],[WEIGHT]]</f>
        <v>0</v>
      </c>
      <c r="U491" s="33">
        <f>quantInv[[#This Row],[UNIT
VALUE]]*quantInv[[#This Row],[Quantity]]</f>
        <v>0</v>
      </c>
      <c r="V491" s="33">
        <f>quantInv[[#This Row],[Total Cost GBP]]/EURtoGBP</f>
        <v>0</v>
      </c>
      <c r="W491" s="33">
        <f>quantInv[[#This Row],[Total Cost GBP]]/USDtoGBP</f>
        <v>0</v>
      </c>
      <c r="X491" s="33">
        <f>quantInv[[#This Row],[Total Cost GBP]]/CADtoGBP</f>
        <v>0</v>
      </c>
      <c r="Y491" s="33">
        <f>quantInv[[#This Row],[Quantity]]*quantInv[[#This Row],[UNIT
VALUE AUD]]</f>
        <v>0</v>
      </c>
      <c r="Z491" s="33"/>
    </row>
    <row r="492" spans="1:26" x14ac:dyDescent="0.25">
      <c r="A492" t="s">
        <v>1128</v>
      </c>
      <c r="B492" t="s">
        <v>1129</v>
      </c>
      <c r="C492" t="s">
        <v>114</v>
      </c>
      <c r="D492" t="s">
        <v>2947</v>
      </c>
      <c r="E492">
        <v>3.6</v>
      </c>
      <c r="F492" s="33">
        <v>4.5563000000000002</v>
      </c>
      <c r="G492" s="33" t="s">
        <v>117</v>
      </c>
      <c r="H492" t="s">
        <v>1414</v>
      </c>
      <c r="I492" t="str">
        <f>IF(quantInv[[#This Row],[Metal]] = "925 Silver",  "7113.11.00"," 7113.19.00")</f>
        <v>7113.11.00</v>
      </c>
      <c r="J492" t="str">
        <f>IF(quantInv[[#This Row],[Metal]] = "925 Silver", "7113.11.10.00"," 7113.19.10.00")</f>
        <v>7113.11.10.00</v>
      </c>
      <c r="K492" t="str">
        <f>IF(quantInv[[#This Row],[Metal]] = "925 Silver",  "7113.11.00"," 7113.19.00")</f>
        <v>7113.11.00</v>
      </c>
      <c r="L492" t="str">
        <f>IFERROR(VLOOKUP(quantInv[[#This Row],[Description for New Invoice]],Map!$G$12:$H$32,2,FALSE), IF(quantInv[[#This Row],[Metal]] = "925 Silver", "7113.11.10.00", "7113.19.29.00"))</f>
        <v>7113.11.10.00</v>
      </c>
      <c r="M492" t="str">
        <f>quantInv[[#This Row],[ASIN]] &amp; " " &amp; quantInv[[#This Row],[Short Description]]</f>
        <v>B077T3TTTN rolo chain - thick  moons and stars  medium tags  none multiple tags</v>
      </c>
      <c r="N492" s="33">
        <f>quantInv[[#This Row],[UNIT
VALUE]] / EURtoGBP</f>
        <v>5.171942131639736</v>
      </c>
      <c r="O492" s="33">
        <f>quantInv[[#This Row],[UNIT
VALUE]]/USDtoGBP</f>
        <v>6.2459303369646726</v>
      </c>
      <c r="P492" s="33">
        <f>quantInv[[#This Row],[UNIT
VALUE]] / CADtoGBP</f>
        <v>7.9951498816423721</v>
      </c>
      <c r="Q492" s="33">
        <f>quantInv[[#This Row],[UNIT
VALUE]]/AUDtoGBP</f>
        <v>8.1835979596235369</v>
      </c>
      <c r="R492">
        <f>IFERROR(VLOOKUP(quantInv[[#This Row],[Assigned Item SKU]],skuQuantity[#All],2,FALSE),0)</f>
        <v>0</v>
      </c>
      <c r="S492" t="str">
        <f>PROPER(quantInv[[#This Row],[Metal]] &amp; " " &amp; quantInv[[#This Row],[Item Type]])</f>
        <v>925 Silver Bracelet</v>
      </c>
      <c r="T492" s="33">
        <f>quantInv[[#This Row],[Quantity]]*quantInv[[#This Row],[WEIGHT]]</f>
        <v>0</v>
      </c>
      <c r="U492" s="33">
        <f>quantInv[[#This Row],[UNIT
VALUE]]*quantInv[[#This Row],[Quantity]]</f>
        <v>0</v>
      </c>
      <c r="V492" s="33">
        <f>quantInv[[#This Row],[Total Cost GBP]]/EURtoGBP</f>
        <v>0</v>
      </c>
      <c r="W492" s="33">
        <f>quantInv[[#This Row],[Total Cost GBP]]/USDtoGBP</f>
        <v>0</v>
      </c>
      <c r="X492" s="33">
        <f>quantInv[[#This Row],[Total Cost GBP]]/CADtoGBP</f>
        <v>0</v>
      </c>
      <c r="Y492" s="33">
        <f>quantInv[[#This Row],[Quantity]]*quantInv[[#This Row],[UNIT
VALUE AUD]]</f>
        <v>0</v>
      </c>
      <c r="Z492" s="33"/>
    </row>
    <row r="493" spans="1:26" x14ac:dyDescent="0.25">
      <c r="A493" t="s">
        <v>1130</v>
      </c>
      <c r="B493" t="s">
        <v>1131</v>
      </c>
      <c r="C493" t="s">
        <v>114</v>
      </c>
      <c r="D493" t="s">
        <v>2948</v>
      </c>
      <c r="E493">
        <v>4</v>
      </c>
      <c r="F493" s="33">
        <v>4.8558000000000003</v>
      </c>
      <c r="G493" s="33" t="s">
        <v>117</v>
      </c>
      <c r="H493" t="s">
        <v>1414</v>
      </c>
      <c r="I493" t="str">
        <f>IF(quantInv[[#This Row],[Metal]] = "925 Silver",  "7113.11.00"," 7113.19.00")</f>
        <v>7113.11.00</v>
      </c>
      <c r="J493" t="str">
        <f>IF(quantInv[[#This Row],[Metal]] = "925 Silver", "7113.11.10.00"," 7113.19.10.00")</f>
        <v>7113.11.10.00</v>
      </c>
      <c r="K493" t="str">
        <f>IF(quantInv[[#This Row],[Metal]] = "925 Silver",  "7113.11.00"," 7113.19.00")</f>
        <v>7113.11.00</v>
      </c>
      <c r="L493" t="str">
        <f>IFERROR(VLOOKUP(quantInv[[#This Row],[Description for New Invoice]],Map!$G$12:$H$32,2,FALSE), IF(quantInv[[#This Row],[Metal]] = "925 Silver", "7113.11.10.00", "7113.19.29.00"))</f>
        <v>7113.11.10.00</v>
      </c>
      <c r="M493" t="str">
        <f>quantInv[[#This Row],[ASIN]] &amp; " " &amp; quantInv[[#This Row],[Short Description]]</f>
        <v>B0784Y4YKW flat anchor chain  none  none  none 5 lines</v>
      </c>
      <c r="N493" s="33">
        <f>quantInv[[#This Row],[UNIT
VALUE]] / EURtoGBP</f>
        <v>5.5119102347993394</v>
      </c>
      <c r="O493" s="33">
        <f>quantInv[[#This Row],[UNIT
VALUE]]/USDtoGBP</f>
        <v>6.6564950793918438</v>
      </c>
      <c r="P493" s="33">
        <f>quantInv[[#This Row],[UNIT
VALUE]] / CADtoGBP</f>
        <v>8.5206963534620268</v>
      </c>
      <c r="Q493" s="33">
        <f>quantInv[[#This Row],[UNIT
VALUE]]/AUDtoGBP</f>
        <v>8.7215317192327042</v>
      </c>
      <c r="R493">
        <f>IFERROR(VLOOKUP(quantInv[[#This Row],[Assigned Item SKU]],skuQuantity[#All],2,FALSE),0)</f>
        <v>0</v>
      </c>
      <c r="S493" t="str">
        <f>PROPER(quantInv[[#This Row],[Metal]] &amp; " " &amp; quantInv[[#This Row],[Item Type]])</f>
        <v>925 Silver Bracelet</v>
      </c>
      <c r="T493" s="33">
        <f>quantInv[[#This Row],[Quantity]]*quantInv[[#This Row],[WEIGHT]]</f>
        <v>0</v>
      </c>
      <c r="U493" s="33">
        <f>quantInv[[#This Row],[UNIT
VALUE]]*quantInv[[#This Row],[Quantity]]</f>
        <v>0</v>
      </c>
      <c r="V493" s="33">
        <f>quantInv[[#This Row],[Total Cost GBP]]/EURtoGBP</f>
        <v>0</v>
      </c>
      <c r="W493" s="33">
        <f>quantInv[[#This Row],[Total Cost GBP]]/USDtoGBP</f>
        <v>0</v>
      </c>
      <c r="X493" s="33">
        <f>quantInv[[#This Row],[Total Cost GBP]]/CADtoGBP</f>
        <v>0</v>
      </c>
      <c r="Y493" s="33">
        <f>quantInv[[#This Row],[Quantity]]*quantInv[[#This Row],[UNIT
VALUE AUD]]</f>
        <v>0</v>
      </c>
      <c r="Z493" s="33"/>
    </row>
    <row r="494" spans="1:26" x14ac:dyDescent="0.25">
      <c r="A494" t="s">
        <v>556</v>
      </c>
      <c r="B494" t="s">
        <v>557</v>
      </c>
      <c r="C494" t="s">
        <v>114</v>
      </c>
      <c r="D494" t="s">
        <v>544</v>
      </c>
      <c r="E494">
        <v>6.6950000000000003</v>
      </c>
      <c r="F494" s="33">
        <v>6.5412999999999997</v>
      </c>
      <c r="G494" s="33" t="s">
        <v>117</v>
      </c>
      <c r="H494" t="s">
        <v>103</v>
      </c>
      <c r="I494" t="str">
        <f>IF(quantInv[[#This Row],[Metal]] = "925 Silver",  "7113.11.00"," 7113.19.00")</f>
        <v>7113.11.00</v>
      </c>
      <c r="J494" t="str">
        <f>IF(quantInv[[#This Row],[Metal]] = "925 Silver", "7113.11.10.00"," 7113.19.10.00")</f>
        <v>7113.11.10.00</v>
      </c>
      <c r="K494" t="str">
        <f>IF(quantInv[[#This Row],[Metal]] = "925 Silver",  "7113.11.00"," 7113.19.00")</f>
        <v>7113.11.00</v>
      </c>
      <c r="L494" t="str">
        <f>IFERROR(VLOOKUP(quantInv[[#This Row],[Description for New Invoice]],Map!$G$12:$H$32,2,FALSE), IF(quantInv[[#This Row],[Metal]] = "925 Silver", "7113.11.10.00", "7113.19.29.00"))</f>
        <v>7113.11.10.00</v>
      </c>
      <c r="M494" t="str">
        <f>quantInv[[#This Row],[ASIN]] &amp; " " &amp; quantInv[[#This Row],[Short Description]]</f>
        <v>B073D5G917 Rat Tail</v>
      </c>
      <c r="N494" s="33">
        <f>quantInv[[#This Row],[UNIT
VALUE]] / EURtoGBP</f>
        <v>7.425153099158309</v>
      </c>
      <c r="O494" s="33">
        <f>quantInv[[#This Row],[UNIT
VALUE]]/USDtoGBP</f>
        <v>8.9670355580596119</v>
      </c>
      <c r="P494" s="33">
        <f>quantInv[[#This Row],[UNIT
VALUE]] / CADtoGBP</f>
        <v>11.47832098869417</v>
      </c>
      <c r="Q494" s="33">
        <f>quantInv[[#This Row],[UNIT
VALUE]]/AUDtoGBP</f>
        <v>11.748868453193476</v>
      </c>
      <c r="R494">
        <f>IFERROR(VLOOKUP(quantInv[[#This Row],[Assigned Item SKU]],skuQuantity[#All],2,FALSE),0)</f>
        <v>5</v>
      </c>
      <c r="S494" t="str">
        <f>PROPER(quantInv[[#This Row],[Metal]] &amp; " " &amp; quantInv[[#This Row],[Item Type]])</f>
        <v>925 Silver Chain</v>
      </c>
      <c r="T494" s="33">
        <f>quantInv[[#This Row],[Quantity]]*quantInv[[#This Row],[WEIGHT]]</f>
        <v>33.475000000000001</v>
      </c>
      <c r="U494" s="33">
        <f>quantInv[[#This Row],[UNIT
VALUE]]*quantInv[[#This Row],[Quantity]]</f>
        <v>32.706499999999998</v>
      </c>
      <c r="V494" s="33">
        <f>quantInv[[#This Row],[Total Cost GBP]]/EURtoGBP</f>
        <v>37.125765495791548</v>
      </c>
      <c r="W494" s="33">
        <f>quantInv[[#This Row],[Total Cost GBP]]/USDtoGBP</f>
        <v>44.835177790298061</v>
      </c>
      <c r="X494" s="33">
        <f>quantInv[[#This Row],[Total Cost GBP]]/CADtoGBP</f>
        <v>57.391604943470846</v>
      </c>
      <c r="Y494" s="33">
        <f>quantInv[[#This Row],[Quantity]]*quantInv[[#This Row],[UNIT
VALUE AUD]]</f>
        <v>58.744342265967376</v>
      </c>
      <c r="Z494" s="33"/>
    </row>
    <row r="495" spans="1:26" x14ac:dyDescent="0.25">
      <c r="A495" t="s">
        <v>1134</v>
      </c>
      <c r="B495" t="s">
        <v>1135</v>
      </c>
      <c r="C495" t="s">
        <v>114</v>
      </c>
      <c r="D495" t="s">
        <v>2950</v>
      </c>
      <c r="E495">
        <v>3</v>
      </c>
      <c r="F495" s="33">
        <v>4.0804999999999998</v>
      </c>
      <c r="G495" s="33" t="s">
        <v>117</v>
      </c>
      <c r="H495" t="s">
        <v>1414</v>
      </c>
      <c r="I495" t="str">
        <f>IF(quantInv[[#This Row],[Metal]] = "925 Silver",  "7113.11.00"," 7113.19.00")</f>
        <v>7113.11.00</v>
      </c>
      <c r="J495" t="str">
        <f>IF(quantInv[[#This Row],[Metal]] = "925 Silver", "7113.11.10.00"," 7113.19.10.00")</f>
        <v>7113.11.10.00</v>
      </c>
      <c r="K495" t="str">
        <f>IF(quantInv[[#This Row],[Metal]] = "925 Silver",  "7113.11.00"," 7113.19.00")</f>
        <v>7113.11.00</v>
      </c>
      <c r="L495" t="str">
        <f>IFERROR(VLOOKUP(quantInv[[#This Row],[Description for New Invoice]],Map!$G$12:$H$32,2,FALSE), IF(quantInv[[#This Row],[Metal]] = "925 Silver", "7113.11.10.00", "7113.19.29.00"))</f>
        <v>7113.11.10.00</v>
      </c>
      <c r="M495" t="str">
        <f>quantInv[[#This Row],[ASIN]] &amp; " " &amp; quantInv[[#This Row],[Short Description]]</f>
        <v>B077T8SKZB twisted chain  none  none  none 5 lines</v>
      </c>
      <c r="N495" s="33">
        <f>quantInv[[#This Row],[UNIT
VALUE]] / EURtoGBP</f>
        <v>4.631852570760473</v>
      </c>
      <c r="O495" s="33">
        <f>quantInv[[#This Row],[UNIT
VALUE]]/USDtoGBP</f>
        <v>5.5936875842206053</v>
      </c>
      <c r="P495" s="33">
        <f>quantInv[[#This Row],[UNIT
VALUE]] / CADtoGBP</f>
        <v>7.160241663639729</v>
      </c>
      <c r="Q495" s="33">
        <f>quantInv[[#This Row],[UNIT
VALUE]]/AUDtoGBP</f>
        <v>7.3290107047920099</v>
      </c>
      <c r="R495">
        <f>IFERROR(VLOOKUP(quantInv[[#This Row],[Assigned Item SKU]],skuQuantity[#All],2,FALSE),0)</f>
        <v>0</v>
      </c>
      <c r="S495" t="str">
        <f>PROPER(quantInv[[#This Row],[Metal]] &amp; " " &amp; quantInv[[#This Row],[Item Type]])</f>
        <v>925 Silver Bracelet</v>
      </c>
      <c r="T495" s="33">
        <f>quantInv[[#This Row],[Quantity]]*quantInv[[#This Row],[WEIGHT]]</f>
        <v>0</v>
      </c>
      <c r="U495" s="33">
        <f>quantInv[[#This Row],[UNIT
VALUE]]*quantInv[[#This Row],[Quantity]]</f>
        <v>0</v>
      </c>
      <c r="V495" s="33">
        <f>quantInv[[#This Row],[Total Cost GBP]]/EURtoGBP</f>
        <v>0</v>
      </c>
      <c r="W495" s="33">
        <f>quantInv[[#This Row],[Total Cost GBP]]/USDtoGBP</f>
        <v>0</v>
      </c>
      <c r="X495" s="33">
        <f>quantInv[[#This Row],[Total Cost GBP]]/CADtoGBP</f>
        <v>0</v>
      </c>
      <c r="Y495" s="33">
        <f>quantInv[[#This Row],[Quantity]]*quantInv[[#This Row],[UNIT
VALUE AUD]]</f>
        <v>0</v>
      </c>
      <c r="Z495" s="33"/>
    </row>
    <row r="496" spans="1:26" x14ac:dyDescent="0.25">
      <c r="A496" t="s">
        <v>1136</v>
      </c>
      <c r="B496" t="s">
        <v>1137</v>
      </c>
      <c r="C496" t="s">
        <v>114</v>
      </c>
      <c r="D496" t="s">
        <v>2951</v>
      </c>
      <c r="E496">
        <v>3.3</v>
      </c>
      <c r="F496" s="33">
        <v>4.2285000000000004</v>
      </c>
      <c r="G496" s="33" t="s">
        <v>117</v>
      </c>
      <c r="H496" t="s">
        <v>1414</v>
      </c>
      <c r="I496" t="str">
        <f>IF(quantInv[[#This Row],[Metal]] = "925 Silver",  "7113.11.00"," 7113.19.00")</f>
        <v>7113.11.00</v>
      </c>
      <c r="J496" t="str">
        <f>IF(quantInv[[#This Row],[Metal]] = "925 Silver", "7113.11.10.00"," 7113.19.10.00")</f>
        <v>7113.11.10.00</v>
      </c>
      <c r="K496" t="str">
        <f>IF(quantInv[[#This Row],[Metal]] = "925 Silver",  "7113.11.00"," 7113.19.00")</f>
        <v>7113.11.00</v>
      </c>
      <c r="L496" t="str">
        <f>IFERROR(VLOOKUP(quantInv[[#This Row],[Description for New Invoice]],Map!$G$12:$H$32,2,FALSE), IF(quantInv[[#This Row],[Metal]] = "925 Silver", "7113.11.10.00", "7113.19.29.00"))</f>
        <v>7113.11.10.00</v>
      </c>
      <c r="M496" t="str">
        <f>quantInv[[#This Row],[ASIN]] &amp; " " &amp; quantInv[[#This Row],[Short Description]]</f>
        <v>B077T3W49Y twisted chain with balls  none  none  none 5 lines</v>
      </c>
      <c r="N496" s="33">
        <f>quantInv[[#This Row],[UNIT
VALUE]] / EURtoGBP</f>
        <v>4.7998501643084577</v>
      </c>
      <c r="O496" s="33">
        <f>quantInv[[#This Row],[UNIT
VALUE]]/USDtoGBP</f>
        <v>5.7965709961712619</v>
      </c>
      <c r="P496" s="33">
        <f>quantInv[[#This Row],[UNIT
VALUE]] / CADtoGBP</f>
        <v>7.4199440937876728</v>
      </c>
      <c r="Q496" s="33">
        <f>quantInv[[#This Row],[UNIT
VALUE]]/AUDtoGBP</f>
        <v>7.5948343990229183</v>
      </c>
      <c r="R496">
        <f>IFERROR(VLOOKUP(quantInv[[#This Row],[Assigned Item SKU]],skuQuantity[#All],2,FALSE),0)</f>
        <v>0</v>
      </c>
      <c r="S496" t="str">
        <f>PROPER(quantInv[[#This Row],[Metal]] &amp; " " &amp; quantInv[[#This Row],[Item Type]])</f>
        <v>925 Silver Bracelet</v>
      </c>
      <c r="T496" s="33">
        <f>quantInv[[#This Row],[Quantity]]*quantInv[[#This Row],[WEIGHT]]</f>
        <v>0</v>
      </c>
      <c r="U496" s="33">
        <f>quantInv[[#This Row],[UNIT
VALUE]]*quantInv[[#This Row],[Quantity]]</f>
        <v>0</v>
      </c>
      <c r="V496" s="33">
        <f>quantInv[[#This Row],[Total Cost GBP]]/EURtoGBP</f>
        <v>0</v>
      </c>
      <c r="W496" s="33">
        <f>quantInv[[#This Row],[Total Cost GBP]]/USDtoGBP</f>
        <v>0</v>
      </c>
      <c r="X496" s="33">
        <f>quantInv[[#This Row],[Total Cost GBP]]/CADtoGBP</f>
        <v>0</v>
      </c>
      <c r="Y496" s="33">
        <f>quantInv[[#This Row],[Quantity]]*quantInv[[#This Row],[UNIT
VALUE AUD]]</f>
        <v>0</v>
      </c>
      <c r="Z496" s="33"/>
    </row>
    <row r="497" spans="1:26" x14ac:dyDescent="0.25">
      <c r="A497" t="s">
        <v>1138</v>
      </c>
      <c r="B497" t="s">
        <v>1139</v>
      </c>
      <c r="C497" t="s">
        <v>114</v>
      </c>
      <c r="D497" t="s">
        <v>2952</v>
      </c>
      <c r="E497">
        <v>4.8</v>
      </c>
      <c r="F497" s="33">
        <v>6.3639999999999999</v>
      </c>
      <c r="G497" s="33" t="s">
        <v>117</v>
      </c>
      <c r="H497" t="s">
        <v>1414</v>
      </c>
      <c r="I497" t="str">
        <f>IF(quantInv[[#This Row],[Metal]] = "925 Silver",  "7113.11.00"," 7113.19.00")</f>
        <v>7113.11.00</v>
      </c>
      <c r="J497" t="str">
        <f>IF(quantInv[[#This Row],[Metal]] = "925 Silver", "7113.11.10.00"," 7113.19.10.00")</f>
        <v>7113.11.10.00</v>
      </c>
      <c r="K497" t="str">
        <f>IF(quantInv[[#This Row],[Metal]] = "925 Silver",  "7113.11.00"," 7113.19.00")</f>
        <v>7113.11.00</v>
      </c>
      <c r="L497" t="str">
        <f>IFERROR(VLOOKUP(quantInv[[#This Row],[Description for New Invoice]],Map!$G$12:$H$32,2,FALSE), IF(quantInv[[#This Row],[Metal]] = "925 Silver", "7113.11.10.00", "7113.19.29.00"))</f>
        <v>7113.11.10.00</v>
      </c>
      <c r="M497" t="str">
        <f>quantInv[[#This Row],[ASIN]] &amp; " " &amp; quantInv[[#This Row],[Short Description]]</f>
        <v>B077T3Y2NW trace chain  Hearts  Medium with colour  none multiple tags</v>
      </c>
      <c r="N497" s="33">
        <f>quantInv[[#This Row],[UNIT
VALUE]] / EURtoGBP</f>
        <v>7.2238965225633249</v>
      </c>
      <c r="O497" s="33">
        <f>quantInv[[#This Row],[UNIT
VALUE]]/USDtoGBP</f>
        <v>8.723986713878185</v>
      </c>
      <c r="P497" s="33">
        <f>quantInv[[#This Row],[UNIT
VALUE]] / CADtoGBP</f>
        <v>11.167204496361533</v>
      </c>
      <c r="Q497" s="33">
        <f>quantInv[[#This Row],[UNIT
VALUE]]/AUDtoGBP</f>
        <v>11.430418851929018</v>
      </c>
      <c r="R497">
        <f>IFERROR(VLOOKUP(quantInv[[#This Row],[Assigned Item SKU]],skuQuantity[#All],2,FALSE),0)</f>
        <v>0</v>
      </c>
      <c r="S497" t="str">
        <f>PROPER(quantInv[[#This Row],[Metal]] &amp; " " &amp; quantInv[[#This Row],[Item Type]])</f>
        <v>925 Silver Bracelet</v>
      </c>
      <c r="T497" s="33">
        <f>quantInv[[#This Row],[Quantity]]*quantInv[[#This Row],[WEIGHT]]</f>
        <v>0</v>
      </c>
      <c r="U497" s="33">
        <f>quantInv[[#This Row],[UNIT
VALUE]]*quantInv[[#This Row],[Quantity]]</f>
        <v>0</v>
      </c>
      <c r="V497" s="33">
        <f>quantInv[[#This Row],[Total Cost GBP]]/EURtoGBP</f>
        <v>0</v>
      </c>
      <c r="W497" s="33">
        <f>quantInv[[#This Row],[Total Cost GBP]]/USDtoGBP</f>
        <v>0</v>
      </c>
      <c r="X497" s="33">
        <f>quantInv[[#This Row],[Total Cost GBP]]/CADtoGBP</f>
        <v>0</v>
      </c>
      <c r="Y497" s="33">
        <f>quantInv[[#This Row],[Quantity]]*quantInv[[#This Row],[UNIT
VALUE AUD]]</f>
        <v>0</v>
      </c>
      <c r="Z497" s="33"/>
    </row>
    <row r="498" spans="1:26" x14ac:dyDescent="0.25">
      <c r="A498" t="s">
        <v>1140</v>
      </c>
      <c r="B498" t="s">
        <v>1141</v>
      </c>
      <c r="C498" t="s">
        <v>114</v>
      </c>
      <c r="D498" t="s">
        <v>2953</v>
      </c>
      <c r="E498">
        <v>5.2</v>
      </c>
      <c r="F498" s="33">
        <v>7.9709000000000003</v>
      </c>
      <c r="G498" s="33" t="s">
        <v>117</v>
      </c>
      <c r="H498" t="s">
        <v>1414</v>
      </c>
      <c r="I498" t="str">
        <f>IF(quantInv[[#This Row],[Metal]] = "925 Silver",  "7113.11.00"," 7113.19.00")</f>
        <v>7113.11.00</v>
      </c>
      <c r="J498" t="str">
        <f>IF(quantInv[[#This Row],[Metal]] = "925 Silver", "7113.11.10.00"," 7113.19.10.00")</f>
        <v>7113.11.10.00</v>
      </c>
      <c r="K498" t="str">
        <f>IF(quantInv[[#This Row],[Metal]] = "925 Silver",  "7113.11.00"," 7113.19.00")</f>
        <v>7113.11.00</v>
      </c>
      <c r="L498" t="str">
        <f>IFERROR(VLOOKUP(quantInv[[#This Row],[Description for New Invoice]],Map!$G$12:$H$32,2,FALSE), IF(quantInv[[#This Row],[Metal]] = "925 Silver", "7113.11.10.00", "7113.19.29.00"))</f>
        <v>7113.11.10.00</v>
      </c>
      <c r="M498" t="str">
        <f>quantInv[[#This Row],[ASIN]] &amp; " " &amp; quantInv[[#This Row],[Short Description]]</f>
        <v>B077TB36G4 trace with beads chain  Roses  Medium with colour  none multiple tags</v>
      </c>
      <c r="N498" s="33">
        <f>quantInv[[#This Row],[UNIT
VALUE]] / EURtoGBP</f>
        <v>9.0479190433218122</v>
      </c>
      <c r="O498" s="33">
        <f>quantInv[[#This Row],[UNIT
VALUE]]/USDtoGBP</f>
        <v>10.926779650793781</v>
      </c>
      <c r="P498" s="33">
        <f>quantInv[[#This Row],[UNIT
VALUE]] / CADtoGBP</f>
        <v>13.986906084231325</v>
      </c>
      <c r="Q498" s="33">
        <f>quantInv[[#This Row],[UNIT
VALUE]]/AUDtoGBP</f>
        <v>14.316581650980673</v>
      </c>
      <c r="R498">
        <f>IFERROR(VLOOKUP(quantInv[[#This Row],[Assigned Item SKU]],skuQuantity[#All],2,FALSE),0)</f>
        <v>0</v>
      </c>
      <c r="S498" t="str">
        <f>PROPER(quantInv[[#This Row],[Metal]] &amp; " " &amp; quantInv[[#This Row],[Item Type]])</f>
        <v>925 Silver Bracelet</v>
      </c>
      <c r="T498" s="33">
        <f>quantInv[[#This Row],[Quantity]]*quantInv[[#This Row],[WEIGHT]]</f>
        <v>0</v>
      </c>
      <c r="U498" s="33">
        <f>quantInv[[#This Row],[UNIT
VALUE]]*quantInv[[#This Row],[Quantity]]</f>
        <v>0</v>
      </c>
      <c r="V498" s="33">
        <f>quantInv[[#This Row],[Total Cost GBP]]/EURtoGBP</f>
        <v>0</v>
      </c>
      <c r="W498" s="33">
        <f>quantInv[[#This Row],[Total Cost GBP]]/USDtoGBP</f>
        <v>0</v>
      </c>
      <c r="X498" s="33">
        <f>quantInv[[#This Row],[Total Cost GBP]]/CADtoGBP</f>
        <v>0</v>
      </c>
      <c r="Y498" s="33">
        <f>quantInv[[#This Row],[Quantity]]*quantInv[[#This Row],[UNIT
VALUE AUD]]</f>
        <v>0</v>
      </c>
      <c r="Z498" s="33"/>
    </row>
    <row r="499" spans="1:26" x14ac:dyDescent="0.25">
      <c r="A499" t="s">
        <v>1142</v>
      </c>
      <c r="B499" t="s">
        <v>1143</v>
      </c>
      <c r="C499" t="s">
        <v>114</v>
      </c>
      <c r="D499" t="s">
        <v>2929</v>
      </c>
      <c r="E499">
        <v>2.6</v>
      </c>
      <c r="F499" s="33">
        <v>3.9853999999999998</v>
      </c>
      <c r="G499" s="33" t="s">
        <v>117</v>
      </c>
      <c r="H499" t="s">
        <v>1426</v>
      </c>
      <c r="I499" t="str">
        <f>IF(quantInv[[#This Row],[Metal]] = "925 Silver",  "7113.11.00"," 7113.19.00")</f>
        <v>7113.11.00</v>
      </c>
      <c r="J499" t="str">
        <f>IF(quantInv[[#This Row],[Metal]] = "925 Silver", "7113.11.10.00"," 7113.19.10.00")</f>
        <v>7113.11.10.00</v>
      </c>
      <c r="K499" t="str">
        <f>IF(quantInv[[#This Row],[Metal]] = "925 Silver",  "7113.11.00"," 7113.19.00")</f>
        <v>7113.11.00</v>
      </c>
      <c r="L499" t="str">
        <f>IFERROR(VLOOKUP(quantInv[[#This Row],[Description for New Invoice]],Map!$G$12:$H$32,2,FALSE), IF(quantInv[[#This Row],[Metal]] = "925 Silver", "7113.11.10.00", "7113.19.29.00"))</f>
        <v>7113.11.10.00</v>
      </c>
      <c r="M499" t="str">
        <f>quantInv[[#This Row],[ASIN]] &amp; " " &amp; quantInv[[#This Row],[Short Description]]</f>
        <v xml:space="preserve">B07F8B199V trace chain  Teddy  Big Tag  with beads </v>
      </c>
      <c r="N499" s="33">
        <f>quantInv[[#This Row],[UNIT
VALUE]] / EURtoGBP</f>
        <v>4.5239027657171391</v>
      </c>
      <c r="O499" s="33">
        <f>quantInv[[#This Row],[UNIT
VALUE]]/USDtoGBP</f>
        <v>5.4633212837036638</v>
      </c>
      <c r="P499" s="33">
        <f>quantInv[[#This Row],[UNIT
VALUE]] / CADtoGBP</f>
        <v>6.9933653048081794</v>
      </c>
      <c r="Q499" s="33">
        <f>quantInv[[#This Row],[UNIT
VALUE]]/AUDtoGBP</f>
        <v>7.1582010201882316</v>
      </c>
      <c r="R499">
        <f>IFERROR(VLOOKUP(quantInv[[#This Row],[Assigned Item SKU]],skuQuantity[#All],2,FALSE),0)</f>
        <v>0</v>
      </c>
      <c r="S499" t="str">
        <f>PROPER(quantInv[[#This Row],[Metal]] &amp; " " &amp; quantInv[[#This Row],[Item Type]])</f>
        <v>925 Silver Anklet</v>
      </c>
      <c r="T499" s="33">
        <f>quantInv[[#This Row],[Quantity]]*quantInv[[#This Row],[WEIGHT]]</f>
        <v>0</v>
      </c>
      <c r="U499" s="33">
        <f>quantInv[[#This Row],[UNIT
VALUE]]*quantInv[[#This Row],[Quantity]]</f>
        <v>0</v>
      </c>
      <c r="V499" s="33">
        <f>quantInv[[#This Row],[Total Cost GBP]]/EURtoGBP</f>
        <v>0</v>
      </c>
      <c r="W499" s="33">
        <f>quantInv[[#This Row],[Total Cost GBP]]/USDtoGBP</f>
        <v>0</v>
      </c>
      <c r="X499" s="33">
        <f>quantInv[[#This Row],[Total Cost GBP]]/CADtoGBP</f>
        <v>0</v>
      </c>
      <c r="Y499" s="33">
        <f>quantInv[[#This Row],[Quantity]]*quantInv[[#This Row],[UNIT
VALUE AUD]]</f>
        <v>0</v>
      </c>
      <c r="Z499" s="33"/>
    </row>
    <row r="500" spans="1:26" x14ac:dyDescent="0.25">
      <c r="A500" t="s">
        <v>1144</v>
      </c>
      <c r="B500" t="s">
        <v>1145</v>
      </c>
      <c r="C500" t="s">
        <v>114</v>
      </c>
      <c r="D500" t="s">
        <v>2929</v>
      </c>
      <c r="E500">
        <v>2.9</v>
      </c>
      <c r="F500" s="33">
        <v>4.4135</v>
      </c>
      <c r="G500" s="33" t="s">
        <v>117</v>
      </c>
      <c r="H500" t="s">
        <v>1426</v>
      </c>
      <c r="I500" t="str">
        <f>IF(quantInv[[#This Row],[Metal]] = "925 Silver",  "7113.11.00"," 7113.19.00")</f>
        <v>7113.11.00</v>
      </c>
      <c r="J500" t="str">
        <f>IF(quantInv[[#This Row],[Metal]] = "925 Silver", "7113.11.10.00"," 7113.19.10.00")</f>
        <v>7113.11.10.00</v>
      </c>
      <c r="K500" t="str">
        <f>IF(quantInv[[#This Row],[Metal]] = "925 Silver",  "7113.11.00"," 7113.19.00")</f>
        <v>7113.11.00</v>
      </c>
      <c r="L500" t="str">
        <f>IFERROR(VLOOKUP(quantInv[[#This Row],[Description for New Invoice]],Map!$G$12:$H$32,2,FALSE), IF(quantInv[[#This Row],[Metal]] = "925 Silver", "7113.11.10.00", "7113.19.29.00"))</f>
        <v>7113.11.10.00</v>
      </c>
      <c r="M500" t="str">
        <f>quantInv[[#This Row],[ASIN]] &amp; " " &amp; quantInv[[#This Row],[Short Description]]</f>
        <v xml:space="preserve">B07F89S6D7 trace chain  Teddy  Big Tag  with beads </v>
      </c>
      <c r="N500" s="33">
        <f>quantInv[[#This Row],[UNIT
VALUE]] / EURtoGBP</f>
        <v>5.0098471562434375</v>
      </c>
      <c r="O500" s="33">
        <f>quantInv[[#This Row],[UNIT
VALUE]]/USDtoGBP</f>
        <v>6.0501752611095805</v>
      </c>
      <c r="P500" s="33">
        <f>quantInv[[#This Row],[UNIT
VALUE]] / CADtoGBP</f>
        <v>7.7445721314725997</v>
      </c>
      <c r="Q500" s="33">
        <f>quantInv[[#This Row],[UNIT
VALUE]]/AUDtoGBP</f>
        <v>7.9271140168115517</v>
      </c>
      <c r="R500">
        <f>IFERROR(VLOOKUP(quantInv[[#This Row],[Assigned Item SKU]],skuQuantity[#All],2,FALSE),0)</f>
        <v>0</v>
      </c>
      <c r="S500" t="str">
        <f>PROPER(quantInv[[#This Row],[Metal]] &amp; " " &amp; quantInv[[#This Row],[Item Type]])</f>
        <v>925 Silver Anklet</v>
      </c>
      <c r="T500" s="33">
        <f>quantInv[[#This Row],[Quantity]]*quantInv[[#This Row],[WEIGHT]]</f>
        <v>0</v>
      </c>
      <c r="U500" s="33">
        <f>quantInv[[#This Row],[UNIT
VALUE]]*quantInv[[#This Row],[Quantity]]</f>
        <v>0</v>
      </c>
      <c r="V500" s="33">
        <f>quantInv[[#This Row],[Total Cost GBP]]/EURtoGBP</f>
        <v>0</v>
      </c>
      <c r="W500" s="33">
        <f>quantInv[[#This Row],[Total Cost GBP]]/USDtoGBP</f>
        <v>0</v>
      </c>
      <c r="X500" s="33">
        <f>quantInv[[#This Row],[Total Cost GBP]]/CADtoGBP</f>
        <v>0</v>
      </c>
      <c r="Y500" s="33">
        <f>quantInv[[#This Row],[Quantity]]*quantInv[[#This Row],[UNIT
VALUE AUD]]</f>
        <v>0</v>
      </c>
      <c r="Z500" s="33"/>
    </row>
    <row r="501" spans="1:26" x14ac:dyDescent="0.25">
      <c r="A501" t="s">
        <v>1146</v>
      </c>
      <c r="B501" t="s">
        <v>1147</v>
      </c>
      <c r="C501" t="s">
        <v>114</v>
      </c>
      <c r="D501" t="s">
        <v>2930</v>
      </c>
      <c r="E501">
        <v>2.6</v>
      </c>
      <c r="F501" s="33">
        <v>3.9853999999999998</v>
      </c>
      <c r="G501" s="33" t="s">
        <v>117</v>
      </c>
      <c r="H501" t="s">
        <v>1426</v>
      </c>
      <c r="I501" t="str">
        <f>IF(quantInv[[#This Row],[Metal]] = "925 Silver",  "7113.11.00"," 7113.19.00")</f>
        <v>7113.11.00</v>
      </c>
      <c r="J501" t="str">
        <f>IF(quantInv[[#This Row],[Metal]] = "925 Silver", "7113.11.10.00"," 7113.19.10.00")</f>
        <v>7113.11.10.00</v>
      </c>
      <c r="K501" t="str">
        <f>IF(quantInv[[#This Row],[Metal]] = "925 Silver",  "7113.11.00"," 7113.19.00")</f>
        <v>7113.11.00</v>
      </c>
      <c r="L501" t="str">
        <f>IFERROR(VLOOKUP(quantInv[[#This Row],[Description for New Invoice]],Map!$G$12:$H$32,2,FALSE), IF(quantInv[[#This Row],[Metal]] = "925 Silver", "7113.11.10.00", "7113.19.29.00"))</f>
        <v>7113.11.10.00</v>
      </c>
      <c r="M501" t="str">
        <f>quantInv[[#This Row],[ASIN]] &amp; " " &amp; quantInv[[#This Row],[Short Description]]</f>
        <v xml:space="preserve">B07F8CDSFB ball chain  Duck  Big Tag  with beads </v>
      </c>
      <c r="N501" s="33">
        <f>quantInv[[#This Row],[UNIT
VALUE]] / EURtoGBP</f>
        <v>4.5239027657171391</v>
      </c>
      <c r="O501" s="33">
        <f>quantInv[[#This Row],[UNIT
VALUE]]/USDtoGBP</f>
        <v>5.4633212837036638</v>
      </c>
      <c r="P501" s="33">
        <f>quantInv[[#This Row],[UNIT
VALUE]] / CADtoGBP</f>
        <v>6.9933653048081794</v>
      </c>
      <c r="Q501" s="33">
        <f>quantInv[[#This Row],[UNIT
VALUE]]/AUDtoGBP</f>
        <v>7.1582010201882316</v>
      </c>
      <c r="R501">
        <f>IFERROR(VLOOKUP(quantInv[[#This Row],[Assigned Item SKU]],skuQuantity[#All],2,FALSE),0)</f>
        <v>0</v>
      </c>
      <c r="S501" t="str">
        <f>PROPER(quantInv[[#This Row],[Metal]] &amp; " " &amp; quantInv[[#This Row],[Item Type]])</f>
        <v>925 Silver Anklet</v>
      </c>
      <c r="T501" s="33">
        <f>quantInv[[#This Row],[Quantity]]*quantInv[[#This Row],[WEIGHT]]</f>
        <v>0</v>
      </c>
      <c r="U501" s="33">
        <f>quantInv[[#This Row],[UNIT
VALUE]]*quantInv[[#This Row],[Quantity]]</f>
        <v>0</v>
      </c>
      <c r="V501" s="33">
        <f>quantInv[[#This Row],[Total Cost GBP]]/EURtoGBP</f>
        <v>0</v>
      </c>
      <c r="W501" s="33">
        <f>quantInv[[#This Row],[Total Cost GBP]]/USDtoGBP</f>
        <v>0</v>
      </c>
      <c r="X501" s="33">
        <f>quantInv[[#This Row],[Total Cost GBP]]/CADtoGBP</f>
        <v>0</v>
      </c>
      <c r="Y501" s="33">
        <f>quantInv[[#This Row],[Quantity]]*quantInv[[#This Row],[UNIT
VALUE AUD]]</f>
        <v>0</v>
      </c>
      <c r="Z501" s="33"/>
    </row>
    <row r="502" spans="1:26" x14ac:dyDescent="0.25">
      <c r="A502" t="s">
        <v>1148</v>
      </c>
      <c r="B502" t="s">
        <v>1149</v>
      </c>
      <c r="C502" t="s">
        <v>114</v>
      </c>
      <c r="D502" t="s">
        <v>2931</v>
      </c>
      <c r="E502">
        <v>3.6</v>
      </c>
      <c r="F502" s="33">
        <v>5.4126000000000003</v>
      </c>
      <c r="G502" s="33" t="s">
        <v>117</v>
      </c>
      <c r="H502" t="s">
        <v>1426</v>
      </c>
      <c r="I502" t="str">
        <f>IF(quantInv[[#This Row],[Metal]] = "925 Silver",  "7113.11.00"," 7113.19.00")</f>
        <v>7113.11.00</v>
      </c>
      <c r="J502" t="str">
        <f>IF(quantInv[[#This Row],[Metal]] = "925 Silver", "7113.11.10.00"," 7113.19.10.00")</f>
        <v>7113.11.10.00</v>
      </c>
      <c r="K502" t="str">
        <f>IF(quantInv[[#This Row],[Metal]] = "925 Silver",  "7113.11.00"," 7113.19.00")</f>
        <v>7113.11.00</v>
      </c>
      <c r="L502" t="str">
        <f>IFERROR(VLOOKUP(quantInv[[#This Row],[Description for New Invoice]],Map!$G$12:$H$32,2,FALSE), IF(quantInv[[#This Row],[Metal]] = "925 Silver", "7113.11.10.00", "7113.19.29.00"))</f>
        <v>7113.11.10.00</v>
      </c>
      <c r="M502" t="str">
        <f>quantInv[[#This Row],[ASIN]] &amp; " " &amp; quantInv[[#This Row],[Short Description]]</f>
        <v>B07F8BND62 rolo chain  Bunny  Big Tag  none multiple tags</v>
      </c>
      <c r="N502" s="33">
        <f>quantInv[[#This Row],[UNIT
VALUE]] / EURtoGBP</f>
        <v>6.1439444245798649</v>
      </c>
      <c r="O502" s="33">
        <f>quantInv[[#This Row],[UNIT
VALUE]]/USDtoGBP</f>
        <v>7.419775375162958</v>
      </c>
      <c r="P502" s="33">
        <f>quantInv[[#This Row],[UNIT
VALUE]] / CADtoGBP</f>
        <v>9.4977390095861782</v>
      </c>
      <c r="Q502" s="33">
        <f>quantInv[[#This Row],[UNIT
VALUE]]/AUDtoGBP</f>
        <v>9.7216035634743871</v>
      </c>
      <c r="R502">
        <f>IFERROR(VLOOKUP(quantInv[[#This Row],[Assigned Item SKU]],skuQuantity[#All],2,FALSE),0)</f>
        <v>0</v>
      </c>
      <c r="S502" t="str">
        <f>PROPER(quantInv[[#This Row],[Metal]] &amp; " " &amp; quantInv[[#This Row],[Item Type]])</f>
        <v>925 Silver Anklet</v>
      </c>
      <c r="T502" s="33">
        <f>quantInv[[#This Row],[Quantity]]*quantInv[[#This Row],[WEIGHT]]</f>
        <v>0</v>
      </c>
      <c r="U502" s="33">
        <f>quantInv[[#This Row],[UNIT
VALUE]]*quantInv[[#This Row],[Quantity]]</f>
        <v>0</v>
      </c>
      <c r="V502" s="33">
        <f>quantInv[[#This Row],[Total Cost GBP]]/EURtoGBP</f>
        <v>0</v>
      </c>
      <c r="W502" s="33">
        <f>quantInv[[#This Row],[Total Cost GBP]]/USDtoGBP</f>
        <v>0</v>
      </c>
      <c r="X502" s="33">
        <f>quantInv[[#This Row],[Total Cost GBP]]/CADtoGBP</f>
        <v>0</v>
      </c>
      <c r="Y502" s="33">
        <f>quantInv[[#This Row],[Quantity]]*quantInv[[#This Row],[UNIT
VALUE AUD]]</f>
        <v>0</v>
      </c>
      <c r="Z502" s="33"/>
    </row>
    <row r="503" spans="1:26" x14ac:dyDescent="0.25">
      <c r="A503" t="s">
        <v>1150</v>
      </c>
      <c r="B503" t="s">
        <v>1151</v>
      </c>
      <c r="C503" t="s">
        <v>114</v>
      </c>
      <c r="D503" t="s">
        <v>2932</v>
      </c>
      <c r="E503">
        <v>2.7</v>
      </c>
      <c r="F503" s="33">
        <v>4.1757</v>
      </c>
      <c r="G503" s="33" t="s">
        <v>117</v>
      </c>
      <c r="H503" t="s">
        <v>1426</v>
      </c>
      <c r="I503" t="str">
        <f>IF(quantInv[[#This Row],[Metal]] = "925 Silver",  "7113.11.00"," 7113.19.00")</f>
        <v>7113.11.00</v>
      </c>
      <c r="J503" t="str">
        <f>IF(quantInv[[#This Row],[Metal]] = "925 Silver", "7113.11.10.00"," 7113.19.10.00")</f>
        <v>7113.11.10.00</v>
      </c>
      <c r="K503" t="str">
        <f>IF(quantInv[[#This Row],[Metal]] = "925 Silver",  "7113.11.00"," 7113.19.00")</f>
        <v>7113.11.00</v>
      </c>
      <c r="L503" t="str">
        <f>IFERROR(VLOOKUP(quantInv[[#This Row],[Description for New Invoice]],Map!$G$12:$H$32,2,FALSE), IF(quantInv[[#This Row],[Metal]] = "925 Silver", "7113.11.10.00", "7113.19.29.00"))</f>
        <v>7113.11.10.00</v>
      </c>
      <c r="M503" t="str">
        <f>quantInv[[#This Row],[ASIN]] &amp; " " &amp; quantInv[[#This Row],[Short Description]]</f>
        <v xml:space="preserve">B07F89T25B trace with balls chain  Butterfly  Big Tag  no beads </v>
      </c>
      <c r="N503" s="33">
        <f>quantInv[[#This Row],[UNIT
VALUE]] / EURtoGBP</f>
        <v>4.7399158876913381</v>
      </c>
      <c r="O503" s="33">
        <f>quantInv[[#This Row],[UNIT
VALUE]]/USDtoGBP</f>
        <v>5.7241909681239997</v>
      </c>
      <c r="P503" s="33">
        <f>quantInv[[#This Row],[UNIT
VALUE]] / CADtoGBP</f>
        <v>7.3272934970862433</v>
      </c>
      <c r="Q503" s="33">
        <f>quantInv[[#This Row],[UNIT
VALUE]]/AUDtoGBP</f>
        <v>7.4999999999999991</v>
      </c>
      <c r="R503">
        <f>IFERROR(VLOOKUP(quantInv[[#This Row],[Assigned Item SKU]],skuQuantity[#All],2,FALSE),0)</f>
        <v>0</v>
      </c>
      <c r="S503" t="str">
        <f>PROPER(quantInv[[#This Row],[Metal]] &amp; " " &amp; quantInv[[#This Row],[Item Type]])</f>
        <v>925 Silver Anklet</v>
      </c>
      <c r="T503" s="33">
        <f>quantInv[[#This Row],[Quantity]]*quantInv[[#This Row],[WEIGHT]]</f>
        <v>0</v>
      </c>
      <c r="U503" s="33">
        <f>quantInv[[#This Row],[UNIT
VALUE]]*quantInv[[#This Row],[Quantity]]</f>
        <v>0</v>
      </c>
      <c r="V503" s="33">
        <f>quantInv[[#This Row],[Total Cost GBP]]/EURtoGBP</f>
        <v>0</v>
      </c>
      <c r="W503" s="33">
        <f>quantInv[[#This Row],[Total Cost GBP]]/USDtoGBP</f>
        <v>0</v>
      </c>
      <c r="X503" s="33">
        <f>quantInv[[#This Row],[Total Cost GBP]]/CADtoGBP</f>
        <v>0</v>
      </c>
      <c r="Y503" s="33">
        <f>quantInv[[#This Row],[Quantity]]*quantInv[[#This Row],[UNIT
VALUE AUD]]</f>
        <v>0</v>
      </c>
      <c r="Z503" s="33"/>
    </row>
    <row r="504" spans="1:26" x14ac:dyDescent="0.25">
      <c r="A504" t="s">
        <v>1152</v>
      </c>
      <c r="B504" t="s">
        <v>1153</v>
      </c>
      <c r="C504" t="s">
        <v>114</v>
      </c>
      <c r="D504" t="s">
        <v>2933</v>
      </c>
      <c r="E504">
        <v>4.3</v>
      </c>
      <c r="F504" s="33">
        <v>5.8433000000000002</v>
      </c>
      <c r="G504" s="33" t="s">
        <v>117</v>
      </c>
      <c r="H504" t="s">
        <v>1426</v>
      </c>
      <c r="I504" t="str">
        <f>IF(quantInv[[#This Row],[Metal]] = "925 Silver",  "7113.11.00"," 7113.19.00")</f>
        <v>7113.11.00</v>
      </c>
      <c r="J504" t="str">
        <f>IF(quantInv[[#This Row],[Metal]] = "925 Silver", "7113.11.10.00"," 7113.19.10.00")</f>
        <v>7113.11.10.00</v>
      </c>
      <c r="K504" t="str">
        <f>IF(quantInv[[#This Row],[Metal]] = "925 Silver",  "7113.11.00"," 7113.19.00")</f>
        <v>7113.11.00</v>
      </c>
      <c r="L504" t="str">
        <f>IFERROR(VLOOKUP(quantInv[[#This Row],[Description for New Invoice]],Map!$G$12:$H$32,2,FALSE), IF(quantInv[[#This Row],[Metal]] = "925 Silver", "7113.11.10.00", "7113.19.29.00"))</f>
        <v>7113.11.10.00</v>
      </c>
      <c r="M504" t="str">
        <f>quantInv[[#This Row],[ASIN]] &amp; " " &amp; quantInv[[#This Row],[Short Description]]</f>
        <v xml:space="preserve">B07F8BGB8R rolo chain - thick  Angel  Big Tag  Big Circles </v>
      </c>
      <c r="N504" s="33">
        <f>quantInv[[#This Row],[UNIT
VALUE]] / EURtoGBP</f>
        <v>6.632840124182005</v>
      </c>
      <c r="O504" s="33">
        <f>quantInv[[#This Row],[UNIT
VALUE]]/USDtoGBP</f>
        <v>8.0101935206166566</v>
      </c>
      <c r="P504" s="33">
        <f>quantInv[[#This Row],[UNIT
VALUE]] / CADtoGBP</f>
        <v>10.253508176239684</v>
      </c>
      <c r="Q504" s="33">
        <f>quantInv[[#This Row],[UNIT
VALUE]]/AUDtoGBP</f>
        <v>10.49518643580717</v>
      </c>
      <c r="R504">
        <f>IFERROR(VLOOKUP(quantInv[[#This Row],[Assigned Item SKU]],skuQuantity[#All],2,FALSE),0)</f>
        <v>0</v>
      </c>
      <c r="S504" t="str">
        <f>PROPER(quantInv[[#This Row],[Metal]] &amp; " " &amp; quantInv[[#This Row],[Item Type]])</f>
        <v>925 Silver Anklet</v>
      </c>
      <c r="T504" s="33">
        <f>quantInv[[#This Row],[Quantity]]*quantInv[[#This Row],[WEIGHT]]</f>
        <v>0</v>
      </c>
      <c r="U504" s="33">
        <f>quantInv[[#This Row],[UNIT
VALUE]]*quantInv[[#This Row],[Quantity]]</f>
        <v>0</v>
      </c>
      <c r="V504" s="33">
        <f>quantInv[[#This Row],[Total Cost GBP]]/EURtoGBP</f>
        <v>0</v>
      </c>
      <c r="W504" s="33">
        <f>quantInv[[#This Row],[Total Cost GBP]]/USDtoGBP</f>
        <v>0</v>
      </c>
      <c r="X504" s="33">
        <f>quantInv[[#This Row],[Total Cost GBP]]/CADtoGBP</f>
        <v>0</v>
      </c>
      <c r="Y504" s="33">
        <f>quantInv[[#This Row],[Quantity]]*quantInv[[#This Row],[UNIT
VALUE AUD]]</f>
        <v>0</v>
      </c>
      <c r="Z504" s="33"/>
    </row>
    <row r="505" spans="1:26" x14ac:dyDescent="0.25">
      <c r="A505" t="s">
        <v>1154</v>
      </c>
      <c r="B505" t="s">
        <v>1155</v>
      </c>
      <c r="C505" t="s">
        <v>114</v>
      </c>
      <c r="D505" t="s">
        <v>2934</v>
      </c>
      <c r="E505">
        <v>3.8</v>
      </c>
      <c r="F505" s="33">
        <v>5.2293000000000003</v>
      </c>
      <c r="G505" s="33" t="s">
        <v>117</v>
      </c>
      <c r="H505" t="s">
        <v>1426</v>
      </c>
      <c r="I505" t="str">
        <f>IF(quantInv[[#This Row],[Metal]] = "925 Silver",  "7113.11.00"," 7113.19.00")</f>
        <v>7113.11.00</v>
      </c>
      <c r="J505" t="str">
        <f>IF(quantInv[[#This Row],[Metal]] = "925 Silver", "7113.11.10.00"," 7113.19.10.00")</f>
        <v>7113.11.10.00</v>
      </c>
      <c r="K505" t="str">
        <f>IF(quantInv[[#This Row],[Metal]] = "925 Silver",  "7113.11.00"," 7113.19.00")</f>
        <v>7113.11.00</v>
      </c>
      <c r="L505" t="str">
        <f>IFERROR(VLOOKUP(quantInv[[#This Row],[Description for New Invoice]],Map!$G$12:$H$32,2,FALSE), IF(quantInv[[#This Row],[Metal]] = "925 Silver", "7113.11.10.00", "7113.19.29.00"))</f>
        <v>7113.11.10.00</v>
      </c>
      <c r="M505" t="str">
        <f>quantInv[[#This Row],[ASIN]] &amp; " " &amp; quantInv[[#This Row],[Short Description]]</f>
        <v xml:space="preserve">B07F8C376P rolo chain  Irish Flower  Large tag  rings </v>
      </c>
      <c r="N505" s="33">
        <f>quantInv[[#This Row],[UNIT
VALUE]] / EURtoGBP</f>
        <v>5.9358771347329355</v>
      </c>
      <c r="O505" s="33">
        <f>quantInv[[#This Row],[UNIT
VALUE]]/USDtoGBP</f>
        <v>7.1685015277943425</v>
      </c>
      <c r="P505" s="33">
        <f>quantInv[[#This Row],[UNIT
VALUE]] / CADtoGBP</f>
        <v>9.1760940403556521</v>
      </c>
      <c r="Q505" s="33">
        <f>quantInv[[#This Row],[UNIT
VALUE]]/AUDtoGBP</f>
        <v>9.3923773259573249</v>
      </c>
      <c r="R505">
        <f>IFERROR(VLOOKUP(quantInv[[#This Row],[Assigned Item SKU]],skuQuantity[#All],2,FALSE),0)</f>
        <v>0</v>
      </c>
      <c r="S505" t="str">
        <f>PROPER(quantInv[[#This Row],[Metal]] &amp; " " &amp; quantInv[[#This Row],[Item Type]])</f>
        <v>925 Silver Anklet</v>
      </c>
      <c r="T505" s="33">
        <f>quantInv[[#This Row],[Quantity]]*quantInv[[#This Row],[WEIGHT]]</f>
        <v>0</v>
      </c>
      <c r="U505" s="33">
        <f>quantInv[[#This Row],[UNIT
VALUE]]*quantInv[[#This Row],[Quantity]]</f>
        <v>0</v>
      </c>
      <c r="V505" s="33">
        <f>quantInv[[#This Row],[Total Cost GBP]]/EURtoGBP</f>
        <v>0</v>
      </c>
      <c r="W505" s="33">
        <f>quantInv[[#This Row],[Total Cost GBP]]/USDtoGBP</f>
        <v>0</v>
      </c>
      <c r="X505" s="33">
        <f>quantInv[[#This Row],[Total Cost GBP]]/CADtoGBP</f>
        <v>0</v>
      </c>
      <c r="Y505" s="33">
        <f>quantInv[[#This Row],[Quantity]]*quantInv[[#This Row],[UNIT
VALUE AUD]]</f>
        <v>0</v>
      </c>
      <c r="Z505" s="33"/>
    </row>
    <row r="506" spans="1:26" x14ac:dyDescent="0.25">
      <c r="A506" t="s">
        <v>1156</v>
      </c>
      <c r="B506" t="s">
        <v>1157</v>
      </c>
      <c r="C506" t="s">
        <v>114</v>
      </c>
      <c r="D506" t="s">
        <v>2935</v>
      </c>
      <c r="E506">
        <v>2</v>
      </c>
      <c r="F506" s="33">
        <v>3.1291000000000002</v>
      </c>
      <c r="G506" s="33" t="s">
        <v>117</v>
      </c>
      <c r="H506" t="s">
        <v>1426</v>
      </c>
      <c r="I506" t="str">
        <f>IF(quantInv[[#This Row],[Metal]] = "925 Silver",  "7113.11.00"," 7113.19.00")</f>
        <v>7113.11.00</v>
      </c>
      <c r="J506" t="str">
        <f>IF(quantInv[[#This Row],[Metal]] = "925 Silver", "7113.11.10.00"," 7113.19.10.00")</f>
        <v>7113.11.10.00</v>
      </c>
      <c r="K506" t="str">
        <f>IF(quantInv[[#This Row],[Metal]] = "925 Silver",  "7113.11.00"," 7113.19.00")</f>
        <v>7113.11.00</v>
      </c>
      <c r="L506" t="str">
        <f>IFERROR(VLOOKUP(quantInv[[#This Row],[Description for New Invoice]],Map!$G$12:$H$32,2,FALSE), IF(quantInv[[#This Row],[Metal]] = "925 Silver", "7113.11.10.00", "7113.19.29.00"))</f>
        <v>7113.11.10.00</v>
      </c>
      <c r="M506" t="str">
        <f>quantInv[[#This Row],[ASIN]] &amp; " " &amp; quantInv[[#This Row],[Short Description]]</f>
        <v xml:space="preserve">B07F8CPSQ1 tace chain - thick  Buterrfly  Medium Tag  with beads </v>
      </c>
      <c r="N506" s="33">
        <f>quantInv[[#This Row],[UNIT
VALUE]] / EURtoGBP</f>
        <v>3.551900472777012</v>
      </c>
      <c r="O506" s="33">
        <f>quantInv[[#This Row],[UNIT
VALUE]]/USDtoGBP</f>
        <v>4.2894762455053792</v>
      </c>
      <c r="P506" s="33">
        <f>quantInv[[#This Row],[UNIT
VALUE]] / CADtoGBP</f>
        <v>5.4907761768643741</v>
      </c>
      <c r="Q506" s="33">
        <f>quantInv[[#This Row],[UNIT
VALUE]]/AUDtoGBP</f>
        <v>5.6201954163373804</v>
      </c>
      <c r="R506">
        <f>IFERROR(VLOOKUP(quantInv[[#This Row],[Assigned Item SKU]],skuQuantity[#All],2,FALSE),0)</f>
        <v>0</v>
      </c>
      <c r="S506" t="str">
        <f>PROPER(quantInv[[#This Row],[Metal]] &amp; " " &amp; quantInv[[#This Row],[Item Type]])</f>
        <v>925 Silver Anklet</v>
      </c>
      <c r="T506" s="33">
        <f>quantInv[[#This Row],[Quantity]]*quantInv[[#This Row],[WEIGHT]]</f>
        <v>0</v>
      </c>
      <c r="U506" s="33">
        <f>quantInv[[#This Row],[UNIT
VALUE]]*quantInv[[#This Row],[Quantity]]</f>
        <v>0</v>
      </c>
      <c r="V506" s="33">
        <f>quantInv[[#This Row],[Total Cost GBP]]/EURtoGBP</f>
        <v>0</v>
      </c>
      <c r="W506" s="33">
        <f>quantInv[[#This Row],[Total Cost GBP]]/USDtoGBP</f>
        <v>0</v>
      </c>
      <c r="X506" s="33">
        <f>quantInv[[#This Row],[Total Cost GBP]]/CADtoGBP</f>
        <v>0</v>
      </c>
      <c r="Y506" s="33">
        <f>quantInv[[#This Row],[Quantity]]*quantInv[[#This Row],[UNIT
VALUE AUD]]</f>
        <v>0</v>
      </c>
      <c r="Z506" s="33"/>
    </row>
    <row r="507" spans="1:26" x14ac:dyDescent="0.25">
      <c r="A507" t="s">
        <v>1158</v>
      </c>
      <c r="B507" t="s">
        <v>1159</v>
      </c>
      <c r="C507" t="s">
        <v>114</v>
      </c>
      <c r="D507" t="s">
        <v>2936</v>
      </c>
      <c r="E507">
        <v>3</v>
      </c>
      <c r="F507" s="33">
        <v>4.5563000000000002</v>
      </c>
      <c r="G507" s="33" t="s">
        <v>117</v>
      </c>
      <c r="H507" t="s">
        <v>1426</v>
      </c>
      <c r="I507" t="str">
        <f>IF(quantInv[[#This Row],[Metal]] = "925 Silver",  "7113.11.00"," 7113.19.00")</f>
        <v>7113.11.00</v>
      </c>
      <c r="J507" t="str">
        <f>IF(quantInv[[#This Row],[Metal]] = "925 Silver", "7113.11.10.00"," 7113.19.10.00")</f>
        <v>7113.11.10.00</v>
      </c>
      <c r="K507" t="str">
        <f>IF(quantInv[[#This Row],[Metal]] = "925 Silver",  "7113.11.00"," 7113.19.00")</f>
        <v>7113.11.00</v>
      </c>
      <c r="L507" t="str">
        <f>IFERROR(VLOOKUP(quantInv[[#This Row],[Description for New Invoice]],Map!$G$12:$H$32,2,FALSE), IF(quantInv[[#This Row],[Metal]] = "925 Silver", "7113.11.10.00", "7113.19.29.00"))</f>
        <v>7113.11.10.00</v>
      </c>
      <c r="M507" t="str">
        <f>quantInv[[#This Row],[ASIN]] &amp; " " &amp; quantInv[[#This Row],[Short Description]]</f>
        <v xml:space="preserve">B07F8BHSHM snake chain  Teddy  small  with beads </v>
      </c>
      <c r="N507" s="33">
        <f>quantInv[[#This Row],[UNIT
VALUE]] / EURtoGBP</f>
        <v>5.171942131639736</v>
      </c>
      <c r="O507" s="33">
        <f>quantInv[[#This Row],[UNIT
VALUE]]/USDtoGBP</f>
        <v>6.2459303369646726</v>
      </c>
      <c r="P507" s="33">
        <f>quantInv[[#This Row],[UNIT
VALUE]] / CADtoGBP</f>
        <v>7.9951498816423721</v>
      </c>
      <c r="Q507" s="33">
        <f>quantInv[[#This Row],[UNIT
VALUE]]/AUDtoGBP</f>
        <v>8.1835979596235369</v>
      </c>
      <c r="R507">
        <f>IFERROR(VLOOKUP(quantInv[[#This Row],[Assigned Item SKU]],skuQuantity[#All],2,FALSE),0)</f>
        <v>0</v>
      </c>
      <c r="S507" t="str">
        <f>PROPER(quantInv[[#This Row],[Metal]] &amp; " " &amp; quantInv[[#This Row],[Item Type]])</f>
        <v>925 Silver Anklet</v>
      </c>
      <c r="T507" s="33">
        <f>quantInv[[#This Row],[Quantity]]*quantInv[[#This Row],[WEIGHT]]</f>
        <v>0</v>
      </c>
      <c r="U507" s="33">
        <f>quantInv[[#This Row],[UNIT
VALUE]]*quantInv[[#This Row],[Quantity]]</f>
        <v>0</v>
      </c>
      <c r="V507" s="33">
        <f>quantInv[[#This Row],[Total Cost GBP]]/EURtoGBP</f>
        <v>0</v>
      </c>
      <c r="W507" s="33">
        <f>quantInv[[#This Row],[Total Cost GBP]]/USDtoGBP</f>
        <v>0</v>
      </c>
      <c r="X507" s="33">
        <f>quantInv[[#This Row],[Total Cost GBP]]/CADtoGBP</f>
        <v>0</v>
      </c>
      <c r="Y507" s="33">
        <f>quantInv[[#This Row],[Quantity]]*quantInv[[#This Row],[UNIT
VALUE AUD]]</f>
        <v>0</v>
      </c>
      <c r="Z507" s="33"/>
    </row>
    <row r="508" spans="1:26" x14ac:dyDescent="0.25">
      <c r="A508" t="s">
        <v>1160</v>
      </c>
      <c r="B508" t="s">
        <v>1161</v>
      </c>
      <c r="C508" t="s">
        <v>114</v>
      </c>
      <c r="D508" t="s">
        <v>2937</v>
      </c>
      <c r="E508">
        <v>2.5</v>
      </c>
      <c r="F508" s="33">
        <v>3.8866999999999998</v>
      </c>
      <c r="G508" s="33" t="s">
        <v>117</v>
      </c>
      <c r="H508" t="s">
        <v>1426</v>
      </c>
      <c r="I508" t="str">
        <f>IF(quantInv[[#This Row],[Metal]] = "925 Silver",  "7113.11.00"," 7113.19.00")</f>
        <v>7113.11.00</v>
      </c>
      <c r="J508" t="str">
        <f>IF(quantInv[[#This Row],[Metal]] = "925 Silver", "7113.11.10.00"," 7113.19.10.00")</f>
        <v>7113.11.10.00</v>
      </c>
      <c r="K508" t="str">
        <f>IF(quantInv[[#This Row],[Metal]] = "925 Silver",  "7113.11.00"," 7113.19.00")</f>
        <v>7113.11.00</v>
      </c>
      <c r="L508" t="str">
        <f>IFERROR(VLOOKUP(quantInv[[#This Row],[Description for New Invoice]],Map!$G$12:$H$32,2,FALSE), IF(quantInv[[#This Row],[Metal]] = "925 Silver", "7113.11.10.00", "7113.19.29.00"))</f>
        <v>7113.11.10.00</v>
      </c>
      <c r="M508" t="str">
        <f>quantInv[[#This Row],[ASIN]] &amp; " " &amp; quantInv[[#This Row],[Short Description]]</f>
        <v xml:space="preserve">B07F887PBL trace with balls chain  Butterfly  Medium Tag  no beads </v>
      </c>
      <c r="N508" s="33">
        <f>quantInv[[#This Row],[UNIT
VALUE]] / EURtoGBP</f>
        <v>4.4118665327226392</v>
      </c>
      <c r="O508" s="33">
        <f>quantInv[[#This Row],[UNIT
VALUE]]/USDtoGBP</f>
        <v>5.3280199812744096</v>
      </c>
      <c r="P508" s="33">
        <f>quantInv[[#This Row],[UNIT
VALUE]] / CADtoGBP</f>
        <v>6.8201718598378962</v>
      </c>
      <c r="Q508" s="33">
        <f>quantInv[[#This Row],[UNIT
VALUE]]/AUDtoGBP</f>
        <v>6.9809253538328893</v>
      </c>
      <c r="R508">
        <f>IFERROR(VLOOKUP(quantInv[[#This Row],[Assigned Item SKU]],skuQuantity[#All],2,FALSE),0)</f>
        <v>0</v>
      </c>
      <c r="S508" t="str">
        <f>PROPER(quantInv[[#This Row],[Metal]] &amp; " " &amp; quantInv[[#This Row],[Item Type]])</f>
        <v>925 Silver Anklet</v>
      </c>
      <c r="T508" s="33">
        <f>quantInv[[#This Row],[Quantity]]*quantInv[[#This Row],[WEIGHT]]</f>
        <v>0</v>
      </c>
      <c r="U508" s="33">
        <f>quantInv[[#This Row],[UNIT
VALUE]]*quantInv[[#This Row],[Quantity]]</f>
        <v>0</v>
      </c>
      <c r="V508" s="33">
        <f>quantInv[[#This Row],[Total Cost GBP]]/EURtoGBP</f>
        <v>0</v>
      </c>
      <c r="W508" s="33">
        <f>quantInv[[#This Row],[Total Cost GBP]]/USDtoGBP</f>
        <v>0</v>
      </c>
      <c r="X508" s="33">
        <f>quantInv[[#This Row],[Total Cost GBP]]/CADtoGBP</f>
        <v>0</v>
      </c>
      <c r="Y508" s="33">
        <f>quantInv[[#This Row],[Quantity]]*quantInv[[#This Row],[UNIT
VALUE AUD]]</f>
        <v>0</v>
      </c>
      <c r="Z508" s="33"/>
    </row>
    <row r="509" spans="1:26" x14ac:dyDescent="0.25">
      <c r="A509" t="s">
        <v>1162</v>
      </c>
      <c r="B509" t="s">
        <v>1163</v>
      </c>
      <c r="C509" t="s">
        <v>114</v>
      </c>
      <c r="D509" t="s">
        <v>2938</v>
      </c>
      <c r="E509">
        <v>2.4</v>
      </c>
      <c r="F509" s="33">
        <v>3.0868000000000002</v>
      </c>
      <c r="G509" s="33" t="s">
        <v>117</v>
      </c>
      <c r="H509" t="s">
        <v>1426</v>
      </c>
      <c r="I509" t="str">
        <f>IF(quantInv[[#This Row],[Metal]] = "925 Silver",  "7113.11.00"," 7113.19.00")</f>
        <v>7113.11.00</v>
      </c>
      <c r="J509" t="str">
        <f>IF(quantInv[[#This Row],[Metal]] = "925 Silver", "7113.11.10.00"," 7113.19.10.00")</f>
        <v>7113.11.10.00</v>
      </c>
      <c r="K509" t="str">
        <f>IF(quantInv[[#This Row],[Metal]] = "925 Silver",  "7113.11.00"," 7113.19.00")</f>
        <v>7113.11.00</v>
      </c>
      <c r="L509" t="str">
        <f>IFERROR(VLOOKUP(quantInv[[#This Row],[Description for New Invoice]],Map!$G$12:$H$32,2,FALSE), IF(quantInv[[#This Row],[Metal]] = "925 Silver", "7113.11.10.00", "7113.19.29.00"))</f>
        <v>7113.11.10.00</v>
      </c>
      <c r="M509" t="str">
        <f>quantInv[[#This Row],[ASIN]] &amp; " " &amp; quantInv[[#This Row],[Short Description]]</f>
        <v xml:space="preserve">B07FJ5YQJ7 box chain  Sun  small tag  with beads </v>
      </c>
      <c r="N509" s="33">
        <f>quantInv[[#This Row],[UNIT
VALUE]] / EURtoGBP</f>
        <v>3.5038849443507973</v>
      </c>
      <c r="O509" s="33">
        <f>quantInv[[#This Row],[UNIT
VALUE]]/USDtoGBP</f>
        <v>4.2314899730356981</v>
      </c>
      <c r="P509" s="33">
        <f>quantInv[[#This Row],[UNIT
VALUE]] / CADtoGBP</f>
        <v>5.4165504147342523</v>
      </c>
      <c r="Q509" s="33">
        <f>quantInv[[#This Row],[UNIT
VALUE]]/AUDtoGBP</f>
        <v>5.5442201307565195</v>
      </c>
      <c r="R509">
        <f>IFERROR(VLOOKUP(quantInv[[#This Row],[Assigned Item SKU]],skuQuantity[#All],2,FALSE),0)</f>
        <v>0</v>
      </c>
      <c r="S509" t="str">
        <f>PROPER(quantInv[[#This Row],[Metal]] &amp; " " &amp; quantInv[[#This Row],[Item Type]])</f>
        <v>925 Silver Anklet</v>
      </c>
      <c r="T509" s="33">
        <f>quantInv[[#This Row],[Quantity]]*quantInv[[#This Row],[WEIGHT]]</f>
        <v>0</v>
      </c>
      <c r="U509" s="33">
        <f>quantInv[[#This Row],[UNIT
VALUE]]*quantInv[[#This Row],[Quantity]]</f>
        <v>0</v>
      </c>
      <c r="V509" s="33">
        <f>quantInv[[#This Row],[Total Cost GBP]]/EURtoGBP</f>
        <v>0</v>
      </c>
      <c r="W509" s="33">
        <f>quantInv[[#This Row],[Total Cost GBP]]/USDtoGBP</f>
        <v>0</v>
      </c>
      <c r="X509" s="33">
        <f>quantInv[[#This Row],[Total Cost GBP]]/CADtoGBP</f>
        <v>0</v>
      </c>
      <c r="Y509" s="33">
        <f>quantInv[[#This Row],[Quantity]]*quantInv[[#This Row],[UNIT
VALUE AUD]]</f>
        <v>0</v>
      </c>
      <c r="Z509" s="33"/>
    </row>
    <row r="510" spans="1:26" x14ac:dyDescent="0.25">
      <c r="A510" t="s">
        <v>1164</v>
      </c>
      <c r="B510" t="s">
        <v>1165</v>
      </c>
      <c r="C510" t="s">
        <v>114</v>
      </c>
      <c r="D510" t="s">
        <v>2939</v>
      </c>
      <c r="E510">
        <v>3.2</v>
      </c>
      <c r="F510" s="33">
        <v>5.18</v>
      </c>
      <c r="G510" s="33" t="s">
        <v>117</v>
      </c>
      <c r="H510" t="s">
        <v>1426</v>
      </c>
      <c r="I510" t="str">
        <f>IF(quantInv[[#This Row],[Metal]] = "925 Silver",  "7113.11.00"," 7113.19.00")</f>
        <v>7113.11.00</v>
      </c>
      <c r="J510" t="str">
        <f>IF(quantInv[[#This Row],[Metal]] = "925 Silver", "7113.11.10.00"," 7113.19.10.00")</f>
        <v>7113.11.10.00</v>
      </c>
      <c r="K510" t="str">
        <f>IF(quantInv[[#This Row],[Metal]] = "925 Silver",  "7113.11.00"," 7113.19.00")</f>
        <v>7113.11.00</v>
      </c>
      <c r="L510" t="str">
        <f>IFERROR(VLOOKUP(quantInv[[#This Row],[Description for New Invoice]],Map!$G$12:$H$32,2,FALSE), IF(quantInv[[#This Row],[Metal]] = "925 Silver", "7113.11.10.00", "7113.19.29.00"))</f>
        <v>7113.11.10.00</v>
      </c>
      <c r="M510" t="str">
        <f>quantInv[[#This Row],[ASIN]] &amp; " " &amp; quantInv[[#This Row],[Short Description]]</f>
        <v>B07F8GR72Q trace chain  Hearts  small tags  rings multiple tags</v>
      </c>
      <c r="N510" s="33">
        <f>quantInv[[#This Row],[UNIT
VALUE]] / EURtoGBP</f>
        <v>5.8799157741794508</v>
      </c>
      <c r="O510" s="33">
        <f>quantInv[[#This Row],[UNIT
VALUE]]/USDtoGBP</f>
        <v>7.1009194182729409</v>
      </c>
      <c r="P510" s="33">
        <f>quantInv[[#This Row],[UNIT
VALUE]] / CADtoGBP</f>
        <v>9.0895850551779915</v>
      </c>
      <c r="Q510" s="33">
        <f>quantInv[[#This Row],[UNIT
VALUE]]/AUDtoGBP</f>
        <v>9.303829298081757</v>
      </c>
      <c r="R510">
        <f>IFERROR(VLOOKUP(quantInv[[#This Row],[Assigned Item SKU]],skuQuantity[#All],2,FALSE),0)</f>
        <v>0</v>
      </c>
      <c r="S510" t="str">
        <f>PROPER(quantInv[[#This Row],[Metal]] &amp; " " &amp; quantInv[[#This Row],[Item Type]])</f>
        <v>925 Silver Anklet</v>
      </c>
      <c r="T510" s="33">
        <f>quantInv[[#This Row],[Quantity]]*quantInv[[#This Row],[WEIGHT]]</f>
        <v>0</v>
      </c>
      <c r="U510" s="33">
        <f>quantInv[[#This Row],[UNIT
VALUE]]*quantInv[[#This Row],[Quantity]]</f>
        <v>0</v>
      </c>
      <c r="V510" s="33">
        <f>quantInv[[#This Row],[Total Cost GBP]]/EURtoGBP</f>
        <v>0</v>
      </c>
      <c r="W510" s="33">
        <f>quantInv[[#This Row],[Total Cost GBP]]/USDtoGBP</f>
        <v>0</v>
      </c>
      <c r="X510" s="33">
        <f>quantInv[[#This Row],[Total Cost GBP]]/CADtoGBP</f>
        <v>0</v>
      </c>
      <c r="Y510" s="33">
        <f>quantInv[[#This Row],[Quantity]]*quantInv[[#This Row],[UNIT
VALUE AUD]]</f>
        <v>0</v>
      </c>
      <c r="Z510" s="33"/>
    </row>
    <row r="511" spans="1:26" x14ac:dyDescent="0.25">
      <c r="A511" t="s">
        <v>1166</v>
      </c>
      <c r="B511" t="s">
        <v>1167</v>
      </c>
      <c r="C511" t="s">
        <v>114</v>
      </c>
      <c r="D511" t="s">
        <v>2940</v>
      </c>
      <c r="E511">
        <v>2.8</v>
      </c>
      <c r="F511" s="33">
        <v>4.5667999999999997</v>
      </c>
      <c r="G511" s="33" t="s">
        <v>117</v>
      </c>
      <c r="H511" t="s">
        <v>1426</v>
      </c>
      <c r="I511" t="str">
        <f>IF(quantInv[[#This Row],[Metal]] = "925 Silver",  "7113.11.00"," 7113.19.00")</f>
        <v>7113.11.00</v>
      </c>
      <c r="J511" t="str">
        <f>IF(quantInv[[#This Row],[Metal]] = "925 Silver", "7113.11.10.00"," 7113.19.10.00")</f>
        <v>7113.11.10.00</v>
      </c>
      <c r="K511" t="str">
        <f>IF(quantInv[[#This Row],[Metal]] = "925 Silver",  "7113.11.00"," 7113.19.00")</f>
        <v>7113.11.00</v>
      </c>
      <c r="L511" t="str">
        <f>IFERROR(VLOOKUP(quantInv[[#This Row],[Description for New Invoice]],Map!$G$12:$H$32,2,FALSE), IF(quantInv[[#This Row],[Metal]] = "925 Silver", "7113.11.10.00", "7113.19.29.00"))</f>
        <v>7113.11.10.00</v>
      </c>
      <c r="M511" t="str">
        <f>quantInv[[#This Row],[ASIN]] &amp; " " &amp; quantInv[[#This Row],[Short Description]]</f>
        <v>B07F87J5D1 rolo chain  Hearts  small tags  rings multiple tags</v>
      </c>
      <c r="N511" s="33">
        <f>quantInv[[#This Row],[UNIT
VALUE]] / EURtoGBP</f>
        <v>5.1838608798306396</v>
      </c>
      <c r="O511" s="33">
        <f>quantInv[[#This Row],[UNIT
VALUE]]/USDtoGBP</f>
        <v>6.2603240925422519</v>
      </c>
      <c r="P511" s="33">
        <f>quantInv[[#This Row],[UNIT
VALUE]] / CADtoGBP</f>
        <v>8.0135747162136788</v>
      </c>
      <c r="Q511" s="33">
        <f>quantInv[[#This Row],[UNIT
VALUE]]/AUDtoGBP</f>
        <v>8.2024570730655935</v>
      </c>
      <c r="R511">
        <f>IFERROR(VLOOKUP(quantInv[[#This Row],[Assigned Item SKU]],skuQuantity[#All],2,FALSE),0)</f>
        <v>0</v>
      </c>
      <c r="S511" t="str">
        <f>PROPER(quantInv[[#This Row],[Metal]] &amp; " " &amp; quantInv[[#This Row],[Item Type]])</f>
        <v>925 Silver Anklet</v>
      </c>
      <c r="T511" s="33">
        <f>quantInv[[#This Row],[Quantity]]*quantInv[[#This Row],[WEIGHT]]</f>
        <v>0</v>
      </c>
      <c r="U511" s="33">
        <f>quantInv[[#This Row],[UNIT
VALUE]]*quantInv[[#This Row],[Quantity]]</f>
        <v>0</v>
      </c>
      <c r="V511" s="33">
        <f>quantInv[[#This Row],[Total Cost GBP]]/EURtoGBP</f>
        <v>0</v>
      </c>
      <c r="W511" s="33">
        <f>quantInv[[#This Row],[Total Cost GBP]]/USDtoGBP</f>
        <v>0</v>
      </c>
      <c r="X511" s="33">
        <f>quantInv[[#This Row],[Total Cost GBP]]/CADtoGBP</f>
        <v>0</v>
      </c>
      <c r="Y511" s="33">
        <f>quantInv[[#This Row],[Quantity]]*quantInv[[#This Row],[UNIT
VALUE AUD]]</f>
        <v>0</v>
      </c>
      <c r="Z511" s="33"/>
    </row>
    <row r="512" spans="1:26" x14ac:dyDescent="0.25">
      <c r="A512" t="s">
        <v>1168</v>
      </c>
      <c r="B512" t="s">
        <v>1169</v>
      </c>
      <c r="C512" t="s">
        <v>114</v>
      </c>
      <c r="D512" t="s">
        <v>2941</v>
      </c>
      <c r="E512">
        <v>4.0999999999999996</v>
      </c>
      <c r="F512" s="33">
        <v>5.1509</v>
      </c>
      <c r="G512" s="33" t="s">
        <v>117</v>
      </c>
      <c r="H512" t="s">
        <v>1426</v>
      </c>
      <c r="I512" t="str">
        <f>IF(quantInv[[#This Row],[Metal]] = "925 Silver",  "7113.11.00"," 7113.19.00")</f>
        <v>7113.11.00</v>
      </c>
      <c r="J512" t="str">
        <f>IF(quantInv[[#This Row],[Metal]] = "925 Silver", "7113.11.10.00"," 7113.19.10.00")</f>
        <v>7113.11.10.00</v>
      </c>
      <c r="K512" t="str">
        <f>IF(quantInv[[#This Row],[Metal]] = "925 Silver",  "7113.11.00"," 7113.19.00")</f>
        <v>7113.11.00</v>
      </c>
      <c r="L512" t="str">
        <f>IFERROR(VLOOKUP(quantInv[[#This Row],[Description for New Invoice]],Map!$G$12:$H$32,2,FALSE), IF(quantInv[[#This Row],[Metal]] = "925 Silver", "7113.11.10.00", "7113.19.29.00"))</f>
        <v>7113.11.10.00</v>
      </c>
      <c r="M512" t="str">
        <f>quantInv[[#This Row],[ASIN]] &amp; " " &amp; quantInv[[#This Row],[Short Description]]</f>
        <v>B07F8BP4K7 rolo chain - thick  Hearts  Medium tag  Ring multiple tags</v>
      </c>
      <c r="N512" s="33">
        <f>quantInv[[#This Row],[UNIT
VALUE]] / EURtoGBP</f>
        <v>5.8468838149075166</v>
      </c>
      <c r="O512" s="33">
        <f>quantInv[[#This Row],[UNIT
VALUE]]/USDtoGBP</f>
        <v>7.0610281528150756</v>
      </c>
      <c r="P512" s="33">
        <f>quantInv[[#This Row],[UNIT
VALUE]] / CADtoGBP</f>
        <v>9.0385219422232286</v>
      </c>
      <c r="Q512" s="33">
        <f>quantInv[[#This Row],[UNIT
VALUE]]/AUDtoGBP</f>
        <v>9.2515626122566275</v>
      </c>
      <c r="R512">
        <f>IFERROR(VLOOKUP(quantInv[[#This Row],[Assigned Item SKU]],skuQuantity[#All],2,FALSE),0)</f>
        <v>0</v>
      </c>
      <c r="S512" t="str">
        <f>PROPER(quantInv[[#This Row],[Metal]] &amp; " " &amp; quantInv[[#This Row],[Item Type]])</f>
        <v>925 Silver Anklet</v>
      </c>
      <c r="T512" s="33">
        <f>quantInv[[#This Row],[Quantity]]*quantInv[[#This Row],[WEIGHT]]</f>
        <v>0</v>
      </c>
      <c r="U512" s="33">
        <f>quantInv[[#This Row],[UNIT
VALUE]]*quantInv[[#This Row],[Quantity]]</f>
        <v>0</v>
      </c>
      <c r="V512" s="33">
        <f>quantInv[[#This Row],[Total Cost GBP]]/EURtoGBP</f>
        <v>0</v>
      </c>
      <c r="W512" s="33">
        <f>quantInv[[#This Row],[Total Cost GBP]]/USDtoGBP</f>
        <v>0</v>
      </c>
      <c r="X512" s="33">
        <f>quantInv[[#This Row],[Total Cost GBP]]/CADtoGBP</f>
        <v>0</v>
      </c>
      <c r="Y512" s="33">
        <f>quantInv[[#This Row],[Quantity]]*quantInv[[#This Row],[UNIT
VALUE AUD]]</f>
        <v>0</v>
      </c>
      <c r="Z512" s="33"/>
    </row>
    <row r="513" spans="1:26" x14ac:dyDescent="0.25">
      <c r="A513" t="s">
        <v>1170</v>
      </c>
      <c r="B513" t="s">
        <v>1171</v>
      </c>
      <c r="C513" t="s">
        <v>114</v>
      </c>
      <c r="D513" t="s">
        <v>2942</v>
      </c>
      <c r="E513">
        <v>2.7</v>
      </c>
      <c r="F513" s="33">
        <v>4.0330000000000004</v>
      </c>
      <c r="G513" s="33" t="s">
        <v>117</v>
      </c>
      <c r="H513" t="s">
        <v>1426</v>
      </c>
      <c r="I513" t="str">
        <f>IF(quantInv[[#This Row],[Metal]] = "925 Silver",  "7113.11.00"," 7113.19.00")</f>
        <v>7113.11.00</v>
      </c>
      <c r="J513" t="str">
        <f>IF(quantInv[[#This Row],[Metal]] = "925 Silver", "7113.11.10.00"," 7113.19.10.00")</f>
        <v>7113.11.10.00</v>
      </c>
      <c r="K513" t="str">
        <f>IF(quantInv[[#This Row],[Metal]] = "925 Silver",  "7113.11.00"," 7113.19.00")</f>
        <v>7113.11.00</v>
      </c>
      <c r="L513" t="str">
        <f>IFERROR(VLOOKUP(quantInv[[#This Row],[Description for New Invoice]],Map!$G$12:$H$32,2,FALSE), IF(quantInv[[#This Row],[Metal]] = "925 Silver", "7113.11.10.00", "7113.19.29.00"))</f>
        <v>7113.11.10.00</v>
      </c>
      <c r="M513" t="str">
        <f>quantInv[[#This Row],[ASIN]] &amp; " " &amp; quantInv[[#This Row],[Short Description]]</f>
        <v>B07F8CDJRJ box chain  Flowers  small tag  rings multiple tags</v>
      </c>
      <c r="N513" s="33">
        <f>quantInv[[#This Row],[UNIT
VALUE]] / EURtoGBP</f>
        <v>4.5779344241825726</v>
      </c>
      <c r="O513" s="33">
        <f>quantInv[[#This Row],[UNIT
VALUE]]/USDtoGBP</f>
        <v>5.5285729756553623</v>
      </c>
      <c r="P513" s="33">
        <f>quantInv[[#This Row],[UNIT
VALUE]] / CADtoGBP</f>
        <v>7.0768912215314375</v>
      </c>
      <c r="Q513" s="33">
        <f>quantInv[[#This Row],[UNIT
VALUE]]/AUDtoGBP</f>
        <v>7.2436956677922266</v>
      </c>
      <c r="R513">
        <f>IFERROR(VLOOKUP(quantInv[[#This Row],[Assigned Item SKU]],skuQuantity[#All],2,FALSE),0)</f>
        <v>0</v>
      </c>
      <c r="S513" t="str">
        <f>PROPER(quantInv[[#This Row],[Metal]] &amp; " " &amp; quantInv[[#This Row],[Item Type]])</f>
        <v>925 Silver Anklet</v>
      </c>
      <c r="T513" s="33">
        <f>quantInv[[#This Row],[Quantity]]*quantInv[[#This Row],[WEIGHT]]</f>
        <v>0</v>
      </c>
      <c r="U513" s="33">
        <f>quantInv[[#This Row],[UNIT
VALUE]]*quantInv[[#This Row],[Quantity]]</f>
        <v>0</v>
      </c>
      <c r="V513" s="33">
        <f>quantInv[[#This Row],[Total Cost GBP]]/EURtoGBP</f>
        <v>0</v>
      </c>
      <c r="W513" s="33">
        <f>quantInv[[#This Row],[Total Cost GBP]]/USDtoGBP</f>
        <v>0</v>
      </c>
      <c r="X513" s="33">
        <f>quantInv[[#This Row],[Total Cost GBP]]/CADtoGBP</f>
        <v>0</v>
      </c>
      <c r="Y513" s="33">
        <f>quantInv[[#This Row],[Quantity]]*quantInv[[#This Row],[UNIT
VALUE AUD]]</f>
        <v>0</v>
      </c>
      <c r="Z513" s="33"/>
    </row>
    <row r="514" spans="1:26" x14ac:dyDescent="0.25">
      <c r="A514" t="s">
        <v>1172</v>
      </c>
      <c r="B514" t="s">
        <v>1173</v>
      </c>
      <c r="C514" t="s">
        <v>114</v>
      </c>
      <c r="D514" t="s">
        <v>2943</v>
      </c>
      <c r="E514">
        <v>3.9</v>
      </c>
      <c r="F514" s="33">
        <v>5.1535000000000002</v>
      </c>
      <c r="G514" s="33" t="s">
        <v>117</v>
      </c>
      <c r="H514" t="s">
        <v>1426</v>
      </c>
      <c r="I514" t="str">
        <f>IF(quantInv[[#This Row],[Metal]] = "925 Silver",  "7113.11.00"," 7113.19.00")</f>
        <v>7113.11.00</v>
      </c>
      <c r="J514" t="str">
        <f>IF(quantInv[[#This Row],[Metal]] = "925 Silver", "7113.11.10.00"," 7113.19.10.00")</f>
        <v>7113.11.10.00</v>
      </c>
      <c r="K514" t="str">
        <f>IF(quantInv[[#This Row],[Metal]] = "925 Silver",  "7113.11.00"," 7113.19.00")</f>
        <v>7113.11.00</v>
      </c>
      <c r="L514" t="str">
        <f>IFERROR(VLOOKUP(quantInv[[#This Row],[Description for New Invoice]],Map!$G$12:$H$32,2,FALSE), IF(quantInv[[#This Row],[Metal]] = "925 Silver", "7113.11.10.00", "7113.19.29.00"))</f>
        <v>7113.11.10.00</v>
      </c>
      <c r="M514" t="str">
        <f>quantInv[[#This Row],[ASIN]] &amp; " " &amp; quantInv[[#This Row],[Short Description]]</f>
        <v>B07F8C1VR5 rolo chain  Flowers  Medium tags  rings multiple tags</v>
      </c>
      <c r="N514" s="33">
        <f>quantInv[[#This Row],[UNIT
VALUE]] / EURtoGBP</f>
        <v>5.8498351239833593</v>
      </c>
      <c r="O514" s="33">
        <f>quantInv[[#This Row],[UNIT
VALUE]]/USDtoGBP</f>
        <v>7.0645923208628583</v>
      </c>
      <c r="P514" s="33">
        <f>quantInv[[#This Row],[UNIT
VALUE]] / CADtoGBP</f>
        <v>9.0430842822123143</v>
      </c>
      <c r="Q514" s="33">
        <f>quantInv[[#This Row],[UNIT
VALUE]]/AUDtoGBP</f>
        <v>9.2562324879660896</v>
      </c>
      <c r="R514">
        <f>IFERROR(VLOOKUP(quantInv[[#This Row],[Assigned Item SKU]],skuQuantity[#All],2,FALSE),0)</f>
        <v>0</v>
      </c>
      <c r="S514" t="str">
        <f>PROPER(quantInv[[#This Row],[Metal]] &amp; " " &amp; quantInv[[#This Row],[Item Type]])</f>
        <v>925 Silver Anklet</v>
      </c>
      <c r="T514" s="33">
        <f>quantInv[[#This Row],[Quantity]]*quantInv[[#This Row],[WEIGHT]]</f>
        <v>0</v>
      </c>
      <c r="U514" s="33">
        <f>quantInv[[#This Row],[UNIT
VALUE]]*quantInv[[#This Row],[Quantity]]</f>
        <v>0</v>
      </c>
      <c r="V514" s="33">
        <f>quantInv[[#This Row],[Total Cost GBP]]/EURtoGBP</f>
        <v>0</v>
      </c>
      <c r="W514" s="33">
        <f>quantInv[[#This Row],[Total Cost GBP]]/USDtoGBP</f>
        <v>0</v>
      </c>
      <c r="X514" s="33">
        <f>quantInv[[#This Row],[Total Cost GBP]]/CADtoGBP</f>
        <v>0</v>
      </c>
      <c r="Y514" s="33">
        <f>quantInv[[#This Row],[Quantity]]*quantInv[[#This Row],[UNIT
VALUE AUD]]</f>
        <v>0</v>
      </c>
      <c r="Z514" s="33"/>
    </row>
    <row r="515" spans="1:26" x14ac:dyDescent="0.25">
      <c r="A515" t="s">
        <v>1174</v>
      </c>
      <c r="B515" t="s">
        <v>1175</v>
      </c>
      <c r="C515" t="s">
        <v>114</v>
      </c>
      <c r="D515" t="s">
        <v>2944</v>
      </c>
      <c r="E515">
        <v>3.5</v>
      </c>
      <c r="F515" s="33">
        <v>5.4856999999999996</v>
      </c>
      <c r="G515" s="33" t="s">
        <v>117</v>
      </c>
      <c r="H515" t="s">
        <v>1426</v>
      </c>
      <c r="I515" t="str">
        <f>IF(quantInv[[#This Row],[Metal]] = "925 Silver",  "7113.11.00"," 7113.19.00")</f>
        <v>7113.11.00</v>
      </c>
      <c r="J515" t="str">
        <f>IF(quantInv[[#This Row],[Metal]] = "925 Silver", "7113.11.10.00"," 7113.19.10.00")</f>
        <v>7113.11.10.00</v>
      </c>
      <c r="K515" t="str">
        <f>IF(quantInv[[#This Row],[Metal]] = "925 Silver",  "7113.11.00"," 7113.19.00")</f>
        <v>7113.11.00</v>
      </c>
      <c r="L515" t="str">
        <f>IFERROR(VLOOKUP(quantInv[[#This Row],[Description for New Invoice]],Map!$G$12:$H$32,2,FALSE), IF(quantInv[[#This Row],[Metal]] = "925 Silver", "7113.11.10.00", "7113.19.29.00"))</f>
        <v>7113.11.10.00</v>
      </c>
      <c r="M515" t="str">
        <f>quantInv[[#This Row],[ASIN]] &amp; " " &amp; quantInv[[#This Row],[Short Description]]</f>
        <v>B07F89C3TG ball chain  Flowers  small tags  none multiple tags</v>
      </c>
      <c r="N515" s="33">
        <f>quantInv[[#This Row],[UNIT
VALUE]] / EURtoGBP</f>
        <v>6.2269216143660637</v>
      </c>
      <c r="O515" s="33">
        <f>quantInv[[#This Row],[UNIT
VALUE]]/USDtoGBP</f>
        <v>7.5199833306602066</v>
      </c>
      <c r="P515" s="33">
        <f>quantInv[[#This Row],[UNIT
VALUE]] / CADtoGBP</f>
        <v>9.6260109531254656</v>
      </c>
      <c r="Q515" s="33">
        <f>quantInv[[#This Row],[UNIT
VALUE]]/AUDtoGBP</f>
        <v>9.8528989151519486</v>
      </c>
      <c r="R515">
        <f>IFERROR(VLOOKUP(quantInv[[#This Row],[Assigned Item SKU]],skuQuantity[#All],2,FALSE),0)</f>
        <v>0</v>
      </c>
      <c r="S515" t="str">
        <f>PROPER(quantInv[[#This Row],[Metal]] &amp; " " &amp; quantInv[[#This Row],[Item Type]])</f>
        <v>925 Silver Anklet</v>
      </c>
      <c r="T515" s="33">
        <f>quantInv[[#This Row],[Quantity]]*quantInv[[#This Row],[WEIGHT]]</f>
        <v>0</v>
      </c>
      <c r="U515" s="33">
        <f>quantInv[[#This Row],[UNIT
VALUE]]*quantInv[[#This Row],[Quantity]]</f>
        <v>0</v>
      </c>
      <c r="V515" s="33">
        <f>quantInv[[#This Row],[Total Cost GBP]]/EURtoGBP</f>
        <v>0</v>
      </c>
      <c r="W515" s="33">
        <f>quantInv[[#This Row],[Total Cost GBP]]/USDtoGBP</f>
        <v>0</v>
      </c>
      <c r="X515" s="33">
        <f>quantInv[[#This Row],[Total Cost GBP]]/CADtoGBP</f>
        <v>0</v>
      </c>
      <c r="Y515" s="33">
        <f>quantInv[[#This Row],[Quantity]]*quantInv[[#This Row],[UNIT
VALUE AUD]]</f>
        <v>0</v>
      </c>
      <c r="Z515" s="33"/>
    </row>
    <row r="516" spans="1:26" x14ac:dyDescent="0.25">
      <c r="A516" t="s">
        <v>1176</v>
      </c>
      <c r="B516" t="s">
        <v>1177</v>
      </c>
      <c r="C516" t="s">
        <v>114</v>
      </c>
      <c r="D516" t="s">
        <v>2945</v>
      </c>
      <c r="E516">
        <v>2.7</v>
      </c>
      <c r="F516" s="33">
        <v>4.0330000000000004</v>
      </c>
      <c r="G516" s="33" t="s">
        <v>117</v>
      </c>
      <c r="H516" t="s">
        <v>1426</v>
      </c>
      <c r="I516" t="str">
        <f>IF(quantInv[[#This Row],[Metal]] = "925 Silver",  "7113.11.00"," 7113.19.00")</f>
        <v>7113.11.00</v>
      </c>
      <c r="J516" t="str">
        <f>IF(quantInv[[#This Row],[Metal]] = "925 Silver", "7113.11.10.00"," 7113.19.10.00")</f>
        <v>7113.11.10.00</v>
      </c>
      <c r="K516" t="str">
        <f>IF(quantInv[[#This Row],[Metal]] = "925 Silver",  "7113.11.00"," 7113.19.00")</f>
        <v>7113.11.00</v>
      </c>
      <c r="L516" t="str">
        <f>IFERROR(VLOOKUP(quantInv[[#This Row],[Description for New Invoice]],Map!$G$12:$H$32,2,FALSE), IF(quantInv[[#This Row],[Metal]] = "925 Silver", "7113.11.10.00", "7113.19.29.00"))</f>
        <v>7113.11.10.00</v>
      </c>
      <c r="M516" t="str">
        <f>quantInv[[#This Row],[ASIN]] &amp; " " &amp; quantInv[[#This Row],[Short Description]]</f>
        <v>B07F8CZLPB trace chain  Flowers  small tags  none multiple tags</v>
      </c>
      <c r="N516" s="33">
        <f>quantInv[[#This Row],[UNIT
VALUE]] / EURtoGBP</f>
        <v>4.5779344241825726</v>
      </c>
      <c r="O516" s="33">
        <f>quantInv[[#This Row],[UNIT
VALUE]]/USDtoGBP</f>
        <v>5.5285729756553623</v>
      </c>
      <c r="P516" s="33">
        <f>quantInv[[#This Row],[UNIT
VALUE]] / CADtoGBP</f>
        <v>7.0768912215314375</v>
      </c>
      <c r="Q516" s="33">
        <f>quantInv[[#This Row],[UNIT
VALUE]]/AUDtoGBP</f>
        <v>7.2436956677922266</v>
      </c>
      <c r="R516">
        <f>IFERROR(VLOOKUP(quantInv[[#This Row],[Assigned Item SKU]],skuQuantity[#All],2,FALSE),0)</f>
        <v>0</v>
      </c>
      <c r="S516" t="str">
        <f>PROPER(quantInv[[#This Row],[Metal]] &amp; " " &amp; quantInv[[#This Row],[Item Type]])</f>
        <v>925 Silver Anklet</v>
      </c>
      <c r="T516" s="33">
        <f>quantInv[[#This Row],[Quantity]]*quantInv[[#This Row],[WEIGHT]]</f>
        <v>0</v>
      </c>
      <c r="U516" s="33">
        <f>quantInv[[#This Row],[UNIT
VALUE]]*quantInv[[#This Row],[Quantity]]</f>
        <v>0</v>
      </c>
      <c r="V516" s="33">
        <f>quantInv[[#This Row],[Total Cost GBP]]/EURtoGBP</f>
        <v>0</v>
      </c>
      <c r="W516" s="33">
        <f>quantInv[[#This Row],[Total Cost GBP]]/USDtoGBP</f>
        <v>0</v>
      </c>
      <c r="X516" s="33">
        <f>quantInv[[#This Row],[Total Cost GBP]]/CADtoGBP</f>
        <v>0</v>
      </c>
      <c r="Y516" s="33">
        <f>quantInv[[#This Row],[Quantity]]*quantInv[[#This Row],[UNIT
VALUE AUD]]</f>
        <v>0</v>
      </c>
      <c r="Z516" s="33"/>
    </row>
    <row r="517" spans="1:26" x14ac:dyDescent="0.25">
      <c r="A517" t="s">
        <v>1178</v>
      </c>
      <c r="B517" t="s">
        <v>1179</v>
      </c>
      <c r="C517" t="s">
        <v>114</v>
      </c>
      <c r="D517" t="s">
        <v>2946</v>
      </c>
      <c r="E517">
        <v>3.3</v>
      </c>
      <c r="F517" s="33">
        <v>4.6355000000000004</v>
      </c>
      <c r="G517" s="33" t="s">
        <v>117</v>
      </c>
      <c r="H517" t="s">
        <v>1426</v>
      </c>
      <c r="I517" t="str">
        <f>IF(quantInv[[#This Row],[Metal]] = "925 Silver",  "7113.11.00"," 7113.19.00")</f>
        <v>7113.11.00</v>
      </c>
      <c r="J517" t="str">
        <f>IF(quantInv[[#This Row],[Metal]] = "925 Silver", "7113.11.10.00"," 7113.19.10.00")</f>
        <v>7113.11.10.00</v>
      </c>
      <c r="K517" t="str">
        <f>IF(quantInv[[#This Row],[Metal]] = "925 Silver",  "7113.11.00"," 7113.19.00")</f>
        <v>7113.11.00</v>
      </c>
      <c r="L517" t="str">
        <f>IFERROR(VLOOKUP(quantInv[[#This Row],[Description for New Invoice]],Map!$G$12:$H$32,2,FALSE), IF(quantInv[[#This Row],[Metal]] = "925 Silver", "7113.11.10.00", "7113.19.29.00"))</f>
        <v>7113.11.10.00</v>
      </c>
      <c r="M517" t="str">
        <f>quantInv[[#This Row],[ASIN]] &amp; " " &amp; quantInv[[#This Row],[Short Description]]</f>
        <v>B07F89D9VY square snake chain  Roses  small  none multiple tags</v>
      </c>
      <c r="N517" s="33">
        <f>quantInv[[#This Row],[UNIT
VALUE]] / EURtoGBP</f>
        <v>5.2618435465654141</v>
      </c>
      <c r="O517" s="33">
        <f>quantInv[[#This Row],[UNIT
VALUE]]/USDtoGBP</f>
        <v>6.3545003790355645</v>
      </c>
      <c r="P517" s="33">
        <f>quantInv[[#This Row],[UNIT
VALUE]] / CADtoGBP</f>
        <v>8.1341257766945141</v>
      </c>
      <c r="Q517" s="33">
        <f>quantInv[[#This Row],[UNIT
VALUE]]/AUDtoGBP</f>
        <v>8.3258495581579144</v>
      </c>
      <c r="R517">
        <f>IFERROR(VLOOKUP(quantInv[[#This Row],[Assigned Item SKU]],skuQuantity[#All],2,FALSE),0)</f>
        <v>0</v>
      </c>
      <c r="S517" t="str">
        <f>PROPER(quantInv[[#This Row],[Metal]] &amp; " " &amp; quantInv[[#This Row],[Item Type]])</f>
        <v>925 Silver Anklet</v>
      </c>
      <c r="T517" s="33">
        <f>quantInv[[#This Row],[Quantity]]*quantInv[[#This Row],[WEIGHT]]</f>
        <v>0</v>
      </c>
      <c r="U517" s="33">
        <f>quantInv[[#This Row],[UNIT
VALUE]]*quantInv[[#This Row],[Quantity]]</f>
        <v>0</v>
      </c>
      <c r="V517" s="33">
        <f>quantInv[[#This Row],[Total Cost GBP]]/EURtoGBP</f>
        <v>0</v>
      </c>
      <c r="W517" s="33">
        <f>quantInv[[#This Row],[Total Cost GBP]]/USDtoGBP</f>
        <v>0</v>
      </c>
      <c r="X517" s="33">
        <f>quantInv[[#This Row],[Total Cost GBP]]/CADtoGBP</f>
        <v>0</v>
      </c>
      <c r="Y517" s="33">
        <f>quantInv[[#This Row],[Quantity]]*quantInv[[#This Row],[UNIT
VALUE AUD]]</f>
        <v>0</v>
      </c>
      <c r="Z517" s="33"/>
    </row>
    <row r="518" spans="1:26" x14ac:dyDescent="0.25">
      <c r="A518" t="s">
        <v>1180</v>
      </c>
      <c r="B518" t="s">
        <v>1181</v>
      </c>
      <c r="C518" t="s">
        <v>114</v>
      </c>
      <c r="D518" t="s">
        <v>2947</v>
      </c>
      <c r="E518">
        <v>3.5</v>
      </c>
      <c r="F518" s="33">
        <v>4.4372999999999996</v>
      </c>
      <c r="G518" s="33" t="s">
        <v>117</v>
      </c>
      <c r="H518" t="s">
        <v>1426</v>
      </c>
      <c r="I518" t="str">
        <f>IF(quantInv[[#This Row],[Metal]] = "925 Silver",  "7113.11.00"," 7113.19.00")</f>
        <v>7113.11.00</v>
      </c>
      <c r="J518" t="str">
        <f>IF(quantInv[[#This Row],[Metal]] = "925 Silver", "7113.11.10.00"," 7113.19.10.00")</f>
        <v>7113.11.10.00</v>
      </c>
      <c r="K518" t="str">
        <f>IF(quantInv[[#This Row],[Metal]] = "925 Silver",  "7113.11.00"," 7113.19.00")</f>
        <v>7113.11.00</v>
      </c>
      <c r="L518" t="str">
        <f>IFERROR(VLOOKUP(quantInv[[#This Row],[Description for New Invoice]],Map!$G$12:$H$32,2,FALSE), IF(quantInv[[#This Row],[Metal]] = "925 Silver", "7113.11.10.00", "7113.19.29.00"))</f>
        <v>7113.11.10.00</v>
      </c>
      <c r="M518" t="str">
        <f>quantInv[[#This Row],[ASIN]] &amp; " " &amp; quantInv[[#This Row],[Short Description]]</f>
        <v>B07F8MX9FP rolo chain - thick  moons and stars  medium tags  none multiple tags</v>
      </c>
      <c r="N518" s="33">
        <f>quantInv[[#This Row],[UNIT
VALUE]] / EURtoGBP</f>
        <v>5.0368629854761533</v>
      </c>
      <c r="O518" s="33">
        <f>quantInv[[#This Row],[UNIT
VALUE]]/USDtoGBP</f>
        <v>6.0828011070854284</v>
      </c>
      <c r="P518" s="33">
        <f>quantInv[[#This Row],[UNIT
VALUE]] / CADtoGBP</f>
        <v>7.7863350898342283</v>
      </c>
      <c r="Q518" s="33">
        <f>quantInv[[#This Row],[UNIT
VALUE]]/AUDtoGBP</f>
        <v>7.9698613406135488</v>
      </c>
      <c r="R518">
        <f>IFERROR(VLOOKUP(quantInv[[#This Row],[Assigned Item SKU]],skuQuantity[#All],2,FALSE),0)</f>
        <v>0</v>
      </c>
      <c r="S518" t="str">
        <f>PROPER(quantInv[[#This Row],[Metal]] &amp; " " &amp; quantInv[[#This Row],[Item Type]])</f>
        <v>925 Silver Anklet</v>
      </c>
      <c r="T518" s="33">
        <f>quantInv[[#This Row],[Quantity]]*quantInv[[#This Row],[WEIGHT]]</f>
        <v>0</v>
      </c>
      <c r="U518" s="33">
        <f>quantInv[[#This Row],[UNIT
VALUE]]*quantInv[[#This Row],[Quantity]]</f>
        <v>0</v>
      </c>
      <c r="V518" s="33">
        <f>quantInv[[#This Row],[Total Cost GBP]]/EURtoGBP</f>
        <v>0</v>
      </c>
      <c r="W518" s="33">
        <f>quantInv[[#This Row],[Total Cost GBP]]/USDtoGBP</f>
        <v>0</v>
      </c>
      <c r="X518" s="33">
        <f>quantInv[[#This Row],[Total Cost GBP]]/CADtoGBP</f>
        <v>0</v>
      </c>
      <c r="Y518" s="33">
        <f>quantInv[[#This Row],[Quantity]]*quantInv[[#This Row],[UNIT
VALUE AUD]]</f>
        <v>0</v>
      </c>
      <c r="Z518" s="33"/>
    </row>
    <row r="519" spans="1:26" x14ac:dyDescent="0.25">
      <c r="A519" t="s">
        <v>1182</v>
      </c>
      <c r="B519" t="s">
        <v>1183</v>
      </c>
      <c r="C519" t="s">
        <v>114</v>
      </c>
      <c r="D519" t="s">
        <v>2952</v>
      </c>
      <c r="E519">
        <v>5</v>
      </c>
      <c r="F519" s="33">
        <v>6.4534000000000002</v>
      </c>
      <c r="G519" s="33" t="s">
        <v>117</v>
      </c>
      <c r="H519" t="s">
        <v>1426</v>
      </c>
      <c r="I519" t="str">
        <f>IF(quantInv[[#This Row],[Metal]] = "925 Silver",  "7113.11.00"," 7113.19.00")</f>
        <v>7113.11.00</v>
      </c>
      <c r="J519" t="str">
        <f>IF(quantInv[[#This Row],[Metal]] = "925 Silver", "7113.11.10.00"," 7113.19.10.00")</f>
        <v>7113.11.10.00</v>
      </c>
      <c r="K519" t="str">
        <f>IF(quantInv[[#This Row],[Metal]] = "925 Silver",  "7113.11.00"," 7113.19.00")</f>
        <v>7113.11.00</v>
      </c>
      <c r="L519" t="str">
        <f>IFERROR(VLOOKUP(quantInv[[#This Row],[Description for New Invoice]],Map!$G$12:$H$32,2,FALSE), IF(quantInv[[#This Row],[Metal]] = "925 Silver", "7113.11.10.00", "7113.19.29.00"))</f>
        <v>7113.11.10.00</v>
      </c>
      <c r="M519" t="str">
        <f>quantInv[[#This Row],[ASIN]] &amp; " " &amp; quantInv[[#This Row],[Short Description]]</f>
        <v>B07F8CY6QN trace chain  Hearts  Medium with colour  none multiple tags</v>
      </c>
      <c r="N519" s="33">
        <f>quantInv[[#This Row],[UNIT
VALUE]] / EURtoGBP</f>
        <v>7.3253761500173109</v>
      </c>
      <c r="O519" s="33">
        <f>quantInv[[#This Row],[UNIT
VALUE]]/USDtoGBP</f>
        <v>8.8465392613672975</v>
      </c>
      <c r="P519" s="33">
        <f>quantInv[[#This Row],[UNIT
VALUE]] / CADtoGBP</f>
        <v>11.324078802140088</v>
      </c>
      <c r="Q519" s="33">
        <f>quantInv[[#This Row],[UNIT
VALUE]]/AUDtoGBP</f>
        <v>11.590990732092823</v>
      </c>
      <c r="R519">
        <f>IFERROR(VLOOKUP(quantInv[[#This Row],[Assigned Item SKU]],skuQuantity[#All],2,FALSE),0)</f>
        <v>0</v>
      </c>
      <c r="S519" t="str">
        <f>PROPER(quantInv[[#This Row],[Metal]] &amp; " " &amp; quantInv[[#This Row],[Item Type]])</f>
        <v>925 Silver Anklet</v>
      </c>
      <c r="T519" s="33">
        <f>quantInv[[#This Row],[Quantity]]*quantInv[[#This Row],[WEIGHT]]</f>
        <v>0</v>
      </c>
      <c r="U519" s="33">
        <f>quantInv[[#This Row],[UNIT
VALUE]]*quantInv[[#This Row],[Quantity]]</f>
        <v>0</v>
      </c>
      <c r="V519" s="33">
        <f>quantInv[[#This Row],[Total Cost GBP]]/EURtoGBP</f>
        <v>0</v>
      </c>
      <c r="W519" s="33">
        <f>quantInv[[#This Row],[Total Cost GBP]]/USDtoGBP</f>
        <v>0</v>
      </c>
      <c r="X519" s="33">
        <f>quantInv[[#This Row],[Total Cost GBP]]/CADtoGBP</f>
        <v>0</v>
      </c>
      <c r="Y519" s="33">
        <f>quantInv[[#This Row],[Quantity]]*quantInv[[#This Row],[UNIT
VALUE AUD]]</f>
        <v>0</v>
      </c>
      <c r="Z519" s="33"/>
    </row>
    <row r="520" spans="1:26" x14ac:dyDescent="0.25">
      <c r="A520" t="s">
        <v>1184</v>
      </c>
      <c r="B520" t="s">
        <v>1185</v>
      </c>
      <c r="C520" t="s">
        <v>114</v>
      </c>
      <c r="D520" t="s">
        <v>1186</v>
      </c>
      <c r="E520">
        <v>3.65</v>
      </c>
      <c r="F520" s="33">
        <v>4.5479000000000003</v>
      </c>
      <c r="G520" s="33" t="s">
        <v>117</v>
      </c>
      <c r="H520" t="s">
        <v>1414</v>
      </c>
      <c r="I520" t="str">
        <f>IF(quantInv[[#This Row],[Metal]] = "925 Silver",  "7113.11.00"," 7113.19.00")</f>
        <v>7113.11.00</v>
      </c>
      <c r="J520" t="str">
        <f>IF(quantInv[[#This Row],[Metal]] = "925 Silver", "7113.11.10.00"," 7113.19.10.00")</f>
        <v>7113.11.10.00</v>
      </c>
      <c r="K520" t="str">
        <f>IF(quantInv[[#This Row],[Metal]] = "925 Silver",  "7113.11.00"," 7113.19.00")</f>
        <v>7113.11.00</v>
      </c>
      <c r="L520" t="str">
        <f>IFERROR(VLOOKUP(quantInv[[#This Row],[Description for New Invoice]],Map!$G$12:$H$32,2,FALSE), IF(quantInv[[#This Row],[Metal]] = "925 Silver", "7113.11.10.00", "7113.19.29.00"))</f>
        <v>7113.11.10.00</v>
      </c>
      <c r="M520" t="str">
        <f>quantInv[[#This Row],[ASIN]] &amp; " " &amp; quantInv[[#This Row],[Short Description]]</f>
        <v>B07GFL4PWW Bracelet - elastic ball beads</v>
      </c>
      <c r="N520" s="33">
        <f>quantInv[[#This Row],[UNIT
VALUE]] / EURtoGBP</f>
        <v>5.1624071330870125</v>
      </c>
      <c r="O520" s="33">
        <f>quantInv[[#This Row],[UNIT
VALUE]]/USDtoGBP</f>
        <v>6.2344153325026088</v>
      </c>
      <c r="P520" s="33">
        <f>quantInv[[#This Row],[UNIT
VALUE]] / CADtoGBP</f>
        <v>7.9804100139853267</v>
      </c>
      <c r="Q520" s="33">
        <f>quantInv[[#This Row],[UNIT
VALUE]]/AUDtoGBP</f>
        <v>8.1685106688698905</v>
      </c>
      <c r="R520">
        <f>IFERROR(VLOOKUP(quantInv[[#This Row],[Assigned Item SKU]],skuQuantity[#All],2,FALSE),0)</f>
        <v>0</v>
      </c>
      <c r="S520" t="str">
        <f>PROPER(quantInv[[#This Row],[Metal]] &amp; " " &amp; quantInv[[#This Row],[Item Type]])</f>
        <v>925 Silver Bracelet</v>
      </c>
      <c r="T520" s="33">
        <f>quantInv[[#This Row],[Quantity]]*quantInv[[#This Row],[WEIGHT]]</f>
        <v>0</v>
      </c>
      <c r="U520" s="33">
        <f>quantInv[[#This Row],[UNIT
VALUE]]*quantInv[[#This Row],[Quantity]]</f>
        <v>0</v>
      </c>
      <c r="V520" s="33">
        <f>quantInv[[#This Row],[Total Cost GBP]]/EURtoGBP</f>
        <v>0</v>
      </c>
      <c r="W520" s="33">
        <f>quantInv[[#This Row],[Total Cost GBP]]/USDtoGBP</f>
        <v>0</v>
      </c>
      <c r="X520" s="33">
        <f>quantInv[[#This Row],[Total Cost GBP]]/CADtoGBP</f>
        <v>0</v>
      </c>
      <c r="Y520" s="33">
        <f>quantInv[[#This Row],[Quantity]]*quantInv[[#This Row],[UNIT
VALUE AUD]]</f>
        <v>0</v>
      </c>
      <c r="Z520" s="33"/>
    </row>
    <row r="521" spans="1:26" x14ac:dyDescent="0.25">
      <c r="A521" t="s">
        <v>1187</v>
      </c>
      <c r="B521" t="s">
        <v>1188</v>
      </c>
      <c r="C521" t="s">
        <v>114</v>
      </c>
      <c r="D521" t="s">
        <v>1186</v>
      </c>
      <c r="E521">
        <v>3.65</v>
      </c>
      <c r="F521" s="33">
        <v>4.8695000000000004</v>
      </c>
      <c r="G521" s="33" t="s">
        <v>117</v>
      </c>
      <c r="H521" t="s">
        <v>1414</v>
      </c>
      <c r="I521" t="str">
        <f>IF(quantInv[[#This Row],[Metal]] = "925 Silver",  "7113.11.00"," 7113.19.00")</f>
        <v>7113.11.00</v>
      </c>
      <c r="J521" t="str">
        <f>IF(quantInv[[#This Row],[Metal]] = "925 Silver", "7113.11.10.00"," 7113.19.10.00")</f>
        <v>7113.11.10.00</v>
      </c>
      <c r="K521" t="str">
        <f>IF(quantInv[[#This Row],[Metal]] = "925 Silver",  "7113.11.00"," 7113.19.00")</f>
        <v>7113.11.00</v>
      </c>
      <c r="L521" t="str">
        <f>IFERROR(VLOOKUP(quantInv[[#This Row],[Description for New Invoice]],Map!$G$12:$H$32,2,FALSE), IF(quantInv[[#This Row],[Metal]] = "925 Silver", "7113.11.10.00", "7113.19.29.00"))</f>
        <v>7113.11.10.00</v>
      </c>
      <c r="M521" t="str">
        <f>quantInv[[#This Row],[ASIN]] &amp; " " &amp; quantInv[[#This Row],[Short Description]]</f>
        <v>B07GFDQ1XW Bracelet - elastic ball beads</v>
      </c>
      <c r="N521" s="33">
        <f>quantInv[[#This Row],[UNIT
VALUE]] / EURtoGBP</f>
        <v>5.5274613633912812</v>
      </c>
      <c r="O521" s="33">
        <f>quantInv[[#This Row],[UNIT
VALUE]]/USDtoGBP</f>
        <v>6.675275503335925</v>
      </c>
      <c r="P521" s="33">
        <f>quantInv[[#This Row],[UNIT
VALUE]] / CADtoGBP</f>
        <v>8.5447363757122083</v>
      </c>
      <c r="Q521" s="33">
        <f>quantInv[[#This Row],[UNIT
VALUE]]/AUDtoGBP</f>
        <v>8.746138372009483</v>
      </c>
      <c r="R521">
        <f>IFERROR(VLOOKUP(quantInv[[#This Row],[Assigned Item SKU]],skuQuantity[#All],2,FALSE),0)</f>
        <v>0</v>
      </c>
      <c r="S521" t="str">
        <f>PROPER(quantInv[[#This Row],[Metal]] &amp; " " &amp; quantInv[[#This Row],[Item Type]])</f>
        <v>925 Silver Bracelet</v>
      </c>
      <c r="T521" s="33">
        <f>quantInv[[#This Row],[Quantity]]*quantInv[[#This Row],[WEIGHT]]</f>
        <v>0</v>
      </c>
      <c r="U521" s="33">
        <f>quantInv[[#This Row],[UNIT
VALUE]]*quantInv[[#This Row],[Quantity]]</f>
        <v>0</v>
      </c>
      <c r="V521" s="33">
        <f>quantInv[[#This Row],[Total Cost GBP]]/EURtoGBP</f>
        <v>0</v>
      </c>
      <c r="W521" s="33">
        <f>quantInv[[#This Row],[Total Cost GBP]]/USDtoGBP</f>
        <v>0</v>
      </c>
      <c r="X521" s="33">
        <f>quantInv[[#This Row],[Total Cost GBP]]/CADtoGBP</f>
        <v>0</v>
      </c>
      <c r="Y521" s="33">
        <f>quantInv[[#This Row],[Quantity]]*quantInv[[#This Row],[UNIT
VALUE AUD]]</f>
        <v>0</v>
      </c>
      <c r="Z521" s="33"/>
    </row>
    <row r="522" spans="1:26" x14ac:dyDescent="0.25">
      <c r="A522" t="s">
        <v>1189</v>
      </c>
      <c r="B522" t="s">
        <v>1190</v>
      </c>
      <c r="C522" t="s">
        <v>114</v>
      </c>
      <c r="D522" t="s">
        <v>1186</v>
      </c>
      <c r="E522">
        <v>3.65</v>
      </c>
      <c r="F522" s="33">
        <v>4.9337999999999997</v>
      </c>
      <c r="G522" s="33" t="s">
        <v>117</v>
      </c>
      <c r="H522" t="s">
        <v>1414</v>
      </c>
      <c r="I522" t="str">
        <f>IF(quantInv[[#This Row],[Metal]] = "925 Silver",  "7113.11.00"," 7113.19.00")</f>
        <v>7113.11.00</v>
      </c>
      <c r="J522" t="str">
        <f>IF(quantInv[[#This Row],[Metal]] = "925 Silver", "7113.11.10.00"," 7113.19.10.00")</f>
        <v>7113.11.10.00</v>
      </c>
      <c r="K522" t="str">
        <f>IF(quantInv[[#This Row],[Metal]] = "925 Silver",  "7113.11.00"," 7113.19.00")</f>
        <v>7113.11.00</v>
      </c>
      <c r="L522" t="str">
        <f>IFERROR(VLOOKUP(quantInv[[#This Row],[Description for New Invoice]],Map!$G$12:$H$32,2,FALSE), IF(quantInv[[#This Row],[Metal]] = "925 Silver", "7113.11.10.00", "7113.19.29.00"))</f>
        <v>7113.11.10.00</v>
      </c>
      <c r="M522" t="str">
        <f>quantInv[[#This Row],[ASIN]] &amp; " " &amp; quantInv[[#This Row],[Short Description]]</f>
        <v>B07GFMN96Z Bracelet - elastic ball beads</v>
      </c>
      <c r="N522" s="33">
        <f>quantInv[[#This Row],[UNIT
VALUE]] / EURtoGBP</f>
        <v>5.6004495070746279</v>
      </c>
      <c r="O522" s="33">
        <f>quantInv[[#This Row],[UNIT
VALUE]]/USDtoGBP</f>
        <v>6.7634201208252964</v>
      </c>
      <c r="P522" s="33">
        <f>quantInv[[#This Row],[UNIT
VALUE]] / CADtoGBP</f>
        <v>8.6575665531345898</v>
      </c>
      <c r="Q522" s="33">
        <f>quantInv[[#This Row],[UNIT
VALUE]]/AUDtoGBP</f>
        <v>8.8616279905165598</v>
      </c>
      <c r="R522">
        <f>IFERROR(VLOOKUP(quantInv[[#This Row],[Assigned Item SKU]],skuQuantity[#All],2,FALSE),0)</f>
        <v>0</v>
      </c>
      <c r="S522" t="str">
        <f>PROPER(quantInv[[#This Row],[Metal]] &amp; " " &amp; quantInv[[#This Row],[Item Type]])</f>
        <v>925 Silver Bracelet</v>
      </c>
      <c r="T522" s="33">
        <f>quantInv[[#This Row],[Quantity]]*quantInv[[#This Row],[WEIGHT]]</f>
        <v>0</v>
      </c>
      <c r="U522" s="33">
        <f>quantInv[[#This Row],[UNIT
VALUE]]*quantInv[[#This Row],[Quantity]]</f>
        <v>0</v>
      </c>
      <c r="V522" s="33">
        <f>quantInv[[#This Row],[Total Cost GBP]]/EURtoGBP</f>
        <v>0</v>
      </c>
      <c r="W522" s="33">
        <f>quantInv[[#This Row],[Total Cost GBP]]/USDtoGBP</f>
        <v>0</v>
      </c>
      <c r="X522" s="33">
        <f>quantInv[[#This Row],[Total Cost GBP]]/CADtoGBP</f>
        <v>0</v>
      </c>
      <c r="Y522" s="33">
        <f>quantInv[[#This Row],[Quantity]]*quantInv[[#This Row],[UNIT
VALUE AUD]]</f>
        <v>0</v>
      </c>
      <c r="Z522" s="33"/>
    </row>
    <row r="523" spans="1:26" x14ac:dyDescent="0.25">
      <c r="A523" t="s">
        <v>1191</v>
      </c>
      <c r="B523" t="s">
        <v>1192</v>
      </c>
      <c r="C523" t="s">
        <v>114</v>
      </c>
      <c r="D523" t="s">
        <v>1186</v>
      </c>
      <c r="E523">
        <v>3.65</v>
      </c>
      <c r="F523" s="33">
        <v>4.9337999999999997</v>
      </c>
      <c r="G523" s="33" t="s">
        <v>117</v>
      </c>
      <c r="H523" t="s">
        <v>1414</v>
      </c>
      <c r="I523" t="str">
        <f>IF(quantInv[[#This Row],[Metal]] = "925 Silver",  "7113.11.00"," 7113.19.00")</f>
        <v>7113.11.00</v>
      </c>
      <c r="J523" t="str">
        <f>IF(quantInv[[#This Row],[Metal]] = "925 Silver", "7113.11.10.00"," 7113.19.10.00")</f>
        <v>7113.11.10.00</v>
      </c>
      <c r="K523" t="str">
        <f>IF(quantInv[[#This Row],[Metal]] = "925 Silver",  "7113.11.00"," 7113.19.00")</f>
        <v>7113.11.00</v>
      </c>
      <c r="L523" t="str">
        <f>IFERROR(VLOOKUP(quantInv[[#This Row],[Description for New Invoice]],Map!$G$12:$H$32,2,FALSE), IF(quantInv[[#This Row],[Metal]] = "925 Silver", "7113.11.10.00", "7113.19.29.00"))</f>
        <v>7113.11.10.00</v>
      </c>
      <c r="M523" t="str">
        <f>quantInv[[#This Row],[ASIN]] &amp; " " &amp; quantInv[[#This Row],[Short Description]]</f>
        <v>B07GFD7TFS Bracelet - elastic ball beads</v>
      </c>
      <c r="N523" s="33">
        <f>quantInv[[#This Row],[UNIT
VALUE]] / EURtoGBP</f>
        <v>5.6004495070746279</v>
      </c>
      <c r="O523" s="33">
        <f>quantInv[[#This Row],[UNIT
VALUE]]/USDtoGBP</f>
        <v>6.7634201208252964</v>
      </c>
      <c r="P523" s="33">
        <f>quantInv[[#This Row],[UNIT
VALUE]] / CADtoGBP</f>
        <v>8.6575665531345898</v>
      </c>
      <c r="Q523" s="33">
        <f>quantInv[[#This Row],[UNIT
VALUE]]/AUDtoGBP</f>
        <v>8.8616279905165598</v>
      </c>
      <c r="R523">
        <f>IFERROR(VLOOKUP(quantInv[[#This Row],[Assigned Item SKU]],skuQuantity[#All],2,FALSE),0)</f>
        <v>0</v>
      </c>
      <c r="S523" t="str">
        <f>PROPER(quantInv[[#This Row],[Metal]] &amp; " " &amp; quantInv[[#This Row],[Item Type]])</f>
        <v>925 Silver Bracelet</v>
      </c>
      <c r="T523" s="33">
        <f>quantInv[[#This Row],[Quantity]]*quantInv[[#This Row],[WEIGHT]]</f>
        <v>0</v>
      </c>
      <c r="U523" s="33">
        <f>quantInv[[#This Row],[UNIT
VALUE]]*quantInv[[#This Row],[Quantity]]</f>
        <v>0</v>
      </c>
      <c r="V523" s="33">
        <f>quantInv[[#This Row],[Total Cost GBP]]/EURtoGBP</f>
        <v>0</v>
      </c>
      <c r="W523" s="33">
        <f>quantInv[[#This Row],[Total Cost GBP]]/USDtoGBP</f>
        <v>0</v>
      </c>
      <c r="X523" s="33">
        <f>quantInv[[#This Row],[Total Cost GBP]]/CADtoGBP</f>
        <v>0</v>
      </c>
      <c r="Y523" s="33">
        <f>quantInv[[#This Row],[Quantity]]*quantInv[[#This Row],[UNIT
VALUE AUD]]</f>
        <v>0</v>
      </c>
      <c r="Z523" s="33"/>
    </row>
    <row r="524" spans="1:26" x14ac:dyDescent="0.25">
      <c r="A524" t="s">
        <v>1193</v>
      </c>
      <c r="B524" t="s">
        <v>1194</v>
      </c>
      <c r="C524" t="s">
        <v>114</v>
      </c>
      <c r="D524" t="s">
        <v>1195</v>
      </c>
      <c r="E524">
        <v>1.4</v>
      </c>
      <c r="F524" s="33">
        <v>2.2442000000000002</v>
      </c>
      <c r="G524" s="33" t="s">
        <v>117</v>
      </c>
      <c r="H524" t="s">
        <v>1310</v>
      </c>
      <c r="I524" t="str">
        <f>IF(quantInv[[#This Row],[Metal]] = "925 Silver",  "7113.11.00"," 7113.19.00")</f>
        <v>7113.11.00</v>
      </c>
      <c r="J524" t="str">
        <f>IF(quantInv[[#This Row],[Metal]] = "925 Silver", "7113.11.10.00"," 7113.19.10.00")</f>
        <v>7113.11.10.00</v>
      </c>
      <c r="K524" t="str">
        <f>IF(quantInv[[#This Row],[Metal]] = "925 Silver",  "7113.11.00"," 7113.19.00")</f>
        <v>7113.11.00</v>
      </c>
      <c r="L524" t="str">
        <f>IFERROR(VLOOKUP(quantInv[[#This Row],[Description for New Invoice]],Map!$G$12:$H$32,2,FALSE), IF(quantInv[[#This Row],[Metal]] = "925 Silver", "7113.11.10.00", "7113.19.29.00"))</f>
        <v>7113.11.50.00</v>
      </c>
      <c r="M524" t="str">
        <f>quantInv[[#This Row],[ASIN]] &amp; " " &amp; quantInv[[#This Row],[Short Description]]</f>
        <v xml:space="preserve">B07GGSXD7Q Earrings: studs roses small </v>
      </c>
      <c r="N524" s="33">
        <f>quantInv[[#This Row],[UNIT
VALUE]] / EURtoGBP</f>
        <v>2.5474337800026108</v>
      </c>
      <c r="O524" s="33">
        <f>quantInv[[#This Row],[UNIT
VALUE]]/USDtoGBP</f>
        <v>3.0764253587814934</v>
      </c>
      <c r="P524" s="33">
        <f>quantInv[[#This Row],[UNIT
VALUE]] / CADtoGBP</f>
        <v>3.9380013090406276</v>
      </c>
      <c r="Q524" s="33">
        <f>quantInv[[#This Row],[UNIT
VALUE]]/AUDtoGBP</f>
        <v>4.0308211796824489</v>
      </c>
      <c r="R524">
        <f>IFERROR(VLOOKUP(quantInv[[#This Row],[Assigned Item SKU]],skuQuantity[#All],2,FALSE),0)</f>
        <v>0</v>
      </c>
      <c r="S524" t="str">
        <f>PROPER(quantInv[[#This Row],[Metal]] &amp; " " &amp; quantInv[[#This Row],[Item Type]])</f>
        <v>925 Silver Earrings</v>
      </c>
      <c r="T524" s="33">
        <f>quantInv[[#This Row],[Quantity]]*quantInv[[#This Row],[WEIGHT]]</f>
        <v>0</v>
      </c>
      <c r="U524" s="33">
        <f>quantInv[[#This Row],[UNIT
VALUE]]*quantInv[[#This Row],[Quantity]]</f>
        <v>0</v>
      </c>
      <c r="V524" s="33">
        <f>quantInv[[#This Row],[Total Cost GBP]]/EURtoGBP</f>
        <v>0</v>
      </c>
      <c r="W524" s="33">
        <f>quantInv[[#This Row],[Total Cost GBP]]/USDtoGBP</f>
        <v>0</v>
      </c>
      <c r="X524" s="33">
        <f>quantInv[[#This Row],[Total Cost GBP]]/CADtoGBP</f>
        <v>0</v>
      </c>
      <c r="Y524" s="33">
        <f>quantInv[[#This Row],[Quantity]]*quantInv[[#This Row],[UNIT
VALUE AUD]]</f>
        <v>0</v>
      </c>
      <c r="Z524" s="33"/>
    </row>
    <row r="525" spans="1:26" x14ac:dyDescent="0.25">
      <c r="A525" t="s">
        <v>1196</v>
      </c>
      <c r="B525" t="s">
        <v>1197</v>
      </c>
      <c r="C525" t="s">
        <v>114</v>
      </c>
      <c r="D525" t="s">
        <v>1198</v>
      </c>
      <c r="E525">
        <v>1.8</v>
      </c>
      <c r="F525" s="33">
        <v>2.5207999999999999</v>
      </c>
      <c r="G525" s="33" t="s">
        <v>117</v>
      </c>
      <c r="H525" t="s">
        <v>1310</v>
      </c>
      <c r="I525" t="str">
        <f>IF(quantInv[[#This Row],[Metal]] = "925 Silver",  "7113.11.00"," 7113.19.00")</f>
        <v>7113.11.00</v>
      </c>
      <c r="J525" t="str">
        <f>IF(quantInv[[#This Row],[Metal]] = "925 Silver", "7113.11.10.00"," 7113.19.10.00")</f>
        <v>7113.11.10.00</v>
      </c>
      <c r="K525" t="str">
        <f>IF(quantInv[[#This Row],[Metal]] = "925 Silver",  "7113.11.00"," 7113.19.00")</f>
        <v>7113.11.00</v>
      </c>
      <c r="L525" t="str">
        <f>IFERROR(VLOOKUP(quantInv[[#This Row],[Description for New Invoice]],Map!$G$12:$H$32,2,FALSE), IF(quantInv[[#This Row],[Metal]] = "925 Silver", "7113.11.10.00", "7113.19.29.00"))</f>
        <v>7113.11.50.00</v>
      </c>
      <c r="M525" t="str">
        <f>quantInv[[#This Row],[ASIN]] &amp; " " &amp; quantInv[[#This Row],[Short Description]]</f>
        <v xml:space="preserve">B07GGTTTLW Earrings: studs flowers small </v>
      </c>
      <c r="N525" s="33">
        <f>quantInv[[#This Row],[UNIT
VALUE]] / EURtoGBP</f>
        <v>2.8614076609172896</v>
      </c>
      <c r="O525" s="33">
        <f>quantInv[[#This Row],[UNIT
VALUE]]/USDtoGBP</f>
        <v>3.4555980057108937</v>
      </c>
      <c r="P525" s="33">
        <f>quantInv[[#This Row],[UNIT
VALUE]] / CADtoGBP</f>
        <v>4.4233640940333361</v>
      </c>
      <c r="Q525" s="33">
        <f>quantInv[[#This Row],[UNIT
VALUE]]/AUDtoGBP</f>
        <v>4.5276241109275084</v>
      </c>
      <c r="R525">
        <f>IFERROR(VLOOKUP(quantInv[[#This Row],[Assigned Item SKU]],skuQuantity[#All],2,FALSE),0)</f>
        <v>0</v>
      </c>
      <c r="S525" t="str">
        <f>PROPER(quantInv[[#This Row],[Metal]] &amp; " " &amp; quantInv[[#This Row],[Item Type]])</f>
        <v>925 Silver Earrings</v>
      </c>
      <c r="T525" s="33">
        <f>quantInv[[#This Row],[Quantity]]*quantInv[[#This Row],[WEIGHT]]</f>
        <v>0</v>
      </c>
      <c r="U525" s="33">
        <f>quantInv[[#This Row],[UNIT
VALUE]]*quantInv[[#This Row],[Quantity]]</f>
        <v>0</v>
      </c>
      <c r="V525" s="33">
        <f>quantInv[[#This Row],[Total Cost GBP]]/EURtoGBP</f>
        <v>0</v>
      </c>
      <c r="W525" s="33">
        <f>quantInv[[#This Row],[Total Cost GBP]]/USDtoGBP</f>
        <v>0</v>
      </c>
      <c r="X525" s="33">
        <f>quantInv[[#This Row],[Total Cost GBP]]/CADtoGBP</f>
        <v>0</v>
      </c>
      <c r="Y525" s="33">
        <f>quantInv[[#This Row],[Quantity]]*quantInv[[#This Row],[UNIT
VALUE AUD]]</f>
        <v>0</v>
      </c>
      <c r="Z525" s="33"/>
    </row>
    <row r="526" spans="1:26" x14ac:dyDescent="0.25">
      <c r="A526" t="s">
        <v>1199</v>
      </c>
      <c r="B526" t="s">
        <v>1200</v>
      </c>
      <c r="C526" t="s">
        <v>114</v>
      </c>
      <c r="D526" t="s">
        <v>1201</v>
      </c>
      <c r="E526">
        <v>2.6</v>
      </c>
      <c r="F526" s="33">
        <v>3.5461999999999998</v>
      </c>
      <c r="G526" s="33" t="s">
        <v>117</v>
      </c>
      <c r="H526" t="s">
        <v>1310</v>
      </c>
      <c r="I526" t="str">
        <f>IF(quantInv[[#This Row],[Metal]] = "925 Silver",  "7113.11.00"," 7113.19.00")</f>
        <v>7113.11.00</v>
      </c>
      <c r="J526" t="str">
        <f>IF(quantInv[[#This Row],[Metal]] = "925 Silver", "7113.11.10.00"," 7113.19.10.00")</f>
        <v>7113.11.10.00</v>
      </c>
      <c r="K526" t="str">
        <f>IF(quantInv[[#This Row],[Metal]] = "925 Silver",  "7113.11.00"," 7113.19.00")</f>
        <v>7113.11.00</v>
      </c>
      <c r="L526" t="str">
        <f>IFERROR(VLOOKUP(quantInv[[#This Row],[Description for New Invoice]],Map!$G$12:$H$32,2,FALSE), IF(quantInv[[#This Row],[Metal]] = "925 Silver", "7113.11.10.00", "7113.19.29.00"))</f>
        <v>7113.11.50.00</v>
      </c>
      <c r="M526" t="str">
        <f>quantInv[[#This Row],[ASIN]] &amp; " " &amp; quantInv[[#This Row],[Short Description]]</f>
        <v>B07GGS55YD Earrings: stud Teddy with rings Medium unique</v>
      </c>
      <c r="N526" s="33">
        <f>quantInv[[#This Row],[UNIT
VALUE]] / EURtoGBP</f>
        <v>4.0253585556747424</v>
      </c>
      <c r="O526" s="33">
        <f>quantInv[[#This Row],[UNIT
VALUE]]/USDtoGBP</f>
        <v>4.8612510504014486</v>
      </c>
      <c r="P526" s="33">
        <f>quantInv[[#This Row],[UNIT
VALUE]] / CADtoGBP</f>
        <v>6.2226807958826633</v>
      </c>
      <c r="Q526" s="33">
        <f>quantInv[[#This Row],[UNIT
VALUE]]/AUDtoGBP</f>
        <v>6.3693512464975921</v>
      </c>
      <c r="R526">
        <f>IFERROR(VLOOKUP(quantInv[[#This Row],[Assigned Item SKU]],skuQuantity[#All],2,FALSE),0)</f>
        <v>0</v>
      </c>
      <c r="S526" t="str">
        <f>PROPER(quantInv[[#This Row],[Metal]] &amp; " " &amp; quantInv[[#This Row],[Item Type]])</f>
        <v>925 Silver Earrings</v>
      </c>
      <c r="T526" s="33">
        <f>quantInv[[#This Row],[Quantity]]*quantInv[[#This Row],[WEIGHT]]</f>
        <v>0</v>
      </c>
      <c r="U526" s="33">
        <f>quantInv[[#This Row],[UNIT
VALUE]]*quantInv[[#This Row],[Quantity]]</f>
        <v>0</v>
      </c>
      <c r="V526" s="33">
        <f>quantInv[[#This Row],[Total Cost GBP]]/EURtoGBP</f>
        <v>0</v>
      </c>
      <c r="W526" s="33">
        <f>quantInv[[#This Row],[Total Cost GBP]]/USDtoGBP</f>
        <v>0</v>
      </c>
      <c r="X526" s="33">
        <f>quantInv[[#This Row],[Total Cost GBP]]/CADtoGBP</f>
        <v>0</v>
      </c>
      <c r="Y526" s="33">
        <f>quantInv[[#This Row],[Quantity]]*quantInv[[#This Row],[UNIT
VALUE AUD]]</f>
        <v>0</v>
      </c>
      <c r="Z526" s="33"/>
    </row>
    <row r="527" spans="1:26" x14ac:dyDescent="0.25">
      <c r="A527" t="s">
        <v>1202</v>
      </c>
      <c r="B527" t="s">
        <v>1203</v>
      </c>
      <c r="C527" t="s">
        <v>114</v>
      </c>
      <c r="D527" t="s">
        <v>1204</v>
      </c>
      <c r="E527">
        <v>5.2</v>
      </c>
      <c r="F527" s="33">
        <v>7.6692</v>
      </c>
      <c r="G527" s="33" t="s">
        <v>117</v>
      </c>
      <c r="H527" t="s">
        <v>1310</v>
      </c>
      <c r="I527" t="str">
        <f>IF(quantInv[[#This Row],[Metal]] = "925 Silver",  "7113.11.00"," 7113.19.00")</f>
        <v>7113.11.00</v>
      </c>
      <c r="J527" t="str">
        <f>IF(quantInv[[#This Row],[Metal]] = "925 Silver", "7113.11.10.00"," 7113.19.10.00")</f>
        <v>7113.11.10.00</v>
      </c>
      <c r="K527" t="str">
        <f>IF(quantInv[[#This Row],[Metal]] = "925 Silver",  "7113.11.00"," 7113.19.00")</f>
        <v>7113.11.00</v>
      </c>
      <c r="L527" t="str">
        <f>IFERROR(VLOOKUP(quantInv[[#This Row],[Description for New Invoice]],Map!$G$12:$H$32,2,FALSE), IF(quantInv[[#This Row],[Metal]] = "925 Silver", "7113.11.10.00", "7113.19.29.00"))</f>
        <v>7113.11.50.00</v>
      </c>
      <c r="M527" t="str">
        <f>quantInv[[#This Row],[ASIN]] &amp; " " &amp; quantInv[[#This Row],[Short Description]]</f>
        <v>B07GHBFF48 Earrings: drop roses small 5 lines</v>
      </c>
      <c r="N527" s="33">
        <f>quantInv[[#This Row],[UNIT
VALUE]] / EURtoGBP</f>
        <v>8.7054536786364949</v>
      </c>
      <c r="O527" s="33">
        <f>quantInv[[#This Row],[UNIT
VALUE]]/USDtoGBP</f>
        <v>10.513199073864641</v>
      </c>
      <c r="P527" s="33">
        <f>quantInv[[#This Row],[UNIT
VALUE]] / CADtoGBP</f>
        <v>13.457499170882445</v>
      </c>
      <c r="Q527" s="33">
        <f>quantInv[[#This Row],[UNIT
VALUE]]/AUDtoGBP</f>
        <v>13.774696458078884</v>
      </c>
      <c r="R527">
        <f>IFERROR(VLOOKUP(quantInv[[#This Row],[Assigned Item SKU]],skuQuantity[#All],2,FALSE),0)</f>
        <v>0</v>
      </c>
      <c r="S527" t="str">
        <f>PROPER(quantInv[[#This Row],[Metal]] &amp; " " &amp; quantInv[[#This Row],[Item Type]])</f>
        <v>925 Silver Earrings</v>
      </c>
      <c r="T527" s="33">
        <f>quantInv[[#This Row],[Quantity]]*quantInv[[#This Row],[WEIGHT]]</f>
        <v>0</v>
      </c>
      <c r="U527" s="33">
        <f>quantInv[[#This Row],[UNIT
VALUE]]*quantInv[[#This Row],[Quantity]]</f>
        <v>0</v>
      </c>
      <c r="V527" s="33">
        <f>quantInv[[#This Row],[Total Cost GBP]]/EURtoGBP</f>
        <v>0</v>
      </c>
      <c r="W527" s="33">
        <f>quantInv[[#This Row],[Total Cost GBP]]/USDtoGBP</f>
        <v>0</v>
      </c>
      <c r="X527" s="33">
        <f>quantInv[[#This Row],[Total Cost GBP]]/CADtoGBP</f>
        <v>0</v>
      </c>
      <c r="Y527" s="33">
        <f>quantInv[[#This Row],[Quantity]]*quantInv[[#This Row],[UNIT
VALUE AUD]]</f>
        <v>0</v>
      </c>
      <c r="Z527" s="33"/>
    </row>
    <row r="528" spans="1:26" x14ac:dyDescent="0.25">
      <c r="A528" t="s">
        <v>1205</v>
      </c>
      <c r="B528" t="s">
        <v>1206</v>
      </c>
      <c r="C528" t="s">
        <v>114</v>
      </c>
      <c r="D528" t="s">
        <v>1207</v>
      </c>
      <c r="E528">
        <v>5.5</v>
      </c>
      <c r="F528" s="33">
        <v>7.8630000000000004</v>
      </c>
      <c r="G528" s="33" t="s">
        <v>117</v>
      </c>
      <c r="H528" t="s">
        <v>1310</v>
      </c>
      <c r="I528" t="str">
        <f>IF(quantInv[[#This Row],[Metal]] = "925 Silver",  "7113.11.00"," 7113.19.00")</f>
        <v>7113.11.00</v>
      </c>
      <c r="J528" t="str">
        <f>IF(quantInv[[#This Row],[Metal]] = "925 Silver", "7113.11.10.00"," 7113.19.10.00")</f>
        <v>7113.11.10.00</v>
      </c>
      <c r="K528" t="str">
        <f>IF(quantInv[[#This Row],[Metal]] = "925 Silver",  "7113.11.00"," 7113.19.00")</f>
        <v>7113.11.00</v>
      </c>
      <c r="L528" t="str">
        <f>IFERROR(VLOOKUP(quantInv[[#This Row],[Description for New Invoice]],Map!$G$12:$H$32,2,FALSE), IF(quantInv[[#This Row],[Metal]] = "925 Silver", "7113.11.10.00", "7113.19.29.00"))</f>
        <v>7113.11.50.00</v>
      </c>
      <c r="M528" t="str">
        <f>quantInv[[#This Row],[ASIN]] &amp; " " &amp; quantInv[[#This Row],[Short Description]]</f>
        <v>B07GGXY9XY Earrings: drop bellflowers small 2 lines</v>
      </c>
      <c r="N528" s="33">
        <f>quantInv[[#This Row],[UNIT
VALUE]] / EURtoGBP</f>
        <v>8.9254397166743296</v>
      </c>
      <c r="O528" s="33">
        <f>quantInv[[#This Row],[UNIT
VALUE]]/USDtoGBP</f>
        <v>10.778866676810837</v>
      </c>
      <c r="P528" s="33">
        <f>quantInv[[#This Row],[UNIT
VALUE]] / CADtoGBP</f>
        <v>13.797568974684278</v>
      </c>
      <c r="Q528" s="33">
        <f>quantInv[[#This Row],[UNIT
VALUE]]/AUDtoGBP</f>
        <v>14.122781809038006</v>
      </c>
      <c r="R528">
        <f>IFERROR(VLOOKUP(quantInv[[#This Row],[Assigned Item SKU]],skuQuantity[#All],2,FALSE),0)</f>
        <v>0</v>
      </c>
      <c r="S528" t="str">
        <f>PROPER(quantInv[[#This Row],[Metal]] &amp; " " &amp; quantInv[[#This Row],[Item Type]])</f>
        <v>925 Silver Earrings</v>
      </c>
      <c r="T528" s="33">
        <f>quantInv[[#This Row],[Quantity]]*quantInv[[#This Row],[WEIGHT]]</f>
        <v>0</v>
      </c>
      <c r="U528" s="33">
        <f>quantInv[[#This Row],[UNIT
VALUE]]*quantInv[[#This Row],[Quantity]]</f>
        <v>0</v>
      </c>
      <c r="V528" s="33">
        <f>quantInv[[#This Row],[Total Cost GBP]]/EURtoGBP</f>
        <v>0</v>
      </c>
      <c r="W528" s="33">
        <f>quantInv[[#This Row],[Total Cost GBP]]/USDtoGBP</f>
        <v>0</v>
      </c>
      <c r="X528" s="33">
        <f>quantInv[[#This Row],[Total Cost GBP]]/CADtoGBP</f>
        <v>0</v>
      </c>
      <c r="Y528" s="33">
        <f>quantInv[[#This Row],[Quantity]]*quantInv[[#This Row],[UNIT
VALUE AUD]]</f>
        <v>0</v>
      </c>
      <c r="Z528" s="33"/>
    </row>
    <row r="529" spans="1:26" x14ac:dyDescent="0.25">
      <c r="A529" t="s">
        <v>1208</v>
      </c>
      <c r="B529" t="s">
        <v>1209</v>
      </c>
      <c r="C529" t="s">
        <v>114</v>
      </c>
      <c r="D529" t="s">
        <v>1210</v>
      </c>
      <c r="E529">
        <v>2.6</v>
      </c>
      <c r="F529" s="33">
        <v>3.5461999999999998</v>
      </c>
      <c r="G529" s="33" t="s">
        <v>117</v>
      </c>
      <c r="H529" t="s">
        <v>1310</v>
      </c>
      <c r="I529" t="str">
        <f>IF(quantInv[[#This Row],[Metal]] = "925 Silver",  "7113.11.00"," 7113.19.00")</f>
        <v>7113.11.00</v>
      </c>
      <c r="J529" t="str">
        <f>IF(quantInv[[#This Row],[Metal]] = "925 Silver", "7113.11.10.00"," 7113.19.10.00")</f>
        <v>7113.11.10.00</v>
      </c>
      <c r="K529" t="str">
        <f>IF(quantInv[[#This Row],[Metal]] = "925 Silver",  "7113.11.00"," 7113.19.00")</f>
        <v>7113.11.00</v>
      </c>
      <c r="L529" t="str">
        <f>IFERROR(VLOOKUP(quantInv[[#This Row],[Description for New Invoice]],Map!$G$12:$H$32,2,FALSE), IF(quantInv[[#This Row],[Metal]] = "925 Silver", "7113.11.10.00", "7113.19.29.00"))</f>
        <v>7113.11.50.00</v>
      </c>
      <c r="M529" t="str">
        <f>quantInv[[#This Row],[ASIN]] &amp; " " &amp; quantInv[[#This Row],[Short Description]]</f>
        <v xml:space="preserve">B07GGVVJ6G Earrings: hooks birds medium </v>
      </c>
      <c r="N529" s="33">
        <f>quantInv[[#This Row],[UNIT
VALUE]] / EURtoGBP</f>
        <v>4.0253585556747424</v>
      </c>
      <c r="O529" s="33">
        <f>quantInv[[#This Row],[UNIT
VALUE]]/USDtoGBP</f>
        <v>4.8612510504014486</v>
      </c>
      <c r="P529" s="33">
        <f>quantInv[[#This Row],[UNIT
VALUE]] / CADtoGBP</f>
        <v>6.2226807958826633</v>
      </c>
      <c r="Q529" s="33">
        <f>quantInv[[#This Row],[UNIT
VALUE]]/AUDtoGBP</f>
        <v>6.3693512464975921</v>
      </c>
      <c r="R529">
        <f>IFERROR(VLOOKUP(quantInv[[#This Row],[Assigned Item SKU]],skuQuantity[#All],2,FALSE),0)</f>
        <v>0</v>
      </c>
      <c r="S529" t="str">
        <f>PROPER(quantInv[[#This Row],[Metal]] &amp; " " &amp; quantInv[[#This Row],[Item Type]])</f>
        <v>925 Silver Earrings</v>
      </c>
      <c r="T529" s="33">
        <f>quantInv[[#This Row],[Quantity]]*quantInv[[#This Row],[WEIGHT]]</f>
        <v>0</v>
      </c>
      <c r="U529" s="33">
        <f>quantInv[[#This Row],[UNIT
VALUE]]*quantInv[[#This Row],[Quantity]]</f>
        <v>0</v>
      </c>
      <c r="V529" s="33">
        <f>quantInv[[#This Row],[Total Cost GBP]]/EURtoGBP</f>
        <v>0</v>
      </c>
      <c r="W529" s="33">
        <f>quantInv[[#This Row],[Total Cost GBP]]/USDtoGBP</f>
        <v>0</v>
      </c>
      <c r="X529" s="33">
        <f>quantInv[[#This Row],[Total Cost GBP]]/CADtoGBP</f>
        <v>0</v>
      </c>
      <c r="Y529" s="33">
        <f>quantInv[[#This Row],[Quantity]]*quantInv[[#This Row],[UNIT
VALUE AUD]]</f>
        <v>0</v>
      </c>
      <c r="Z529" s="33"/>
    </row>
    <row r="530" spans="1:26" x14ac:dyDescent="0.25">
      <c r="A530" t="s">
        <v>1211</v>
      </c>
      <c r="B530" t="s">
        <v>1212</v>
      </c>
      <c r="C530" t="s">
        <v>114</v>
      </c>
      <c r="D530" t="s">
        <v>1213</v>
      </c>
      <c r="E530">
        <v>3.2</v>
      </c>
      <c r="F530" s="33">
        <v>4.8746999999999998</v>
      </c>
      <c r="G530" s="33" t="s">
        <v>117</v>
      </c>
      <c r="H530" t="s">
        <v>1310</v>
      </c>
      <c r="I530" t="str">
        <f>IF(quantInv[[#This Row],[Metal]] = "925 Silver",  "7113.11.00"," 7113.19.00")</f>
        <v>7113.11.00</v>
      </c>
      <c r="J530" t="str">
        <f>IF(quantInv[[#This Row],[Metal]] = "925 Silver", "7113.11.10.00"," 7113.19.10.00")</f>
        <v>7113.11.10.00</v>
      </c>
      <c r="K530" t="str">
        <f>IF(quantInv[[#This Row],[Metal]] = "925 Silver",  "7113.11.00"," 7113.19.00")</f>
        <v>7113.11.00</v>
      </c>
      <c r="L530" t="str">
        <f>IFERROR(VLOOKUP(quantInv[[#This Row],[Description for New Invoice]],Map!$G$12:$H$32,2,FALSE), IF(quantInv[[#This Row],[Metal]] = "925 Silver", "7113.11.10.00", "7113.19.29.00"))</f>
        <v>7113.11.50.00</v>
      </c>
      <c r="M530" t="str">
        <f>quantInv[[#This Row],[ASIN]] &amp; " " &amp; quantInv[[#This Row],[Short Description]]</f>
        <v>B07GH2FNTH Earrings: drop ROSE Big - colour ball chain drop</v>
      </c>
      <c r="N530" s="33">
        <f>quantInv[[#This Row],[UNIT
VALUE]] / EURtoGBP</f>
        <v>5.5333639815429665</v>
      </c>
      <c r="O530" s="33">
        <f>quantInv[[#This Row],[UNIT
VALUE]]/USDtoGBP</f>
        <v>6.6824038394314877</v>
      </c>
      <c r="P530" s="33">
        <f>quantInv[[#This Row],[UNIT
VALUE]] / CADtoGBP</f>
        <v>8.553861055690378</v>
      </c>
      <c r="Q530" s="33">
        <f>quantInv[[#This Row],[UNIT
VALUE]]/AUDtoGBP</f>
        <v>8.7554781234284071</v>
      </c>
      <c r="R530">
        <f>IFERROR(VLOOKUP(quantInv[[#This Row],[Assigned Item SKU]],skuQuantity[#All],2,FALSE),0)</f>
        <v>0</v>
      </c>
      <c r="S530" t="str">
        <f>PROPER(quantInv[[#This Row],[Metal]] &amp; " " &amp; quantInv[[#This Row],[Item Type]])</f>
        <v>925 Silver Earrings</v>
      </c>
      <c r="T530" s="33">
        <f>quantInv[[#This Row],[Quantity]]*quantInv[[#This Row],[WEIGHT]]</f>
        <v>0</v>
      </c>
      <c r="U530" s="33">
        <f>quantInv[[#This Row],[UNIT
VALUE]]*quantInv[[#This Row],[Quantity]]</f>
        <v>0</v>
      </c>
      <c r="V530" s="33">
        <f>quantInv[[#This Row],[Total Cost GBP]]/EURtoGBP</f>
        <v>0</v>
      </c>
      <c r="W530" s="33">
        <f>quantInv[[#This Row],[Total Cost GBP]]/USDtoGBP</f>
        <v>0</v>
      </c>
      <c r="X530" s="33">
        <f>quantInv[[#This Row],[Total Cost GBP]]/CADtoGBP</f>
        <v>0</v>
      </c>
      <c r="Y530" s="33">
        <f>quantInv[[#This Row],[Quantity]]*quantInv[[#This Row],[UNIT
VALUE AUD]]</f>
        <v>0</v>
      </c>
      <c r="Z530" s="33"/>
    </row>
    <row r="531" spans="1:26" x14ac:dyDescent="0.25">
      <c r="A531" t="s">
        <v>1214</v>
      </c>
      <c r="B531" t="s">
        <v>1215</v>
      </c>
      <c r="C531" t="s">
        <v>114</v>
      </c>
      <c r="D531" t="s">
        <v>1216</v>
      </c>
      <c r="E531">
        <v>3.6</v>
      </c>
      <c r="F531" s="33">
        <v>4.6773999999999996</v>
      </c>
      <c r="G531" s="33" t="s">
        <v>117</v>
      </c>
      <c r="H531" t="s">
        <v>1310</v>
      </c>
      <c r="I531" t="str">
        <f>IF(quantInv[[#This Row],[Metal]] = "925 Silver",  "7113.11.00"," 7113.19.00")</f>
        <v>7113.11.00</v>
      </c>
      <c r="J531" t="str">
        <f>IF(quantInv[[#This Row],[Metal]] = "925 Silver", "7113.11.10.00"," 7113.19.10.00")</f>
        <v>7113.11.10.00</v>
      </c>
      <c r="K531" t="str">
        <f>IF(quantInv[[#This Row],[Metal]] = "925 Silver",  "7113.11.00"," 7113.19.00")</f>
        <v>7113.11.00</v>
      </c>
      <c r="L531" t="str">
        <f>IFERROR(VLOOKUP(quantInv[[#This Row],[Description for New Invoice]],Map!$G$12:$H$32,2,FALSE), IF(quantInv[[#This Row],[Metal]] = "925 Silver", "7113.11.10.00", "7113.19.29.00"))</f>
        <v>7113.11.50.00</v>
      </c>
      <c r="M531" t="str">
        <f>quantInv[[#This Row],[ASIN]] &amp; " " &amp; quantInv[[#This Row],[Short Description]]</f>
        <v>B07GGWLVW8 Earrings: drop heart BIG ball chain drop</v>
      </c>
      <c r="N531" s="33">
        <f>quantInv[[#This Row],[UNIT
VALUE]] / EURtoGBP</f>
        <v>5.3094050274414979</v>
      </c>
      <c r="O531" s="33">
        <f>quantInv[[#This Row],[UNIT
VALUE]]/USDtoGBP</f>
        <v>6.4119383179594314</v>
      </c>
      <c r="P531" s="33">
        <f>quantInv[[#This Row],[UNIT
VALUE]] / CADtoGBP</f>
        <v>8.2076496403647763</v>
      </c>
      <c r="Q531" s="33">
        <f>quantInv[[#This Row],[UNIT
VALUE]]/AUDtoGBP</f>
        <v>8.4011064013219325</v>
      </c>
      <c r="R531">
        <f>IFERROR(VLOOKUP(quantInv[[#This Row],[Assigned Item SKU]],skuQuantity[#All],2,FALSE),0)</f>
        <v>0</v>
      </c>
      <c r="S531" t="str">
        <f>PROPER(quantInv[[#This Row],[Metal]] &amp; " " &amp; quantInv[[#This Row],[Item Type]])</f>
        <v>925 Silver Earrings</v>
      </c>
      <c r="T531" s="33">
        <f>quantInv[[#This Row],[Quantity]]*quantInv[[#This Row],[WEIGHT]]</f>
        <v>0</v>
      </c>
      <c r="U531" s="33">
        <f>quantInv[[#This Row],[UNIT
VALUE]]*quantInv[[#This Row],[Quantity]]</f>
        <v>0</v>
      </c>
      <c r="V531" s="33">
        <f>quantInv[[#This Row],[Total Cost GBP]]/EURtoGBP</f>
        <v>0</v>
      </c>
      <c r="W531" s="33">
        <f>quantInv[[#This Row],[Total Cost GBP]]/USDtoGBP</f>
        <v>0</v>
      </c>
      <c r="X531" s="33">
        <f>quantInv[[#This Row],[Total Cost GBP]]/CADtoGBP</f>
        <v>0</v>
      </c>
      <c r="Y531" s="33">
        <f>quantInv[[#This Row],[Quantity]]*quantInv[[#This Row],[UNIT
VALUE AUD]]</f>
        <v>0</v>
      </c>
      <c r="Z531" s="33"/>
    </row>
    <row r="532" spans="1:26" x14ac:dyDescent="0.25">
      <c r="A532" t="s">
        <v>1217</v>
      </c>
      <c r="B532" t="s">
        <v>1218</v>
      </c>
      <c r="C532" t="s">
        <v>114</v>
      </c>
      <c r="D532" t="s">
        <v>1216</v>
      </c>
      <c r="E532">
        <v>3</v>
      </c>
      <c r="F532" s="33">
        <v>3.9161999999999999</v>
      </c>
      <c r="G532" s="33" t="s">
        <v>117</v>
      </c>
      <c r="H532" t="s">
        <v>1310</v>
      </c>
      <c r="I532" t="str">
        <f>IF(quantInv[[#This Row],[Metal]] = "925 Silver",  "7113.11.00"," 7113.19.00")</f>
        <v>7113.11.00</v>
      </c>
      <c r="J532" t="str">
        <f>IF(quantInv[[#This Row],[Metal]] = "925 Silver", "7113.11.10.00"," 7113.19.10.00")</f>
        <v>7113.11.10.00</v>
      </c>
      <c r="K532" t="str">
        <f>IF(quantInv[[#This Row],[Metal]] = "925 Silver",  "7113.11.00"," 7113.19.00")</f>
        <v>7113.11.00</v>
      </c>
      <c r="L532" t="str">
        <f>IFERROR(VLOOKUP(quantInv[[#This Row],[Description for New Invoice]],Map!$G$12:$H$32,2,FALSE), IF(quantInv[[#This Row],[Metal]] = "925 Silver", "7113.11.10.00", "7113.19.29.00"))</f>
        <v>7113.11.50.00</v>
      </c>
      <c r="M532" t="str">
        <f>quantInv[[#This Row],[ASIN]] &amp; " " &amp; quantInv[[#This Row],[Short Description]]</f>
        <v>B07GGWVC95 Earrings: drop heart BIG ball chain drop</v>
      </c>
      <c r="N532" s="33">
        <f>quantInv[[#This Row],[UNIT
VALUE]] / EURtoGBP</f>
        <v>4.4453525395447038</v>
      </c>
      <c r="O532" s="33">
        <f>quantInv[[#This Row],[UNIT
VALUE]]/USDtoGBP</f>
        <v>5.3684595802780875</v>
      </c>
      <c r="P532" s="33">
        <f>quantInv[[#This Row],[UNIT
VALUE]] / CADtoGBP</f>
        <v>6.8719368712525197</v>
      </c>
      <c r="Q532" s="33">
        <f>quantInv[[#This Row],[UNIT
VALUE]]/AUDtoGBP</f>
        <v>7.0339104820748615</v>
      </c>
      <c r="R532">
        <f>IFERROR(VLOOKUP(quantInv[[#This Row],[Assigned Item SKU]],skuQuantity[#All],2,FALSE),0)</f>
        <v>0</v>
      </c>
      <c r="S532" t="str">
        <f>PROPER(quantInv[[#This Row],[Metal]] &amp; " " &amp; quantInv[[#This Row],[Item Type]])</f>
        <v>925 Silver Earrings</v>
      </c>
      <c r="T532" s="33">
        <f>quantInv[[#This Row],[Quantity]]*quantInv[[#This Row],[WEIGHT]]</f>
        <v>0</v>
      </c>
      <c r="U532" s="33">
        <f>quantInv[[#This Row],[UNIT
VALUE]]*quantInv[[#This Row],[Quantity]]</f>
        <v>0</v>
      </c>
      <c r="V532" s="33">
        <f>quantInv[[#This Row],[Total Cost GBP]]/EURtoGBP</f>
        <v>0</v>
      </c>
      <c r="W532" s="33">
        <f>quantInv[[#This Row],[Total Cost GBP]]/USDtoGBP</f>
        <v>0</v>
      </c>
      <c r="X532" s="33">
        <f>quantInv[[#This Row],[Total Cost GBP]]/CADtoGBP</f>
        <v>0</v>
      </c>
      <c r="Y532" s="33">
        <f>quantInv[[#This Row],[Quantity]]*quantInv[[#This Row],[UNIT
VALUE AUD]]</f>
        <v>0</v>
      </c>
      <c r="Z532" s="33"/>
    </row>
    <row r="533" spans="1:26" x14ac:dyDescent="0.25">
      <c r="A533" t="s">
        <v>1219</v>
      </c>
      <c r="B533" t="s">
        <v>1220</v>
      </c>
      <c r="C533" t="s">
        <v>114</v>
      </c>
      <c r="D533" t="s">
        <v>1221</v>
      </c>
      <c r="E533">
        <v>2.4</v>
      </c>
      <c r="F533" s="33">
        <v>3.0705</v>
      </c>
      <c r="G533" s="33" t="s">
        <v>117</v>
      </c>
      <c r="H533" t="s">
        <v>1310</v>
      </c>
      <c r="I533" t="str">
        <f>IF(quantInv[[#This Row],[Metal]] = "925 Silver",  "7113.11.00"," 7113.19.00")</f>
        <v>7113.11.00</v>
      </c>
      <c r="J533" t="str">
        <f>IF(quantInv[[#This Row],[Metal]] = "925 Silver", "7113.11.10.00"," 7113.19.10.00")</f>
        <v>7113.11.10.00</v>
      </c>
      <c r="K533" t="str">
        <f>IF(quantInv[[#This Row],[Metal]] = "925 Silver",  "7113.11.00"," 7113.19.00")</f>
        <v>7113.11.00</v>
      </c>
      <c r="L533" t="str">
        <f>IFERROR(VLOOKUP(quantInv[[#This Row],[Description for New Invoice]],Map!$G$12:$H$32,2,FALSE), IF(quantInv[[#This Row],[Metal]] = "925 Silver", "7113.11.10.00", "7113.19.29.00"))</f>
        <v>7113.11.50.00</v>
      </c>
      <c r="M533" t="str">
        <f>quantInv[[#This Row],[ASIN]] &amp; " " &amp; quantInv[[#This Row],[Short Description]]</f>
        <v>B07GGW9S79 Earrings: drop ball small ball chain drop 2 lines</v>
      </c>
      <c r="N533" s="33">
        <f>quantInv[[#This Row],[UNIT
VALUE]] / EURtoGBP</f>
        <v>3.4853825066830124</v>
      </c>
      <c r="O533" s="33">
        <f>quantInv[[#This Row],[UNIT
VALUE]]/USDtoGBP</f>
        <v>4.2091453810438351</v>
      </c>
      <c r="P533" s="33">
        <f>quantInv[[#This Row],[UNIT
VALUE]] / CADtoGBP</f>
        <v>5.3879480524949859</v>
      </c>
      <c r="Q533" s="33">
        <f>quantInv[[#This Row],[UNIT
VALUE]]/AUDtoGBP</f>
        <v>5.5149436022702778</v>
      </c>
      <c r="R533">
        <f>IFERROR(VLOOKUP(quantInv[[#This Row],[Assigned Item SKU]],skuQuantity[#All],2,FALSE),0)</f>
        <v>0</v>
      </c>
      <c r="S533" t="str">
        <f>PROPER(quantInv[[#This Row],[Metal]] &amp; " " &amp; quantInv[[#This Row],[Item Type]])</f>
        <v>925 Silver Earrings</v>
      </c>
      <c r="T533" s="33">
        <f>quantInv[[#This Row],[Quantity]]*quantInv[[#This Row],[WEIGHT]]</f>
        <v>0</v>
      </c>
      <c r="U533" s="33">
        <f>quantInv[[#This Row],[UNIT
VALUE]]*quantInv[[#This Row],[Quantity]]</f>
        <v>0</v>
      </c>
      <c r="V533" s="33">
        <f>quantInv[[#This Row],[Total Cost GBP]]/EURtoGBP</f>
        <v>0</v>
      </c>
      <c r="W533" s="33">
        <f>quantInv[[#This Row],[Total Cost GBP]]/USDtoGBP</f>
        <v>0</v>
      </c>
      <c r="X533" s="33">
        <f>quantInv[[#This Row],[Total Cost GBP]]/CADtoGBP</f>
        <v>0</v>
      </c>
      <c r="Y533" s="33">
        <f>quantInv[[#This Row],[Quantity]]*quantInv[[#This Row],[UNIT
VALUE AUD]]</f>
        <v>0</v>
      </c>
      <c r="Z533" s="33"/>
    </row>
    <row r="534" spans="1:26" x14ac:dyDescent="0.25">
      <c r="A534" t="s">
        <v>1222</v>
      </c>
      <c r="B534" t="s">
        <v>1223</v>
      </c>
      <c r="C534" t="s">
        <v>114</v>
      </c>
      <c r="D534" t="s">
        <v>2954</v>
      </c>
      <c r="E534">
        <v>3.4</v>
      </c>
      <c r="F534" s="33">
        <v>5.5019999999999998</v>
      </c>
      <c r="G534" s="33" t="s">
        <v>117</v>
      </c>
      <c r="H534" t="s">
        <v>1310</v>
      </c>
      <c r="I534" t="str">
        <f>IF(quantInv[[#This Row],[Metal]] = "925 Silver",  "7113.11.00"," 7113.19.00")</f>
        <v>7113.11.00</v>
      </c>
      <c r="J534" t="str">
        <f>IF(quantInv[[#This Row],[Metal]] = "925 Silver", "7113.11.10.00"," 7113.19.10.00")</f>
        <v>7113.11.10.00</v>
      </c>
      <c r="K534" t="str">
        <f>IF(quantInv[[#This Row],[Metal]] = "925 Silver",  "7113.11.00"," 7113.19.00")</f>
        <v>7113.11.00</v>
      </c>
      <c r="L534" t="str">
        <f>IFERROR(VLOOKUP(quantInv[[#This Row],[Description for New Invoice]],Map!$G$12:$H$32,2,FALSE), IF(quantInv[[#This Row],[Metal]] = "925 Silver", "7113.11.10.00", "7113.19.29.00"))</f>
        <v>7113.11.50.00</v>
      </c>
      <c r="M534" t="str">
        <f>quantInv[[#This Row],[ASIN]] &amp; " " &amp; quantInv[[#This Row],[Short Description]]</f>
        <v>B07GGV9BZL Earrings: drop Birds BIG ball chain drop  cz</v>
      </c>
      <c r="N534" s="33">
        <f>quantInv[[#This Row],[UNIT
VALUE]] / EURtoGBP</f>
        <v>6.2454240520338491</v>
      </c>
      <c r="O534" s="33">
        <f>quantInv[[#This Row],[UNIT
VALUE]]/USDtoGBP</f>
        <v>7.5423279226520696</v>
      </c>
      <c r="P534" s="33">
        <f>quantInv[[#This Row],[UNIT
VALUE]] / CADtoGBP</f>
        <v>9.6546133153647311</v>
      </c>
      <c r="Q534" s="33">
        <f>quantInv[[#This Row],[UNIT
VALUE]]/AUDtoGBP</f>
        <v>9.8821754436381912</v>
      </c>
      <c r="R534">
        <f>IFERROR(VLOOKUP(quantInv[[#This Row],[Assigned Item SKU]],skuQuantity[#All],2,FALSE),0)</f>
        <v>0</v>
      </c>
      <c r="S534" t="str">
        <f>PROPER(quantInv[[#This Row],[Metal]] &amp; " " &amp; quantInv[[#This Row],[Item Type]])</f>
        <v>925 Silver Earrings</v>
      </c>
      <c r="T534" s="33">
        <f>quantInv[[#This Row],[Quantity]]*quantInv[[#This Row],[WEIGHT]]</f>
        <v>0</v>
      </c>
      <c r="U534" s="33">
        <f>quantInv[[#This Row],[UNIT
VALUE]]*quantInv[[#This Row],[Quantity]]</f>
        <v>0</v>
      </c>
      <c r="V534" s="33">
        <f>quantInv[[#This Row],[Total Cost GBP]]/EURtoGBP</f>
        <v>0</v>
      </c>
      <c r="W534" s="33">
        <f>quantInv[[#This Row],[Total Cost GBP]]/USDtoGBP</f>
        <v>0</v>
      </c>
      <c r="X534" s="33">
        <f>quantInv[[#This Row],[Total Cost GBP]]/CADtoGBP</f>
        <v>0</v>
      </c>
      <c r="Y534" s="33">
        <f>quantInv[[#This Row],[Quantity]]*quantInv[[#This Row],[UNIT
VALUE AUD]]</f>
        <v>0</v>
      </c>
      <c r="Z534" s="33"/>
    </row>
    <row r="535" spans="1:26" x14ac:dyDescent="0.25">
      <c r="A535" t="s">
        <v>1224</v>
      </c>
      <c r="B535" t="s">
        <v>1225</v>
      </c>
      <c r="C535" t="s">
        <v>114</v>
      </c>
      <c r="D535" t="s">
        <v>1226</v>
      </c>
      <c r="E535">
        <v>2.8</v>
      </c>
      <c r="F535" s="33">
        <v>3.6625000000000001</v>
      </c>
      <c r="G535" s="33" t="s">
        <v>117</v>
      </c>
      <c r="H535" t="s">
        <v>1310</v>
      </c>
      <c r="I535" t="str">
        <f>IF(quantInv[[#This Row],[Metal]] = "925 Silver",  "7113.11.00"," 7113.19.00")</f>
        <v>7113.11.00</v>
      </c>
      <c r="J535" t="str">
        <f>IF(quantInv[[#This Row],[Metal]] = "925 Silver", "7113.11.10.00"," 7113.19.10.00")</f>
        <v>7113.11.10.00</v>
      </c>
      <c r="K535" t="str">
        <f>IF(quantInv[[#This Row],[Metal]] = "925 Silver",  "7113.11.00"," 7113.19.00")</f>
        <v>7113.11.00</v>
      </c>
      <c r="L535" t="str">
        <f>IFERROR(VLOOKUP(quantInv[[#This Row],[Description for New Invoice]],Map!$G$12:$H$32,2,FALSE), IF(quantInv[[#This Row],[Metal]] = "925 Silver", "7113.11.10.00", "7113.19.29.00"))</f>
        <v>7113.11.50.00</v>
      </c>
      <c r="M535" t="str">
        <f>quantInv[[#This Row],[ASIN]] &amp; " " &amp; quantInv[[#This Row],[Short Description]]</f>
        <v>B07GGSN34R Earrings: drop Duckies Big ball chain drop</v>
      </c>
      <c r="N535" s="33">
        <f>quantInv[[#This Row],[UNIT
VALUE]] / EURtoGBP</f>
        <v>4.1573728808749495</v>
      </c>
      <c r="O535" s="33">
        <f>quantInv[[#This Row],[UNIT
VALUE]]/USDtoGBP</f>
        <v>5.0206790288464571</v>
      </c>
      <c r="P535" s="33">
        <f>quantInv[[#This Row],[UNIT
VALUE]] / CADtoGBP</f>
        <v>6.4267577730867567</v>
      </c>
      <c r="Q535" s="33">
        <f>quantInv[[#This Row],[UNIT
VALUE]]/AUDtoGBP</f>
        <v>6.5782383791939072</v>
      </c>
      <c r="R535">
        <f>IFERROR(VLOOKUP(quantInv[[#This Row],[Assigned Item SKU]],skuQuantity[#All],2,FALSE),0)</f>
        <v>0</v>
      </c>
      <c r="S535" t="str">
        <f>PROPER(quantInv[[#This Row],[Metal]] &amp; " " &amp; quantInv[[#This Row],[Item Type]])</f>
        <v>925 Silver Earrings</v>
      </c>
      <c r="T535" s="33">
        <f>quantInv[[#This Row],[Quantity]]*quantInv[[#This Row],[WEIGHT]]</f>
        <v>0</v>
      </c>
      <c r="U535" s="33">
        <f>quantInv[[#This Row],[UNIT
VALUE]]*quantInv[[#This Row],[Quantity]]</f>
        <v>0</v>
      </c>
      <c r="V535" s="33">
        <f>quantInv[[#This Row],[Total Cost GBP]]/EURtoGBP</f>
        <v>0</v>
      </c>
      <c r="W535" s="33">
        <f>quantInv[[#This Row],[Total Cost GBP]]/USDtoGBP</f>
        <v>0</v>
      </c>
      <c r="X535" s="33">
        <f>quantInv[[#This Row],[Total Cost GBP]]/CADtoGBP</f>
        <v>0</v>
      </c>
      <c r="Y535" s="33">
        <f>quantInv[[#This Row],[Quantity]]*quantInv[[#This Row],[UNIT
VALUE AUD]]</f>
        <v>0</v>
      </c>
      <c r="Z535" s="33"/>
    </row>
    <row r="536" spans="1:26" x14ac:dyDescent="0.25">
      <c r="A536" t="s">
        <v>1227</v>
      </c>
      <c r="B536" t="s">
        <v>1228</v>
      </c>
      <c r="C536" t="s">
        <v>114</v>
      </c>
      <c r="D536" t="s">
        <v>1229</v>
      </c>
      <c r="E536">
        <v>1.26</v>
      </c>
      <c r="F536" s="33">
        <v>26.014800000000001</v>
      </c>
      <c r="G536" s="33" t="s">
        <v>3304</v>
      </c>
      <c r="H536" t="s">
        <v>103</v>
      </c>
      <c r="I536" t="str">
        <f>IF(quantInv[[#This Row],[Metal]] = "925 Silver",  "7113.11.00"," 7113.19.00")</f>
        <v xml:space="preserve"> 7113.19.00</v>
      </c>
      <c r="J536" t="str">
        <f>IF(quantInv[[#This Row],[Metal]] = "925 Silver", "7113.11.10.00"," 7113.19.10.00")</f>
        <v xml:space="preserve"> 7113.19.10.00</v>
      </c>
      <c r="K536" t="str">
        <f>IF(quantInv[[#This Row],[Metal]] = "925 Silver",  "7113.11.00"," 7113.19.00")</f>
        <v xml:space="preserve"> 7113.19.00</v>
      </c>
      <c r="L536" t="str">
        <f>IFERROR(VLOOKUP(quantInv[[#This Row],[Description for New Invoice]],Map!$G$12:$H$32,2,FALSE), IF(quantInv[[#This Row],[Metal]] = "925 Silver", "7113.11.10.00", "7113.19.29.00"))</f>
        <v>7113.11.50.00</v>
      </c>
      <c r="M536" t="str">
        <f>quantInv[[#This Row],[ASIN]] &amp; " " &amp; quantInv[[#This Row],[Short Description]]</f>
        <v>B07KW5YHXB 9K Curb Chain</v>
      </c>
      <c r="N536" s="33">
        <f>quantInv[[#This Row],[UNIT
VALUE]] / EURtoGBP</f>
        <v>29.529890517784477</v>
      </c>
      <c r="O536" s="33">
        <f>quantInv[[#This Row],[UNIT
VALUE]]/USDtoGBP</f>
        <v>35.66196881901292</v>
      </c>
      <c r="P536" s="33">
        <f>quantInv[[#This Row],[UNIT
VALUE]] / CADtoGBP</f>
        <v>45.649370133869581</v>
      </c>
      <c r="Q536" s="33">
        <f>quantInv[[#This Row],[UNIT
VALUE]]/AUDtoGBP</f>
        <v>46.725339464041959</v>
      </c>
      <c r="R536">
        <f>IFERROR(VLOOKUP(quantInv[[#This Row],[Assigned Item SKU]],skuQuantity[#All],2,FALSE),0)</f>
        <v>0</v>
      </c>
      <c r="S536" t="str">
        <f>PROPER(quantInv[[#This Row],[Metal]] &amp; " " &amp; quantInv[[#This Row],[Item Type]])</f>
        <v>9K Gold Chain</v>
      </c>
      <c r="T536" s="33">
        <f>quantInv[[#This Row],[Quantity]]*quantInv[[#This Row],[WEIGHT]]</f>
        <v>0</v>
      </c>
      <c r="U536" s="33">
        <f>quantInv[[#This Row],[UNIT
VALUE]]*quantInv[[#This Row],[Quantity]]</f>
        <v>0</v>
      </c>
      <c r="V536" s="33">
        <f>quantInv[[#This Row],[Total Cost GBP]]/EURtoGBP</f>
        <v>0</v>
      </c>
      <c r="W536" s="33">
        <f>quantInv[[#This Row],[Total Cost GBP]]/USDtoGBP</f>
        <v>0</v>
      </c>
      <c r="X536" s="33">
        <f>quantInv[[#This Row],[Total Cost GBP]]/CADtoGBP</f>
        <v>0</v>
      </c>
      <c r="Y536" s="33">
        <f>quantInv[[#This Row],[Quantity]]*quantInv[[#This Row],[UNIT
VALUE AUD]]</f>
        <v>0</v>
      </c>
      <c r="Z536" s="33"/>
    </row>
    <row r="537" spans="1:26" x14ac:dyDescent="0.25">
      <c r="A537" t="s">
        <v>1231</v>
      </c>
      <c r="B537" t="s">
        <v>1232</v>
      </c>
      <c r="C537" t="s">
        <v>114</v>
      </c>
      <c r="D537" t="s">
        <v>1233</v>
      </c>
      <c r="E537">
        <v>1.22</v>
      </c>
      <c r="F537" s="33">
        <v>25.375900000000001</v>
      </c>
      <c r="G537" s="33" t="s">
        <v>3304</v>
      </c>
      <c r="H537" t="s">
        <v>103</v>
      </c>
      <c r="I537" t="str">
        <f>IF(quantInv[[#This Row],[Metal]] = "925 Silver",  "7113.11.00"," 7113.19.00")</f>
        <v xml:space="preserve"> 7113.19.00</v>
      </c>
      <c r="J537" t="str">
        <f>IF(quantInv[[#This Row],[Metal]] = "925 Silver", "7113.11.10.00"," 7113.19.10.00")</f>
        <v xml:space="preserve"> 7113.19.10.00</v>
      </c>
      <c r="K537" t="str">
        <f>IF(quantInv[[#This Row],[Metal]] = "925 Silver",  "7113.11.00"," 7113.19.00")</f>
        <v xml:space="preserve"> 7113.19.00</v>
      </c>
      <c r="L537" t="str">
        <f>IFERROR(VLOOKUP(quantInv[[#This Row],[Description for New Invoice]],Map!$G$12:$H$32,2,FALSE), IF(quantInv[[#This Row],[Metal]] = "925 Silver", "7113.11.10.00", "7113.19.29.00"))</f>
        <v>7113.11.50.00</v>
      </c>
      <c r="M537" t="str">
        <f>quantInv[[#This Row],[ASIN]] &amp; " " &amp; quantInv[[#This Row],[Short Description]]</f>
        <v>B07KW4FB47 9K Anchor Chain</v>
      </c>
      <c r="N537" s="33">
        <f>quantInv[[#This Row],[UNIT
VALUE]] / EURtoGBP</f>
        <v>28.804663068339835</v>
      </c>
      <c r="O537" s="33">
        <f>quantInv[[#This Row],[UNIT
VALUE]]/USDtoGBP</f>
        <v>34.786143062963774</v>
      </c>
      <c r="P537" s="33">
        <f>quantInv[[#This Row],[UNIT
VALUE]] / CADtoGBP</f>
        <v>44.528262818859311</v>
      </c>
      <c r="Q537" s="33">
        <f>quantInv[[#This Row],[UNIT
VALUE]]/AUDtoGBP</f>
        <v>45.577807313743804</v>
      </c>
      <c r="R537">
        <f>IFERROR(VLOOKUP(quantInv[[#This Row],[Assigned Item SKU]],skuQuantity[#All],2,FALSE),0)</f>
        <v>0</v>
      </c>
      <c r="S537" t="str">
        <f>PROPER(quantInv[[#This Row],[Metal]] &amp; " " &amp; quantInv[[#This Row],[Item Type]])</f>
        <v>9K Gold Chain</v>
      </c>
      <c r="T537" s="33">
        <f>quantInv[[#This Row],[Quantity]]*quantInv[[#This Row],[WEIGHT]]</f>
        <v>0</v>
      </c>
      <c r="U537" s="33">
        <f>quantInv[[#This Row],[UNIT
VALUE]]*quantInv[[#This Row],[Quantity]]</f>
        <v>0</v>
      </c>
      <c r="V537" s="33">
        <f>quantInv[[#This Row],[Total Cost GBP]]/EURtoGBP</f>
        <v>0</v>
      </c>
      <c r="W537" s="33">
        <f>quantInv[[#This Row],[Total Cost GBP]]/USDtoGBP</f>
        <v>0</v>
      </c>
      <c r="X537" s="33">
        <f>quantInv[[#This Row],[Total Cost GBP]]/CADtoGBP</f>
        <v>0</v>
      </c>
      <c r="Y537" s="33">
        <f>quantInv[[#This Row],[Quantity]]*quantInv[[#This Row],[UNIT
VALUE AUD]]</f>
        <v>0</v>
      </c>
      <c r="Z537" s="33"/>
    </row>
    <row r="538" spans="1:26" x14ac:dyDescent="0.25">
      <c r="A538" t="s">
        <v>1234</v>
      </c>
      <c r="B538" t="s">
        <v>1235</v>
      </c>
      <c r="C538" t="s">
        <v>114</v>
      </c>
      <c r="D538" t="s">
        <v>1236</v>
      </c>
      <c r="E538">
        <v>1.0669999999999999</v>
      </c>
      <c r="F538" s="33">
        <v>22.4831</v>
      </c>
      <c r="G538" s="33" t="s">
        <v>3304</v>
      </c>
      <c r="H538" t="s">
        <v>103</v>
      </c>
      <c r="I538" t="str">
        <f>IF(quantInv[[#This Row],[Metal]] = "925 Silver",  "7113.11.00"," 7113.19.00")</f>
        <v xml:space="preserve"> 7113.19.00</v>
      </c>
      <c r="J538" t="str">
        <f>IF(quantInv[[#This Row],[Metal]] = "925 Silver", "7113.11.10.00"," 7113.19.10.00")</f>
        <v xml:space="preserve"> 7113.19.10.00</v>
      </c>
      <c r="K538" t="str">
        <f>IF(quantInv[[#This Row],[Metal]] = "925 Silver",  "7113.11.00"," 7113.19.00")</f>
        <v xml:space="preserve"> 7113.19.00</v>
      </c>
      <c r="L538" t="str">
        <f>IFERROR(VLOOKUP(quantInv[[#This Row],[Description for New Invoice]],Map!$G$12:$H$32,2,FALSE), IF(quantInv[[#This Row],[Metal]] = "925 Silver", "7113.11.10.00", "7113.19.29.00"))</f>
        <v>7113.11.50.00</v>
      </c>
      <c r="M538" t="str">
        <f>quantInv[[#This Row],[ASIN]] &amp; " " &amp; quantInv[[#This Row],[Short Description]]</f>
        <v>B07KW5HKR8 9K Figaro Chain</v>
      </c>
      <c r="N538" s="33">
        <f>quantInv[[#This Row],[UNIT
VALUE]] / EURtoGBP</f>
        <v>25.520991185801932</v>
      </c>
      <c r="O538" s="33">
        <f>quantInv[[#This Row],[UNIT
VALUE]]/USDtoGBP</f>
        <v>30.820594859647176</v>
      </c>
      <c r="P538" s="33">
        <f>quantInv[[#This Row],[UNIT
VALUE]] / CADtoGBP</f>
        <v>39.452133157156815</v>
      </c>
      <c r="Q538" s="33">
        <f>quantInv[[#This Row],[UNIT
VALUE]]/AUDtoGBP</f>
        <v>40.38203175515482</v>
      </c>
      <c r="R538">
        <f>IFERROR(VLOOKUP(quantInv[[#This Row],[Assigned Item SKU]],skuQuantity[#All],2,FALSE),0)</f>
        <v>0</v>
      </c>
      <c r="S538" t="str">
        <f>PROPER(quantInv[[#This Row],[Metal]] &amp; " " &amp; quantInv[[#This Row],[Item Type]])</f>
        <v>9K Gold Chain</v>
      </c>
      <c r="T538" s="33">
        <f>quantInv[[#This Row],[Quantity]]*quantInv[[#This Row],[WEIGHT]]</f>
        <v>0</v>
      </c>
      <c r="U538" s="33">
        <f>quantInv[[#This Row],[UNIT
VALUE]]*quantInv[[#This Row],[Quantity]]</f>
        <v>0</v>
      </c>
      <c r="V538" s="33">
        <f>quantInv[[#This Row],[Total Cost GBP]]/EURtoGBP</f>
        <v>0</v>
      </c>
      <c r="W538" s="33">
        <f>quantInv[[#This Row],[Total Cost GBP]]/USDtoGBP</f>
        <v>0</v>
      </c>
      <c r="X538" s="33">
        <f>quantInv[[#This Row],[Total Cost GBP]]/CADtoGBP</f>
        <v>0</v>
      </c>
      <c r="Y538" s="33">
        <f>quantInv[[#This Row],[Quantity]]*quantInv[[#This Row],[UNIT
VALUE AUD]]</f>
        <v>0</v>
      </c>
      <c r="Z538" s="33"/>
    </row>
    <row r="539" spans="1:26" x14ac:dyDescent="0.25">
      <c r="A539" t="s">
        <v>560</v>
      </c>
      <c r="B539" t="s">
        <v>561</v>
      </c>
      <c r="C539" t="s">
        <v>114</v>
      </c>
      <c r="D539" t="s">
        <v>465</v>
      </c>
      <c r="E539">
        <v>4.1851485148514804</v>
      </c>
      <c r="F539" s="33">
        <v>4.109</v>
      </c>
      <c r="G539" s="33" t="s">
        <v>117</v>
      </c>
      <c r="H539" t="s">
        <v>103</v>
      </c>
      <c r="I539" t="str">
        <f>IF(quantInv[[#This Row],[Metal]] = "925 Silver",  "7113.11.00"," 7113.19.00")</f>
        <v>7113.11.00</v>
      </c>
      <c r="J539" t="str">
        <f>IF(quantInv[[#This Row],[Metal]] = "925 Silver", "7113.11.10.00"," 7113.19.10.00")</f>
        <v>7113.11.10.00</v>
      </c>
      <c r="K539" t="str">
        <f>IF(quantInv[[#This Row],[Metal]] = "925 Silver",  "7113.11.00"," 7113.19.00")</f>
        <v>7113.11.00</v>
      </c>
      <c r="L539" t="str">
        <f>IFERROR(VLOOKUP(quantInv[[#This Row],[Description for New Invoice]],Map!$G$12:$H$32,2,FALSE), IF(quantInv[[#This Row],[Metal]] = "925 Silver", "7113.11.10.00", "7113.19.29.00"))</f>
        <v>7113.11.10.00</v>
      </c>
      <c r="M539" t="str">
        <f>quantInv[[#This Row],[ASIN]] &amp; " " &amp; quantInv[[#This Row],[Short Description]]</f>
        <v>B00DKCYW4U Wheat Chain</v>
      </c>
      <c r="N539" s="33">
        <f>quantInv[[#This Row],[UNIT
VALUE]] / EURtoGBP</f>
        <v>4.6642034587072132</v>
      </c>
      <c r="O539" s="33">
        <f>quantInv[[#This Row],[UNIT
VALUE]]/USDtoGBP</f>
        <v>5.6327563493597523</v>
      </c>
      <c r="P539" s="33">
        <f>quantInv[[#This Row],[UNIT
VALUE]] / CADtoGBP</f>
        <v>7.2102519289047047</v>
      </c>
      <c r="Q539" s="33">
        <f>quantInv[[#This Row],[UNIT
VALUE]]/AUDtoGBP</f>
        <v>7.3801997269918811</v>
      </c>
      <c r="R539">
        <f>IFERROR(VLOOKUP(quantInv[[#This Row],[Assigned Item SKU]],skuQuantity[#All],2,FALSE),0)</f>
        <v>0</v>
      </c>
      <c r="S539" t="str">
        <f>PROPER(quantInv[[#This Row],[Metal]] &amp; " " &amp; quantInv[[#This Row],[Item Type]])</f>
        <v>925 Silver Chain</v>
      </c>
      <c r="T539" s="33">
        <f>quantInv[[#This Row],[Quantity]]*quantInv[[#This Row],[WEIGHT]]</f>
        <v>0</v>
      </c>
      <c r="U539" s="33">
        <f>quantInv[[#This Row],[UNIT
VALUE]]*quantInv[[#This Row],[Quantity]]</f>
        <v>0</v>
      </c>
      <c r="V539" s="33">
        <f>quantInv[[#This Row],[Total Cost GBP]]/EURtoGBP</f>
        <v>0</v>
      </c>
      <c r="W539" s="33">
        <f>quantInv[[#This Row],[Total Cost GBP]]/USDtoGBP</f>
        <v>0</v>
      </c>
      <c r="X539" s="33">
        <f>quantInv[[#This Row],[Total Cost GBP]]/CADtoGBP</f>
        <v>0</v>
      </c>
      <c r="Y539" s="33">
        <f>quantInv[[#This Row],[Quantity]]*quantInv[[#This Row],[UNIT
VALUE AUD]]</f>
        <v>0</v>
      </c>
      <c r="Z539" s="33"/>
    </row>
    <row r="540" spans="1:26" x14ac:dyDescent="0.25">
      <c r="A540" t="s">
        <v>27</v>
      </c>
      <c r="B540" t="s">
        <v>581</v>
      </c>
      <c r="C540" t="s">
        <v>114</v>
      </c>
      <c r="D540" t="s">
        <v>580</v>
      </c>
      <c r="E540">
        <v>9.5318840579710091</v>
      </c>
      <c r="F540" s="33">
        <v>9.3719999999999999</v>
      </c>
      <c r="G540" s="33" t="s">
        <v>117</v>
      </c>
      <c r="H540" t="s">
        <v>103</v>
      </c>
      <c r="I540" t="str">
        <f>IF(quantInv[[#This Row],[Metal]] = "925 Silver",  "7113.11.00"," 7113.19.00")</f>
        <v>7113.11.00</v>
      </c>
      <c r="J540" t="str">
        <f>IF(quantInv[[#This Row],[Metal]] = "925 Silver", "7113.11.10.00"," 7113.19.10.00")</f>
        <v>7113.11.10.00</v>
      </c>
      <c r="K540" t="str">
        <f>IF(quantInv[[#This Row],[Metal]] = "925 Silver",  "7113.11.00"," 7113.19.00")</f>
        <v>7113.11.00</v>
      </c>
      <c r="L540" t="str">
        <f>IFERROR(VLOOKUP(quantInv[[#This Row],[Description for New Invoice]],Map!$G$12:$H$32,2,FALSE), IF(quantInv[[#This Row],[Metal]] = "925 Silver", "7113.11.10.00", "7113.19.29.00"))</f>
        <v>7113.11.10.00</v>
      </c>
      <c r="M540" t="str">
        <f>quantInv[[#This Row],[ASIN]] &amp; " " &amp; quantInv[[#This Row],[Short Description]]</f>
        <v>B00DKCZH5S Herringbone Chain</v>
      </c>
      <c r="N540" s="33">
        <f>quantInv[[#This Row],[UNIT
VALUE]] / EURtoGBP</f>
        <v>10.638334099538573</v>
      </c>
      <c r="O540" s="33">
        <f>quantInv[[#This Row],[UNIT
VALUE]]/USDtoGBP</f>
        <v>12.847454978388804</v>
      </c>
      <c r="P540" s="33">
        <f>quantInv[[#This Row],[UNIT
VALUE]] / CADtoGBP</f>
        <v>16.445480914503502</v>
      </c>
      <c r="Q540" s="33">
        <f>quantInv[[#This Row],[UNIT
VALUE]]/AUDtoGBP</f>
        <v>16.833105826567998</v>
      </c>
      <c r="R540">
        <f>IFERROR(VLOOKUP(quantInv[[#This Row],[Assigned Item SKU]],skuQuantity[#All],2,FALSE),0)</f>
        <v>10</v>
      </c>
      <c r="S540" t="str">
        <f>PROPER(quantInv[[#This Row],[Metal]] &amp; " " &amp; quantInv[[#This Row],[Item Type]])</f>
        <v>925 Silver Chain</v>
      </c>
      <c r="T540" s="33">
        <f>quantInv[[#This Row],[Quantity]]*quantInv[[#This Row],[WEIGHT]]</f>
        <v>95.318840579710098</v>
      </c>
      <c r="U540" s="33">
        <f>quantInv[[#This Row],[UNIT
VALUE]]*quantInv[[#This Row],[Quantity]]</f>
        <v>93.72</v>
      </c>
      <c r="V540" s="33">
        <f>quantInv[[#This Row],[Total Cost GBP]]/EURtoGBP</f>
        <v>106.38334099538574</v>
      </c>
      <c r="W540" s="33">
        <f>quantInv[[#This Row],[Total Cost GBP]]/USDtoGBP</f>
        <v>128.47454978388805</v>
      </c>
      <c r="X540" s="33">
        <f>quantInv[[#This Row],[Total Cost GBP]]/CADtoGBP</f>
        <v>164.45480914503503</v>
      </c>
      <c r="Y540" s="33">
        <f>quantInv[[#This Row],[Quantity]]*quantInv[[#This Row],[UNIT
VALUE AUD]]</f>
        <v>168.33105826567999</v>
      </c>
      <c r="Z540" s="33"/>
    </row>
    <row r="541" spans="1:26" x14ac:dyDescent="0.25">
      <c r="A541" t="s">
        <v>585</v>
      </c>
      <c r="B541" t="s">
        <v>586</v>
      </c>
      <c r="C541" t="s">
        <v>114</v>
      </c>
      <c r="D541" t="s">
        <v>242</v>
      </c>
      <c r="E541">
        <v>1.35961538461538</v>
      </c>
      <c r="F541" s="33">
        <v>1.7378</v>
      </c>
      <c r="G541" s="33" t="s">
        <v>117</v>
      </c>
      <c r="H541" t="s">
        <v>1414</v>
      </c>
      <c r="I541" t="str">
        <f>IF(quantInv[[#This Row],[Metal]] = "925 Silver",  "7113.11.00"," 7113.19.00")</f>
        <v>7113.11.00</v>
      </c>
      <c r="J541" t="str">
        <f>IF(quantInv[[#This Row],[Metal]] = "925 Silver", "7113.11.10.00"," 7113.19.10.00")</f>
        <v>7113.11.10.00</v>
      </c>
      <c r="K541" t="str">
        <f>IF(quantInv[[#This Row],[Metal]] = "925 Silver",  "7113.11.00"," 7113.19.00")</f>
        <v>7113.11.00</v>
      </c>
      <c r="L541" t="str">
        <f>IFERROR(VLOOKUP(quantInv[[#This Row],[Description for New Invoice]],Map!$G$12:$H$32,2,FALSE), IF(quantInv[[#This Row],[Metal]] = "925 Silver", "7113.11.10.00", "7113.19.29.00"))</f>
        <v>7113.11.10.00</v>
      </c>
      <c r="M541" t="str">
        <f>quantInv[[#This Row],[ASIN]] &amp; " " &amp; quantInv[[#This Row],[Short Description]]</f>
        <v>B00JCW2U2I Heart Chain</v>
      </c>
      <c r="N541" s="33">
        <f>quantInv[[#This Row],[UNIT
VALUE]] / EURtoGBP</f>
        <v>1.9726095815384266</v>
      </c>
      <c r="O541" s="33">
        <f>quantInv[[#This Row],[UNIT
VALUE]]/USDtoGBP</f>
        <v>2.382235089782764</v>
      </c>
      <c r="P541" s="33">
        <f>quantInv[[#This Row],[UNIT
VALUE]] / CADtoGBP</f>
        <v>3.049397858858748</v>
      </c>
      <c r="Q541" s="33">
        <f>quantInv[[#This Row],[UNIT
VALUE]]/AUDtoGBP</f>
        <v>3.1212730799626409</v>
      </c>
      <c r="R541">
        <f>IFERROR(VLOOKUP(quantInv[[#This Row],[Assigned Item SKU]],skuQuantity[#All],2,FALSE),0)</f>
        <v>10</v>
      </c>
      <c r="S541" t="str">
        <f>PROPER(quantInv[[#This Row],[Metal]] &amp; " " &amp; quantInv[[#This Row],[Item Type]])</f>
        <v>925 Silver Bracelet</v>
      </c>
      <c r="T541" s="33">
        <f>quantInv[[#This Row],[Quantity]]*quantInv[[#This Row],[WEIGHT]]</f>
        <v>13.596153846153801</v>
      </c>
      <c r="U541" s="33">
        <f>quantInv[[#This Row],[UNIT
VALUE]]*quantInv[[#This Row],[Quantity]]</f>
        <v>17.378</v>
      </c>
      <c r="V541" s="33">
        <f>quantInv[[#This Row],[Total Cost GBP]]/EURtoGBP</f>
        <v>19.726095815384266</v>
      </c>
      <c r="W541" s="33">
        <f>quantInv[[#This Row],[Total Cost GBP]]/USDtoGBP</f>
        <v>23.82235089782764</v>
      </c>
      <c r="X541" s="33">
        <f>quantInv[[#This Row],[Total Cost GBP]]/CADtoGBP</f>
        <v>30.493978588587481</v>
      </c>
      <c r="Y541" s="33">
        <f>quantInv[[#This Row],[Quantity]]*quantInv[[#This Row],[UNIT
VALUE AUD]]</f>
        <v>31.21273079962641</v>
      </c>
      <c r="Z541" s="33"/>
    </row>
    <row r="542" spans="1:26" x14ac:dyDescent="0.25">
      <c r="A542" t="s">
        <v>1244</v>
      </c>
      <c r="B542" t="s">
        <v>1245</v>
      </c>
      <c r="C542" t="s">
        <v>114</v>
      </c>
      <c r="D542" t="s">
        <v>1246</v>
      </c>
      <c r="E542">
        <v>1.3</v>
      </c>
      <c r="F542" s="33">
        <v>2.7446000000000002</v>
      </c>
      <c r="G542" s="33" t="s">
        <v>117</v>
      </c>
      <c r="H542" t="s">
        <v>1310</v>
      </c>
      <c r="I542" t="str">
        <f>IF(quantInv[[#This Row],[Metal]] = "925 Silver",  "7113.11.00"," 7113.19.00")</f>
        <v>7113.11.00</v>
      </c>
      <c r="J542" t="str">
        <f>IF(quantInv[[#This Row],[Metal]] = "925 Silver", "7113.11.10.00"," 7113.19.10.00")</f>
        <v>7113.11.10.00</v>
      </c>
      <c r="K542" t="str">
        <f>IF(quantInv[[#This Row],[Metal]] = "925 Silver",  "7113.11.00"," 7113.19.00")</f>
        <v>7113.11.00</v>
      </c>
      <c r="L542" t="str">
        <f>IFERROR(VLOOKUP(quantInv[[#This Row],[Description for New Invoice]],Map!$G$12:$H$32,2,FALSE), IF(quantInv[[#This Row],[Metal]] = "925 Silver", "7113.11.10.00", "7113.19.29.00"))</f>
        <v>7113.11.50.00</v>
      </c>
      <c r="M542" t="str">
        <f>quantInv[[#This Row],[ASIN]] &amp; " " &amp; quantInv[[#This Row],[Short Description]]</f>
        <v>B07QS9N4ZX Silver Bali Hoops</v>
      </c>
      <c r="N542" s="33">
        <f>quantInv[[#This Row],[UNIT
VALUE]] / EURtoGBP</f>
        <v>3.1154472652148497</v>
      </c>
      <c r="O542" s="33">
        <f>quantInv[[#This Row],[UNIT
VALUE]]/USDtoGBP</f>
        <v>3.7623906245930341</v>
      </c>
      <c r="P542" s="33">
        <f>quantInv[[#This Row],[UNIT
VALUE]] / CADtoGBP</f>
        <v>4.8160762823246177</v>
      </c>
      <c r="Q542" s="33">
        <f>quantInv[[#This Row],[UNIT
VALUE]]/AUDtoGBP</f>
        <v>4.9295926431496513</v>
      </c>
      <c r="R542">
        <f>IFERROR(VLOOKUP(quantInv[[#This Row],[Assigned Item SKU]],skuQuantity[#All],2,FALSE),0)</f>
        <v>0</v>
      </c>
      <c r="S542" t="str">
        <f>PROPER(quantInv[[#This Row],[Metal]] &amp; " " &amp; quantInv[[#This Row],[Item Type]])</f>
        <v>925 Silver Earrings</v>
      </c>
      <c r="T542" s="33">
        <f>quantInv[[#This Row],[Quantity]]*quantInv[[#This Row],[WEIGHT]]</f>
        <v>0</v>
      </c>
      <c r="U542" s="33">
        <f>quantInv[[#This Row],[UNIT
VALUE]]*quantInv[[#This Row],[Quantity]]</f>
        <v>0</v>
      </c>
      <c r="V542" s="33">
        <f>quantInv[[#This Row],[Total Cost GBP]]/EURtoGBP</f>
        <v>0</v>
      </c>
      <c r="W542" s="33">
        <f>quantInv[[#This Row],[Total Cost GBP]]/USDtoGBP</f>
        <v>0</v>
      </c>
      <c r="X542" s="33">
        <f>quantInv[[#This Row],[Total Cost GBP]]/CADtoGBP</f>
        <v>0</v>
      </c>
      <c r="Y542" s="33">
        <f>quantInv[[#This Row],[Quantity]]*quantInv[[#This Row],[UNIT
VALUE AUD]]</f>
        <v>0</v>
      </c>
      <c r="Z542" s="33"/>
    </row>
    <row r="543" spans="1:26" x14ac:dyDescent="0.25">
      <c r="A543" t="s">
        <v>1247</v>
      </c>
      <c r="B543" t="s">
        <v>1248</v>
      </c>
      <c r="C543" t="s">
        <v>114</v>
      </c>
      <c r="D543" t="s">
        <v>1246</v>
      </c>
      <c r="E543">
        <v>1.3</v>
      </c>
      <c r="F543" s="33">
        <v>2.7446000000000002</v>
      </c>
      <c r="G543" s="33" t="s">
        <v>117</v>
      </c>
      <c r="H543" t="s">
        <v>1310</v>
      </c>
      <c r="I543" t="str">
        <f>IF(quantInv[[#This Row],[Metal]] = "925 Silver",  "7113.11.00"," 7113.19.00")</f>
        <v>7113.11.00</v>
      </c>
      <c r="J543" t="str">
        <f>IF(quantInv[[#This Row],[Metal]] = "925 Silver", "7113.11.10.00"," 7113.19.10.00")</f>
        <v>7113.11.10.00</v>
      </c>
      <c r="K543" t="str">
        <f>IF(quantInv[[#This Row],[Metal]] = "925 Silver",  "7113.11.00"," 7113.19.00")</f>
        <v>7113.11.00</v>
      </c>
      <c r="L543" t="str">
        <f>IFERROR(VLOOKUP(quantInv[[#This Row],[Description for New Invoice]],Map!$G$12:$H$32,2,FALSE), IF(quantInv[[#This Row],[Metal]] = "925 Silver", "7113.11.10.00", "7113.19.29.00"))</f>
        <v>7113.11.50.00</v>
      </c>
      <c r="M543" t="str">
        <f>quantInv[[#This Row],[ASIN]] &amp; " " &amp; quantInv[[#This Row],[Short Description]]</f>
        <v>B07QSB6FQN Silver Bali Hoops</v>
      </c>
      <c r="N543" s="33">
        <f>quantInv[[#This Row],[UNIT
VALUE]] / EURtoGBP</f>
        <v>3.1154472652148497</v>
      </c>
      <c r="O543" s="33">
        <f>quantInv[[#This Row],[UNIT
VALUE]]/USDtoGBP</f>
        <v>3.7623906245930341</v>
      </c>
      <c r="P543" s="33">
        <f>quantInv[[#This Row],[UNIT
VALUE]] / CADtoGBP</f>
        <v>4.8160762823246177</v>
      </c>
      <c r="Q543" s="33">
        <f>quantInv[[#This Row],[UNIT
VALUE]]/AUDtoGBP</f>
        <v>4.9295926431496513</v>
      </c>
      <c r="R543">
        <f>IFERROR(VLOOKUP(quantInv[[#This Row],[Assigned Item SKU]],skuQuantity[#All],2,FALSE),0)</f>
        <v>0</v>
      </c>
      <c r="S543" t="str">
        <f>PROPER(quantInv[[#This Row],[Metal]] &amp; " " &amp; quantInv[[#This Row],[Item Type]])</f>
        <v>925 Silver Earrings</v>
      </c>
      <c r="T543" s="33">
        <f>quantInv[[#This Row],[Quantity]]*quantInv[[#This Row],[WEIGHT]]</f>
        <v>0</v>
      </c>
      <c r="U543" s="33">
        <f>quantInv[[#This Row],[UNIT
VALUE]]*quantInv[[#This Row],[Quantity]]</f>
        <v>0</v>
      </c>
      <c r="V543" s="33">
        <f>quantInv[[#This Row],[Total Cost GBP]]/EURtoGBP</f>
        <v>0</v>
      </c>
      <c r="W543" s="33">
        <f>quantInv[[#This Row],[Total Cost GBP]]/USDtoGBP</f>
        <v>0</v>
      </c>
      <c r="X543" s="33">
        <f>quantInv[[#This Row],[Total Cost GBP]]/CADtoGBP</f>
        <v>0</v>
      </c>
      <c r="Y543" s="33">
        <f>quantInv[[#This Row],[Quantity]]*quantInv[[#This Row],[UNIT
VALUE AUD]]</f>
        <v>0</v>
      </c>
      <c r="Z543" s="33"/>
    </row>
    <row r="544" spans="1:26" x14ac:dyDescent="0.25">
      <c r="A544" t="s">
        <v>1249</v>
      </c>
      <c r="B544" t="s">
        <v>1250</v>
      </c>
      <c r="C544" t="s">
        <v>114</v>
      </c>
      <c r="D544" t="s">
        <v>1246</v>
      </c>
      <c r="E544">
        <v>0.97</v>
      </c>
      <c r="F544" s="33">
        <v>2.0758999999999999</v>
      </c>
      <c r="G544" s="33" t="s">
        <v>117</v>
      </c>
      <c r="H544" t="s">
        <v>1310</v>
      </c>
      <c r="I544" t="str">
        <f>IF(quantInv[[#This Row],[Metal]] = "925 Silver",  "7113.11.00"," 7113.19.00")</f>
        <v>7113.11.00</v>
      </c>
      <c r="J544" t="str">
        <f>IF(quantInv[[#This Row],[Metal]] = "925 Silver", "7113.11.10.00"," 7113.19.10.00")</f>
        <v>7113.11.10.00</v>
      </c>
      <c r="K544" t="str">
        <f>IF(quantInv[[#This Row],[Metal]] = "925 Silver",  "7113.11.00"," 7113.19.00")</f>
        <v>7113.11.00</v>
      </c>
      <c r="L544" t="str">
        <f>IFERROR(VLOOKUP(quantInv[[#This Row],[Description for New Invoice]],Map!$G$12:$H$32,2,FALSE), IF(quantInv[[#This Row],[Metal]] = "925 Silver", "7113.11.10.00", "7113.19.29.00"))</f>
        <v>7113.11.50.00</v>
      </c>
      <c r="M544" t="str">
        <f>quantInv[[#This Row],[ASIN]] &amp; " " &amp; quantInv[[#This Row],[Short Description]]</f>
        <v>B07QSBWZRJ Silver Bali Hoops</v>
      </c>
      <c r="N544" s="33">
        <f>quantInv[[#This Row],[UNIT
VALUE]] / EURtoGBP</f>
        <v>2.3563932732855446</v>
      </c>
      <c r="O544" s="33">
        <f>quantInv[[#This Row],[UNIT
VALUE]]/USDtoGBP</f>
        <v>2.845714019380849</v>
      </c>
      <c r="P544" s="33">
        <f>quantInv[[#This Row],[UNIT
VALUE]] / CADtoGBP</f>
        <v>3.642677532054825</v>
      </c>
      <c r="Q544" s="33">
        <f>quantInv[[#This Row],[UNIT
VALUE]]/AUDtoGBP</f>
        <v>3.728536532796896</v>
      </c>
      <c r="R544">
        <f>IFERROR(VLOOKUP(quantInv[[#This Row],[Assigned Item SKU]],skuQuantity[#All],2,FALSE),0)</f>
        <v>0</v>
      </c>
      <c r="S544" t="str">
        <f>PROPER(quantInv[[#This Row],[Metal]] &amp; " " &amp; quantInv[[#This Row],[Item Type]])</f>
        <v>925 Silver Earrings</v>
      </c>
      <c r="T544" s="33">
        <f>quantInv[[#This Row],[Quantity]]*quantInv[[#This Row],[WEIGHT]]</f>
        <v>0</v>
      </c>
      <c r="U544" s="33">
        <f>quantInv[[#This Row],[UNIT
VALUE]]*quantInv[[#This Row],[Quantity]]</f>
        <v>0</v>
      </c>
      <c r="V544" s="33">
        <f>quantInv[[#This Row],[Total Cost GBP]]/EURtoGBP</f>
        <v>0</v>
      </c>
      <c r="W544" s="33">
        <f>quantInv[[#This Row],[Total Cost GBP]]/USDtoGBP</f>
        <v>0</v>
      </c>
      <c r="X544" s="33">
        <f>quantInv[[#This Row],[Total Cost GBP]]/CADtoGBP</f>
        <v>0</v>
      </c>
      <c r="Y544" s="33">
        <f>quantInv[[#This Row],[Quantity]]*quantInv[[#This Row],[UNIT
VALUE AUD]]</f>
        <v>0</v>
      </c>
      <c r="Z544" s="33"/>
    </row>
    <row r="545" spans="1:26" x14ac:dyDescent="0.25">
      <c r="A545" t="s">
        <v>1251</v>
      </c>
      <c r="B545" t="s">
        <v>1252</v>
      </c>
      <c r="C545" t="s">
        <v>114</v>
      </c>
      <c r="D545" t="s">
        <v>1253</v>
      </c>
      <c r="E545">
        <v>1.1499999999999999</v>
      </c>
      <c r="F545" s="33">
        <v>1.3566</v>
      </c>
      <c r="G545" s="33" t="s">
        <v>117</v>
      </c>
      <c r="H545" t="s">
        <v>1310</v>
      </c>
      <c r="I545" t="str">
        <f>IF(quantInv[[#This Row],[Metal]] = "925 Silver",  "7113.11.00"," 7113.19.00")</f>
        <v>7113.11.00</v>
      </c>
      <c r="J545" t="str">
        <f>IF(quantInv[[#This Row],[Metal]] = "925 Silver", "7113.11.10.00"," 7113.19.10.00")</f>
        <v>7113.11.10.00</v>
      </c>
      <c r="K545" t="str">
        <f>IF(quantInv[[#This Row],[Metal]] = "925 Silver",  "7113.11.00"," 7113.19.00")</f>
        <v>7113.11.00</v>
      </c>
      <c r="L545" t="str">
        <f>IFERROR(VLOOKUP(quantInv[[#This Row],[Description for New Invoice]],Map!$G$12:$H$32,2,FALSE), IF(quantInv[[#This Row],[Metal]] = "925 Silver", "7113.11.10.00", "7113.19.29.00"))</f>
        <v>7113.11.50.00</v>
      </c>
      <c r="M545" t="str">
        <f>quantInv[[#This Row],[ASIN]] &amp; " " &amp; quantInv[[#This Row],[Short Description]]</f>
        <v>B07GGS5QNP Earrings: studs hearts</v>
      </c>
      <c r="N545" s="33">
        <f>quantInv[[#This Row],[UNIT
VALUE]] / EURtoGBP</f>
        <v>1.5399022662648347</v>
      </c>
      <c r="O545" s="33">
        <f>quantInv[[#This Row],[UNIT
VALUE]]/USDtoGBP</f>
        <v>1.859673220623373</v>
      </c>
      <c r="P545" s="33">
        <f>quantInv[[#This Row],[UNIT
VALUE]] / CADtoGBP</f>
        <v>2.3804886266128311</v>
      </c>
      <c r="Q545" s="33">
        <f>quantInv[[#This Row],[UNIT
VALUE]]/AUDtoGBP</f>
        <v>2.4365974567138444</v>
      </c>
      <c r="R545">
        <f>IFERROR(VLOOKUP(quantInv[[#This Row],[Assigned Item SKU]],skuQuantity[#All],2,FALSE),0)</f>
        <v>0</v>
      </c>
      <c r="S545" t="str">
        <f>PROPER(quantInv[[#This Row],[Metal]] &amp; " " &amp; quantInv[[#This Row],[Item Type]])</f>
        <v>925 Silver Earrings</v>
      </c>
      <c r="T545" s="33">
        <f>quantInv[[#This Row],[Quantity]]*quantInv[[#This Row],[WEIGHT]]</f>
        <v>0</v>
      </c>
      <c r="U545" s="33">
        <f>quantInv[[#This Row],[UNIT
VALUE]]*quantInv[[#This Row],[Quantity]]</f>
        <v>0</v>
      </c>
      <c r="V545" s="33">
        <f>quantInv[[#This Row],[Total Cost GBP]]/EURtoGBP</f>
        <v>0</v>
      </c>
      <c r="W545" s="33">
        <f>quantInv[[#This Row],[Total Cost GBP]]/USDtoGBP</f>
        <v>0</v>
      </c>
      <c r="X545" s="33">
        <f>quantInv[[#This Row],[Total Cost GBP]]/CADtoGBP</f>
        <v>0</v>
      </c>
      <c r="Y545" s="33">
        <f>quantInv[[#This Row],[Quantity]]*quantInv[[#This Row],[UNIT
VALUE AUD]]</f>
        <v>0</v>
      </c>
      <c r="Z545" s="33"/>
    </row>
    <row r="546" spans="1:26" x14ac:dyDescent="0.25">
      <c r="A546" t="s">
        <v>1254</v>
      </c>
      <c r="B546" t="s">
        <v>1255</v>
      </c>
      <c r="C546" t="s">
        <v>114</v>
      </c>
      <c r="D546" t="s">
        <v>1256</v>
      </c>
      <c r="E546">
        <v>12.7</v>
      </c>
      <c r="F546" s="33">
        <v>11.7424</v>
      </c>
      <c r="G546" s="33" t="s">
        <v>117</v>
      </c>
      <c r="H546" t="s">
        <v>103</v>
      </c>
      <c r="I546" t="str">
        <f>IF(quantInv[[#This Row],[Metal]] = "925 Silver",  "7113.11.00"," 7113.19.00")</f>
        <v>7113.11.00</v>
      </c>
      <c r="J546" t="str">
        <f>IF(quantInv[[#This Row],[Metal]] = "925 Silver", "7113.11.10.00"," 7113.19.10.00")</f>
        <v>7113.11.10.00</v>
      </c>
      <c r="K546" t="str">
        <f>IF(quantInv[[#This Row],[Metal]] = "925 Silver",  "7113.11.00"," 7113.19.00")</f>
        <v>7113.11.00</v>
      </c>
      <c r="L546" t="str">
        <f>IFERROR(VLOOKUP(quantInv[[#This Row],[Description for New Invoice]],Map!$G$12:$H$32,2,FALSE), IF(quantInv[[#This Row],[Metal]] = "925 Silver", "7113.11.10.00", "7113.19.29.00"))</f>
        <v>7113.11.10.00</v>
      </c>
      <c r="M546" t="str">
        <f>quantInv[[#This Row],[ASIN]] &amp; " " &amp; quantInv[[#This Row],[Short Description]]</f>
        <v>B07VCKSBXQ Ball Chain 3 mm</v>
      </c>
      <c r="N546" s="33">
        <f>quantInv[[#This Row],[UNIT
VALUE]] / EURtoGBP</f>
        <v>13.329019881607101</v>
      </c>
      <c r="O546" s="33">
        <f>quantInv[[#This Row],[UNIT
VALUE]]/USDtoGBP</f>
        <v>16.096879570874169</v>
      </c>
      <c r="P546" s="33">
        <f>quantInv[[#This Row],[UNIT
VALUE]] / CADtoGBP</f>
        <v>20.604931187629742</v>
      </c>
      <c r="Q546" s="33">
        <f>quantInv[[#This Row],[UNIT
VALUE]]/AUDtoGBP</f>
        <v>21.090595588763559</v>
      </c>
      <c r="R546">
        <f>IFERROR(VLOOKUP(quantInv[[#This Row],[Assigned Item SKU]],skuQuantity[#All],2,FALSE),0)</f>
        <v>0</v>
      </c>
      <c r="S546" t="str">
        <f>PROPER(quantInv[[#This Row],[Metal]] &amp; " " &amp; quantInv[[#This Row],[Item Type]])</f>
        <v>925 Silver Chain</v>
      </c>
      <c r="T546" s="33">
        <f>quantInv[[#This Row],[Quantity]]*quantInv[[#This Row],[WEIGHT]]</f>
        <v>0</v>
      </c>
      <c r="U546" s="33">
        <f>quantInv[[#This Row],[UNIT
VALUE]]*quantInv[[#This Row],[Quantity]]</f>
        <v>0</v>
      </c>
      <c r="V546" s="33">
        <f>quantInv[[#This Row],[Total Cost GBP]]/EURtoGBP</f>
        <v>0</v>
      </c>
      <c r="W546" s="33">
        <f>quantInv[[#This Row],[Total Cost GBP]]/USDtoGBP</f>
        <v>0</v>
      </c>
      <c r="X546" s="33">
        <f>quantInv[[#This Row],[Total Cost GBP]]/CADtoGBP</f>
        <v>0</v>
      </c>
      <c r="Y546" s="33">
        <f>quantInv[[#This Row],[Quantity]]*quantInv[[#This Row],[UNIT
VALUE AUD]]</f>
        <v>0</v>
      </c>
      <c r="Z546" s="33"/>
    </row>
    <row r="547" spans="1:26" x14ac:dyDescent="0.25">
      <c r="A547" t="s">
        <v>1257</v>
      </c>
      <c r="B547" t="s">
        <v>1258</v>
      </c>
      <c r="C547" t="s">
        <v>114</v>
      </c>
      <c r="D547" t="s">
        <v>1256</v>
      </c>
      <c r="E547">
        <v>15.5</v>
      </c>
      <c r="F547" s="33">
        <v>14.1351</v>
      </c>
      <c r="G547" s="33" t="s">
        <v>117</v>
      </c>
      <c r="H547" t="s">
        <v>103</v>
      </c>
      <c r="I547" t="str">
        <f>IF(quantInv[[#This Row],[Metal]] = "925 Silver",  "7113.11.00"," 7113.19.00")</f>
        <v>7113.11.00</v>
      </c>
      <c r="J547" t="str">
        <f>IF(quantInv[[#This Row],[Metal]] = "925 Silver", "7113.11.10.00"," 7113.19.10.00")</f>
        <v>7113.11.10.00</v>
      </c>
      <c r="K547" t="str">
        <f>IF(quantInv[[#This Row],[Metal]] = "925 Silver",  "7113.11.00"," 7113.19.00")</f>
        <v>7113.11.00</v>
      </c>
      <c r="L547" t="str">
        <f>IFERROR(VLOOKUP(quantInv[[#This Row],[Description for New Invoice]],Map!$G$12:$H$32,2,FALSE), IF(quantInv[[#This Row],[Metal]] = "925 Silver", "7113.11.10.00", "7113.19.29.00"))</f>
        <v>7113.11.10.00</v>
      </c>
      <c r="M547" t="str">
        <f>quantInv[[#This Row],[ASIN]] &amp; " " &amp; quantInv[[#This Row],[Short Description]]</f>
        <v>B07VBFBKXM Ball Chain 3 mm</v>
      </c>
      <c r="N547" s="33">
        <f>quantInv[[#This Row],[UNIT
VALUE]] / EURtoGBP</f>
        <v>16.045018814595359</v>
      </c>
      <c r="O547" s="33">
        <f>quantInv[[#This Row],[UNIT
VALUE]]/USDtoGBP</f>
        <v>19.376873758538579</v>
      </c>
      <c r="P547" s="33">
        <f>quantInv[[#This Row],[UNIT
VALUE]] / CADtoGBP</f>
        <v>24.803512299893136</v>
      </c>
      <c r="Q547" s="33">
        <f>quantInv[[#This Row],[UNIT
VALUE]]/AUDtoGBP</f>
        <v>25.388138515697964</v>
      </c>
      <c r="R547">
        <f>IFERROR(VLOOKUP(quantInv[[#This Row],[Assigned Item SKU]],skuQuantity[#All],2,FALSE),0)</f>
        <v>0</v>
      </c>
      <c r="S547" t="str">
        <f>PROPER(quantInv[[#This Row],[Metal]] &amp; " " &amp; quantInv[[#This Row],[Item Type]])</f>
        <v>925 Silver Chain</v>
      </c>
      <c r="T547" s="33">
        <f>quantInv[[#This Row],[Quantity]]*quantInv[[#This Row],[WEIGHT]]</f>
        <v>0</v>
      </c>
      <c r="U547" s="33">
        <f>quantInv[[#This Row],[UNIT
VALUE]]*quantInv[[#This Row],[Quantity]]</f>
        <v>0</v>
      </c>
      <c r="V547" s="33">
        <f>quantInv[[#This Row],[Total Cost GBP]]/EURtoGBP</f>
        <v>0</v>
      </c>
      <c r="W547" s="33">
        <f>quantInv[[#This Row],[Total Cost GBP]]/USDtoGBP</f>
        <v>0</v>
      </c>
      <c r="X547" s="33">
        <f>quantInv[[#This Row],[Total Cost GBP]]/CADtoGBP</f>
        <v>0</v>
      </c>
      <c r="Y547" s="33">
        <f>quantInv[[#This Row],[Quantity]]*quantInv[[#This Row],[UNIT
VALUE AUD]]</f>
        <v>0</v>
      </c>
      <c r="Z547" s="33"/>
    </row>
    <row r="548" spans="1:26" x14ac:dyDescent="0.25">
      <c r="A548" t="s">
        <v>614</v>
      </c>
      <c r="B548" t="s">
        <v>615</v>
      </c>
      <c r="C548" t="s">
        <v>114</v>
      </c>
      <c r="D548" t="s">
        <v>611</v>
      </c>
      <c r="E548">
        <v>2.81</v>
      </c>
      <c r="F548" s="33">
        <v>3.6408</v>
      </c>
      <c r="G548" s="33" t="s">
        <v>117</v>
      </c>
      <c r="H548" t="s">
        <v>1426</v>
      </c>
      <c r="I548" t="str">
        <f>IF(quantInv[[#This Row],[Metal]] = "925 Silver",  "7113.11.00"," 7113.19.00")</f>
        <v>7113.11.00</v>
      </c>
      <c r="J548" t="str">
        <f>IF(quantInv[[#This Row],[Metal]] = "925 Silver", "7113.11.10.00"," 7113.19.10.00")</f>
        <v>7113.11.10.00</v>
      </c>
      <c r="K548" t="str">
        <f>IF(quantInv[[#This Row],[Metal]] = "925 Silver",  "7113.11.00"," 7113.19.00")</f>
        <v>7113.11.00</v>
      </c>
      <c r="L548" t="str">
        <f>IFERROR(VLOOKUP(quantInv[[#This Row],[Description for New Invoice]],Map!$G$12:$H$32,2,FALSE), IF(quantInv[[#This Row],[Metal]] = "925 Silver", "7113.11.10.00", "7113.19.29.00"))</f>
        <v>7113.11.10.00</v>
      </c>
      <c r="M548" t="str">
        <f>quantInv[[#This Row],[ASIN]] &amp; " " &amp; quantInv[[#This Row],[Short Description]]</f>
        <v>B0725N75R7 Bismark chain</v>
      </c>
      <c r="N548" s="33">
        <f>quantInv[[#This Row],[UNIT
VALUE]] / EURtoGBP</f>
        <v>4.1327408012804145</v>
      </c>
      <c r="O548" s="33">
        <f>quantInv[[#This Row],[UNIT
VALUE]]/USDtoGBP</f>
        <v>4.9909319339861247</v>
      </c>
      <c r="P548" s="33">
        <f>quantInv[[#This Row],[UNIT
VALUE]] / CADtoGBP</f>
        <v>6.3886797816393885</v>
      </c>
      <c r="Q548" s="33">
        <f>quantInv[[#This Row],[UNIT
VALUE]]/AUDtoGBP</f>
        <v>6.5392628780803213</v>
      </c>
      <c r="R548">
        <f>IFERROR(VLOOKUP(quantInv[[#This Row],[Assigned Item SKU]],skuQuantity[#All],2,FALSE),0)</f>
        <v>30</v>
      </c>
      <c r="S548" t="str">
        <f>PROPER(quantInv[[#This Row],[Metal]] &amp; " " &amp; quantInv[[#This Row],[Item Type]])</f>
        <v>925 Silver Anklet</v>
      </c>
      <c r="T548" s="33">
        <f>quantInv[[#This Row],[Quantity]]*quantInv[[#This Row],[WEIGHT]]</f>
        <v>84.3</v>
      </c>
      <c r="U548" s="33">
        <f>quantInv[[#This Row],[UNIT
VALUE]]*quantInv[[#This Row],[Quantity]]</f>
        <v>109.224</v>
      </c>
      <c r="V548" s="33">
        <f>quantInv[[#This Row],[Total Cost GBP]]/EURtoGBP</f>
        <v>123.98222403841243</v>
      </c>
      <c r="W548" s="33">
        <f>quantInv[[#This Row],[Total Cost GBP]]/USDtoGBP</f>
        <v>149.72795801958375</v>
      </c>
      <c r="X548" s="33">
        <f>quantInv[[#This Row],[Total Cost GBP]]/CADtoGBP</f>
        <v>191.66039344918167</v>
      </c>
      <c r="Y548" s="33">
        <f>quantInv[[#This Row],[Quantity]]*quantInv[[#This Row],[UNIT
VALUE AUD]]</f>
        <v>196.17788634240964</v>
      </c>
      <c r="Z548" s="33"/>
    </row>
    <row r="549" spans="1:26" x14ac:dyDescent="0.25">
      <c r="A549" t="s">
        <v>1262</v>
      </c>
      <c r="B549" t="s">
        <v>1263</v>
      </c>
      <c r="C549" t="s">
        <v>114</v>
      </c>
      <c r="D549" t="s">
        <v>1264</v>
      </c>
      <c r="E549">
        <v>3.1</v>
      </c>
      <c r="F549" s="33">
        <v>6.1978999999999997</v>
      </c>
      <c r="G549" s="33" t="s">
        <v>117</v>
      </c>
      <c r="H549" t="s">
        <v>1414</v>
      </c>
      <c r="I549" t="str">
        <f>IF(quantInv[[#This Row],[Metal]] = "925 Silver",  "7113.11.00"," 7113.19.00")</f>
        <v>7113.11.00</v>
      </c>
      <c r="J549" t="str">
        <f>IF(quantInv[[#This Row],[Metal]] = "925 Silver", "7113.11.10.00"," 7113.19.10.00")</f>
        <v>7113.11.10.00</v>
      </c>
      <c r="K549" t="str">
        <f>IF(quantInv[[#This Row],[Metal]] = "925 Silver",  "7113.11.00"," 7113.19.00")</f>
        <v>7113.11.00</v>
      </c>
      <c r="L549" t="str">
        <f>IFERROR(VLOOKUP(quantInv[[#This Row],[Description for New Invoice]],Map!$G$12:$H$32,2,FALSE), IF(quantInv[[#This Row],[Metal]] = "925 Silver", "7113.11.10.00", "7113.19.29.00"))</f>
        <v>7113.11.10.00</v>
      </c>
      <c r="M549" t="str">
        <f>quantInv[[#This Row],[ASIN]] &amp; " " &amp; quantInv[[#This Row],[Short Description]]</f>
        <v>B07PPHGXHC Round Box Chain with Infinity and Donut Slider Bracelet</v>
      </c>
      <c r="N549" s="33">
        <f>quantInv[[#This Row],[UNIT
VALUE]] / EURtoGBP</f>
        <v>7.0353532773719722</v>
      </c>
      <c r="O549" s="33">
        <f>quantInv[[#This Row],[UNIT
VALUE]]/USDtoGBP</f>
        <v>8.4962912089795104</v>
      </c>
      <c r="P549" s="33">
        <f>quantInv[[#This Row],[UNIT
VALUE]] / CADtoGBP</f>
        <v>10.875741160904957</v>
      </c>
      <c r="Q549" s="33">
        <f>quantInv[[#This Row],[UNIT
VALUE]]/AUDtoGBP</f>
        <v>11.132085638336086</v>
      </c>
      <c r="R549">
        <f>IFERROR(VLOOKUP(quantInv[[#This Row],[Assigned Item SKU]],skuQuantity[#All],2,FALSE),0)</f>
        <v>0</v>
      </c>
      <c r="S549" t="str">
        <f>PROPER(quantInv[[#This Row],[Metal]] &amp; " " &amp; quantInv[[#This Row],[Item Type]])</f>
        <v>925 Silver Bracelet</v>
      </c>
      <c r="T549" s="33">
        <f>quantInv[[#This Row],[Quantity]]*quantInv[[#This Row],[WEIGHT]]</f>
        <v>0</v>
      </c>
      <c r="U549" s="33">
        <f>quantInv[[#This Row],[UNIT
VALUE]]*quantInv[[#This Row],[Quantity]]</f>
        <v>0</v>
      </c>
      <c r="V549" s="33">
        <f>quantInv[[#This Row],[Total Cost GBP]]/EURtoGBP</f>
        <v>0</v>
      </c>
      <c r="W549" s="33">
        <f>quantInv[[#This Row],[Total Cost GBP]]/USDtoGBP</f>
        <v>0</v>
      </c>
      <c r="X549" s="33">
        <f>quantInv[[#This Row],[Total Cost GBP]]/CADtoGBP</f>
        <v>0</v>
      </c>
      <c r="Y549" s="33">
        <f>quantInv[[#This Row],[Quantity]]*quantInv[[#This Row],[UNIT
VALUE AUD]]</f>
        <v>0</v>
      </c>
      <c r="Z549" s="33"/>
    </row>
    <row r="550" spans="1:26" x14ac:dyDescent="0.25">
      <c r="A550" t="s">
        <v>620</v>
      </c>
      <c r="B550" t="s">
        <v>621</v>
      </c>
      <c r="C550" t="s">
        <v>114</v>
      </c>
      <c r="D550" t="s">
        <v>611</v>
      </c>
      <c r="E550">
        <v>5.6041176470588203</v>
      </c>
      <c r="F550" s="33">
        <v>5.7790999999999997</v>
      </c>
      <c r="G550" s="33" t="s">
        <v>117</v>
      </c>
      <c r="H550" t="s">
        <v>103</v>
      </c>
      <c r="I550" t="str">
        <f>IF(quantInv[[#This Row],[Metal]] = "925 Silver",  "7113.11.00"," 7113.19.00")</f>
        <v>7113.11.00</v>
      </c>
      <c r="J550" t="str">
        <f>IF(quantInv[[#This Row],[Metal]] = "925 Silver", "7113.11.10.00"," 7113.19.10.00")</f>
        <v>7113.11.10.00</v>
      </c>
      <c r="K550" t="str">
        <f>IF(quantInv[[#This Row],[Metal]] = "925 Silver",  "7113.11.00"," 7113.19.00")</f>
        <v>7113.11.00</v>
      </c>
      <c r="L550" t="str">
        <f>IFERROR(VLOOKUP(quantInv[[#This Row],[Description for New Invoice]],Map!$G$12:$H$32,2,FALSE), IF(quantInv[[#This Row],[Metal]] = "925 Silver", "7113.11.10.00", "7113.19.29.00"))</f>
        <v>7113.11.10.00</v>
      </c>
      <c r="M550" t="str">
        <f>quantInv[[#This Row],[ASIN]] &amp; " " &amp; quantInv[[#This Row],[Short Description]]</f>
        <v>B0164MQHLI Bismark chain</v>
      </c>
      <c r="N550" s="33">
        <f>quantInv[[#This Row],[UNIT
VALUE]] / EURtoGBP</f>
        <v>6.5599654923861896</v>
      </c>
      <c r="O550" s="33">
        <f>quantInv[[#This Row],[UNIT
VALUE]]/USDtoGBP</f>
        <v>7.9221859865137363</v>
      </c>
      <c r="P550" s="33">
        <f>quantInv[[#This Row],[UNIT
VALUE]] / CADtoGBP</f>
        <v>10.140853473432266</v>
      </c>
      <c r="Q550" s="33">
        <f>quantInv[[#This Row],[UNIT
VALUE]]/AUDtoGBP</f>
        <v>10.379876427904302</v>
      </c>
      <c r="R550">
        <f>IFERROR(VLOOKUP(quantInv[[#This Row],[Assigned Item SKU]],skuQuantity[#All],2,FALSE),0)</f>
        <v>5</v>
      </c>
      <c r="S550" t="str">
        <f>PROPER(quantInv[[#This Row],[Metal]] &amp; " " &amp; quantInv[[#This Row],[Item Type]])</f>
        <v>925 Silver Chain</v>
      </c>
      <c r="T550" s="33">
        <f>quantInv[[#This Row],[Quantity]]*quantInv[[#This Row],[WEIGHT]]</f>
        <v>28.020588235294102</v>
      </c>
      <c r="U550" s="33">
        <f>quantInv[[#This Row],[UNIT
VALUE]]*quantInv[[#This Row],[Quantity]]</f>
        <v>28.895499999999998</v>
      </c>
      <c r="V550" s="33">
        <f>quantInv[[#This Row],[Total Cost GBP]]/EURtoGBP</f>
        <v>32.799827461930946</v>
      </c>
      <c r="W550" s="33">
        <f>quantInv[[#This Row],[Total Cost GBP]]/USDtoGBP</f>
        <v>39.610929932568681</v>
      </c>
      <c r="X550" s="33">
        <f>quantInv[[#This Row],[Total Cost GBP]]/CADtoGBP</f>
        <v>50.704267367161322</v>
      </c>
      <c r="Y550" s="33">
        <f>quantInv[[#This Row],[Quantity]]*quantInv[[#This Row],[UNIT
VALUE AUD]]</f>
        <v>51.899382139521506</v>
      </c>
      <c r="Z550" s="33"/>
    </row>
    <row r="551" spans="1:26" x14ac:dyDescent="0.25">
      <c r="A551" t="s">
        <v>1268</v>
      </c>
      <c r="B551" t="s">
        <v>1269</v>
      </c>
      <c r="C551" t="s">
        <v>114</v>
      </c>
      <c r="D551" t="s">
        <v>1270</v>
      </c>
      <c r="E551">
        <v>2.9</v>
      </c>
      <c r="F551" s="33">
        <v>6.0658000000000003</v>
      </c>
      <c r="G551" s="33" t="s">
        <v>117</v>
      </c>
      <c r="H551" t="s">
        <v>1414</v>
      </c>
      <c r="I551" t="str">
        <f>IF(quantInv[[#This Row],[Metal]] = "925 Silver",  "7113.11.00"," 7113.19.00")</f>
        <v>7113.11.00</v>
      </c>
      <c r="J551" t="str">
        <f>IF(quantInv[[#This Row],[Metal]] = "925 Silver", "7113.11.10.00"," 7113.19.10.00")</f>
        <v>7113.11.10.00</v>
      </c>
      <c r="K551" t="str">
        <f>IF(quantInv[[#This Row],[Metal]] = "925 Silver",  "7113.11.00"," 7113.19.00")</f>
        <v>7113.11.00</v>
      </c>
      <c r="L551" t="str">
        <f>IFERROR(VLOOKUP(quantInv[[#This Row],[Description for New Invoice]],Map!$G$12:$H$32,2,FALSE), IF(quantInv[[#This Row],[Metal]] = "925 Silver", "7113.11.10.00", "7113.19.29.00"))</f>
        <v>7113.11.10.00</v>
      </c>
      <c r="M551" t="str">
        <f>quantInv[[#This Row],[ASIN]] &amp; " " &amp; quantInv[[#This Row],[Short Description]]</f>
        <v>B07PNBMZDR Round Box Chain with Balls and Donut Slider Bracelet</v>
      </c>
      <c r="N551" s="33">
        <f>quantInv[[#This Row],[UNIT
VALUE]] / EURtoGBP</f>
        <v>6.8854040739416442</v>
      </c>
      <c r="O551" s="33">
        <f>quantInv[[#This Row],[UNIT
VALUE]]/USDtoGBP</f>
        <v>8.315204055474906</v>
      </c>
      <c r="P551" s="33">
        <f>quantInv[[#This Row],[UNIT
VALUE]] / CADtoGBP</f>
        <v>10.643939194536422</v>
      </c>
      <c r="Q551" s="33">
        <f>quantInv[[#This Row],[UNIT
VALUE]]/AUDtoGBP</f>
        <v>10.894820030174582</v>
      </c>
      <c r="R551">
        <f>IFERROR(VLOOKUP(quantInv[[#This Row],[Assigned Item SKU]],skuQuantity[#All],2,FALSE),0)</f>
        <v>0</v>
      </c>
      <c r="S551" t="str">
        <f>PROPER(quantInv[[#This Row],[Metal]] &amp; " " &amp; quantInv[[#This Row],[Item Type]])</f>
        <v>925 Silver Bracelet</v>
      </c>
      <c r="T551" s="33">
        <f>quantInv[[#This Row],[Quantity]]*quantInv[[#This Row],[WEIGHT]]</f>
        <v>0</v>
      </c>
      <c r="U551" s="33">
        <f>quantInv[[#This Row],[UNIT
VALUE]]*quantInv[[#This Row],[Quantity]]</f>
        <v>0</v>
      </c>
      <c r="V551" s="33">
        <f>quantInv[[#This Row],[Total Cost GBP]]/EURtoGBP</f>
        <v>0</v>
      </c>
      <c r="W551" s="33">
        <f>quantInv[[#This Row],[Total Cost GBP]]/USDtoGBP</f>
        <v>0</v>
      </c>
      <c r="X551" s="33">
        <f>quantInv[[#This Row],[Total Cost GBP]]/CADtoGBP</f>
        <v>0</v>
      </c>
      <c r="Y551" s="33">
        <f>quantInv[[#This Row],[Quantity]]*quantInv[[#This Row],[UNIT
VALUE AUD]]</f>
        <v>0</v>
      </c>
      <c r="Z551" s="33"/>
    </row>
    <row r="552" spans="1:26" x14ac:dyDescent="0.25">
      <c r="A552" t="s">
        <v>1271</v>
      </c>
      <c r="B552" t="s">
        <v>1272</v>
      </c>
      <c r="C552" t="s">
        <v>114</v>
      </c>
      <c r="D552" t="s">
        <v>1273</v>
      </c>
      <c r="E552">
        <v>2.7</v>
      </c>
      <c r="F552" s="33">
        <v>5.4226999999999999</v>
      </c>
      <c r="G552" s="33" t="s">
        <v>117</v>
      </c>
      <c r="H552" t="s">
        <v>1414</v>
      </c>
      <c r="I552" t="str">
        <f>IF(quantInv[[#This Row],[Metal]] = "925 Silver",  "7113.11.00"," 7113.19.00")</f>
        <v>7113.11.00</v>
      </c>
      <c r="J552" t="str">
        <f>IF(quantInv[[#This Row],[Metal]] = "925 Silver", "7113.11.10.00"," 7113.19.10.00")</f>
        <v>7113.11.10.00</v>
      </c>
      <c r="K552" t="str">
        <f>IF(quantInv[[#This Row],[Metal]] = "925 Silver",  "7113.11.00"," 7113.19.00")</f>
        <v>7113.11.00</v>
      </c>
      <c r="L552" t="str">
        <f>IFERROR(VLOOKUP(quantInv[[#This Row],[Description for New Invoice]],Map!$G$12:$H$32,2,FALSE), IF(quantInv[[#This Row],[Metal]] = "925 Silver", "7113.11.10.00", "7113.19.29.00"))</f>
        <v>7113.11.10.00</v>
      </c>
      <c r="M552" t="str">
        <f>quantInv[[#This Row],[ASIN]] &amp; " " &amp; quantInv[[#This Row],[Short Description]]</f>
        <v>B07PMD87GZ Round Box Chain with Mesh and Donut Slider Bracelet</v>
      </c>
      <c r="N552" s="33">
        <f>quantInv[[#This Row],[UNIT
VALUE]] / EURtoGBP</f>
        <v>6.1554091252206389</v>
      </c>
      <c r="O552" s="33">
        <f>quantInv[[#This Row],[UNIT
VALUE]]/USDtoGBP</f>
        <v>7.4336207971947257</v>
      </c>
      <c r="P552" s="33">
        <f>quantInv[[#This Row],[UNIT
VALUE]] / CADtoGBP</f>
        <v>9.5154619456976253</v>
      </c>
      <c r="Q552" s="33">
        <f>quantInv[[#This Row],[UNIT
VALUE]]/AUDtoGBP</f>
        <v>9.7397442344996037</v>
      </c>
      <c r="R552">
        <f>IFERROR(VLOOKUP(quantInv[[#This Row],[Assigned Item SKU]],skuQuantity[#All],2,FALSE),0)</f>
        <v>0</v>
      </c>
      <c r="S552" t="str">
        <f>PROPER(quantInv[[#This Row],[Metal]] &amp; " " &amp; quantInv[[#This Row],[Item Type]])</f>
        <v>925 Silver Bracelet</v>
      </c>
      <c r="T552" s="33">
        <f>quantInv[[#This Row],[Quantity]]*quantInv[[#This Row],[WEIGHT]]</f>
        <v>0</v>
      </c>
      <c r="U552" s="33">
        <f>quantInv[[#This Row],[UNIT
VALUE]]*quantInv[[#This Row],[Quantity]]</f>
        <v>0</v>
      </c>
      <c r="V552" s="33">
        <f>quantInv[[#This Row],[Total Cost GBP]]/EURtoGBP</f>
        <v>0</v>
      </c>
      <c r="W552" s="33">
        <f>quantInv[[#This Row],[Total Cost GBP]]/USDtoGBP</f>
        <v>0</v>
      </c>
      <c r="X552" s="33">
        <f>quantInv[[#This Row],[Total Cost GBP]]/CADtoGBP</f>
        <v>0</v>
      </c>
      <c r="Y552" s="33">
        <f>quantInv[[#This Row],[Quantity]]*quantInv[[#This Row],[UNIT
VALUE AUD]]</f>
        <v>0</v>
      </c>
      <c r="Z552" s="33"/>
    </row>
    <row r="553" spans="1:26" x14ac:dyDescent="0.25">
      <c r="A553" t="s">
        <v>1274</v>
      </c>
      <c r="B553" t="s">
        <v>1275</v>
      </c>
      <c r="C553" t="s">
        <v>114</v>
      </c>
      <c r="D553" t="s">
        <v>1276</v>
      </c>
      <c r="E553">
        <v>2.4</v>
      </c>
      <c r="F553" s="33">
        <v>3.3612000000000002</v>
      </c>
      <c r="G553" s="33" t="s">
        <v>117</v>
      </c>
      <c r="H553" t="s">
        <v>103</v>
      </c>
      <c r="I553" t="str">
        <f>IF(quantInv[[#This Row],[Metal]] = "925 Silver",  "7113.11.00"," 7113.19.00")</f>
        <v>7113.11.00</v>
      </c>
      <c r="J553" t="str">
        <f>IF(quantInv[[#This Row],[Metal]] = "925 Silver", "7113.11.10.00"," 7113.19.10.00")</f>
        <v>7113.11.10.00</v>
      </c>
      <c r="K553" t="str">
        <f>IF(quantInv[[#This Row],[Metal]] = "925 Silver",  "7113.11.00"," 7113.19.00")</f>
        <v>7113.11.00</v>
      </c>
      <c r="L553" t="str">
        <f>IFERROR(VLOOKUP(quantInv[[#This Row],[Description for New Invoice]],Map!$G$12:$H$32,2,FALSE), IF(quantInv[[#This Row],[Metal]] = "925 Silver", "7113.11.10.00", "7113.19.29.00"))</f>
        <v>7113.11.10.00</v>
      </c>
      <c r="M553" t="str">
        <f>quantInv[[#This Row],[ASIN]] &amp; " " &amp; quantInv[[#This Row],[Short Description]]</f>
        <v>B07NLFS2J8 Curb Chain with Round Slider</v>
      </c>
      <c r="N553" s="33">
        <f>quantInv[[#This Row],[UNIT
VALUE]] / EURtoGBP</f>
        <v>3.8153615637397627</v>
      </c>
      <c r="O553" s="33">
        <f>quantInv[[#This Row],[UNIT
VALUE]]/USDtoGBP</f>
        <v>4.60764678546313</v>
      </c>
      <c r="P553" s="33">
        <f>quantInv[[#This Row],[UNIT
VALUE]] / CADtoGBP</f>
        <v>5.8980527581977356</v>
      </c>
      <c r="Q553" s="33">
        <f>quantInv[[#This Row],[UNIT
VALUE]]/AUDtoGBP</f>
        <v>6.0370716287089587</v>
      </c>
      <c r="R553">
        <f>IFERROR(VLOOKUP(quantInv[[#This Row],[Assigned Item SKU]],skuQuantity[#All],2,FALSE),0)</f>
        <v>0</v>
      </c>
      <c r="S553" t="str">
        <f>PROPER(quantInv[[#This Row],[Metal]] &amp; " " &amp; quantInv[[#This Row],[Item Type]])</f>
        <v>925 Silver Chain</v>
      </c>
      <c r="T553" s="33">
        <f>quantInv[[#This Row],[Quantity]]*quantInv[[#This Row],[WEIGHT]]</f>
        <v>0</v>
      </c>
      <c r="U553" s="33">
        <f>quantInv[[#This Row],[UNIT
VALUE]]*quantInv[[#This Row],[Quantity]]</f>
        <v>0</v>
      </c>
      <c r="V553" s="33">
        <f>quantInv[[#This Row],[Total Cost GBP]]/EURtoGBP</f>
        <v>0</v>
      </c>
      <c r="W553" s="33">
        <f>quantInv[[#This Row],[Total Cost GBP]]/USDtoGBP</f>
        <v>0</v>
      </c>
      <c r="X553" s="33">
        <f>quantInv[[#This Row],[Total Cost GBP]]/CADtoGBP</f>
        <v>0</v>
      </c>
      <c r="Y553" s="33">
        <f>quantInv[[#This Row],[Quantity]]*quantInv[[#This Row],[UNIT
VALUE AUD]]</f>
        <v>0</v>
      </c>
      <c r="Z553" s="33"/>
    </row>
    <row r="554" spans="1:26" x14ac:dyDescent="0.25">
      <c r="A554" t="s">
        <v>1277</v>
      </c>
      <c r="B554" t="s">
        <v>1278</v>
      </c>
      <c r="C554" t="s">
        <v>114</v>
      </c>
      <c r="D554" t="s">
        <v>1279</v>
      </c>
      <c r="E554">
        <v>2.4</v>
      </c>
      <c r="F554" s="33">
        <v>3.1497999999999999</v>
      </c>
      <c r="G554" s="33" t="s">
        <v>117</v>
      </c>
      <c r="H554" t="s">
        <v>103</v>
      </c>
      <c r="I554" t="str">
        <f>IF(quantInv[[#This Row],[Metal]] = "925 Silver",  "7113.11.00"," 7113.19.00")</f>
        <v>7113.11.00</v>
      </c>
      <c r="J554" t="str">
        <f>IF(quantInv[[#This Row],[Metal]] = "925 Silver", "7113.11.10.00"," 7113.19.10.00")</f>
        <v>7113.11.10.00</v>
      </c>
      <c r="K554" t="str">
        <f>IF(quantInv[[#This Row],[Metal]] = "925 Silver",  "7113.11.00"," 7113.19.00")</f>
        <v>7113.11.00</v>
      </c>
      <c r="L554" t="str">
        <f>IFERROR(VLOOKUP(quantInv[[#This Row],[Description for New Invoice]],Map!$G$12:$H$32,2,FALSE), IF(quantInv[[#This Row],[Metal]] = "925 Silver", "7113.11.10.00", "7113.19.29.00"))</f>
        <v>7113.11.10.00</v>
      </c>
      <c r="M554" t="str">
        <f>quantInv[[#This Row],[ASIN]] &amp; " " &amp; quantInv[[#This Row],[Short Description]]</f>
        <v>B07PVC8HS5 Trace Chain with Round Slider</v>
      </c>
      <c r="N554" s="33">
        <f>quantInv[[#This Row],[UNIT
VALUE]] / EURtoGBP</f>
        <v>3.5753974334962226</v>
      </c>
      <c r="O554" s="33">
        <f>quantInv[[#This Row],[UNIT
VALUE]]/USDtoGBP</f>
        <v>4.3178525065011799</v>
      </c>
      <c r="P554" s="33">
        <f>quantInv[[#This Row],[UNIT
VALUE]] / CADtoGBP</f>
        <v>5.5270994221620926</v>
      </c>
      <c r="Q554" s="33">
        <f>quantInv[[#This Row],[UNIT
VALUE]]/AUDtoGBP</f>
        <v>5.6573748114088653</v>
      </c>
      <c r="R554">
        <f>IFERROR(VLOOKUP(quantInv[[#This Row],[Assigned Item SKU]],skuQuantity[#All],2,FALSE),0)</f>
        <v>0</v>
      </c>
      <c r="S554" t="str">
        <f>PROPER(quantInv[[#This Row],[Metal]] &amp; " " &amp; quantInv[[#This Row],[Item Type]])</f>
        <v>925 Silver Chain</v>
      </c>
      <c r="T554" s="33">
        <f>quantInv[[#This Row],[Quantity]]*quantInv[[#This Row],[WEIGHT]]</f>
        <v>0</v>
      </c>
      <c r="U554" s="33">
        <f>quantInv[[#This Row],[UNIT
VALUE]]*quantInv[[#This Row],[Quantity]]</f>
        <v>0</v>
      </c>
      <c r="V554" s="33">
        <f>quantInv[[#This Row],[Total Cost GBP]]/EURtoGBP</f>
        <v>0</v>
      </c>
      <c r="W554" s="33">
        <f>quantInv[[#This Row],[Total Cost GBP]]/USDtoGBP</f>
        <v>0</v>
      </c>
      <c r="X554" s="33">
        <f>quantInv[[#This Row],[Total Cost GBP]]/CADtoGBP</f>
        <v>0</v>
      </c>
      <c r="Y554" s="33">
        <f>quantInv[[#This Row],[Quantity]]*quantInv[[#This Row],[UNIT
VALUE AUD]]</f>
        <v>0</v>
      </c>
      <c r="Z554" s="33"/>
    </row>
    <row r="555" spans="1:26" x14ac:dyDescent="0.25">
      <c r="A555" t="s">
        <v>1280</v>
      </c>
      <c r="B555" t="s">
        <v>1281</v>
      </c>
      <c r="C555" t="s">
        <v>114</v>
      </c>
      <c r="D555" t="s">
        <v>1282</v>
      </c>
      <c r="E555">
        <v>3.4</v>
      </c>
      <c r="F555" s="33">
        <v>4.3832000000000004</v>
      </c>
      <c r="G555" s="33" t="s">
        <v>117</v>
      </c>
      <c r="H555" t="s">
        <v>103</v>
      </c>
      <c r="I555" t="str">
        <f>IF(quantInv[[#This Row],[Metal]] = "925 Silver",  "7113.11.00"," 7113.19.00")</f>
        <v>7113.11.00</v>
      </c>
      <c r="J555" t="str">
        <f>IF(quantInv[[#This Row],[Metal]] = "925 Silver", "7113.11.10.00"," 7113.19.10.00")</f>
        <v>7113.11.10.00</v>
      </c>
      <c r="K555" t="str">
        <f>IF(quantInv[[#This Row],[Metal]] = "925 Silver",  "7113.11.00"," 7113.19.00")</f>
        <v>7113.11.00</v>
      </c>
      <c r="L555" t="str">
        <f>IFERROR(VLOOKUP(quantInv[[#This Row],[Description for New Invoice]],Map!$G$12:$H$32,2,FALSE), IF(quantInv[[#This Row],[Metal]] = "925 Silver", "7113.11.10.00", "7113.19.29.00"))</f>
        <v>7113.11.10.00</v>
      </c>
      <c r="M555" t="str">
        <f>quantInv[[#This Row],[ASIN]] &amp; " " &amp; quantInv[[#This Row],[Short Description]]</f>
        <v>B07PXFLSHF Box Chain with Round Slider</v>
      </c>
      <c r="N555" s="33">
        <f>quantInv[[#This Row],[UNIT
VALUE]] / EURtoGBP</f>
        <v>4.9754530543211146</v>
      </c>
      <c r="O555" s="33">
        <f>quantInv[[#This Row],[UNIT
VALUE]]/USDtoGBP</f>
        <v>6.0086389950142776</v>
      </c>
      <c r="P555" s="33">
        <f>quantInv[[#This Row],[UNIT
VALUE]] / CADtoGBP</f>
        <v>7.6914033231382586</v>
      </c>
      <c r="Q555" s="33">
        <f>quantInv[[#This Row],[UNIT
VALUE]]/AUDtoGBP</f>
        <v>7.8726920037359012</v>
      </c>
      <c r="R555">
        <f>IFERROR(VLOOKUP(quantInv[[#This Row],[Assigned Item SKU]],skuQuantity[#All],2,FALSE),0)</f>
        <v>0</v>
      </c>
      <c r="S555" t="str">
        <f>PROPER(quantInv[[#This Row],[Metal]] &amp; " " &amp; quantInv[[#This Row],[Item Type]])</f>
        <v>925 Silver Chain</v>
      </c>
      <c r="T555" s="33">
        <f>quantInv[[#This Row],[Quantity]]*quantInv[[#This Row],[WEIGHT]]</f>
        <v>0</v>
      </c>
      <c r="U555" s="33">
        <f>quantInv[[#This Row],[UNIT
VALUE]]*quantInv[[#This Row],[Quantity]]</f>
        <v>0</v>
      </c>
      <c r="V555" s="33">
        <f>quantInv[[#This Row],[Total Cost GBP]]/EURtoGBP</f>
        <v>0</v>
      </c>
      <c r="W555" s="33">
        <f>quantInv[[#This Row],[Total Cost GBP]]/USDtoGBP</f>
        <v>0</v>
      </c>
      <c r="X555" s="33">
        <f>quantInv[[#This Row],[Total Cost GBP]]/CADtoGBP</f>
        <v>0</v>
      </c>
      <c r="Y555" s="33">
        <f>quantInv[[#This Row],[Quantity]]*quantInv[[#This Row],[UNIT
VALUE AUD]]</f>
        <v>0</v>
      </c>
      <c r="Z555" s="33"/>
    </row>
    <row r="556" spans="1:26" x14ac:dyDescent="0.25">
      <c r="A556" t="s">
        <v>1283</v>
      </c>
      <c r="B556" t="s">
        <v>1284</v>
      </c>
      <c r="C556" t="s">
        <v>115</v>
      </c>
      <c r="D556" t="s">
        <v>1285</v>
      </c>
      <c r="E556">
        <v>0.81</v>
      </c>
      <c r="F556" s="33">
        <v>1.8104</v>
      </c>
      <c r="G556" s="33" t="s">
        <v>117</v>
      </c>
      <c r="H556" t="s">
        <v>1285</v>
      </c>
      <c r="I556" t="str">
        <f>IF(quantInv[[#This Row],[Metal]] = "925 Silver",  "7113.11.00"," 7113.19.00")</f>
        <v>7113.11.00</v>
      </c>
      <c r="J556" t="str">
        <f>IF(quantInv[[#This Row],[Metal]] = "925 Silver", "7113.11.10.00"," 7113.19.10.00")</f>
        <v>7113.11.10.00</v>
      </c>
      <c r="K556" t="str">
        <f>IF(quantInv[[#This Row],[Metal]] = "925 Silver",  "7113.11.00"," 7113.19.00")</f>
        <v>7113.11.00</v>
      </c>
      <c r="L556" t="str">
        <f>IFERROR(VLOOKUP(quantInv[[#This Row],[Description for New Invoice]],Map!$G$12:$H$32,2,FALSE), IF(quantInv[[#This Row],[Metal]] = "925 Silver", "7113.11.10.00", "7113.19.29.00"))</f>
        <v>7113.11.50.00</v>
      </c>
      <c r="M556" t="str">
        <f>quantInv[[#This Row],[ASIN]] &amp; " " &amp; quantInv[[#This Row],[Short Description]]</f>
        <v>B07R94JB4Y Toe Ring</v>
      </c>
      <c r="N556" s="33">
        <f>quantInv[[#This Row],[UNIT
VALUE]] / EURtoGBP</f>
        <v>2.055019211886965</v>
      </c>
      <c r="O556" s="33">
        <f>quantInv[[#This Row],[UNIT
VALUE]]/USDtoGBP</f>
        <v>2.4817576283477476</v>
      </c>
      <c r="P556" s="33">
        <f>quantInv[[#This Row],[UNIT
VALUE]] / CADtoGBP</f>
        <v>3.1767924293232119</v>
      </c>
      <c r="Q556" s="33">
        <f>quantInv[[#This Row],[UNIT
VALUE]]/AUDtoGBP</f>
        <v>3.2516703786191536</v>
      </c>
      <c r="R556">
        <f>IFERROR(VLOOKUP(quantInv[[#This Row],[Assigned Item SKU]],skuQuantity[#All],2,FALSE),0)</f>
        <v>5</v>
      </c>
      <c r="S556" t="str">
        <f>PROPER(quantInv[[#This Row],[Metal]] &amp; " " &amp; quantInv[[#This Row],[Item Type]])</f>
        <v>925 Silver Toe Ring</v>
      </c>
      <c r="T556" s="33">
        <f>quantInv[[#This Row],[Quantity]]*quantInv[[#This Row],[WEIGHT]]</f>
        <v>4.0500000000000007</v>
      </c>
      <c r="U556" s="33">
        <f>quantInv[[#This Row],[UNIT
VALUE]]*quantInv[[#This Row],[Quantity]]</f>
        <v>9.0519999999999996</v>
      </c>
      <c r="V556" s="33">
        <f>quantInv[[#This Row],[Total Cost GBP]]/EURtoGBP</f>
        <v>10.275096059434825</v>
      </c>
      <c r="W556" s="33">
        <f>quantInv[[#This Row],[Total Cost GBP]]/USDtoGBP</f>
        <v>12.408788141738738</v>
      </c>
      <c r="X556" s="33">
        <f>quantInv[[#This Row],[Total Cost GBP]]/CADtoGBP</f>
        <v>15.883962146616058</v>
      </c>
      <c r="Y556" s="33">
        <f>quantInv[[#This Row],[Quantity]]*quantInv[[#This Row],[UNIT
VALUE AUD]]</f>
        <v>16.258351893095767</v>
      </c>
      <c r="Z556" s="33"/>
    </row>
    <row r="557" spans="1:26" x14ac:dyDescent="0.25">
      <c r="A557" t="s">
        <v>1286</v>
      </c>
      <c r="B557" t="s">
        <v>1287</v>
      </c>
      <c r="C557" t="s">
        <v>115</v>
      </c>
      <c r="D557" t="s">
        <v>1288</v>
      </c>
      <c r="E557">
        <v>1.33</v>
      </c>
      <c r="F557" s="33">
        <v>2.8081999999999998</v>
      </c>
      <c r="G557" s="33" t="s">
        <v>117</v>
      </c>
      <c r="H557" t="s">
        <v>1285</v>
      </c>
      <c r="I557" t="str">
        <f>IF(quantInv[[#This Row],[Metal]] = "925 Silver",  "7113.11.00"," 7113.19.00")</f>
        <v>7113.11.00</v>
      </c>
      <c r="J557" t="str">
        <f>IF(quantInv[[#This Row],[Metal]] = "925 Silver", "7113.11.10.00"," 7113.19.10.00")</f>
        <v>7113.11.10.00</v>
      </c>
      <c r="K557" t="str">
        <f>IF(quantInv[[#This Row],[Metal]] = "925 Silver",  "7113.11.00"," 7113.19.00")</f>
        <v>7113.11.00</v>
      </c>
      <c r="L557" t="str">
        <f>IFERROR(VLOOKUP(quantInv[[#This Row],[Description for New Invoice]],Map!$G$12:$H$32,2,FALSE), IF(quantInv[[#This Row],[Metal]] = "925 Silver", "7113.11.10.00", "7113.19.29.00"))</f>
        <v>7113.11.50.00</v>
      </c>
      <c r="M557" t="str">
        <f>quantInv[[#This Row],[ASIN]] &amp; " " &amp; quantInv[[#This Row],[Short Description]]</f>
        <v>B07R94JHCH RING - SIZE J</v>
      </c>
      <c r="N557" s="33">
        <f>quantInv[[#This Row],[UNIT
VALUE]] / EURtoGBP</f>
        <v>3.1876408256854698</v>
      </c>
      <c r="O557" s="33">
        <f>quantInv[[#This Row],[UNIT
VALUE]]/USDtoGBP</f>
        <v>3.8495756583772343</v>
      </c>
      <c r="P557" s="33">
        <f>quantInv[[#This Row],[UNIT
VALUE]] / CADtoGBP</f>
        <v>4.9276781374422463</v>
      </c>
      <c r="Q557" s="33">
        <f>quantInv[[#This Row],[UNIT
VALUE]]/AUDtoGBP</f>
        <v>5.0438249874272572</v>
      </c>
      <c r="R557">
        <f>IFERROR(VLOOKUP(quantInv[[#This Row],[Assigned Item SKU]],skuQuantity[#All],2,FALSE),0)</f>
        <v>0</v>
      </c>
      <c r="S557" t="str">
        <f>PROPER(quantInv[[#This Row],[Metal]] &amp; " " &amp; quantInv[[#This Row],[Item Type]])</f>
        <v>925 Silver Toe Ring</v>
      </c>
      <c r="T557" s="33">
        <f>quantInv[[#This Row],[Quantity]]*quantInv[[#This Row],[WEIGHT]]</f>
        <v>0</v>
      </c>
      <c r="U557" s="33">
        <f>quantInv[[#This Row],[UNIT
VALUE]]*quantInv[[#This Row],[Quantity]]</f>
        <v>0</v>
      </c>
      <c r="V557" s="33">
        <f>quantInv[[#This Row],[Total Cost GBP]]/EURtoGBP</f>
        <v>0</v>
      </c>
      <c r="W557" s="33">
        <f>quantInv[[#This Row],[Total Cost GBP]]/USDtoGBP</f>
        <v>0</v>
      </c>
      <c r="X557" s="33">
        <f>quantInv[[#This Row],[Total Cost GBP]]/CADtoGBP</f>
        <v>0</v>
      </c>
      <c r="Y557" s="33">
        <f>quantInv[[#This Row],[Quantity]]*quantInv[[#This Row],[UNIT
VALUE AUD]]</f>
        <v>0</v>
      </c>
      <c r="Z557" s="33"/>
    </row>
    <row r="558" spans="1:26" x14ac:dyDescent="0.25">
      <c r="A558" t="s">
        <v>1289</v>
      </c>
      <c r="B558" t="s">
        <v>1290</v>
      </c>
      <c r="C558" t="s">
        <v>115</v>
      </c>
      <c r="D558" t="s">
        <v>1285</v>
      </c>
      <c r="E558">
        <v>1.72</v>
      </c>
      <c r="F558" s="33">
        <v>2.2970999999999999</v>
      </c>
      <c r="G558" s="33" t="s">
        <v>117</v>
      </c>
      <c r="H558" t="s">
        <v>1285</v>
      </c>
      <c r="I558" t="str">
        <f>IF(quantInv[[#This Row],[Metal]] = "925 Silver",  "7113.11.00"," 7113.19.00")</f>
        <v>7113.11.00</v>
      </c>
      <c r="J558" t="str">
        <f>IF(quantInv[[#This Row],[Metal]] = "925 Silver", "7113.11.10.00"," 7113.19.10.00")</f>
        <v>7113.11.10.00</v>
      </c>
      <c r="K558" t="str">
        <f>IF(quantInv[[#This Row],[Metal]] = "925 Silver",  "7113.11.00"," 7113.19.00")</f>
        <v>7113.11.00</v>
      </c>
      <c r="L558" t="str">
        <f>IFERROR(VLOOKUP(quantInv[[#This Row],[Description for New Invoice]],Map!$G$12:$H$32,2,FALSE), IF(quantInv[[#This Row],[Metal]] = "925 Silver", "7113.11.10.00", "7113.19.29.00"))</f>
        <v>7113.11.50.00</v>
      </c>
      <c r="M558" t="str">
        <f>quantInv[[#This Row],[ASIN]] &amp; " " &amp; quantInv[[#This Row],[Short Description]]</f>
        <v>B07RB9S93Q Toe Ring</v>
      </c>
      <c r="N558" s="33">
        <f>quantInv[[#This Row],[UNIT
VALUE]] / EURtoGBP</f>
        <v>2.6074815685072616</v>
      </c>
      <c r="O558" s="33">
        <f>quantInv[[#This Row],[UNIT
VALUE]]/USDtoGBP</f>
        <v>3.1489424702152071</v>
      </c>
      <c r="P558" s="33">
        <f>quantInv[[#This Row],[UNIT
VALUE]] / CADtoGBP</f>
        <v>4.03082738035702</v>
      </c>
      <c r="Q558" s="33">
        <f>quantInv[[#This Row],[UNIT
VALUE]]/AUDtoGBP</f>
        <v>4.1258351893095764</v>
      </c>
      <c r="R558">
        <f>IFERROR(VLOOKUP(quantInv[[#This Row],[Assigned Item SKU]],skuQuantity[#All],2,FALSE),0)</f>
        <v>0</v>
      </c>
      <c r="S558" t="str">
        <f>PROPER(quantInv[[#This Row],[Metal]] &amp; " " &amp; quantInv[[#This Row],[Item Type]])</f>
        <v>925 Silver Toe Ring</v>
      </c>
      <c r="T558" s="33">
        <f>quantInv[[#This Row],[Quantity]]*quantInv[[#This Row],[WEIGHT]]</f>
        <v>0</v>
      </c>
      <c r="U558" s="33">
        <f>quantInv[[#This Row],[UNIT
VALUE]]*quantInv[[#This Row],[Quantity]]</f>
        <v>0</v>
      </c>
      <c r="V558" s="33">
        <f>quantInv[[#This Row],[Total Cost GBP]]/EURtoGBP</f>
        <v>0</v>
      </c>
      <c r="W558" s="33">
        <f>quantInv[[#This Row],[Total Cost GBP]]/USDtoGBP</f>
        <v>0</v>
      </c>
      <c r="X558" s="33">
        <f>quantInv[[#This Row],[Total Cost GBP]]/CADtoGBP</f>
        <v>0</v>
      </c>
      <c r="Y558" s="33">
        <f>quantInv[[#This Row],[Quantity]]*quantInv[[#This Row],[UNIT
VALUE AUD]]</f>
        <v>0</v>
      </c>
      <c r="Z558" s="33"/>
    </row>
    <row r="559" spans="1:26" x14ac:dyDescent="0.25">
      <c r="A559" t="s">
        <v>1291</v>
      </c>
      <c r="B559" t="s">
        <v>1292</v>
      </c>
      <c r="C559" t="s">
        <v>115</v>
      </c>
      <c r="D559" t="s">
        <v>1285</v>
      </c>
      <c r="E559">
        <v>1.42</v>
      </c>
      <c r="F559" s="33">
        <v>2.5811000000000002</v>
      </c>
      <c r="G559" s="33" t="s">
        <v>117</v>
      </c>
      <c r="H559" t="s">
        <v>1285</v>
      </c>
      <c r="I559" t="str">
        <f>IF(quantInv[[#This Row],[Metal]] = "925 Silver",  "7113.11.00"," 7113.19.00")</f>
        <v>7113.11.00</v>
      </c>
      <c r="J559" t="str">
        <f>IF(quantInv[[#This Row],[Metal]] = "925 Silver", "7113.11.10.00"," 7113.19.10.00")</f>
        <v>7113.11.10.00</v>
      </c>
      <c r="K559" t="str">
        <f>IF(quantInv[[#This Row],[Metal]] = "925 Silver",  "7113.11.00"," 7113.19.00")</f>
        <v>7113.11.00</v>
      </c>
      <c r="L559" t="str">
        <f>IFERROR(VLOOKUP(quantInv[[#This Row],[Description for New Invoice]],Map!$G$12:$H$32,2,FALSE), IF(quantInv[[#This Row],[Metal]] = "925 Silver", "7113.11.10.00", "7113.19.29.00"))</f>
        <v>7113.11.50.00</v>
      </c>
      <c r="M559" t="str">
        <f>quantInv[[#This Row],[ASIN]] &amp; " " &amp; quantInv[[#This Row],[Short Description]]</f>
        <v>B07RC4XK1N Toe Ring</v>
      </c>
      <c r="N559" s="33">
        <f>quantInv[[#This Row],[UNIT
VALUE]] / EURtoGBP</f>
        <v>2.9298553290993401</v>
      </c>
      <c r="O559" s="33">
        <f>quantInv[[#This Row],[UNIT
VALUE]]/USDtoGBP</f>
        <v>3.5382592877421408</v>
      </c>
      <c r="P559" s="33">
        <f>quantInv[[#This Row],[UNIT
VALUE]] / CADtoGBP</f>
        <v>4.5291752868571269</v>
      </c>
      <c r="Q559" s="33">
        <f>quantInv[[#This Row],[UNIT
VALUE]]/AUDtoGBP</f>
        <v>4.635929305266183</v>
      </c>
      <c r="R559">
        <f>IFERROR(VLOOKUP(quantInv[[#This Row],[Assigned Item SKU]],skuQuantity[#All],2,FALSE),0)</f>
        <v>10</v>
      </c>
      <c r="S559" t="str">
        <f>PROPER(quantInv[[#This Row],[Metal]] &amp; " " &amp; quantInv[[#This Row],[Item Type]])</f>
        <v>925 Silver Toe Ring</v>
      </c>
      <c r="T559" s="33">
        <f>quantInv[[#This Row],[Quantity]]*quantInv[[#This Row],[WEIGHT]]</f>
        <v>14.2</v>
      </c>
      <c r="U559" s="33">
        <f>quantInv[[#This Row],[UNIT
VALUE]]*quantInv[[#This Row],[Quantity]]</f>
        <v>25.811</v>
      </c>
      <c r="V559" s="33">
        <f>quantInv[[#This Row],[Total Cost GBP]]/EURtoGBP</f>
        <v>29.2985532909934</v>
      </c>
      <c r="W559" s="33">
        <f>quantInv[[#This Row],[Total Cost GBP]]/USDtoGBP</f>
        <v>35.382592877421409</v>
      </c>
      <c r="X559" s="33">
        <f>quantInv[[#This Row],[Total Cost GBP]]/CADtoGBP</f>
        <v>45.291752868571265</v>
      </c>
      <c r="Y559" s="33">
        <f>quantInv[[#This Row],[Quantity]]*quantInv[[#This Row],[UNIT
VALUE AUD]]</f>
        <v>46.359293052661826</v>
      </c>
      <c r="Z559" s="33"/>
    </row>
    <row r="560" spans="1:26" x14ac:dyDescent="0.25">
      <c r="A560" t="s">
        <v>656</v>
      </c>
      <c r="B560" t="s">
        <v>657</v>
      </c>
      <c r="C560" t="s">
        <v>114</v>
      </c>
      <c r="D560" t="s">
        <v>658</v>
      </c>
      <c r="E560">
        <v>2</v>
      </c>
      <c r="F560" s="33">
        <v>2.0398000000000001</v>
      </c>
      <c r="G560" s="33" t="s">
        <v>117</v>
      </c>
      <c r="H560" t="s">
        <v>103</v>
      </c>
      <c r="I560" t="str">
        <f>IF(quantInv[[#This Row],[Metal]] = "925 Silver",  "7113.11.00"," 7113.19.00")</f>
        <v>7113.11.00</v>
      </c>
      <c r="J560" t="str">
        <f>IF(quantInv[[#This Row],[Metal]] = "925 Silver", "7113.11.10.00"," 7113.19.10.00")</f>
        <v>7113.11.10.00</v>
      </c>
      <c r="K560" t="str">
        <f>IF(quantInv[[#This Row],[Metal]] = "925 Silver",  "7113.11.00"," 7113.19.00")</f>
        <v>7113.11.00</v>
      </c>
      <c r="L560" t="str">
        <f>IFERROR(VLOOKUP(quantInv[[#This Row],[Description for New Invoice]],Map!$G$12:$H$32,2,FALSE), IF(quantInv[[#This Row],[Metal]] = "925 Silver", "7113.11.10.00", "7113.19.29.00"))</f>
        <v>7113.11.10.00</v>
      </c>
      <c r="M560" t="str">
        <f>quantInv[[#This Row],[ASIN]] &amp; " " &amp; quantInv[[#This Row],[Short Description]]</f>
        <v>B01N4NY3NH Rolo Chain</v>
      </c>
      <c r="N560" s="33">
        <f>quantInv[[#This Row],[UNIT
VALUE]] / EURtoGBP</f>
        <v>2.3154154818863408</v>
      </c>
      <c r="O560" s="33">
        <f>quantInv[[#This Row],[UNIT
VALUE]]/USDtoGBP</f>
        <v>2.7962269168712637</v>
      </c>
      <c r="P560" s="33">
        <f>quantInv[[#This Row],[UNIT
VALUE]] / CADtoGBP</f>
        <v>3.5793311960525229</v>
      </c>
      <c r="Q560" s="33">
        <f>quantInv[[#This Row],[UNIT
VALUE]]/AUDtoGBP</f>
        <v>3.6636971046770599</v>
      </c>
      <c r="R560">
        <f>IFERROR(VLOOKUP(quantInv[[#This Row],[Assigned Item SKU]],skuQuantity[#All],2,FALSE),0)</f>
        <v>15</v>
      </c>
      <c r="S560" t="str">
        <f>PROPER(quantInv[[#This Row],[Metal]] &amp; " " &amp; quantInv[[#This Row],[Item Type]])</f>
        <v>925 Silver Chain</v>
      </c>
      <c r="T560" s="33">
        <f>quantInv[[#This Row],[Quantity]]*quantInv[[#This Row],[WEIGHT]]</f>
        <v>30</v>
      </c>
      <c r="U560" s="33">
        <f>quantInv[[#This Row],[UNIT
VALUE]]*quantInv[[#This Row],[Quantity]]</f>
        <v>30.597000000000001</v>
      </c>
      <c r="V560" s="33">
        <f>quantInv[[#This Row],[Total Cost GBP]]/EURtoGBP</f>
        <v>34.731232228295113</v>
      </c>
      <c r="W560" s="33">
        <f>quantInv[[#This Row],[Total Cost GBP]]/USDtoGBP</f>
        <v>41.943403753068957</v>
      </c>
      <c r="X560" s="33">
        <f>quantInv[[#This Row],[Total Cost GBP]]/CADtoGBP</f>
        <v>53.689967940787845</v>
      </c>
      <c r="Y560" s="33">
        <f>quantInv[[#This Row],[Quantity]]*quantInv[[#This Row],[UNIT
VALUE AUD]]</f>
        <v>54.955456570155896</v>
      </c>
      <c r="Z560" s="33"/>
    </row>
    <row r="561" spans="1:26" x14ac:dyDescent="0.25">
      <c r="A561" t="s">
        <v>1296</v>
      </c>
      <c r="B561" t="s">
        <v>1297</v>
      </c>
      <c r="C561" t="s">
        <v>115</v>
      </c>
      <c r="D561" t="s">
        <v>1295</v>
      </c>
      <c r="E561">
        <v>3.19</v>
      </c>
      <c r="F561" s="33">
        <v>3.6032000000000002</v>
      </c>
      <c r="G561" s="33" t="s">
        <v>117</v>
      </c>
      <c r="H561" t="s">
        <v>1295</v>
      </c>
      <c r="I561" t="str">
        <f>IF(quantInv[[#This Row],[Metal]] = "925 Silver",  "7113.11.00"," 7113.19.00")</f>
        <v>7113.11.00</v>
      </c>
      <c r="J561" t="str">
        <f>IF(quantInv[[#This Row],[Metal]] = "925 Silver", "7113.11.10.00"," 7113.19.10.00")</f>
        <v>7113.11.10.00</v>
      </c>
      <c r="K561" t="str">
        <f>IF(quantInv[[#This Row],[Metal]] = "925 Silver",  "7113.11.00"," 7113.19.00")</f>
        <v>7113.11.00</v>
      </c>
      <c r="L561" t="str">
        <f>IFERROR(VLOOKUP(quantInv[[#This Row],[Description for New Invoice]],Map!$G$12:$H$32,2,FALSE), IF(quantInv[[#This Row],[Metal]] = "925 Silver", "7113.11.10.00", "7113.19.29.00"))</f>
        <v>7113.11.10.00</v>
      </c>
      <c r="M561" t="str">
        <f>quantInv[[#This Row],[ASIN]] &amp; " " &amp; quantInv[[#This Row],[Short Description]]</f>
        <v>B07Q35Q174 Locket</v>
      </c>
      <c r="N561" s="33">
        <f>quantInv[[#This Row],[UNIT
VALUE]] / EURtoGBP</f>
        <v>4.0900603315682238</v>
      </c>
      <c r="O561" s="33">
        <f>quantInv[[#This Row],[UNIT
VALUE]]/USDtoGBP</f>
        <v>4.9393885806797417</v>
      </c>
      <c r="P561" s="33">
        <f>quantInv[[#This Row],[UNIT
VALUE]] / CADtoGBP</f>
        <v>6.3227013264126146</v>
      </c>
      <c r="Q561" s="33">
        <f>quantInv[[#This Row],[UNIT
VALUE]]/AUDtoGBP</f>
        <v>6.4717292908973345</v>
      </c>
      <c r="R561">
        <f>IFERROR(VLOOKUP(quantInv[[#This Row],[Assigned Item SKU]],skuQuantity[#All],2,FALSE),0)</f>
        <v>0</v>
      </c>
      <c r="S561" t="str">
        <f>PROPER(quantInv[[#This Row],[Metal]] &amp; " " &amp; quantInv[[#This Row],[Item Type]])</f>
        <v>925 Silver Locket</v>
      </c>
      <c r="T561" s="33">
        <f>quantInv[[#This Row],[Quantity]]*quantInv[[#This Row],[WEIGHT]]</f>
        <v>0</v>
      </c>
      <c r="U561" s="33">
        <f>quantInv[[#This Row],[UNIT
VALUE]]*quantInv[[#This Row],[Quantity]]</f>
        <v>0</v>
      </c>
      <c r="V561" s="33">
        <f>quantInv[[#This Row],[Total Cost GBP]]/EURtoGBP</f>
        <v>0</v>
      </c>
      <c r="W561" s="33">
        <f>quantInv[[#This Row],[Total Cost GBP]]/USDtoGBP</f>
        <v>0</v>
      </c>
      <c r="X561" s="33">
        <f>quantInv[[#This Row],[Total Cost GBP]]/CADtoGBP</f>
        <v>0</v>
      </c>
      <c r="Y561" s="33">
        <f>quantInv[[#This Row],[Quantity]]*quantInv[[#This Row],[UNIT
VALUE AUD]]</f>
        <v>0</v>
      </c>
      <c r="Z561" s="33"/>
    </row>
    <row r="562" spans="1:26" x14ac:dyDescent="0.25">
      <c r="A562" t="s">
        <v>1298</v>
      </c>
      <c r="B562" t="s">
        <v>1299</v>
      </c>
      <c r="C562" t="s">
        <v>116</v>
      </c>
      <c r="D562" t="s">
        <v>1300</v>
      </c>
      <c r="E562">
        <v>5.31</v>
      </c>
      <c r="F562" s="33">
        <v>7.5782999999999996</v>
      </c>
      <c r="G562" s="33" t="s">
        <v>117</v>
      </c>
      <c r="H562" t="s">
        <v>1295</v>
      </c>
      <c r="I562" t="str">
        <f>IF(quantInv[[#This Row],[Metal]] = "925 Silver",  "7113.11.00"," 7113.19.00")</f>
        <v>7113.11.00</v>
      </c>
      <c r="J562" t="str">
        <f>IF(quantInv[[#This Row],[Metal]] = "925 Silver", "7113.11.10.00"," 7113.19.10.00")</f>
        <v>7113.11.10.00</v>
      </c>
      <c r="K562" t="str">
        <f>IF(quantInv[[#This Row],[Metal]] = "925 Silver",  "7113.11.00"," 7113.19.00")</f>
        <v>7113.11.00</v>
      </c>
      <c r="L562" t="str">
        <f>IFERROR(VLOOKUP(quantInv[[#This Row],[Description for New Invoice]],Map!$G$12:$H$32,2,FALSE), IF(quantInv[[#This Row],[Metal]] = "925 Silver", "7113.11.10.00", "7113.19.29.00"))</f>
        <v>7113.11.10.00</v>
      </c>
      <c r="M562" t="str">
        <f>quantInv[[#This Row],[ASIN]] &amp; " " &amp; quantInv[[#This Row],[Short Description]]</f>
        <v>B07NTGYTQ6 Locket - Round</v>
      </c>
      <c r="N562" s="33">
        <f>quantInv[[#This Row],[UNIT
VALUE]] / EURtoGBP</f>
        <v>8.6022713728695237</v>
      </c>
      <c r="O562" s="33">
        <f>quantInv[[#This Row],[UNIT
VALUE]]/USDtoGBP</f>
        <v>10.388590275578732</v>
      </c>
      <c r="P562" s="33">
        <f>quantInv[[#This Row],[UNIT
VALUE]] / CADtoGBP</f>
        <v>13.297992745879416</v>
      </c>
      <c r="Q562" s="33">
        <f>quantInv[[#This Row],[UNIT
VALUE]]/AUDtoGBP</f>
        <v>13.611430418851928</v>
      </c>
      <c r="R562">
        <f>IFERROR(VLOOKUP(quantInv[[#This Row],[Assigned Item SKU]],skuQuantity[#All],2,FALSE),0)</f>
        <v>0</v>
      </c>
      <c r="S562" t="str">
        <f>PROPER(quantInv[[#This Row],[Metal]] &amp; " " &amp; quantInv[[#This Row],[Item Type]])</f>
        <v>925 Silver Locket</v>
      </c>
      <c r="T562" s="33">
        <f>quantInv[[#This Row],[Quantity]]*quantInv[[#This Row],[WEIGHT]]</f>
        <v>0</v>
      </c>
      <c r="U562" s="33">
        <f>quantInv[[#This Row],[UNIT
VALUE]]*quantInv[[#This Row],[Quantity]]</f>
        <v>0</v>
      </c>
      <c r="V562" s="33">
        <f>quantInv[[#This Row],[Total Cost GBP]]/EURtoGBP</f>
        <v>0</v>
      </c>
      <c r="W562" s="33">
        <f>quantInv[[#This Row],[Total Cost GBP]]/USDtoGBP</f>
        <v>0</v>
      </c>
      <c r="X562" s="33">
        <f>quantInv[[#This Row],[Total Cost GBP]]/CADtoGBP</f>
        <v>0</v>
      </c>
      <c r="Y562" s="33">
        <f>quantInv[[#This Row],[Quantity]]*quantInv[[#This Row],[UNIT
VALUE AUD]]</f>
        <v>0</v>
      </c>
      <c r="Z562" s="33"/>
    </row>
    <row r="563" spans="1:26" x14ac:dyDescent="0.25">
      <c r="A563" t="s">
        <v>1301</v>
      </c>
      <c r="B563" t="s">
        <v>1302</v>
      </c>
      <c r="C563" t="s">
        <v>116</v>
      </c>
      <c r="D563" t="s">
        <v>1303</v>
      </c>
      <c r="E563">
        <v>5.71</v>
      </c>
      <c r="F563" s="33">
        <v>8.0649999999999995</v>
      </c>
      <c r="G563" s="33" t="s">
        <v>117</v>
      </c>
      <c r="H563" t="s">
        <v>1295</v>
      </c>
      <c r="I563" t="str">
        <f>IF(quantInv[[#This Row],[Metal]] = "925 Silver",  "7113.11.00"," 7113.19.00")</f>
        <v>7113.11.00</v>
      </c>
      <c r="J563" t="str">
        <f>IF(quantInv[[#This Row],[Metal]] = "925 Silver", "7113.11.10.00"," 7113.19.10.00")</f>
        <v>7113.11.10.00</v>
      </c>
      <c r="K563" t="str">
        <f>IF(quantInv[[#This Row],[Metal]] = "925 Silver",  "7113.11.00"," 7113.19.00")</f>
        <v>7113.11.00</v>
      </c>
      <c r="L563" t="str">
        <f>IFERROR(VLOOKUP(quantInv[[#This Row],[Description for New Invoice]],Map!$G$12:$H$32,2,FALSE), IF(quantInv[[#This Row],[Metal]] = "925 Silver", "7113.11.10.00", "7113.19.29.00"))</f>
        <v>7113.11.10.00</v>
      </c>
      <c r="M563" t="str">
        <f>quantInv[[#This Row],[ASIN]] &amp; " " &amp; quantInv[[#This Row],[Short Description]]</f>
        <v>B07Q7G1GF7 Locket - Heart</v>
      </c>
      <c r="N563" s="33">
        <f>quantInv[[#This Row],[UNIT
VALUE]] / EURtoGBP</f>
        <v>9.1547337294898199</v>
      </c>
      <c r="O563" s="33">
        <f>quantInv[[#This Row],[UNIT
VALUE]]/USDtoGBP</f>
        <v>11.05577511744619</v>
      </c>
      <c r="P563" s="33">
        <f>quantInv[[#This Row],[UNIT
VALUE]] / CADtoGBP</f>
        <v>14.152027696913224</v>
      </c>
      <c r="Q563" s="33">
        <f>quantInv[[#This Row],[UNIT
VALUE]]/AUDtoGBP</f>
        <v>14.48559522954235</v>
      </c>
      <c r="R563">
        <f>IFERROR(VLOOKUP(quantInv[[#This Row],[Assigned Item SKU]],skuQuantity[#All],2,FALSE),0)</f>
        <v>0</v>
      </c>
      <c r="S563" t="str">
        <f>PROPER(quantInv[[#This Row],[Metal]] &amp; " " &amp; quantInv[[#This Row],[Item Type]])</f>
        <v>925 Silver Locket</v>
      </c>
      <c r="T563" s="33">
        <f>quantInv[[#This Row],[Quantity]]*quantInv[[#This Row],[WEIGHT]]</f>
        <v>0</v>
      </c>
      <c r="U563" s="33">
        <f>quantInv[[#This Row],[UNIT
VALUE]]*quantInv[[#This Row],[Quantity]]</f>
        <v>0</v>
      </c>
      <c r="V563" s="33">
        <f>quantInv[[#This Row],[Total Cost GBP]]/EURtoGBP</f>
        <v>0</v>
      </c>
      <c r="W563" s="33">
        <f>quantInv[[#This Row],[Total Cost GBP]]/USDtoGBP</f>
        <v>0</v>
      </c>
      <c r="X563" s="33">
        <f>quantInv[[#This Row],[Total Cost GBP]]/CADtoGBP</f>
        <v>0</v>
      </c>
      <c r="Y563" s="33">
        <f>quantInv[[#This Row],[Quantity]]*quantInv[[#This Row],[UNIT
VALUE AUD]]</f>
        <v>0</v>
      </c>
      <c r="Z563" s="33"/>
    </row>
    <row r="564" spans="1:26" x14ac:dyDescent="0.25">
      <c r="A564" t="s">
        <v>1304</v>
      </c>
      <c r="B564" t="s">
        <v>1305</v>
      </c>
      <c r="C564" t="s">
        <v>114</v>
      </c>
      <c r="D564" t="s">
        <v>1306</v>
      </c>
      <c r="E564">
        <v>6.32</v>
      </c>
      <c r="F564" s="33">
        <v>13.942</v>
      </c>
      <c r="G564" s="33" t="s">
        <v>117</v>
      </c>
      <c r="H564" t="s">
        <v>1414</v>
      </c>
      <c r="I564" t="str">
        <f>IF(quantInv[[#This Row],[Metal]] = "925 Silver",  "7113.11.00"," 7113.19.00")</f>
        <v>7113.11.00</v>
      </c>
      <c r="J564" t="str">
        <f>IF(quantInv[[#This Row],[Metal]] = "925 Silver", "7113.11.10.00"," 7113.19.10.00")</f>
        <v>7113.11.10.00</v>
      </c>
      <c r="K564" t="str">
        <f>IF(quantInv[[#This Row],[Metal]] = "925 Silver",  "7113.11.00"," 7113.19.00")</f>
        <v>7113.11.00</v>
      </c>
      <c r="L564" t="str">
        <f>IFERROR(VLOOKUP(quantInv[[#This Row],[Description for New Invoice]],Map!$G$12:$H$32,2,FALSE), IF(quantInv[[#This Row],[Metal]] = "925 Silver", "7113.11.10.00", "7113.19.29.00"))</f>
        <v>7113.11.10.00</v>
      </c>
      <c r="M564" t="str">
        <f>quantInv[[#This Row],[ASIN]] &amp; " " &amp; quantInv[[#This Row],[Short Description]]</f>
        <v>B07RCZQ431 Bangle - bendable with clasp</v>
      </c>
      <c r="N564" s="33">
        <f>quantInv[[#This Row],[UNIT
VALUE]] / EURtoGBP</f>
        <v>15.825827359770253</v>
      </c>
      <c r="O564" s="33">
        <f>quantInv[[#This Row],[UNIT
VALUE]]/USDtoGBP</f>
        <v>19.112165739297559</v>
      </c>
      <c r="P564" s="33">
        <f>quantInv[[#This Row],[UNIT
VALUE]] / CADtoGBP</f>
        <v>24.464670818396055</v>
      </c>
      <c r="Q564" s="33">
        <f>quantInv[[#This Row],[UNIT
VALUE]]/AUDtoGBP</f>
        <v>25.041310438968317</v>
      </c>
      <c r="R564">
        <f>IFERROR(VLOOKUP(quantInv[[#This Row],[Assigned Item SKU]],skuQuantity[#All],2,FALSE),0)</f>
        <v>0</v>
      </c>
      <c r="S564" t="str">
        <f>PROPER(quantInv[[#This Row],[Metal]] &amp; " " &amp; quantInv[[#This Row],[Item Type]])</f>
        <v>925 Silver Bracelet</v>
      </c>
      <c r="T564" s="33">
        <f>quantInv[[#This Row],[Quantity]]*quantInv[[#This Row],[WEIGHT]]</f>
        <v>0</v>
      </c>
      <c r="U564" s="33">
        <f>quantInv[[#This Row],[UNIT
VALUE]]*quantInv[[#This Row],[Quantity]]</f>
        <v>0</v>
      </c>
      <c r="V564" s="33">
        <f>quantInv[[#This Row],[Total Cost GBP]]/EURtoGBP</f>
        <v>0</v>
      </c>
      <c r="W564" s="33">
        <f>quantInv[[#This Row],[Total Cost GBP]]/USDtoGBP</f>
        <v>0</v>
      </c>
      <c r="X564" s="33">
        <f>quantInv[[#This Row],[Total Cost GBP]]/CADtoGBP</f>
        <v>0</v>
      </c>
      <c r="Y564" s="33">
        <f>quantInv[[#This Row],[Quantity]]*quantInv[[#This Row],[UNIT
VALUE AUD]]</f>
        <v>0</v>
      </c>
      <c r="Z564" s="33"/>
    </row>
    <row r="565" spans="1:26" x14ac:dyDescent="0.25">
      <c r="A565" t="s">
        <v>1307</v>
      </c>
      <c r="B565" t="s">
        <v>1308</v>
      </c>
      <c r="C565" t="s">
        <v>114</v>
      </c>
      <c r="D565" t="s">
        <v>1309</v>
      </c>
      <c r="E565">
        <v>1.8</v>
      </c>
      <c r="F565" s="33">
        <v>3.9954999999999998</v>
      </c>
      <c r="G565" s="33" t="s">
        <v>117</v>
      </c>
      <c r="H565" t="s">
        <v>1310</v>
      </c>
      <c r="I565" t="str">
        <f>IF(quantInv[[#This Row],[Metal]] = "925 Silver",  "7113.11.00"," 7113.19.00")</f>
        <v>7113.11.00</v>
      </c>
      <c r="J565" t="str">
        <f>IF(quantInv[[#This Row],[Metal]] = "925 Silver", "7113.11.10.00"," 7113.19.10.00")</f>
        <v>7113.11.10.00</v>
      </c>
      <c r="K565" t="str">
        <f>IF(quantInv[[#This Row],[Metal]] = "925 Silver",  "7113.11.00"," 7113.19.00")</f>
        <v>7113.11.00</v>
      </c>
      <c r="L565" t="str">
        <f>IFERROR(VLOOKUP(quantInv[[#This Row],[Description for New Invoice]],Map!$G$12:$H$32,2,FALSE), IF(quantInv[[#This Row],[Metal]] = "925 Silver", "7113.11.10.00", "7113.19.29.00"))</f>
        <v>7113.11.50.00</v>
      </c>
      <c r="M565" t="str">
        <f>quantInv[[#This Row],[ASIN]] &amp; " " &amp; quantInv[[#This Row],[Short Description]]</f>
        <v>B08PC6M657 Earrings - drop Feather</v>
      </c>
      <c r="N565" s="33">
        <f>quantInv[[#This Row],[UNIT
VALUE]] / EURtoGBP</f>
        <v>4.535367466357914</v>
      </c>
      <c r="O565" s="33">
        <f>quantInv[[#This Row],[UNIT
VALUE]]/USDtoGBP</f>
        <v>5.4771667057354314</v>
      </c>
      <c r="P565" s="33">
        <f>quantInv[[#This Row],[UNIT
VALUE]] / CADtoGBP</f>
        <v>7.0110882409196265</v>
      </c>
      <c r="Q565" s="33">
        <f>quantInv[[#This Row],[UNIT
VALUE]]/AUDtoGBP</f>
        <v>7.1763416912134481</v>
      </c>
      <c r="R565">
        <f>IFERROR(VLOOKUP(quantInv[[#This Row],[Assigned Item SKU]],skuQuantity[#All],2,FALSE),0)</f>
        <v>25</v>
      </c>
      <c r="S565" t="str">
        <f>PROPER(quantInv[[#This Row],[Metal]] &amp; " " &amp; quantInv[[#This Row],[Item Type]])</f>
        <v>925 Silver Earrings</v>
      </c>
      <c r="T565" s="33">
        <f>quantInv[[#This Row],[Quantity]]*quantInv[[#This Row],[WEIGHT]]</f>
        <v>45</v>
      </c>
      <c r="U565" s="33">
        <f>quantInv[[#This Row],[UNIT
VALUE]]*quantInv[[#This Row],[Quantity]]</f>
        <v>99.887499999999989</v>
      </c>
      <c r="V565" s="33">
        <f>quantInv[[#This Row],[Total Cost GBP]]/EURtoGBP</f>
        <v>113.38418665894784</v>
      </c>
      <c r="W565" s="33">
        <f>quantInv[[#This Row],[Total Cost GBP]]/USDtoGBP</f>
        <v>136.92916764338577</v>
      </c>
      <c r="X565" s="33">
        <f>quantInv[[#This Row],[Total Cost GBP]]/CADtoGBP</f>
        <v>175.27720602299067</v>
      </c>
      <c r="Y565" s="33">
        <f>quantInv[[#This Row],[Quantity]]*quantInv[[#This Row],[UNIT
VALUE AUD]]</f>
        <v>179.40854228033621</v>
      </c>
      <c r="Z565" s="33"/>
    </row>
    <row r="566" spans="1:26" x14ac:dyDescent="0.25">
      <c r="A566" t="s">
        <v>1311</v>
      </c>
      <c r="B566" t="s">
        <v>1312</v>
      </c>
      <c r="C566" t="s">
        <v>114</v>
      </c>
      <c r="D566" t="s">
        <v>1313</v>
      </c>
      <c r="E566">
        <v>23.65</v>
      </c>
      <c r="F566" s="33">
        <v>23.7288</v>
      </c>
      <c r="G566" s="33" t="s">
        <v>117</v>
      </c>
      <c r="H566" t="s">
        <v>103</v>
      </c>
      <c r="I566" t="str">
        <f>IF(quantInv[[#This Row],[Metal]] = "925 Silver",  "7113.11.00"," 7113.19.00")</f>
        <v>7113.11.00</v>
      </c>
      <c r="J566" t="str">
        <f>IF(quantInv[[#This Row],[Metal]] = "925 Silver", "7113.11.10.00"," 7113.19.10.00")</f>
        <v>7113.11.10.00</v>
      </c>
      <c r="K566" t="str">
        <f>IF(quantInv[[#This Row],[Metal]] = "925 Silver",  "7113.11.00"," 7113.19.00")</f>
        <v>7113.11.00</v>
      </c>
      <c r="L566" t="str">
        <f>IFERROR(VLOOKUP(quantInv[[#This Row],[Description for New Invoice]],Map!$G$12:$H$32,2,FALSE), IF(quantInv[[#This Row],[Metal]] = "925 Silver", "7113.11.10.00", "7113.19.29.00"))</f>
        <v>7113.11.10.00</v>
      </c>
      <c r="M566" t="str">
        <f>quantInv[[#This Row],[ASIN]] &amp; " " &amp; quantInv[[#This Row],[Short Description]]</f>
        <v>B07RMXS34Q Chain - French Rope for men</v>
      </c>
      <c r="N566" s="33">
        <f>quantInv[[#This Row],[UNIT
VALUE]] / EURtoGBP</f>
        <v>26.935008768793313</v>
      </c>
      <c r="O566" s="33">
        <f>quantInv[[#This Row],[UNIT
VALUE]]/USDtoGBP</f>
        <v>32.528242604694007</v>
      </c>
      <c r="P566" s="33">
        <f>quantInv[[#This Row],[UNIT
VALUE]] / CADtoGBP</f>
        <v>41.638020435773655</v>
      </c>
      <c r="Q566" s="33">
        <f>quantInv[[#This Row],[UNIT
VALUE]]/AUDtoGBP</f>
        <v>42.619441051799697</v>
      </c>
      <c r="R566">
        <f>IFERROR(VLOOKUP(quantInv[[#This Row],[Assigned Item SKU]],skuQuantity[#All],2,FALSE),0)</f>
        <v>5</v>
      </c>
      <c r="S566" t="str">
        <f>PROPER(quantInv[[#This Row],[Metal]] &amp; " " &amp; quantInv[[#This Row],[Item Type]])</f>
        <v>925 Silver Chain</v>
      </c>
      <c r="T566" s="33">
        <f>quantInv[[#This Row],[Quantity]]*quantInv[[#This Row],[WEIGHT]]</f>
        <v>118.25</v>
      </c>
      <c r="U566" s="33">
        <f>quantInv[[#This Row],[UNIT
VALUE]]*quantInv[[#This Row],[Quantity]]</f>
        <v>118.64400000000001</v>
      </c>
      <c r="V566" s="33">
        <f>quantInv[[#This Row],[Total Cost GBP]]/EURtoGBP</f>
        <v>134.67504384396656</v>
      </c>
      <c r="W566" s="33">
        <f>quantInv[[#This Row],[Total Cost GBP]]/USDtoGBP</f>
        <v>162.64121302347004</v>
      </c>
      <c r="X566" s="33">
        <f>quantInv[[#This Row],[Total Cost GBP]]/CADtoGBP</f>
        <v>208.1901021788683</v>
      </c>
      <c r="Y566" s="33">
        <f>quantInv[[#This Row],[Quantity]]*quantInv[[#This Row],[UNIT
VALUE AUD]]</f>
        <v>213.09720525899849</v>
      </c>
      <c r="Z566" s="33"/>
    </row>
    <row r="567" spans="1:26" x14ac:dyDescent="0.25">
      <c r="A567" t="s">
        <v>0</v>
      </c>
      <c r="B567" t="s">
        <v>755</v>
      </c>
      <c r="C567" t="s">
        <v>114</v>
      </c>
      <c r="D567" t="s">
        <v>707</v>
      </c>
      <c r="E567">
        <v>3.61</v>
      </c>
      <c r="F567" s="33">
        <v>4.1650999999999998</v>
      </c>
      <c r="G567" s="33" t="s">
        <v>117</v>
      </c>
      <c r="H567" t="s">
        <v>1310</v>
      </c>
      <c r="I567" t="str">
        <f>IF(quantInv[[#This Row],[Metal]] = "925 Silver",  "7113.11.00"," 7113.19.00")</f>
        <v>7113.11.00</v>
      </c>
      <c r="J567" t="str">
        <f>IF(quantInv[[#This Row],[Metal]] = "925 Silver", "7113.11.10.00"," 7113.19.10.00")</f>
        <v>7113.11.10.00</v>
      </c>
      <c r="K567" t="str">
        <f>IF(quantInv[[#This Row],[Metal]] = "925 Silver",  "7113.11.00"," 7113.19.00")</f>
        <v>7113.11.00</v>
      </c>
      <c r="L567" t="str">
        <f>IFERROR(VLOOKUP(quantInv[[#This Row],[Description for New Invoice]],Map!$G$12:$H$32,2,FALSE), IF(quantInv[[#This Row],[Metal]] = "925 Silver", "7113.11.10.00", "7113.19.29.00"))</f>
        <v>7113.11.50.00</v>
      </c>
      <c r="M567" t="str">
        <f>quantInv[[#This Row],[ASIN]] &amp; " " &amp; quantInv[[#This Row],[Short Description]]</f>
        <v>B06XYVM5ML Hinged Hoop Earrings</v>
      </c>
      <c r="N567" s="33">
        <f>quantInv[[#This Row],[UNIT
VALUE]] / EURtoGBP</f>
        <v>4.7278836276129015</v>
      </c>
      <c r="O567" s="33">
        <f>quantInv[[#This Row],[UNIT
VALUE]]/USDtoGBP</f>
        <v>5.7096601291599667</v>
      </c>
      <c r="P567" s="33">
        <f>quantInv[[#This Row],[UNIT
VALUE]] / CADtoGBP</f>
        <v>7.3086931878999719</v>
      </c>
      <c r="Q567" s="33">
        <f>quantInv[[#This Row],[UNIT
VALUE]]/AUDtoGBP</f>
        <v>7.4809612759537316</v>
      </c>
      <c r="R567">
        <f>IFERROR(VLOOKUP(quantInv[[#This Row],[Assigned Item SKU]],skuQuantity[#All],2,FALSE),0)</f>
        <v>20</v>
      </c>
      <c r="S567" t="str">
        <f>PROPER(quantInv[[#This Row],[Metal]] &amp; " " &amp; quantInv[[#This Row],[Item Type]])</f>
        <v>925 Silver Earrings</v>
      </c>
      <c r="T567" s="33">
        <f>quantInv[[#This Row],[Quantity]]*quantInv[[#This Row],[WEIGHT]]</f>
        <v>72.2</v>
      </c>
      <c r="U567" s="33">
        <f>quantInv[[#This Row],[UNIT
VALUE]]*quantInv[[#This Row],[Quantity]]</f>
        <v>83.301999999999992</v>
      </c>
      <c r="V567" s="33">
        <f>quantInv[[#This Row],[Total Cost GBP]]/EURtoGBP</f>
        <v>94.557672552258026</v>
      </c>
      <c r="W567" s="33">
        <f>quantInv[[#This Row],[Total Cost GBP]]/USDtoGBP</f>
        <v>114.19320258319932</v>
      </c>
      <c r="X567" s="33">
        <f>quantInv[[#This Row],[Total Cost GBP]]/CADtoGBP</f>
        <v>146.17386375799944</v>
      </c>
      <c r="Y567" s="33">
        <f>quantInv[[#This Row],[Quantity]]*quantInv[[#This Row],[UNIT
VALUE AUD]]</f>
        <v>149.61922551907463</v>
      </c>
      <c r="Z567" s="33"/>
    </row>
    <row r="568" spans="1:26" x14ac:dyDescent="0.25">
      <c r="A568" t="s">
        <v>1316</v>
      </c>
      <c r="B568" t="s">
        <v>1317</v>
      </c>
      <c r="C568" t="s">
        <v>114</v>
      </c>
      <c r="D568" t="s">
        <v>1318</v>
      </c>
      <c r="E568">
        <v>20.329999999999998</v>
      </c>
      <c r="F568" s="33">
        <v>20.153300000000002</v>
      </c>
      <c r="G568" s="33" t="s">
        <v>117</v>
      </c>
      <c r="H568" t="s">
        <v>103</v>
      </c>
      <c r="I568" t="str">
        <f>IF(quantInv[[#This Row],[Metal]] = "925 Silver",  "7113.11.00"," 7113.19.00")</f>
        <v>7113.11.00</v>
      </c>
      <c r="J568" t="str">
        <f>IF(quantInv[[#This Row],[Metal]] = "925 Silver", "7113.11.10.00"," 7113.19.10.00")</f>
        <v>7113.11.10.00</v>
      </c>
      <c r="K568" t="str">
        <f>IF(quantInv[[#This Row],[Metal]] = "925 Silver",  "7113.11.00"," 7113.19.00")</f>
        <v>7113.11.00</v>
      </c>
      <c r="L568" t="str">
        <f>IFERROR(VLOOKUP(quantInv[[#This Row],[Description for New Invoice]],Map!$G$12:$H$32,2,FALSE), IF(quantInv[[#This Row],[Metal]] = "925 Silver", "7113.11.10.00", "7113.19.29.00"))</f>
        <v>7113.11.10.00</v>
      </c>
      <c r="M568" t="str">
        <f>quantInv[[#This Row],[ASIN]] &amp; " " &amp; quantInv[[#This Row],[Short Description]]</f>
        <v>B07RMGSK1W Chain - Round Box for men</v>
      </c>
      <c r="N568" s="33">
        <f>quantInv[[#This Row],[UNIT
VALUE]] / EURtoGBP</f>
        <v>22.876391230071572</v>
      </c>
      <c r="O568" s="33">
        <f>quantInv[[#This Row],[UNIT
VALUE]]/USDtoGBP</f>
        <v>27.626826122061793</v>
      </c>
      <c r="P568" s="33">
        <f>quantInv[[#This Row],[UNIT
VALUE]] / CADtoGBP</f>
        <v>35.363925577706304</v>
      </c>
      <c r="Q568" s="33">
        <f>quantInv[[#This Row],[UNIT
VALUE]]/AUDtoGBP</f>
        <v>36.197463898268552</v>
      </c>
      <c r="R568">
        <f>IFERROR(VLOOKUP(quantInv[[#This Row],[Assigned Item SKU]],skuQuantity[#All],2,FALSE),0)</f>
        <v>0</v>
      </c>
      <c r="S568" t="str">
        <f>PROPER(quantInv[[#This Row],[Metal]] &amp; " " &amp; quantInv[[#This Row],[Item Type]])</f>
        <v>925 Silver Chain</v>
      </c>
      <c r="T568" s="33">
        <f>quantInv[[#This Row],[Quantity]]*quantInv[[#This Row],[WEIGHT]]</f>
        <v>0</v>
      </c>
      <c r="U568" s="33">
        <f>quantInv[[#This Row],[UNIT
VALUE]]*quantInv[[#This Row],[Quantity]]</f>
        <v>0</v>
      </c>
      <c r="V568" s="33">
        <f>quantInv[[#This Row],[Total Cost GBP]]/EURtoGBP</f>
        <v>0</v>
      </c>
      <c r="W568" s="33">
        <f>quantInv[[#This Row],[Total Cost GBP]]/USDtoGBP</f>
        <v>0</v>
      </c>
      <c r="X568" s="33">
        <f>quantInv[[#This Row],[Total Cost GBP]]/CADtoGBP</f>
        <v>0</v>
      </c>
      <c r="Y568" s="33">
        <f>quantInv[[#This Row],[Quantity]]*quantInv[[#This Row],[UNIT
VALUE AUD]]</f>
        <v>0</v>
      </c>
      <c r="Z568" s="33"/>
    </row>
    <row r="569" spans="1:26" x14ac:dyDescent="0.25">
      <c r="A569" t="s">
        <v>104</v>
      </c>
      <c r="B569" t="s">
        <v>106</v>
      </c>
      <c r="C569" t="s">
        <v>114</v>
      </c>
      <c r="D569" t="s">
        <v>1318</v>
      </c>
      <c r="E569">
        <v>29.18</v>
      </c>
      <c r="F569" s="33">
        <v>30.373000000000001</v>
      </c>
      <c r="G569" s="33" t="s">
        <v>117</v>
      </c>
      <c r="H569" t="s">
        <v>103</v>
      </c>
      <c r="I569" t="str">
        <f>IF(quantInv[[#This Row],[Metal]] = "925 Silver",  "7113.11.00"," 7113.19.00")</f>
        <v>7113.11.00</v>
      </c>
      <c r="J569" t="str">
        <f>IF(quantInv[[#This Row],[Metal]] = "925 Silver", "7113.11.10.00"," 7113.19.10.00")</f>
        <v>7113.11.10.00</v>
      </c>
      <c r="K569" t="str">
        <f>IF(quantInv[[#This Row],[Metal]] = "925 Silver",  "7113.11.00"," 7113.19.00")</f>
        <v>7113.11.00</v>
      </c>
      <c r="L569" t="str">
        <f>IFERROR(VLOOKUP(quantInv[[#This Row],[Description for New Invoice]],Map!$G$12:$H$32,2,FALSE), IF(quantInv[[#This Row],[Metal]] = "925 Silver", "7113.11.10.00", "7113.19.29.00"))</f>
        <v>7113.11.10.00</v>
      </c>
      <c r="M569" t="str">
        <f>quantInv[[#This Row],[ASIN]] &amp; " " &amp; quantInv[[#This Row],[Short Description]]</f>
        <v>B07RLF2MFR Chain - Round Box for men</v>
      </c>
      <c r="N569" s="33">
        <f>quantInv[[#This Row],[UNIT
VALUE]] / EURtoGBP</f>
        <v>34.476965600222485</v>
      </c>
      <c r="O569" s="33">
        <f>quantInv[[#This Row],[UNIT
VALUE]]/USDtoGBP</f>
        <v>41.636336967413911</v>
      </c>
      <c r="P569" s="33">
        <f>quantInv[[#This Row],[UNIT
VALUE]] / CADtoGBP</f>
        <v>53.296904803266635</v>
      </c>
      <c r="Q569" s="33">
        <f>quantInv[[#This Row],[UNIT
VALUE]]/AUDtoGBP</f>
        <v>54.553128816725341</v>
      </c>
      <c r="R569">
        <f>IFERROR(VLOOKUP(quantInv[[#This Row],[Assigned Item SKU]],skuQuantity[#All],2,FALSE),0)</f>
        <v>0</v>
      </c>
      <c r="S569" t="str">
        <f>PROPER(quantInv[[#This Row],[Metal]] &amp; " " &amp; quantInv[[#This Row],[Item Type]])</f>
        <v>925 Silver Chain</v>
      </c>
      <c r="T569" s="33">
        <f>quantInv[[#This Row],[Quantity]]*quantInv[[#This Row],[WEIGHT]]</f>
        <v>0</v>
      </c>
      <c r="U569" s="33">
        <f>quantInv[[#This Row],[UNIT
VALUE]]*quantInv[[#This Row],[Quantity]]</f>
        <v>0</v>
      </c>
      <c r="V569" s="33">
        <f>quantInv[[#This Row],[Total Cost GBP]]/EURtoGBP</f>
        <v>0</v>
      </c>
      <c r="W569" s="33">
        <f>quantInv[[#This Row],[Total Cost GBP]]/USDtoGBP</f>
        <v>0</v>
      </c>
      <c r="X569" s="33">
        <f>quantInv[[#This Row],[Total Cost GBP]]/CADtoGBP</f>
        <v>0</v>
      </c>
      <c r="Y569" s="33">
        <f>quantInv[[#This Row],[Quantity]]*quantInv[[#This Row],[UNIT
VALUE AUD]]</f>
        <v>0</v>
      </c>
      <c r="Z569" s="33"/>
    </row>
    <row r="570" spans="1:26" x14ac:dyDescent="0.25">
      <c r="A570" t="s">
        <v>1319</v>
      </c>
      <c r="B570" t="s">
        <v>1320</v>
      </c>
      <c r="C570" t="s">
        <v>114</v>
      </c>
      <c r="D570" t="s">
        <v>1321</v>
      </c>
      <c r="E570">
        <v>5.45</v>
      </c>
      <c r="F570" s="33">
        <v>5.8071999999999999</v>
      </c>
      <c r="G570" s="33" t="s">
        <v>117</v>
      </c>
      <c r="H570" t="s">
        <v>1414</v>
      </c>
      <c r="I570" t="str">
        <f>IF(quantInv[[#This Row],[Metal]] = "925 Silver",  "7113.11.00"," 7113.19.00")</f>
        <v>7113.11.00</v>
      </c>
      <c r="J570" t="str">
        <f>IF(quantInv[[#This Row],[Metal]] = "925 Silver", "7113.11.10.00"," 7113.19.10.00")</f>
        <v>7113.11.10.00</v>
      </c>
      <c r="K570" t="str">
        <f>IF(quantInv[[#This Row],[Metal]] = "925 Silver",  "7113.11.00"," 7113.19.00")</f>
        <v>7113.11.00</v>
      </c>
      <c r="L570" t="str">
        <f>IFERROR(VLOOKUP(quantInv[[#This Row],[Description for New Invoice]],Map!$G$12:$H$32,2,FALSE), IF(quantInv[[#This Row],[Metal]] = "925 Silver", "7113.11.10.00", "7113.19.29.00"))</f>
        <v>7113.11.10.00</v>
      </c>
      <c r="M570" t="str">
        <f>quantInv[[#This Row],[ASIN]] &amp; " " &amp; quantInv[[#This Row],[Short Description]]</f>
        <v>B07RCX69TV Bangle - Round 1.8 mm</v>
      </c>
      <c r="N570" s="33">
        <f>quantInv[[#This Row],[UNIT
VALUE]] / EURtoGBP</f>
        <v>6.5918623327828003</v>
      </c>
      <c r="O570" s="33">
        <f>quantInv[[#This Row],[UNIT
VALUE]]/USDtoGBP</f>
        <v>7.9607064181070699</v>
      </c>
      <c r="P570" s="33">
        <f>quantInv[[#This Row],[UNIT
VALUE]] / CADtoGBP</f>
        <v>10.190161840237382</v>
      </c>
      <c r="Q570" s="33">
        <f>quantInv[[#This Row],[UNIT
VALUE]]/AUDtoGBP</f>
        <v>10.430347007687333</v>
      </c>
      <c r="R570">
        <f>IFERROR(VLOOKUP(quantInv[[#This Row],[Assigned Item SKU]],skuQuantity[#All],2,FALSE),0)</f>
        <v>0</v>
      </c>
      <c r="S570" t="str">
        <f>PROPER(quantInv[[#This Row],[Metal]] &amp; " " &amp; quantInv[[#This Row],[Item Type]])</f>
        <v>925 Silver Bracelet</v>
      </c>
      <c r="T570" s="33">
        <f>quantInv[[#This Row],[Quantity]]*quantInv[[#This Row],[WEIGHT]]</f>
        <v>0</v>
      </c>
      <c r="U570" s="33">
        <f>quantInv[[#This Row],[UNIT
VALUE]]*quantInv[[#This Row],[Quantity]]</f>
        <v>0</v>
      </c>
      <c r="V570" s="33">
        <f>quantInv[[#This Row],[Total Cost GBP]]/EURtoGBP</f>
        <v>0</v>
      </c>
      <c r="W570" s="33">
        <f>quantInv[[#This Row],[Total Cost GBP]]/USDtoGBP</f>
        <v>0</v>
      </c>
      <c r="X570" s="33">
        <f>quantInv[[#This Row],[Total Cost GBP]]/CADtoGBP</f>
        <v>0</v>
      </c>
      <c r="Y570" s="33">
        <f>quantInv[[#This Row],[Quantity]]*quantInv[[#This Row],[UNIT
VALUE AUD]]</f>
        <v>0</v>
      </c>
      <c r="Z570" s="33"/>
    </row>
    <row r="571" spans="1:26" x14ac:dyDescent="0.25">
      <c r="A571" t="s">
        <v>1322</v>
      </c>
      <c r="B571" t="s">
        <v>1323</v>
      </c>
      <c r="C571" t="s">
        <v>114</v>
      </c>
      <c r="D571" t="s">
        <v>1324</v>
      </c>
      <c r="E571">
        <v>5.31</v>
      </c>
      <c r="F571" s="33">
        <v>5.8967999999999998</v>
      </c>
      <c r="G571" s="33" t="s">
        <v>117</v>
      </c>
      <c r="H571" t="s">
        <v>1414</v>
      </c>
      <c r="I571" t="str">
        <f>IF(quantInv[[#This Row],[Metal]] = "925 Silver",  "7113.11.00"," 7113.19.00")</f>
        <v>7113.11.00</v>
      </c>
      <c r="J571" t="str">
        <f>IF(quantInv[[#This Row],[Metal]] = "925 Silver", "7113.11.10.00"," 7113.19.10.00")</f>
        <v>7113.11.10.00</v>
      </c>
      <c r="K571" t="str">
        <f>IF(quantInv[[#This Row],[Metal]] = "925 Silver",  "7113.11.00"," 7113.19.00")</f>
        <v>7113.11.00</v>
      </c>
      <c r="L571" t="str">
        <f>IFERROR(VLOOKUP(quantInv[[#This Row],[Description for New Invoice]],Map!$G$12:$H$32,2,FALSE), IF(quantInv[[#This Row],[Metal]] = "925 Silver", "7113.11.10.00", "7113.19.29.00"))</f>
        <v>7113.11.10.00</v>
      </c>
      <c r="M571" t="str">
        <f>quantInv[[#This Row],[ASIN]] &amp; " " &amp; quantInv[[#This Row],[Short Description]]</f>
        <v>B07RCYMH57 Bangle - Twisted Wire 2.1 mm</v>
      </c>
      <c r="N571" s="33">
        <f>quantInv[[#This Row],[UNIT
VALUE]] / EURtoGBP</f>
        <v>6.6935689840118506</v>
      </c>
      <c r="O571" s="33">
        <f>quantInv[[#This Row],[UNIT
VALUE]]/USDtoGBP</f>
        <v>8.0835331323690891</v>
      </c>
      <c r="P571" s="33">
        <f>quantInv[[#This Row],[UNIT
VALUE]] / CADtoGBP</f>
        <v>10.347387095245866</v>
      </c>
      <c r="Q571" s="33">
        <f>quantInv[[#This Row],[UNIT
VALUE]]/AUDtoGBP</f>
        <v>10.591278109059559</v>
      </c>
      <c r="R571">
        <f>IFERROR(VLOOKUP(quantInv[[#This Row],[Assigned Item SKU]],skuQuantity[#All],2,FALSE),0)</f>
        <v>0</v>
      </c>
      <c r="S571" t="str">
        <f>PROPER(quantInv[[#This Row],[Metal]] &amp; " " &amp; quantInv[[#This Row],[Item Type]])</f>
        <v>925 Silver Bracelet</v>
      </c>
      <c r="T571" s="33">
        <f>quantInv[[#This Row],[Quantity]]*quantInv[[#This Row],[WEIGHT]]</f>
        <v>0</v>
      </c>
      <c r="U571" s="33">
        <f>quantInv[[#This Row],[UNIT
VALUE]]*quantInv[[#This Row],[Quantity]]</f>
        <v>0</v>
      </c>
      <c r="V571" s="33">
        <f>quantInv[[#This Row],[Total Cost GBP]]/EURtoGBP</f>
        <v>0</v>
      </c>
      <c r="W571" s="33">
        <f>quantInv[[#This Row],[Total Cost GBP]]/USDtoGBP</f>
        <v>0</v>
      </c>
      <c r="X571" s="33">
        <f>quantInv[[#This Row],[Total Cost GBP]]/CADtoGBP</f>
        <v>0</v>
      </c>
      <c r="Y571" s="33">
        <f>quantInv[[#This Row],[Quantity]]*quantInv[[#This Row],[UNIT
VALUE AUD]]</f>
        <v>0</v>
      </c>
      <c r="Z571" s="33"/>
    </row>
    <row r="572" spans="1:26" x14ac:dyDescent="0.25">
      <c r="A572" t="s">
        <v>1325</v>
      </c>
      <c r="B572" t="s">
        <v>1326</v>
      </c>
      <c r="C572" t="s">
        <v>114</v>
      </c>
      <c r="D572" t="s">
        <v>1327</v>
      </c>
      <c r="E572">
        <v>6.12</v>
      </c>
      <c r="F572" s="33">
        <v>6.4977999999999998</v>
      </c>
      <c r="G572" s="33" t="s">
        <v>117</v>
      </c>
      <c r="H572" t="s">
        <v>1414</v>
      </c>
      <c r="I572" t="str">
        <f>IF(quantInv[[#This Row],[Metal]] = "925 Silver",  "7113.11.00"," 7113.19.00")</f>
        <v>7113.11.00</v>
      </c>
      <c r="J572" t="str">
        <f>IF(quantInv[[#This Row],[Metal]] = "925 Silver", "7113.11.10.00"," 7113.19.10.00")</f>
        <v>7113.11.10.00</v>
      </c>
      <c r="K572" t="str">
        <f>IF(quantInv[[#This Row],[Metal]] = "925 Silver",  "7113.11.00"," 7113.19.00")</f>
        <v>7113.11.00</v>
      </c>
      <c r="L572" t="str">
        <f>IFERROR(VLOOKUP(quantInv[[#This Row],[Description for New Invoice]],Map!$G$12:$H$32,2,FALSE), IF(quantInv[[#This Row],[Metal]] = "925 Silver", "7113.11.10.00", "7113.19.29.00"))</f>
        <v>7113.11.10.00</v>
      </c>
      <c r="M572" t="str">
        <f>quantInv[[#This Row],[ASIN]] &amp; " " &amp; quantInv[[#This Row],[Short Description]]</f>
        <v>B07RDYB5C1 Bangle - Squared Wire 1.7 mm</v>
      </c>
      <c r="N572" s="33">
        <f>quantInv[[#This Row],[UNIT
VALUE]] / EURtoGBP</f>
        <v>7.3757754280817061</v>
      </c>
      <c r="O572" s="33">
        <f>quantInv[[#This Row],[UNIT
VALUE]]/USDtoGBP</f>
        <v>8.9074042849524933</v>
      </c>
      <c r="P572" s="33">
        <f>quantInv[[#This Row],[UNIT
VALUE]] / CADtoGBP</f>
        <v>11.401989531184471</v>
      </c>
      <c r="Q572" s="33">
        <f>quantInv[[#This Row],[UNIT
VALUE]]/AUDtoGBP</f>
        <v>11.670737840362094</v>
      </c>
      <c r="R572">
        <f>IFERROR(VLOOKUP(quantInv[[#This Row],[Assigned Item SKU]],skuQuantity[#All],2,FALSE),0)</f>
        <v>0</v>
      </c>
      <c r="S572" t="str">
        <f>PROPER(quantInv[[#This Row],[Metal]] &amp; " " &amp; quantInv[[#This Row],[Item Type]])</f>
        <v>925 Silver Bracelet</v>
      </c>
      <c r="T572" s="33">
        <f>quantInv[[#This Row],[Quantity]]*quantInv[[#This Row],[WEIGHT]]</f>
        <v>0</v>
      </c>
      <c r="U572" s="33">
        <f>quantInv[[#This Row],[UNIT
VALUE]]*quantInv[[#This Row],[Quantity]]</f>
        <v>0</v>
      </c>
      <c r="V572" s="33">
        <f>quantInv[[#This Row],[Total Cost GBP]]/EURtoGBP</f>
        <v>0</v>
      </c>
      <c r="W572" s="33">
        <f>quantInv[[#This Row],[Total Cost GBP]]/USDtoGBP</f>
        <v>0</v>
      </c>
      <c r="X572" s="33">
        <f>quantInv[[#This Row],[Total Cost GBP]]/CADtoGBP</f>
        <v>0</v>
      </c>
      <c r="Y572" s="33">
        <f>quantInv[[#This Row],[Quantity]]*quantInv[[#This Row],[UNIT
VALUE AUD]]</f>
        <v>0</v>
      </c>
      <c r="Z572" s="33"/>
    </row>
    <row r="573" spans="1:26" x14ac:dyDescent="0.25">
      <c r="A573" t="s">
        <v>1328</v>
      </c>
      <c r="B573" t="s">
        <v>1329</v>
      </c>
      <c r="C573" t="s">
        <v>114</v>
      </c>
      <c r="D573" t="s">
        <v>1330</v>
      </c>
      <c r="E573">
        <v>18.23</v>
      </c>
      <c r="F573" s="33">
        <v>20.483000000000001</v>
      </c>
      <c r="G573" s="33" t="s">
        <v>117</v>
      </c>
      <c r="H573" t="s">
        <v>1414</v>
      </c>
      <c r="I573" t="str">
        <f>IF(quantInv[[#This Row],[Metal]] = "925 Silver",  "7113.11.00"," 7113.19.00")</f>
        <v>7113.11.00</v>
      </c>
      <c r="J573" t="str">
        <f>IF(quantInv[[#This Row],[Metal]] = "925 Silver", "7113.11.10.00"," 7113.19.10.00")</f>
        <v>7113.11.10.00</v>
      </c>
      <c r="K573" t="str">
        <f>IF(quantInv[[#This Row],[Metal]] = "925 Silver",  "7113.11.00"," 7113.19.00")</f>
        <v>7113.11.00</v>
      </c>
      <c r="L573" t="str">
        <f>IFERROR(VLOOKUP(quantInv[[#This Row],[Description for New Invoice]],Map!$G$12:$H$32,2,FALSE), IF(quantInv[[#This Row],[Metal]] = "925 Silver", "7113.11.10.00", "7113.19.29.00"))</f>
        <v>7113.11.10.00</v>
      </c>
      <c r="M573" t="str">
        <f>quantInv[[#This Row],[ASIN]] &amp; " " &amp; quantInv[[#This Row],[Short Description]]</f>
        <v>B07RCK3FQP Bangles - Triple-Connected</v>
      </c>
      <c r="N573" s="33">
        <f>quantInv[[#This Row],[UNIT
VALUE]] / EURtoGBP</f>
        <v>23.250639923265965</v>
      </c>
      <c r="O573" s="33">
        <f>quantInv[[#This Row],[UNIT
VALUE]]/USDtoGBP</f>
        <v>28.07879004719781</v>
      </c>
      <c r="P573" s="33">
        <f>quantInv[[#This Row],[UNIT
VALUE]] / CADtoGBP</f>
        <v>35.942465383245334</v>
      </c>
      <c r="Q573" s="33">
        <f>quantInv[[#This Row],[UNIT
VALUE]]/AUDtoGBP</f>
        <v>36.789640060349164</v>
      </c>
      <c r="R573">
        <f>IFERROR(VLOOKUP(quantInv[[#This Row],[Assigned Item SKU]],skuQuantity[#All],2,FALSE),0)</f>
        <v>0</v>
      </c>
      <c r="S573" t="str">
        <f>PROPER(quantInv[[#This Row],[Metal]] &amp; " " &amp; quantInv[[#This Row],[Item Type]])</f>
        <v>925 Silver Bracelet</v>
      </c>
      <c r="T573" s="33">
        <f>quantInv[[#This Row],[Quantity]]*quantInv[[#This Row],[WEIGHT]]</f>
        <v>0</v>
      </c>
      <c r="U573" s="33">
        <f>quantInv[[#This Row],[UNIT
VALUE]]*quantInv[[#This Row],[Quantity]]</f>
        <v>0</v>
      </c>
      <c r="V573" s="33">
        <f>quantInv[[#This Row],[Total Cost GBP]]/EURtoGBP</f>
        <v>0</v>
      </c>
      <c r="W573" s="33">
        <f>quantInv[[#This Row],[Total Cost GBP]]/USDtoGBP</f>
        <v>0</v>
      </c>
      <c r="X573" s="33">
        <f>quantInv[[#This Row],[Total Cost GBP]]/CADtoGBP</f>
        <v>0</v>
      </c>
      <c r="Y573" s="33">
        <f>quantInv[[#This Row],[Quantity]]*quantInv[[#This Row],[UNIT
VALUE AUD]]</f>
        <v>0</v>
      </c>
      <c r="Z573" s="33"/>
    </row>
    <row r="574" spans="1:26" x14ac:dyDescent="0.25">
      <c r="A574" t="s">
        <v>1331</v>
      </c>
      <c r="B574" t="s">
        <v>1332</v>
      </c>
      <c r="C574" t="s">
        <v>114</v>
      </c>
      <c r="D574" t="s">
        <v>1333</v>
      </c>
      <c r="E574">
        <v>0.3</v>
      </c>
      <c r="F574" s="33">
        <v>0.71830000000000005</v>
      </c>
      <c r="G574" s="33" t="s">
        <v>117</v>
      </c>
      <c r="H574" t="s">
        <v>3301</v>
      </c>
      <c r="I574" t="str">
        <f>IF(quantInv[[#This Row],[Metal]] = "925 Silver",  "7113.11.00"," 7113.19.00")</f>
        <v>7113.11.00</v>
      </c>
      <c r="J574" t="str">
        <f>IF(quantInv[[#This Row],[Metal]] = "925 Silver", "7113.11.10.00"," 7113.19.10.00")</f>
        <v>7113.11.10.00</v>
      </c>
      <c r="K574" t="str">
        <f>IF(quantInv[[#This Row],[Metal]] = "925 Silver",  "7113.11.00"," 7113.19.00")</f>
        <v>7113.11.00</v>
      </c>
      <c r="L574" t="str">
        <f>IFERROR(VLOOKUP(quantInv[[#This Row],[Description for New Invoice]],Map!$G$12:$H$32,2,FALSE), IF(quantInv[[#This Row],[Metal]] = "925 Silver", "7113.11.10.00", "7113.19.29.00"))</f>
        <v>7113.11.10.00</v>
      </c>
      <c r="M574" t="str">
        <f>quantInv[[#This Row],[ASIN]] &amp; " " &amp; quantInv[[#This Row],[Short Description]]</f>
        <v>EBAY Extender Cable - Silver - 5 mm spring ring</v>
      </c>
      <c r="N574" s="33">
        <f>quantInv[[#This Row],[UNIT
VALUE]] / EURtoGBP</f>
        <v>0.81535588814538607</v>
      </c>
      <c r="O574" s="33">
        <f>quantInv[[#This Row],[UNIT
VALUE]]/USDtoGBP</f>
        <v>0.98466996489294478</v>
      </c>
      <c r="P574" s="33">
        <f>quantInv[[#This Row],[UNIT
VALUE]] / CADtoGBP</f>
        <v>1.260434159292346</v>
      </c>
      <c r="Q574" s="33">
        <f>quantInv[[#This Row],[UNIT
VALUE]]/AUDtoGBP</f>
        <v>1.2901429700409512</v>
      </c>
      <c r="R574">
        <f>IFERROR(VLOOKUP(quantInv[[#This Row],[Assigned Item SKU]],skuQuantity[#All],2,FALSE),0)</f>
        <v>0</v>
      </c>
      <c r="S574" t="str">
        <f>PROPER(quantInv[[#This Row],[Metal]] &amp; " " &amp; quantInv[[#This Row],[Item Type]])</f>
        <v>925 Silver Extender</v>
      </c>
      <c r="T574" s="33">
        <f>quantInv[[#This Row],[Quantity]]*quantInv[[#This Row],[WEIGHT]]</f>
        <v>0</v>
      </c>
      <c r="U574" s="33">
        <f>quantInv[[#This Row],[UNIT
VALUE]]*quantInv[[#This Row],[Quantity]]</f>
        <v>0</v>
      </c>
      <c r="V574" s="33">
        <f>quantInv[[#This Row],[Total Cost GBP]]/EURtoGBP</f>
        <v>0</v>
      </c>
      <c r="W574" s="33">
        <f>quantInv[[#This Row],[Total Cost GBP]]/USDtoGBP</f>
        <v>0</v>
      </c>
      <c r="X574" s="33">
        <f>quantInv[[#This Row],[Total Cost GBP]]/CADtoGBP</f>
        <v>0</v>
      </c>
      <c r="Y574" s="33">
        <f>quantInv[[#This Row],[Quantity]]*quantInv[[#This Row],[UNIT
VALUE AUD]]</f>
        <v>0</v>
      </c>
      <c r="Z574" s="33"/>
    </row>
    <row r="575" spans="1:26" x14ac:dyDescent="0.25">
      <c r="A575" t="s">
        <v>1334</v>
      </c>
      <c r="B575" t="s">
        <v>1332</v>
      </c>
      <c r="C575" t="s">
        <v>114</v>
      </c>
      <c r="D575" t="s">
        <v>1333</v>
      </c>
      <c r="E575">
        <v>0.35</v>
      </c>
      <c r="F575" s="33">
        <v>0.74480000000000002</v>
      </c>
      <c r="G575" s="33" t="s">
        <v>117</v>
      </c>
      <c r="H575" t="s">
        <v>3301</v>
      </c>
      <c r="I575" t="str">
        <f>IF(quantInv[[#This Row],[Metal]] = "925 Silver",  "7113.11.00"," 7113.19.00")</f>
        <v>7113.11.00</v>
      </c>
      <c r="J575" t="str">
        <f>IF(quantInv[[#This Row],[Metal]] = "925 Silver", "7113.11.10.00"," 7113.19.10.00")</f>
        <v>7113.11.10.00</v>
      </c>
      <c r="K575" t="str">
        <f>IF(quantInv[[#This Row],[Metal]] = "925 Silver",  "7113.11.00"," 7113.19.00")</f>
        <v>7113.11.00</v>
      </c>
      <c r="L575" t="str">
        <f>IFERROR(VLOOKUP(quantInv[[#This Row],[Description for New Invoice]],Map!$G$12:$H$32,2,FALSE), IF(quantInv[[#This Row],[Metal]] = "925 Silver", "7113.11.10.00", "7113.19.29.00"))</f>
        <v>7113.11.10.00</v>
      </c>
      <c r="M575" t="str">
        <f>quantInv[[#This Row],[ASIN]] &amp; " " &amp; quantInv[[#This Row],[Short Description]]</f>
        <v>EBAY Extender Cable - Silver - 5 mm spring ring</v>
      </c>
      <c r="N575" s="33">
        <f>quantInv[[#This Row],[UNIT
VALUE]] / EURtoGBP</f>
        <v>0.84543653834147781</v>
      </c>
      <c r="O575" s="33">
        <f>quantInv[[#This Row],[UNIT
VALUE]]/USDtoGBP</f>
        <v>1.0209970623030284</v>
      </c>
      <c r="P575" s="33">
        <f>quantInv[[#This Row],[UNIT
VALUE]] / CADtoGBP</f>
        <v>1.3069349322580248</v>
      </c>
      <c r="Q575" s="33">
        <f>quantInv[[#This Row],[UNIT
VALUE]]/AUDtoGBP</f>
        <v>1.3377397801566204</v>
      </c>
      <c r="R575">
        <f>IFERROR(VLOOKUP(quantInv[[#This Row],[Assigned Item SKU]],skuQuantity[#All],2,FALSE),0)</f>
        <v>0</v>
      </c>
      <c r="S575" t="str">
        <f>PROPER(quantInv[[#This Row],[Metal]] &amp; " " &amp; quantInv[[#This Row],[Item Type]])</f>
        <v>925 Silver Extender</v>
      </c>
      <c r="T575" s="33">
        <f>quantInv[[#This Row],[Quantity]]*quantInv[[#This Row],[WEIGHT]]</f>
        <v>0</v>
      </c>
      <c r="U575" s="33">
        <f>quantInv[[#This Row],[UNIT
VALUE]]*quantInv[[#This Row],[Quantity]]</f>
        <v>0</v>
      </c>
      <c r="V575" s="33">
        <f>quantInv[[#This Row],[Total Cost GBP]]/EURtoGBP</f>
        <v>0</v>
      </c>
      <c r="W575" s="33">
        <f>quantInv[[#This Row],[Total Cost GBP]]/USDtoGBP</f>
        <v>0</v>
      </c>
      <c r="X575" s="33">
        <f>quantInv[[#This Row],[Total Cost GBP]]/CADtoGBP</f>
        <v>0</v>
      </c>
      <c r="Y575" s="33">
        <f>quantInv[[#This Row],[Quantity]]*quantInv[[#This Row],[UNIT
VALUE AUD]]</f>
        <v>0</v>
      </c>
      <c r="Z575" s="33"/>
    </row>
    <row r="576" spans="1:26" x14ac:dyDescent="0.25">
      <c r="A576" t="s">
        <v>1335</v>
      </c>
      <c r="B576" t="s">
        <v>1332</v>
      </c>
      <c r="C576" t="s">
        <v>114</v>
      </c>
      <c r="D576" t="s">
        <v>1333</v>
      </c>
      <c r="E576">
        <v>0.46</v>
      </c>
      <c r="F576" s="33">
        <v>0.87870000000000004</v>
      </c>
      <c r="G576" s="33" t="s">
        <v>117</v>
      </c>
      <c r="H576" t="s">
        <v>3301</v>
      </c>
      <c r="I576" t="str">
        <f>IF(quantInv[[#This Row],[Metal]] = "925 Silver",  "7113.11.00"," 7113.19.00")</f>
        <v>7113.11.00</v>
      </c>
      <c r="J576" t="str">
        <f>IF(quantInv[[#This Row],[Metal]] = "925 Silver", "7113.11.10.00"," 7113.19.10.00")</f>
        <v>7113.11.10.00</v>
      </c>
      <c r="K576" t="str">
        <f>IF(quantInv[[#This Row],[Metal]] = "925 Silver",  "7113.11.00"," 7113.19.00")</f>
        <v>7113.11.00</v>
      </c>
      <c r="L576" t="str">
        <f>IFERROR(VLOOKUP(quantInv[[#This Row],[Description for New Invoice]],Map!$G$12:$H$32,2,FALSE), IF(quantInv[[#This Row],[Metal]] = "925 Silver", "7113.11.10.00", "7113.19.29.00"))</f>
        <v>7113.11.10.00</v>
      </c>
      <c r="M576" t="str">
        <f>quantInv[[#This Row],[ASIN]] &amp; " " &amp; quantInv[[#This Row],[Short Description]]</f>
        <v>EBAY Extender Cable - Silver - 5 mm spring ring</v>
      </c>
      <c r="N576" s="33">
        <f>quantInv[[#This Row],[UNIT
VALUE]] / EURtoGBP</f>
        <v>0.99742895574739066</v>
      </c>
      <c r="O576" s="33">
        <f>quantInv[[#This Row],[UNIT
VALUE]]/USDtoGBP</f>
        <v>1.2045517167637902</v>
      </c>
      <c r="P576" s="33">
        <f>quantInv[[#This Row],[UNIT
VALUE]] / CADtoGBP</f>
        <v>1.541895441695927</v>
      </c>
      <c r="Q576" s="33">
        <f>quantInv[[#This Row],[UNIT
VALUE]]/AUDtoGBP</f>
        <v>1.5782383791939076</v>
      </c>
      <c r="R576">
        <f>IFERROR(VLOOKUP(quantInv[[#This Row],[Assigned Item SKU]],skuQuantity[#All],2,FALSE),0)</f>
        <v>0</v>
      </c>
      <c r="S576" t="str">
        <f>PROPER(quantInv[[#This Row],[Metal]] &amp; " " &amp; quantInv[[#This Row],[Item Type]])</f>
        <v>925 Silver Extender</v>
      </c>
      <c r="T576" s="33">
        <f>quantInv[[#This Row],[Quantity]]*quantInv[[#This Row],[WEIGHT]]</f>
        <v>0</v>
      </c>
      <c r="U576" s="33">
        <f>quantInv[[#This Row],[UNIT
VALUE]]*quantInv[[#This Row],[Quantity]]</f>
        <v>0</v>
      </c>
      <c r="V576" s="33">
        <f>quantInv[[#This Row],[Total Cost GBP]]/EURtoGBP</f>
        <v>0</v>
      </c>
      <c r="W576" s="33">
        <f>quantInv[[#This Row],[Total Cost GBP]]/USDtoGBP</f>
        <v>0</v>
      </c>
      <c r="X576" s="33">
        <f>quantInv[[#This Row],[Total Cost GBP]]/CADtoGBP</f>
        <v>0</v>
      </c>
      <c r="Y576" s="33">
        <f>quantInv[[#This Row],[Quantity]]*quantInv[[#This Row],[UNIT
VALUE AUD]]</f>
        <v>0</v>
      </c>
      <c r="Z576" s="33"/>
    </row>
    <row r="577" spans="1:26" x14ac:dyDescent="0.25">
      <c r="A577" t="s">
        <v>1336</v>
      </c>
      <c r="B577" t="s">
        <v>1332</v>
      </c>
      <c r="C577" t="s">
        <v>114</v>
      </c>
      <c r="D577" t="s">
        <v>1337</v>
      </c>
      <c r="E577">
        <v>0.25</v>
      </c>
      <c r="F577" s="33">
        <v>0.65669999999999995</v>
      </c>
      <c r="G577" s="33" t="s">
        <v>117</v>
      </c>
      <c r="H577" t="s">
        <v>3301</v>
      </c>
      <c r="I577" t="str">
        <f>IF(quantInv[[#This Row],[Metal]] = "925 Silver",  "7113.11.00"," 7113.19.00")</f>
        <v>7113.11.00</v>
      </c>
      <c r="J577" t="str">
        <f>IF(quantInv[[#This Row],[Metal]] = "925 Silver", "7113.11.10.00"," 7113.19.10.00")</f>
        <v>7113.11.10.00</v>
      </c>
      <c r="K577" t="str">
        <f>IF(quantInv[[#This Row],[Metal]] = "925 Silver",  "7113.11.00"," 7113.19.00")</f>
        <v>7113.11.00</v>
      </c>
      <c r="L577" t="str">
        <f>IFERROR(VLOOKUP(quantInv[[#This Row],[Description for New Invoice]],Map!$G$12:$H$32,2,FALSE), IF(quantInv[[#This Row],[Metal]] = "925 Silver", "7113.11.10.00", "7113.19.29.00"))</f>
        <v>7113.11.10.00</v>
      </c>
      <c r="M577" t="str">
        <f>quantInv[[#This Row],[ASIN]] &amp; " " &amp; quantInv[[#This Row],[Short Description]]</f>
        <v>EBAY Extender Cable - Rhodium Plated - 5 mm spring ring</v>
      </c>
      <c r="N577" s="33">
        <f>quantInv[[#This Row],[UNIT
VALUE]] / EURtoGBP</f>
        <v>0.74543256542541414</v>
      </c>
      <c r="O577" s="33">
        <f>quantInv[[#This Row],[UNIT
VALUE]]/USDtoGBP</f>
        <v>0.90022659883780698</v>
      </c>
      <c r="P577" s="33">
        <f>quantInv[[#This Row],[UNIT
VALUE]] / CADtoGBP</f>
        <v>1.152341796474013</v>
      </c>
      <c r="Q577" s="33">
        <f>quantInv[[#This Row],[UNIT
VALUE]]/AUDtoGBP</f>
        <v>1.1795028378475463</v>
      </c>
      <c r="R577">
        <f>IFERROR(VLOOKUP(quantInv[[#This Row],[Assigned Item SKU]],skuQuantity[#All],2,FALSE),0)</f>
        <v>0</v>
      </c>
      <c r="S577" t="str">
        <f>PROPER(quantInv[[#This Row],[Metal]] &amp; " " &amp; quantInv[[#This Row],[Item Type]])</f>
        <v>925 Silver Extender</v>
      </c>
      <c r="T577" s="33">
        <f>quantInv[[#This Row],[Quantity]]*quantInv[[#This Row],[WEIGHT]]</f>
        <v>0</v>
      </c>
      <c r="U577" s="33">
        <f>quantInv[[#This Row],[UNIT
VALUE]]*quantInv[[#This Row],[Quantity]]</f>
        <v>0</v>
      </c>
      <c r="V577" s="33">
        <f>quantInv[[#This Row],[Total Cost GBP]]/EURtoGBP</f>
        <v>0</v>
      </c>
      <c r="W577" s="33">
        <f>quantInv[[#This Row],[Total Cost GBP]]/USDtoGBP</f>
        <v>0</v>
      </c>
      <c r="X577" s="33">
        <f>quantInv[[#This Row],[Total Cost GBP]]/CADtoGBP</f>
        <v>0</v>
      </c>
      <c r="Y577" s="33">
        <f>quantInv[[#This Row],[Quantity]]*quantInv[[#This Row],[UNIT
VALUE AUD]]</f>
        <v>0</v>
      </c>
      <c r="Z577" s="33"/>
    </row>
    <row r="578" spans="1:26" x14ac:dyDescent="0.25">
      <c r="A578" t="s">
        <v>1338</v>
      </c>
      <c r="B578" t="s">
        <v>1332</v>
      </c>
      <c r="C578" t="s">
        <v>114</v>
      </c>
      <c r="D578" t="s">
        <v>1337</v>
      </c>
      <c r="E578">
        <v>0.35</v>
      </c>
      <c r="F578" s="33">
        <v>0.78180000000000005</v>
      </c>
      <c r="G578" s="33" t="s">
        <v>117</v>
      </c>
      <c r="H578" t="s">
        <v>3301</v>
      </c>
      <c r="I578" t="str">
        <f>IF(quantInv[[#This Row],[Metal]] = "925 Silver",  "7113.11.00"," 7113.19.00")</f>
        <v>7113.11.00</v>
      </c>
      <c r="J578" t="str">
        <f>IF(quantInv[[#This Row],[Metal]] = "925 Silver", "7113.11.10.00"," 7113.19.10.00")</f>
        <v>7113.11.10.00</v>
      </c>
      <c r="K578" t="str">
        <f>IF(quantInv[[#This Row],[Metal]] = "925 Silver",  "7113.11.00"," 7113.19.00")</f>
        <v>7113.11.00</v>
      </c>
      <c r="L578" t="str">
        <f>IFERROR(VLOOKUP(quantInv[[#This Row],[Description for New Invoice]],Map!$G$12:$H$32,2,FALSE), IF(quantInv[[#This Row],[Metal]] = "925 Silver", "7113.11.10.00", "7113.19.29.00"))</f>
        <v>7113.11.10.00</v>
      </c>
      <c r="M578" t="str">
        <f>quantInv[[#This Row],[ASIN]] &amp; " " &amp; quantInv[[#This Row],[Short Description]]</f>
        <v>EBAY Extender Cable - Rhodium Plated - 5 mm spring ring</v>
      </c>
      <c r="N578" s="33">
        <f>quantInv[[#This Row],[UNIT
VALUE]] / EURtoGBP</f>
        <v>0.88743593672847398</v>
      </c>
      <c r="O578" s="33">
        <f>quantInv[[#This Row],[UNIT
VALUE]]/USDtoGBP</f>
        <v>1.0717179152906922</v>
      </c>
      <c r="P578" s="33">
        <f>quantInv[[#This Row],[UNIT
VALUE]] / CADtoGBP</f>
        <v>1.3718605397950105</v>
      </c>
      <c r="Q578" s="33">
        <f>quantInv[[#This Row],[UNIT
VALUE]]/AUDtoGBP</f>
        <v>1.4041957037143473</v>
      </c>
      <c r="R578">
        <f>IFERROR(VLOOKUP(quantInv[[#This Row],[Assigned Item SKU]],skuQuantity[#All],2,FALSE),0)</f>
        <v>0</v>
      </c>
      <c r="S578" t="str">
        <f>PROPER(quantInv[[#This Row],[Metal]] &amp; " " &amp; quantInv[[#This Row],[Item Type]])</f>
        <v>925 Silver Extender</v>
      </c>
      <c r="T578" s="33">
        <f>quantInv[[#This Row],[Quantity]]*quantInv[[#This Row],[WEIGHT]]</f>
        <v>0</v>
      </c>
      <c r="U578" s="33">
        <f>quantInv[[#This Row],[UNIT
VALUE]]*quantInv[[#This Row],[Quantity]]</f>
        <v>0</v>
      </c>
      <c r="V578" s="33">
        <f>quantInv[[#This Row],[Total Cost GBP]]/EURtoGBP</f>
        <v>0</v>
      </c>
      <c r="W578" s="33">
        <f>quantInv[[#This Row],[Total Cost GBP]]/USDtoGBP</f>
        <v>0</v>
      </c>
      <c r="X578" s="33">
        <f>quantInv[[#This Row],[Total Cost GBP]]/CADtoGBP</f>
        <v>0</v>
      </c>
      <c r="Y578" s="33">
        <f>quantInv[[#This Row],[Quantity]]*quantInv[[#This Row],[UNIT
VALUE AUD]]</f>
        <v>0</v>
      </c>
      <c r="Z578" s="33"/>
    </row>
    <row r="579" spans="1:26" x14ac:dyDescent="0.25">
      <c r="A579" t="s">
        <v>1339</v>
      </c>
      <c r="B579" t="s">
        <v>1332</v>
      </c>
      <c r="C579" t="s">
        <v>114</v>
      </c>
      <c r="D579" t="s">
        <v>1337</v>
      </c>
      <c r="E579">
        <v>0.41</v>
      </c>
      <c r="F579" s="33">
        <v>0.84709999999999996</v>
      </c>
      <c r="G579" s="33" t="s">
        <v>117</v>
      </c>
      <c r="H579" t="s">
        <v>3301</v>
      </c>
      <c r="I579" t="str">
        <f>IF(quantInv[[#This Row],[Metal]] = "925 Silver",  "7113.11.00"," 7113.19.00")</f>
        <v>7113.11.00</v>
      </c>
      <c r="J579" t="str">
        <f>IF(quantInv[[#This Row],[Metal]] = "925 Silver", "7113.11.10.00"," 7113.19.10.00")</f>
        <v>7113.11.10.00</v>
      </c>
      <c r="K579" t="str">
        <f>IF(quantInv[[#This Row],[Metal]] = "925 Silver",  "7113.11.00"," 7113.19.00")</f>
        <v>7113.11.00</v>
      </c>
      <c r="L579" t="str">
        <f>IFERROR(VLOOKUP(quantInv[[#This Row],[Description for New Invoice]],Map!$G$12:$H$32,2,FALSE), IF(quantInv[[#This Row],[Metal]] = "925 Silver", "7113.11.10.00", "7113.19.29.00"))</f>
        <v>7113.11.10.00</v>
      </c>
      <c r="M579" t="str">
        <f>quantInv[[#This Row],[ASIN]] &amp; " " &amp; quantInv[[#This Row],[Short Description]]</f>
        <v>EBAY Extender Cable - Rhodium Plated - 5 mm spring ring</v>
      </c>
      <c r="N579" s="33">
        <f>quantInv[[#This Row],[UNIT
VALUE]] / EURtoGBP</f>
        <v>0.96155919928714528</v>
      </c>
      <c r="O579" s="33">
        <f>quantInv[[#This Row],[UNIT
VALUE]]/USDtoGBP</f>
        <v>1.1612333666445962</v>
      </c>
      <c r="P579" s="33">
        <f>quantInv[[#This Row],[UNIT
VALUE]] / CADtoGBP</f>
        <v>1.4864454633670419</v>
      </c>
      <c r="Q579" s="33">
        <f>quantInv[[#This Row],[UNIT
VALUE]]/AUDtoGBP</f>
        <v>1.5214814282635245</v>
      </c>
      <c r="R579">
        <f>IFERROR(VLOOKUP(quantInv[[#This Row],[Assigned Item SKU]],skuQuantity[#All],2,FALSE),0)</f>
        <v>0</v>
      </c>
      <c r="S579" t="str">
        <f>PROPER(quantInv[[#This Row],[Metal]] &amp; " " &amp; quantInv[[#This Row],[Item Type]])</f>
        <v>925 Silver Extender</v>
      </c>
      <c r="T579" s="33">
        <f>quantInv[[#This Row],[Quantity]]*quantInv[[#This Row],[WEIGHT]]</f>
        <v>0</v>
      </c>
      <c r="U579" s="33">
        <f>quantInv[[#This Row],[UNIT
VALUE]]*quantInv[[#This Row],[Quantity]]</f>
        <v>0</v>
      </c>
      <c r="V579" s="33">
        <f>quantInv[[#This Row],[Total Cost GBP]]/EURtoGBP</f>
        <v>0</v>
      </c>
      <c r="W579" s="33">
        <f>quantInv[[#This Row],[Total Cost GBP]]/USDtoGBP</f>
        <v>0</v>
      </c>
      <c r="X579" s="33">
        <f>quantInv[[#This Row],[Total Cost GBP]]/CADtoGBP</f>
        <v>0</v>
      </c>
      <c r="Y579" s="33">
        <f>quantInv[[#This Row],[Quantity]]*quantInv[[#This Row],[UNIT
VALUE AUD]]</f>
        <v>0</v>
      </c>
      <c r="Z579" s="33"/>
    </row>
    <row r="580" spans="1:26" x14ac:dyDescent="0.25">
      <c r="A580" t="s">
        <v>1340</v>
      </c>
      <c r="B580" t="s">
        <v>1332</v>
      </c>
      <c r="C580" t="s">
        <v>114</v>
      </c>
      <c r="D580" t="s">
        <v>1341</v>
      </c>
      <c r="E580">
        <v>0.25</v>
      </c>
      <c r="F580" s="33">
        <v>0.68530000000000002</v>
      </c>
      <c r="G580" s="33" t="s">
        <v>117</v>
      </c>
      <c r="H580" t="s">
        <v>3301</v>
      </c>
      <c r="I580" t="str">
        <f>IF(quantInv[[#This Row],[Metal]] = "925 Silver",  "7113.11.00"," 7113.19.00")</f>
        <v>7113.11.00</v>
      </c>
      <c r="J580" t="str">
        <f>IF(quantInv[[#This Row],[Metal]] = "925 Silver", "7113.11.10.00"," 7113.19.10.00")</f>
        <v>7113.11.10.00</v>
      </c>
      <c r="K580" t="str">
        <f>IF(quantInv[[#This Row],[Metal]] = "925 Silver",  "7113.11.00"," 7113.19.00")</f>
        <v>7113.11.00</v>
      </c>
      <c r="L580" t="str">
        <f>IFERROR(VLOOKUP(quantInv[[#This Row],[Description for New Invoice]],Map!$G$12:$H$32,2,FALSE), IF(quantInv[[#This Row],[Metal]] = "925 Silver", "7113.11.10.00", "7113.19.29.00"))</f>
        <v>7113.11.10.00</v>
      </c>
      <c r="M580" t="str">
        <f>quantInv[[#This Row],[ASIN]] &amp; " " &amp; quantInv[[#This Row],[Short Description]]</f>
        <v>EBAY Extender Cable - Gold Plated - 5 mm spring ring</v>
      </c>
      <c r="N580" s="33">
        <f>quantInv[[#This Row],[UNIT
VALUE]] / EURtoGBP</f>
        <v>0.77789696525968688</v>
      </c>
      <c r="O580" s="33">
        <f>quantInv[[#This Row],[UNIT
VALUE]]/USDtoGBP</f>
        <v>0.9394324473634067</v>
      </c>
      <c r="P580" s="33">
        <f>quantInv[[#This Row],[UNIT
VALUE]] / CADtoGBP</f>
        <v>1.2025275363539534</v>
      </c>
      <c r="Q580" s="33">
        <f>quantInv[[#This Row],[UNIT
VALUE]]/AUDtoGBP</f>
        <v>1.2308714706516273</v>
      </c>
      <c r="R580">
        <f>IFERROR(VLOOKUP(quantInv[[#This Row],[Assigned Item SKU]],skuQuantity[#All],2,FALSE),0)</f>
        <v>0</v>
      </c>
      <c r="S580" t="str">
        <f>PROPER(quantInv[[#This Row],[Metal]] &amp; " " &amp; quantInv[[#This Row],[Item Type]])</f>
        <v>925 Silver Extender</v>
      </c>
      <c r="T580" s="33">
        <f>quantInv[[#This Row],[Quantity]]*quantInv[[#This Row],[WEIGHT]]</f>
        <v>0</v>
      </c>
      <c r="U580" s="33">
        <f>quantInv[[#This Row],[UNIT
VALUE]]*quantInv[[#This Row],[Quantity]]</f>
        <v>0</v>
      </c>
      <c r="V580" s="33">
        <f>quantInv[[#This Row],[Total Cost GBP]]/EURtoGBP</f>
        <v>0</v>
      </c>
      <c r="W580" s="33">
        <f>quantInv[[#This Row],[Total Cost GBP]]/USDtoGBP</f>
        <v>0</v>
      </c>
      <c r="X580" s="33">
        <f>quantInv[[#This Row],[Total Cost GBP]]/CADtoGBP</f>
        <v>0</v>
      </c>
      <c r="Y580" s="33">
        <f>quantInv[[#This Row],[Quantity]]*quantInv[[#This Row],[UNIT
VALUE AUD]]</f>
        <v>0</v>
      </c>
      <c r="Z580" s="33"/>
    </row>
    <row r="581" spans="1:26" x14ac:dyDescent="0.25">
      <c r="A581" t="s">
        <v>1342</v>
      </c>
      <c r="B581" t="s">
        <v>1332</v>
      </c>
      <c r="C581" t="s">
        <v>114</v>
      </c>
      <c r="D581" t="s">
        <v>1341</v>
      </c>
      <c r="E581">
        <v>0.35</v>
      </c>
      <c r="F581" s="33">
        <v>0.82189999999999996</v>
      </c>
      <c r="G581" s="33" t="s">
        <v>117</v>
      </c>
      <c r="H581" t="s">
        <v>3301</v>
      </c>
      <c r="I581" t="str">
        <f>IF(quantInv[[#This Row],[Metal]] = "925 Silver",  "7113.11.00"," 7113.19.00")</f>
        <v>7113.11.00</v>
      </c>
      <c r="J581" t="str">
        <f>IF(quantInv[[#This Row],[Metal]] = "925 Silver", "7113.11.10.00"," 7113.19.10.00")</f>
        <v>7113.11.10.00</v>
      </c>
      <c r="K581" t="str">
        <f>IF(quantInv[[#This Row],[Metal]] = "925 Silver",  "7113.11.00"," 7113.19.00")</f>
        <v>7113.11.00</v>
      </c>
      <c r="L581" t="str">
        <f>IFERROR(VLOOKUP(quantInv[[#This Row],[Description for New Invoice]],Map!$G$12:$H$32,2,FALSE), IF(quantInv[[#This Row],[Metal]] = "925 Silver", "7113.11.10.00", "7113.19.29.00"))</f>
        <v>7113.11.10.00</v>
      </c>
      <c r="M581" t="str">
        <f>quantInv[[#This Row],[ASIN]] &amp; " " &amp; quantInv[[#This Row],[Short Description]]</f>
        <v>EBAY Extender Cable - Gold Plated - 5 mm spring ring</v>
      </c>
      <c r="N581" s="33">
        <f>quantInv[[#This Row],[UNIT
VALUE]] / EURtoGBP</f>
        <v>0.93295420362897497</v>
      </c>
      <c r="O581" s="33">
        <f>quantInv[[#This Row],[UNIT
VALUE]]/USDtoGBP</f>
        <v>1.1266883532584036</v>
      </c>
      <c r="P581" s="33">
        <f>quantInv[[#This Row],[UNIT
VALUE]] / CADtoGBP</f>
        <v>1.4422258603959057</v>
      </c>
      <c r="Q581" s="33">
        <f>quantInv[[#This Row],[UNIT
VALUE]]/AUDtoGBP</f>
        <v>1.4762195560025861</v>
      </c>
      <c r="R581">
        <f>IFERROR(VLOOKUP(quantInv[[#This Row],[Assigned Item SKU]],skuQuantity[#All],2,FALSE),0)</f>
        <v>0</v>
      </c>
      <c r="S581" t="str">
        <f>PROPER(quantInv[[#This Row],[Metal]] &amp; " " &amp; quantInv[[#This Row],[Item Type]])</f>
        <v>925 Silver Extender</v>
      </c>
      <c r="T581" s="33">
        <f>quantInv[[#This Row],[Quantity]]*quantInv[[#This Row],[WEIGHT]]</f>
        <v>0</v>
      </c>
      <c r="U581" s="33">
        <f>quantInv[[#This Row],[UNIT
VALUE]]*quantInv[[#This Row],[Quantity]]</f>
        <v>0</v>
      </c>
      <c r="V581" s="33">
        <f>quantInv[[#This Row],[Total Cost GBP]]/EURtoGBP</f>
        <v>0</v>
      </c>
      <c r="W581" s="33">
        <f>quantInv[[#This Row],[Total Cost GBP]]/USDtoGBP</f>
        <v>0</v>
      </c>
      <c r="X581" s="33">
        <f>quantInv[[#This Row],[Total Cost GBP]]/CADtoGBP</f>
        <v>0</v>
      </c>
      <c r="Y581" s="33">
        <f>quantInv[[#This Row],[Quantity]]*quantInv[[#This Row],[UNIT
VALUE AUD]]</f>
        <v>0</v>
      </c>
      <c r="Z581" s="33"/>
    </row>
    <row r="582" spans="1:26" x14ac:dyDescent="0.25">
      <c r="A582" t="s">
        <v>1343</v>
      </c>
      <c r="B582" t="s">
        <v>1332</v>
      </c>
      <c r="C582" t="s">
        <v>114</v>
      </c>
      <c r="D582" t="s">
        <v>1341</v>
      </c>
      <c r="E582">
        <v>0.46</v>
      </c>
      <c r="F582" s="33">
        <v>0.98</v>
      </c>
      <c r="G582" s="33" t="s">
        <v>117</v>
      </c>
      <c r="H582" t="s">
        <v>3301</v>
      </c>
      <c r="I582" t="str">
        <f>IF(quantInv[[#This Row],[Metal]] = "925 Silver",  "7113.11.00"," 7113.19.00")</f>
        <v>7113.11.00</v>
      </c>
      <c r="J582" t="str">
        <f>IF(quantInv[[#This Row],[Metal]] = "925 Silver", "7113.11.10.00"," 7113.19.10.00")</f>
        <v>7113.11.10.00</v>
      </c>
      <c r="K582" t="str">
        <f>IF(quantInv[[#This Row],[Metal]] = "925 Silver",  "7113.11.00"," 7113.19.00")</f>
        <v>7113.11.00</v>
      </c>
      <c r="L582" t="str">
        <f>IFERROR(VLOOKUP(quantInv[[#This Row],[Description for New Invoice]],Map!$G$12:$H$32,2,FALSE), IF(quantInv[[#This Row],[Metal]] = "925 Silver", "7113.11.10.00", "7113.19.29.00"))</f>
        <v>7113.11.10.00</v>
      </c>
      <c r="M582" t="str">
        <f>quantInv[[#This Row],[ASIN]] &amp; " " &amp; quantInv[[#This Row],[Short Description]]</f>
        <v>EBAY Extender Cable - Gold Plated - 5 mm spring ring</v>
      </c>
      <c r="N582" s="33">
        <f>quantInv[[#This Row],[UNIT
VALUE]] / EURtoGBP</f>
        <v>1.112416497817734</v>
      </c>
      <c r="O582" s="33">
        <f>quantInv[[#This Row],[UNIT
VALUE]]/USDtoGBP</f>
        <v>1.3434171872408267</v>
      </c>
      <c r="P582" s="33">
        <f>quantInv[[#This Row],[UNIT
VALUE]] / CADtoGBP</f>
        <v>1.7196512266552957</v>
      </c>
      <c r="Q582" s="33">
        <f>quantInv[[#This Row],[UNIT
VALUE]]/AUDtoGBP</f>
        <v>1.7601839212587109</v>
      </c>
      <c r="R582">
        <f>IFERROR(VLOOKUP(quantInv[[#This Row],[Assigned Item SKU]],skuQuantity[#All],2,FALSE),0)</f>
        <v>0</v>
      </c>
      <c r="S582" t="str">
        <f>PROPER(quantInv[[#This Row],[Metal]] &amp; " " &amp; quantInv[[#This Row],[Item Type]])</f>
        <v>925 Silver Extender</v>
      </c>
      <c r="T582" s="33">
        <f>quantInv[[#This Row],[Quantity]]*quantInv[[#This Row],[WEIGHT]]</f>
        <v>0</v>
      </c>
      <c r="U582" s="33">
        <f>quantInv[[#This Row],[UNIT
VALUE]]*quantInv[[#This Row],[Quantity]]</f>
        <v>0</v>
      </c>
      <c r="V582" s="33">
        <f>quantInv[[#This Row],[Total Cost GBP]]/EURtoGBP</f>
        <v>0</v>
      </c>
      <c r="W582" s="33">
        <f>quantInv[[#This Row],[Total Cost GBP]]/USDtoGBP</f>
        <v>0</v>
      </c>
      <c r="X582" s="33">
        <f>quantInv[[#This Row],[Total Cost GBP]]/CADtoGBP</f>
        <v>0</v>
      </c>
      <c r="Y582" s="33">
        <f>quantInv[[#This Row],[Quantity]]*quantInv[[#This Row],[UNIT
VALUE AUD]]</f>
        <v>0</v>
      </c>
      <c r="Z582" s="33"/>
    </row>
    <row r="583" spans="1:26" x14ac:dyDescent="0.25">
      <c r="A583" t="s">
        <v>1344</v>
      </c>
      <c r="B583" t="s">
        <v>1332</v>
      </c>
      <c r="C583" t="s">
        <v>114</v>
      </c>
      <c r="D583" t="s">
        <v>1345</v>
      </c>
      <c r="E583">
        <v>0.24</v>
      </c>
      <c r="F583" s="33">
        <v>0.66549999999999998</v>
      </c>
      <c r="G583" s="33" t="s">
        <v>117</v>
      </c>
      <c r="H583" t="s">
        <v>3301</v>
      </c>
      <c r="I583" t="str">
        <f>IF(quantInv[[#This Row],[Metal]] = "925 Silver",  "7113.11.00"," 7113.19.00")</f>
        <v>7113.11.00</v>
      </c>
      <c r="J583" t="str">
        <f>IF(quantInv[[#This Row],[Metal]] = "925 Silver", "7113.11.10.00"," 7113.19.10.00")</f>
        <v>7113.11.10.00</v>
      </c>
      <c r="K583" t="str">
        <f>IF(quantInv[[#This Row],[Metal]] = "925 Silver",  "7113.11.00"," 7113.19.00")</f>
        <v>7113.11.00</v>
      </c>
      <c r="L583" t="str">
        <f>IFERROR(VLOOKUP(quantInv[[#This Row],[Description for New Invoice]],Map!$G$12:$H$32,2,FALSE), IF(quantInv[[#This Row],[Metal]] = "925 Silver", "7113.11.10.00", "7113.19.29.00"))</f>
        <v>7113.11.10.00</v>
      </c>
      <c r="M583" t="str">
        <f>quantInv[[#This Row],[ASIN]] &amp; " " &amp; quantInv[[#This Row],[Short Description]]</f>
        <v>EBAY Extender Cable - Rose Plated - 5 mm spring ring</v>
      </c>
      <c r="N583" s="33">
        <f>quantInv[[#This Row],[UNIT
VALUE]] / EURtoGBP</f>
        <v>0.75542161152826726</v>
      </c>
      <c r="O583" s="33">
        <f>quantInv[[#This Row],[UNIT
VALUE]]/USDtoGBP</f>
        <v>0.91228993684568382</v>
      </c>
      <c r="P583" s="33">
        <f>quantInv[[#This Row],[UNIT
VALUE]] / CADtoGBP</f>
        <v>1.1677835625909176</v>
      </c>
      <c r="Q583" s="33">
        <f>quantInv[[#This Row],[UNIT
VALUE]]/AUDtoGBP</f>
        <v>1.1953085710180329</v>
      </c>
      <c r="R583">
        <f>IFERROR(VLOOKUP(quantInv[[#This Row],[Assigned Item SKU]],skuQuantity[#All],2,FALSE),0)</f>
        <v>0</v>
      </c>
      <c r="S583" t="str">
        <f>PROPER(quantInv[[#This Row],[Metal]] &amp; " " &amp; quantInv[[#This Row],[Item Type]])</f>
        <v>925 Silver Extender</v>
      </c>
      <c r="T583" s="33">
        <f>quantInv[[#This Row],[Quantity]]*quantInv[[#This Row],[WEIGHT]]</f>
        <v>0</v>
      </c>
      <c r="U583" s="33">
        <f>quantInv[[#This Row],[UNIT
VALUE]]*quantInv[[#This Row],[Quantity]]</f>
        <v>0</v>
      </c>
      <c r="V583" s="33">
        <f>quantInv[[#This Row],[Total Cost GBP]]/EURtoGBP</f>
        <v>0</v>
      </c>
      <c r="W583" s="33">
        <f>quantInv[[#This Row],[Total Cost GBP]]/USDtoGBP</f>
        <v>0</v>
      </c>
      <c r="X583" s="33">
        <f>quantInv[[#This Row],[Total Cost GBP]]/CADtoGBP</f>
        <v>0</v>
      </c>
      <c r="Y583" s="33">
        <f>quantInv[[#This Row],[Quantity]]*quantInv[[#This Row],[UNIT
VALUE AUD]]</f>
        <v>0</v>
      </c>
      <c r="Z583" s="33"/>
    </row>
    <row r="584" spans="1:26" x14ac:dyDescent="0.25">
      <c r="A584" t="s">
        <v>1346</v>
      </c>
      <c r="B584" t="s">
        <v>1332</v>
      </c>
      <c r="C584" t="s">
        <v>114</v>
      </c>
      <c r="D584" t="s">
        <v>1345</v>
      </c>
      <c r="E584">
        <v>0.35</v>
      </c>
      <c r="F584" s="33">
        <v>0.82189999999999996</v>
      </c>
      <c r="G584" s="33" t="s">
        <v>117</v>
      </c>
      <c r="H584" t="s">
        <v>3301</v>
      </c>
      <c r="I584" t="str">
        <f>IF(quantInv[[#This Row],[Metal]] = "925 Silver",  "7113.11.00"," 7113.19.00")</f>
        <v>7113.11.00</v>
      </c>
      <c r="J584" t="str">
        <f>IF(quantInv[[#This Row],[Metal]] = "925 Silver", "7113.11.10.00"," 7113.19.10.00")</f>
        <v>7113.11.10.00</v>
      </c>
      <c r="K584" t="str">
        <f>IF(quantInv[[#This Row],[Metal]] = "925 Silver",  "7113.11.00"," 7113.19.00")</f>
        <v>7113.11.00</v>
      </c>
      <c r="L584" t="str">
        <f>IFERROR(VLOOKUP(quantInv[[#This Row],[Description for New Invoice]],Map!$G$12:$H$32,2,FALSE), IF(quantInv[[#This Row],[Metal]] = "925 Silver", "7113.11.10.00", "7113.19.29.00"))</f>
        <v>7113.11.10.00</v>
      </c>
      <c r="M584" t="str">
        <f>quantInv[[#This Row],[ASIN]] &amp; " " &amp; quantInv[[#This Row],[Short Description]]</f>
        <v>EBAY Extender Cable - Rose Plated - 5 mm spring ring</v>
      </c>
      <c r="N584" s="33">
        <f>quantInv[[#This Row],[UNIT
VALUE]] / EURtoGBP</f>
        <v>0.93295420362897497</v>
      </c>
      <c r="O584" s="33">
        <f>quantInv[[#This Row],[UNIT
VALUE]]/USDtoGBP</f>
        <v>1.1266883532584036</v>
      </c>
      <c r="P584" s="33">
        <f>quantInv[[#This Row],[UNIT
VALUE]] / CADtoGBP</f>
        <v>1.4422258603959057</v>
      </c>
      <c r="Q584" s="33">
        <f>quantInv[[#This Row],[UNIT
VALUE]]/AUDtoGBP</f>
        <v>1.4762195560025861</v>
      </c>
      <c r="R584">
        <f>IFERROR(VLOOKUP(quantInv[[#This Row],[Assigned Item SKU]],skuQuantity[#All],2,FALSE),0)</f>
        <v>0</v>
      </c>
      <c r="S584" t="str">
        <f>PROPER(quantInv[[#This Row],[Metal]] &amp; " " &amp; quantInv[[#This Row],[Item Type]])</f>
        <v>925 Silver Extender</v>
      </c>
      <c r="T584" s="33">
        <f>quantInv[[#This Row],[Quantity]]*quantInv[[#This Row],[WEIGHT]]</f>
        <v>0</v>
      </c>
      <c r="U584" s="33">
        <f>quantInv[[#This Row],[UNIT
VALUE]]*quantInv[[#This Row],[Quantity]]</f>
        <v>0</v>
      </c>
      <c r="V584" s="33">
        <f>quantInv[[#This Row],[Total Cost GBP]]/EURtoGBP</f>
        <v>0</v>
      </c>
      <c r="W584" s="33">
        <f>quantInv[[#This Row],[Total Cost GBP]]/USDtoGBP</f>
        <v>0</v>
      </c>
      <c r="X584" s="33">
        <f>quantInv[[#This Row],[Total Cost GBP]]/CADtoGBP</f>
        <v>0</v>
      </c>
      <c r="Y584" s="33">
        <f>quantInv[[#This Row],[Quantity]]*quantInv[[#This Row],[UNIT
VALUE AUD]]</f>
        <v>0</v>
      </c>
      <c r="Z584" s="33"/>
    </row>
    <row r="585" spans="1:26" x14ac:dyDescent="0.25">
      <c r="A585" t="s">
        <v>1347</v>
      </c>
      <c r="B585" t="s">
        <v>1332</v>
      </c>
      <c r="C585" t="s">
        <v>114</v>
      </c>
      <c r="D585" t="s">
        <v>1345</v>
      </c>
      <c r="E585">
        <v>0.45</v>
      </c>
      <c r="F585" s="33">
        <v>0.96279999999999999</v>
      </c>
      <c r="G585" s="33" t="s">
        <v>117</v>
      </c>
      <c r="H585" t="s">
        <v>3301</v>
      </c>
      <c r="I585" t="str">
        <f>IF(quantInv[[#This Row],[Metal]] = "925 Silver",  "7113.11.00"," 7113.19.00")</f>
        <v>7113.11.00</v>
      </c>
      <c r="J585" t="str">
        <f>IF(quantInv[[#This Row],[Metal]] = "925 Silver", "7113.11.10.00"," 7113.19.10.00")</f>
        <v>7113.11.10.00</v>
      </c>
      <c r="K585" t="str">
        <f>IF(quantInv[[#This Row],[Metal]] = "925 Silver",  "7113.11.00"," 7113.19.00")</f>
        <v>7113.11.00</v>
      </c>
      <c r="L585" t="str">
        <f>IFERROR(VLOOKUP(quantInv[[#This Row],[Description for New Invoice]],Map!$G$12:$H$32,2,FALSE), IF(quantInv[[#This Row],[Metal]] = "925 Silver", "7113.11.10.00", "7113.19.29.00"))</f>
        <v>7113.11.10.00</v>
      </c>
      <c r="M585" t="str">
        <f>quantInv[[#This Row],[ASIN]] &amp; " " &amp; quantInv[[#This Row],[Short Description]]</f>
        <v>EBAY Extender Cable - Rose Plated - 5 mm spring ring</v>
      </c>
      <c r="N585" s="33">
        <f>quantInv[[#This Row],[UNIT
VALUE]] / EURtoGBP</f>
        <v>1.0928924531621573</v>
      </c>
      <c r="O585" s="33">
        <f>quantInv[[#This Row],[UNIT
VALUE]]/USDtoGBP</f>
        <v>1.3198388447708858</v>
      </c>
      <c r="P585" s="33">
        <f>quantInv[[#This Row],[UNIT
VALUE]] / CADtoGBP</f>
        <v>1.6894695928813457</v>
      </c>
      <c r="Q585" s="33">
        <f>quantInv[[#This Row],[UNIT
VALUE]]/AUDtoGBP</f>
        <v>1.7292908973345784</v>
      </c>
      <c r="R585">
        <f>IFERROR(VLOOKUP(quantInv[[#This Row],[Assigned Item SKU]],skuQuantity[#All],2,FALSE),0)</f>
        <v>0</v>
      </c>
      <c r="S585" t="str">
        <f>PROPER(quantInv[[#This Row],[Metal]] &amp; " " &amp; quantInv[[#This Row],[Item Type]])</f>
        <v>925 Silver Extender</v>
      </c>
      <c r="T585" s="33">
        <f>quantInv[[#This Row],[Quantity]]*quantInv[[#This Row],[WEIGHT]]</f>
        <v>0</v>
      </c>
      <c r="U585" s="33">
        <f>quantInv[[#This Row],[UNIT
VALUE]]*quantInv[[#This Row],[Quantity]]</f>
        <v>0</v>
      </c>
      <c r="V585" s="33">
        <f>quantInv[[#This Row],[Total Cost GBP]]/EURtoGBP</f>
        <v>0</v>
      </c>
      <c r="W585" s="33">
        <f>quantInv[[#This Row],[Total Cost GBP]]/USDtoGBP</f>
        <v>0</v>
      </c>
      <c r="X585" s="33">
        <f>quantInv[[#This Row],[Total Cost GBP]]/CADtoGBP</f>
        <v>0</v>
      </c>
      <c r="Y585" s="33">
        <f>quantInv[[#This Row],[Quantity]]*quantInv[[#This Row],[UNIT
VALUE AUD]]</f>
        <v>0</v>
      </c>
      <c r="Z585" s="33"/>
    </row>
    <row r="586" spans="1:26" x14ac:dyDescent="0.25">
      <c r="A586" t="s">
        <v>933</v>
      </c>
      <c r="B586" t="s">
        <v>934</v>
      </c>
      <c r="C586" t="s">
        <v>113</v>
      </c>
      <c r="D586" t="s">
        <v>935</v>
      </c>
      <c r="E586">
        <v>5.8</v>
      </c>
      <c r="F586" s="33">
        <v>8.7967999999999993</v>
      </c>
      <c r="G586" s="33" t="s">
        <v>117</v>
      </c>
      <c r="H586" t="s">
        <v>3303</v>
      </c>
      <c r="I586" t="str">
        <f>IF(quantInv[[#This Row],[Metal]] = "925 Silver",  "7113.11.00"," 7113.19.00")</f>
        <v>7113.11.00</v>
      </c>
      <c r="J586" t="str">
        <f>IF(quantInv[[#This Row],[Metal]] = "925 Silver", "7113.11.10.00"," 7113.19.10.00")</f>
        <v>7113.11.10.00</v>
      </c>
      <c r="K586" t="str">
        <f>IF(quantInv[[#This Row],[Metal]] = "925 Silver",  "7113.11.00"," 7113.19.00")</f>
        <v>7113.11.00</v>
      </c>
      <c r="L586" t="str">
        <f>IFERROR(VLOOKUP(quantInv[[#This Row],[Description for New Invoice]],Map!$G$12:$H$32,2,FALSE), IF(quantInv[[#This Row],[Metal]] = "925 Silver", "7113.11.10.00", "7113.19.29.00"))</f>
        <v>7113.11.50.00</v>
      </c>
      <c r="M586" t="str">
        <f>quantInv[[#This Row],[ASIN]] &amp; " " &amp; quantInv[[#This Row],[Short Description]]</f>
        <v>B071YCGHGQ Pin - Rose</v>
      </c>
      <c r="N586" s="33">
        <f>quantInv[[#This Row],[UNIT
VALUE]] / EURtoGBP</f>
        <v>9.9854137224520834</v>
      </c>
      <c r="O586" s="33">
        <f>quantInv[[#This Row],[UNIT
VALUE]]/USDtoGBP</f>
        <v>12.05895133951031</v>
      </c>
      <c r="P586" s="33">
        <f>quantInv[[#This Row],[UNIT
VALUE]] / CADtoGBP</f>
        <v>15.436150929225821</v>
      </c>
      <c r="Q586" s="33">
        <f>quantInv[[#This Row],[UNIT
VALUE]]/AUDtoGBP</f>
        <v>15.79998563115166</v>
      </c>
      <c r="R586">
        <f>IFERROR(VLOOKUP(quantInv[[#This Row],[Assigned Item SKU]],skuQuantity[#All],2,FALSE),0)</f>
        <v>0</v>
      </c>
      <c r="S586" t="str">
        <f>PROPER(quantInv[[#This Row],[Metal]] &amp; " " &amp; quantInv[[#This Row],[Item Type]])</f>
        <v>925 Silver Pin</v>
      </c>
      <c r="T586" s="33">
        <f>quantInv[[#This Row],[Quantity]]*quantInv[[#This Row],[WEIGHT]]</f>
        <v>0</v>
      </c>
      <c r="U586" s="33">
        <f>quantInv[[#This Row],[UNIT
VALUE]]*quantInv[[#This Row],[Quantity]]</f>
        <v>0</v>
      </c>
      <c r="V586" s="33">
        <f>quantInv[[#This Row],[Total Cost GBP]]/EURtoGBP</f>
        <v>0</v>
      </c>
      <c r="W586" s="33">
        <f>quantInv[[#This Row],[Total Cost GBP]]/USDtoGBP</f>
        <v>0</v>
      </c>
      <c r="X586" s="33">
        <f>quantInv[[#This Row],[Total Cost GBP]]/CADtoGBP</f>
        <v>0</v>
      </c>
      <c r="Y586" s="33">
        <f>quantInv[[#This Row],[Quantity]]*quantInv[[#This Row],[UNIT
VALUE AUD]]</f>
        <v>0</v>
      </c>
      <c r="Z586" s="33"/>
    </row>
    <row r="587" spans="1:26" x14ac:dyDescent="0.25">
      <c r="A587" t="s">
        <v>1351</v>
      </c>
      <c r="B587" t="s">
        <v>1352</v>
      </c>
      <c r="C587" t="s">
        <v>114</v>
      </c>
      <c r="D587" t="s">
        <v>1350</v>
      </c>
      <c r="E587">
        <v>17.82</v>
      </c>
      <c r="F587" s="33">
        <v>17.1372</v>
      </c>
      <c r="G587" s="33" t="s">
        <v>117</v>
      </c>
      <c r="H587" t="s">
        <v>103</v>
      </c>
      <c r="I587" t="str">
        <f>IF(quantInv[[#This Row],[Metal]] = "925 Silver",  "7113.11.00"," 7113.19.00")</f>
        <v>7113.11.00</v>
      </c>
      <c r="J587" t="str">
        <f>IF(quantInv[[#This Row],[Metal]] = "925 Silver", "7113.11.10.00"," 7113.19.10.00")</f>
        <v>7113.11.10.00</v>
      </c>
      <c r="K587" t="str">
        <f>IF(quantInv[[#This Row],[Metal]] = "925 Silver",  "7113.11.00"," 7113.19.00")</f>
        <v>7113.11.00</v>
      </c>
      <c r="L587" t="str">
        <f>IFERROR(VLOOKUP(quantInv[[#This Row],[Description for New Invoice]],Map!$G$12:$H$32,2,FALSE), IF(quantInv[[#This Row],[Metal]] = "925 Silver", "7113.11.10.00", "7113.19.29.00"))</f>
        <v>7113.11.10.00</v>
      </c>
      <c r="M587" t="str">
        <f>quantInv[[#This Row],[ASIN]] &amp; " " &amp; quantInv[[#This Row],[Short Description]]</f>
        <v>B07RP1KJFG Chain - Super Flat Curb - Gauge 150 - Width 5 mm</v>
      </c>
      <c r="N587" s="33">
        <f>quantInv[[#This Row],[UNIT
VALUE]] / EURtoGBP</f>
        <v>19.452759190206194</v>
      </c>
      <c r="O587" s="33">
        <f>quantInv[[#This Row],[UNIT
VALUE]]/USDtoGBP</f>
        <v>23.492254103248467</v>
      </c>
      <c r="P587" s="33">
        <f>quantInv[[#This Row],[UNIT
VALUE]] / CADtoGBP</f>
        <v>30.07143571575218</v>
      </c>
      <c r="Q587" s="33">
        <f>quantInv[[#This Row],[UNIT
VALUE]]/AUDtoGBP</f>
        <v>30.780228464688552</v>
      </c>
      <c r="R587">
        <f>IFERROR(VLOOKUP(quantInv[[#This Row],[Assigned Item SKU]],skuQuantity[#All],2,FALSE),0)</f>
        <v>0</v>
      </c>
      <c r="S587" t="str">
        <f>PROPER(quantInv[[#This Row],[Metal]] &amp; " " &amp; quantInv[[#This Row],[Item Type]])</f>
        <v>925 Silver Chain</v>
      </c>
      <c r="T587" s="33">
        <f>quantInv[[#This Row],[Quantity]]*quantInv[[#This Row],[WEIGHT]]</f>
        <v>0</v>
      </c>
      <c r="U587" s="33">
        <f>quantInv[[#This Row],[UNIT
VALUE]]*quantInv[[#This Row],[Quantity]]</f>
        <v>0</v>
      </c>
      <c r="V587" s="33">
        <f>quantInv[[#This Row],[Total Cost GBP]]/EURtoGBP</f>
        <v>0</v>
      </c>
      <c r="W587" s="33">
        <f>quantInv[[#This Row],[Total Cost GBP]]/USDtoGBP</f>
        <v>0</v>
      </c>
      <c r="X587" s="33">
        <f>quantInv[[#This Row],[Total Cost GBP]]/CADtoGBP</f>
        <v>0</v>
      </c>
      <c r="Y587" s="33">
        <f>quantInv[[#This Row],[Quantity]]*quantInv[[#This Row],[UNIT
VALUE AUD]]</f>
        <v>0</v>
      </c>
      <c r="Z587" s="33"/>
    </row>
    <row r="588" spans="1:26" x14ac:dyDescent="0.25">
      <c r="A588" t="s">
        <v>945</v>
      </c>
      <c r="B588" t="s">
        <v>946</v>
      </c>
      <c r="C588" t="s">
        <v>113</v>
      </c>
      <c r="D588" t="s">
        <v>944</v>
      </c>
      <c r="E588">
        <v>3</v>
      </c>
      <c r="F588" s="33">
        <v>3.9426999999999999</v>
      </c>
      <c r="G588" s="33" t="s">
        <v>117</v>
      </c>
      <c r="H588" t="s">
        <v>3303</v>
      </c>
      <c r="I588" t="str">
        <f>IF(quantInv[[#This Row],[Metal]] = "925 Silver",  "7113.11.00"," 7113.19.00")</f>
        <v>7113.11.00</v>
      </c>
      <c r="J588" t="str">
        <f>IF(quantInv[[#This Row],[Metal]] = "925 Silver", "7113.11.10.00"," 7113.19.10.00")</f>
        <v>7113.11.10.00</v>
      </c>
      <c r="K588" t="str">
        <f>IF(quantInv[[#This Row],[Metal]] = "925 Silver",  "7113.11.00"," 7113.19.00")</f>
        <v>7113.11.00</v>
      </c>
      <c r="L588" t="str">
        <f>IFERROR(VLOOKUP(quantInv[[#This Row],[Description for New Invoice]],Map!$G$12:$H$32,2,FALSE), IF(quantInv[[#This Row],[Metal]] = "925 Silver", "7113.11.10.00", "7113.19.29.00"))</f>
        <v>7113.11.50.00</v>
      </c>
      <c r="M588" t="str">
        <f>quantInv[[#This Row],[ASIN]] &amp; " " &amp; quantInv[[#This Row],[Short Description]]</f>
        <v>B071DDF47N Pin - Mouse</v>
      </c>
      <c r="N588" s="33">
        <f>quantInv[[#This Row],[UNIT
VALUE]] / EURtoGBP</f>
        <v>4.4754331897407953</v>
      </c>
      <c r="O588" s="33">
        <f>quantInv[[#This Row],[UNIT
VALUE]]/USDtoGBP</f>
        <v>5.404786677688171</v>
      </c>
      <c r="P588" s="33">
        <f>quantInv[[#This Row],[UNIT
VALUE]] / CADtoGBP</f>
        <v>6.9184376442181987</v>
      </c>
      <c r="Q588" s="33">
        <f>quantInv[[#This Row],[UNIT
VALUE]]/AUDtoGBP</f>
        <v>7.0815072921905307</v>
      </c>
      <c r="R588">
        <f>IFERROR(VLOOKUP(quantInv[[#This Row],[Assigned Item SKU]],skuQuantity[#All],2,FALSE),0)</f>
        <v>0</v>
      </c>
      <c r="S588" t="str">
        <f>PROPER(quantInv[[#This Row],[Metal]] &amp; " " &amp; quantInv[[#This Row],[Item Type]])</f>
        <v>925 Silver Pin</v>
      </c>
      <c r="T588" s="33">
        <f>quantInv[[#This Row],[Quantity]]*quantInv[[#This Row],[WEIGHT]]</f>
        <v>0</v>
      </c>
      <c r="U588" s="33">
        <f>quantInv[[#This Row],[UNIT
VALUE]]*quantInv[[#This Row],[Quantity]]</f>
        <v>0</v>
      </c>
      <c r="V588" s="33">
        <f>quantInv[[#This Row],[Total Cost GBP]]/EURtoGBP</f>
        <v>0</v>
      </c>
      <c r="W588" s="33">
        <f>quantInv[[#This Row],[Total Cost GBP]]/USDtoGBP</f>
        <v>0</v>
      </c>
      <c r="X588" s="33">
        <f>quantInv[[#This Row],[Total Cost GBP]]/CADtoGBP</f>
        <v>0</v>
      </c>
      <c r="Y588" s="33">
        <f>quantInv[[#This Row],[Quantity]]*quantInv[[#This Row],[UNIT
VALUE AUD]]</f>
        <v>0</v>
      </c>
      <c r="Z588" s="33"/>
    </row>
    <row r="589" spans="1:26" x14ac:dyDescent="0.25">
      <c r="A589" t="s">
        <v>953</v>
      </c>
      <c r="B589" t="s">
        <v>954</v>
      </c>
      <c r="C589" t="s">
        <v>113</v>
      </c>
      <c r="D589" t="s">
        <v>2914</v>
      </c>
      <c r="E589">
        <v>2.5</v>
      </c>
      <c r="F589" s="33">
        <v>3.8546</v>
      </c>
      <c r="G589" s="33" t="s">
        <v>117</v>
      </c>
      <c r="H589" t="s">
        <v>1310</v>
      </c>
      <c r="I589" t="str">
        <f>IF(quantInv[[#This Row],[Metal]] = "925 Silver",  "7113.11.00"," 7113.19.00")</f>
        <v>7113.11.00</v>
      </c>
      <c r="J589" t="str">
        <f>IF(quantInv[[#This Row],[Metal]] = "925 Silver", "7113.11.10.00"," 7113.19.10.00")</f>
        <v>7113.11.10.00</v>
      </c>
      <c r="K589" t="str">
        <f>IF(quantInv[[#This Row],[Metal]] = "925 Silver",  "7113.11.00"," 7113.19.00")</f>
        <v>7113.11.00</v>
      </c>
      <c r="L589" t="str">
        <f>IFERROR(VLOOKUP(quantInv[[#This Row],[Description for New Invoice]],Map!$G$12:$H$32,2,FALSE), IF(quantInv[[#This Row],[Metal]] = "925 Silver", "7113.11.10.00", "7113.19.29.00"))</f>
        <v>7113.11.50.00</v>
      </c>
      <c r="M589" t="str">
        <f>quantInv[[#This Row],[ASIN]] &amp; " " &amp; quantInv[[#This Row],[Short Description]]</f>
        <v>B071D2RT4F Earrings - multicolour 3 stones  stud</v>
      </c>
      <c r="N589" s="33">
        <f>quantInv[[#This Row],[UNIT
VALUE]] / EURtoGBP</f>
        <v>4.375429216824732</v>
      </c>
      <c r="O589" s="33">
        <f>quantInv[[#This Row],[UNIT
VALUE]]/USDtoGBP</f>
        <v>5.2840162142229499</v>
      </c>
      <c r="P589" s="33">
        <f>quantInv[[#This Row],[UNIT
VALUE]] / CADtoGBP</f>
        <v>6.7638445084341869</v>
      </c>
      <c r="Q589" s="33">
        <f>quantInv[[#This Row],[UNIT
VALUE]]/AUDtoGBP</f>
        <v>6.9232703498814567</v>
      </c>
      <c r="R589">
        <f>IFERROR(VLOOKUP(quantInv[[#This Row],[Assigned Item SKU]],skuQuantity[#All],2,FALSE),0)</f>
        <v>15</v>
      </c>
      <c r="S589" t="str">
        <f>PROPER(quantInv[[#This Row],[Metal]] &amp; " " &amp; quantInv[[#This Row],[Item Type]])</f>
        <v>925 Silver Earrings</v>
      </c>
      <c r="T589" s="33">
        <f>quantInv[[#This Row],[Quantity]]*quantInv[[#This Row],[WEIGHT]]</f>
        <v>37.5</v>
      </c>
      <c r="U589" s="33">
        <f>quantInv[[#This Row],[UNIT
VALUE]]*quantInv[[#This Row],[Quantity]]</f>
        <v>57.819000000000003</v>
      </c>
      <c r="V589" s="33">
        <f>quantInv[[#This Row],[Total Cost GBP]]/EURtoGBP</f>
        <v>65.631438252370984</v>
      </c>
      <c r="W589" s="33">
        <f>quantInv[[#This Row],[Total Cost GBP]]/USDtoGBP</f>
        <v>79.260243213344253</v>
      </c>
      <c r="X589" s="33">
        <f>quantInv[[#This Row],[Total Cost GBP]]/CADtoGBP</f>
        <v>101.45766762651282</v>
      </c>
      <c r="Y589" s="33">
        <f>quantInv[[#This Row],[Quantity]]*quantInv[[#This Row],[UNIT
VALUE AUD]]</f>
        <v>103.84905524822184</v>
      </c>
      <c r="Z589" s="33"/>
    </row>
    <row r="590" spans="1:26" x14ac:dyDescent="0.25">
      <c r="A590" t="s">
        <v>63</v>
      </c>
      <c r="B590" t="s">
        <v>993</v>
      </c>
      <c r="C590" t="s">
        <v>113</v>
      </c>
      <c r="D590" t="s">
        <v>2917</v>
      </c>
      <c r="E590">
        <v>1.8</v>
      </c>
      <c r="F590" s="33">
        <v>2.8062</v>
      </c>
      <c r="G590" s="33" t="s">
        <v>117</v>
      </c>
      <c r="H590" t="s">
        <v>1310</v>
      </c>
      <c r="I590" t="str">
        <f>IF(quantInv[[#This Row],[Metal]] = "925 Silver",  "7113.11.00"," 7113.19.00")</f>
        <v>7113.11.00</v>
      </c>
      <c r="J590" t="str">
        <f>IF(quantInv[[#This Row],[Metal]] = "925 Silver", "7113.11.10.00"," 7113.19.10.00")</f>
        <v>7113.11.10.00</v>
      </c>
      <c r="K590" t="str">
        <f>IF(quantInv[[#This Row],[Metal]] = "925 Silver",  "7113.11.00"," 7113.19.00")</f>
        <v>7113.11.00</v>
      </c>
      <c r="L590" t="str">
        <f>IFERROR(VLOOKUP(quantInv[[#This Row],[Description for New Invoice]],Map!$G$12:$H$32,2,FALSE), IF(quantInv[[#This Row],[Metal]] = "925 Silver", "7113.11.10.00", "7113.19.29.00"))</f>
        <v>7113.11.50.00</v>
      </c>
      <c r="M590" t="str">
        <f>quantInv[[#This Row],[ASIN]] &amp; " " &amp; quantInv[[#This Row],[Short Description]]</f>
        <v>B071D2S76L Earrings - Round Stud  petals</v>
      </c>
      <c r="N590" s="33">
        <f>quantInv[[#This Row],[UNIT
VALUE]] / EURtoGBP</f>
        <v>3.1853705879348215</v>
      </c>
      <c r="O590" s="33">
        <f>quantInv[[#This Row],[UNIT
VALUE]]/USDtoGBP</f>
        <v>3.8468339906481717</v>
      </c>
      <c r="P590" s="33">
        <f>quantInv[[#This Row],[UNIT
VALUE]] / CADtoGBP</f>
        <v>4.9241686451429505</v>
      </c>
      <c r="Q590" s="33">
        <f>quantInv[[#This Row],[UNIT
VALUE]]/AUDtoGBP</f>
        <v>5.040232775343056</v>
      </c>
      <c r="R590" s="106">
        <f>IFERROR(VLOOKUP(quantInv[[#This Row],[Assigned Item SKU]],skuQuantity[#All],2,FALSE),0)</f>
        <v>10</v>
      </c>
      <c r="S590" t="str">
        <f>PROPER(quantInv[[#This Row],[Metal]] &amp; " " &amp; quantInv[[#This Row],[Item Type]])</f>
        <v>925 Silver Earrings</v>
      </c>
      <c r="T590" s="33">
        <f>quantInv[[#This Row],[Quantity]]*quantInv[[#This Row],[WEIGHT]]</f>
        <v>18</v>
      </c>
      <c r="U590" s="33">
        <f>quantInv[[#This Row],[UNIT
VALUE]]*quantInv[[#This Row],[Quantity]]</f>
        <v>28.062000000000001</v>
      </c>
      <c r="V590" s="33">
        <f>quantInv[[#This Row],[Total Cost GBP]]/EURtoGBP</f>
        <v>31.853705879348215</v>
      </c>
      <c r="W590" s="33">
        <f>quantInv[[#This Row],[Total Cost GBP]]/USDtoGBP</f>
        <v>38.468339906481717</v>
      </c>
      <c r="X590" s="33">
        <f>quantInv[[#This Row],[Total Cost GBP]]/CADtoGBP</f>
        <v>49.241686451429501</v>
      </c>
      <c r="Y590" s="33">
        <f>quantInv[[#This Row],[Quantity]]*quantInv[[#This Row],[UNIT
VALUE AUD]]</f>
        <v>50.402327753430562</v>
      </c>
      <c r="Z590" s="33"/>
    </row>
    <row r="591" spans="1:26" x14ac:dyDescent="0.25">
      <c r="A591" t="s">
        <v>1357</v>
      </c>
      <c r="B591" t="s">
        <v>1358</v>
      </c>
      <c r="C591" t="s">
        <v>114</v>
      </c>
      <c r="D591" t="s">
        <v>1359</v>
      </c>
      <c r="E591">
        <v>12.1</v>
      </c>
      <c r="F591" s="33">
        <v>11.8965</v>
      </c>
      <c r="G591" s="33" t="s">
        <v>117</v>
      </c>
      <c r="H591" t="s">
        <v>1414</v>
      </c>
      <c r="I591" t="str">
        <f>IF(quantInv[[#This Row],[Metal]] = "925 Silver",  "7113.11.00"," 7113.19.00")</f>
        <v>7113.11.00</v>
      </c>
      <c r="J591" t="str">
        <f>IF(quantInv[[#This Row],[Metal]] = "925 Silver", "7113.11.10.00"," 7113.19.10.00")</f>
        <v>7113.11.10.00</v>
      </c>
      <c r="K591" t="str">
        <f>IF(quantInv[[#This Row],[Metal]] = "925 Silver",  "7113.11.00"," 7113.19.00")</f>
        <v>7113.11.00</v>
      </c>
      <c r="L591" t="str">
        <f>IFERROR(VLOOKUP(quantInv[[#This Row],[Description for New Invoice]],Map!$G$12:$H$32,2,FALSE), IF(quantInv[[#This Row],[Metal]] = "925 Silver", "7113.11.10.00", "7113.19.29.00"))</f>
        <v>7113.11.10.00</v>
      </c>
      <c r="M591" t="str">
        <f>quantInv[[#This Row],[ASIN]] &amp; " " &amp; quantInv[[#This Row],[Short Description]]</f>
        <v>B07T69R46V Chain Bracelet - Super Flat Curb - Gauge 200 - Width 8 mm</v>
      </c>
      <c r="N591" s="33">
        <f>quantInv[[#This Row],[UNIT
VALUE]] / EURtoGBP</f>
        <v>13.503941700294563</v>
      </c>
      <c r="O591" s="33">
        <f>quantInv[[#This Row],[UNIT
VALUE]]/USDtoGBP</f>
        <v>16.308125069398464</v>
      </c>
      <c r="P591" s="33">
        <f>quantInv[[#This Row],[UNIT
VALUE]] / CADtoGBP</f>
        <v>20.875337569290537</v>
      </c>
      <c r="Q591" s="33">
        <f>quantInv[[#This Row],[UNIT
VALUE]]/AUDtoGBP</f>
        <v>21.36737552985128</v>
      </c>
      <c r="R591">
        <f>IFERROR(VLOOKUP(quantInv[[#This Row],[Assigned Item SKU]],skuQuantity[#All],2,FALSE),0)</f>
        <v>5</v>
      </c>
      <c r="S591" t="str">
        <f>PROPER(quantInv[[#This Row],[Metal]] &amp; " " &amp; quantInv[[#This Row],[Item Type]])</f>
        <v>925 Silver Bracelet</v>
      </c>
      <c r="T591" s="33">
        <f>quantInv[[#This Row],[Quantity]]*quantInv[[#This Row],[WEIGHT]]</f>
        <v>60.5</v>
      </c>
      <c r="U591" s="33">
        <f>quantInv[[#This Row],[UNIT
VALUE]]*quantInv[[#This Row],[Quantity]]</f>
        <v>59.482500000000002</v>
      </c>
      <c r="V591" s="33">
        <f>quantInv[[#This Row],[Total Cost GBP]]/EURtoGBP</f>
        <v>67.51970850147282</v>
      </c>
      <c r="W591" s="33">
        <f>quantInv[[#This Row],[Total Cost GBP]]/USDtoGBP</f>
        <v>81.540625346992329</v>
      </c>
      <c r="X591" s="33">
        <f>quantInv[[#This Row],[Total Cost GBP]]/CADtoGBP</f>
        <v>104.3766878464527</v>
      </c>
      <c r="Y591" s="33">
        <f>quantInv[[#This Row],[Quantity]]*quantInv[[#This Row],[UNIT
VALUE AUD]]</f>
        <v>106.83687764925639</v>
      </c>
      <c r="Z591" s="33"/>
    </row>
    <row r="592" spans="1:26" x14ac:dyDescent="0.25">
      <c r="A592" t="s">
        <v>1362</v>
      </c>
      <c r="B592" t="s">
        <v>1363</v>
      </c>
      <c r="C592" t="s">
        <v>114</v>
      </c>
      <c r="D592" t="s">
        <v>1359</v>
      </c>
      <c r="E592">
        <v>12.7</v>
      </c>
      <c r="F592" s="33">
        <v>11.439299999999999</v>
      </c>
      <c r="G592" s="33" t="s">
        <v>117</v>
      </c>
      <c r="H592" t="s">
        <v>1414</v>
      </c>
      <c r="I592" t="str">
        <f>IF(quantInv[[#This Row],[Metal]] = "925 Silver",  "7113.11.00"," 7113.19.00")</f>
        <v>7113.11.00</v>
      </c>
      <c r="J592" t="str">
        <f>IF(quantInv[[#This Row],[Metal]] = "925 Silver", "7113.11.10.00"," 7113.19.10.00")</f>
        <v>7113.11.10.00</v>
      </c>
      <c r="K592" t="str">
        <f>IF(quantInv[[#This Row],[Metal]] = "925 Silver",  "7113.11.00"," 7113.19.00")</f>
        <v>7113.11.00</v>
      </c>
      <c r="L592" t="str">
        <f>IFERROR(VLOOKUP(quantInv[[#This Row],[Description for New Invoice]],Map!$G$12:$H$32,2,FALSE), IF(quantInv[[#This Row],[Metal]] = "925 Silver", "7113.11.10.00", "7113.19.29.00"))</f>
        <v>7113.11.10.00</v>
      </c>
      <c r="M592" t="str">
        <f>quantInv[[#This Row],[ASIN]] &amp; " " &amp; quantInv[[#This Row],[Short Description]]</f>
        <v>B07T56B5F7 Chain Bracelet - Super Flat Curb - Gauge 200 - Width 8 mm</v>
      </c>
      <c r="N592" s="33">
        <f>quantInv[[#This Row],[UNIT
VALUE]] / EURtoGBP</f>
        <v>12.98496535049633</v>
      </c>
      <c r="O592" s="33">
        <f>quantInv[[#This Row],[UNIT
VALUE]]/USDtoGBP</f>
        <v>15.681379826534682</v>
      </c>
      <c r="P592" s="33">
        <f>quantInv[[#This Row],[UNIT
VALUE]] / CADtoGBP</f>
        <v>20.07306762967135</v>
      </c>
      <c r="Q592" s="33">
        <f>quantInv[[#This Row],[UNIT
VALUE]]/AUDtoGBP</f>
        <v>20.546195847402828</v>
      </c>
      <c r="R592">
        <f>IFERROR(VLOOKUP(quantInv[[#This Row],[Assigned Item SKU]],skuQuantity[#All],2,FALSE),0)</f>
        <v>5</v>
      </c>
      <c r="S592" t="str">
        <f>PROPER(quantInv[[#This Row],[Metal]] &amp; " " &amp; quantInv[[#This Row],[Item Type]])</f>
        <v>925 Silver Bracelet</v>
      </c>
      <c r="T592" s="33">
        <f>quantInv[[#This Row],[Quantity]]*quantInv[[#This Row],[WEIGHT]]</f>
        <v>63.5</v>
      </c>
      <c r="U592" s="33">
        <f>quantInv[[#This Row],[UNIT
VALUE]]*quantInv[[#This Row],[Quantity]]</f>
        <v>57.1965</v>
      </c>
      <c r="V592" s="33">
        <f>quantInv[[#This Row],[Total Cost GBP]]/EURtoGBP</f>
        <v>64.92482675248165</v>
      </c>
      <c r="W592" s="33">
        <f>quantInv[[#This Row],[Total Cost GBP]]/USDtoGBP</f>
        <v>78.406899132673416</v>
      </c>
      <c r="X592" s="33">
        <f>quantInv[[#This Row],[Total Cost GBP]]/CADtoGBP</f>
        <v>100.36533814835677</v>
      </c>
      <c r="Y592" s="33">
        <f>quantInv[[#This Row],[Quantity]]*quantInv[[#This Row],[UNIT
VALUE AUD]]</f>
        <v>102.73097923701414</v>
      </c>
      <c r="Z592" s="33"/>
    </row>
    <row r="593" spans="1:26" x14ac:dyDescent="0.25">
      <c r="A593" t="s">
        <v>1364</v>
      </c>
      <c r="B593" t="s">
        <v>1365</v>
      </c>
      <c r="C593" t="s">
        <v>114</v>
      </c>
      <c r="D593" t="s">
        <v>1366</v>
      </c>
      <c r="E593">
        <v>17.02</v>
      </c>
      <c r="F593" s="33">
        <v>27.129300000000001</v>
      </c>
      <c r="G593" s="33" t="s">
        <v>117</v>
      </c>
      <c r="H593" t="s">
        <v>1414</v>
      </c>
      <c r="I593" t="str">
        <f>IF(quantInv[[#This Row],[Metal]] = "925 Silver",  "7113.11.00"," 7113.19.00")</f>
        <v>7113.11.00</v>
      </c>
      <c r="J593" t="str">
        <f>IF(quantInv[[#This Row],[Metal]] = "925 Silver", "7113.11.10.00"," 7113.19.10.00")</f>
        <v>7113.11.10.00</v>
      </c>
      <c r="K593" t="str">
        <f>IF(quantInv[[#This Row],[Metal]] = "925 Silver",  "7113.11.00"," 7113.19.00")</f>
        <v>7113.11.00</v>
      </c>
      <c r="L593" t="str">
        <f>IFERROR(VLOOKUP(quantInv[[#This Row],[Description for New Invoice]],Map!$G$12:$H$32,2,FALSE), IF(quantInv[[#This Row],[Metal]] = "925 Silver", "7113.11.10.00", "7113.19.29.00"))</f>
        <v>7113.11.10.00</v>
      </c>
      <c r="M593" t="str">
        <f>quantInv[[#This Row],[ASIN]] &amp; " " &amp; quantInv[[#This Row],[Short Description]]</f>
        <v>B07T569WFS Chain Bracelet - Men - Rhodium Brushed</v>
      </c>
      <c r="N593" s="33">
        <f>quantInv[[#This Row],[UNIT
VALUE]] / EURtoGBP</f>
        <v>30.794980504333317</v>
      </c>
      <c r="O593" s="33">
        <f>quantInv[[#This Row],[UNIT
VALUE]]/USDtoGBP</f>
        <v>37.189763161033227</v>
      </c>
      <c r="P593" s="33">
        <f>quantInv[[#This Row],[UNIT
VALUE]] / CADtoGBP</f>
        <v>47.605034717652572</v>
      </c>
      <c r="Q593" s="33">
        <f>quantInv[[#This Row],[UNIT
VALUE]]/AUDtoGBP</f>
        <v>48.727099647963215</v>
      </c>
      <c r="R593">
        <f>IFERROR(VLOOKUP(quantInv[[#This Row],[Assigned Item SKU]],skuQuantity[#All],2,FALSE),0)</f>
        <v>0</v>
      </c>
      <c r="S593" t="str">
        <f>PROPER(quantInv[[#This Row],[Metal]] &amp; " " &amp; quantInv[[#This Row],[Item Type]])</f>
        <v>925 Silver Bracelet</v>
      </c>
      <c r="T593" s="33">
        <f>quantInv[[#This Row],[Quantity]]*quantInv[[#This Row],[WEIGHT]]</f>
        <v>0</v>
      </c>
      <c r="U593" s="33">
        <f>quantInv[[#This Row],[UNIT
VALUE]]*quantInv[[#This Row],[Quantity]]</f>
        <v>0</v>
      </c>
      <c r="V593" s="33">
        <f>quantInv[[#This Row],[Total Cost GBP]]/EURtoGBP</f>
        <v>0</v>
      </c>
      <c r="W593" s="33">
        <f>quantInv[[#This Row],[Total Cost GBP]]/USDtoGBP</f>
        <v>0</v>
      </c>
      <c r="X593" s="33">
        <f>quantInv[[#This Row],[Total Cost GBP]]/CADtoGBP</f>
        <v>0</v>
      </c>
      <c r="Y593" s="33">
        <f>quantInv[[#This Row],[Quantity]]*quantInv[[#This Row],[UNIT
VALUE AUD]]</f>
        <v>0</v>
      </c>
      <c r="Z593" s="33"/>
    </row>
    <row r="594" spans="1:26" x14ac:dyDescent="0.25">
      <c r="A594" t="s">
        <v>1466</v>
      </c>
      <c r="B594" t="s">
        <v>1467</v>
      </c>
      <c r="C594" t="s">
        <v>115</v>
      </c>
      <c r="D594" t="s">
        <v>1468</v>
      </c>
      <c r="E594">
        <v>1.07</v>
      </c>
      <c r="F594" s="33">
        <v>2.7919999999999998</v>
      </c>
      <c r="G594" s="33" t="s">
        <v>117</v>
      </c>
      <c r="H594" t="s">
        <v>1310</v>
      </c>
      <c r="I594" t="str">
        <f>IF(quantInv[[#This Row],[Metal]] = "925 Silver",  "7113.11.00"," 7113.19.00")</f>
        <v>7113.11.00</v>
      </c>
      <c r="J594" t="str">
        <f>IF(quantInv[[#This Row],[Metal]] = "925 Silver", "7113.11.10.00"," 7113.19.10.00")</f>
        <v>7113.11.10.00</v>
      </c>
      <c r="K594" t="str">
        <f>IF(quantInv[[#This Row],[Metal]] = "925 Silver",  "7113.11.00"," 7113.19.00")</f>
        <v>7113.11.00</v>
      </c>
      <c r="L594" t="str">
        <f>IFERROR(VLOOKUP(quantInv[[#This Row],[Description for New Invoice]],Map!$G$12:$H$32,2,FALSE), IF(quantInv[[#This Row],[Metal]] = "925 Silver", "7113.11.10.00", "7113.19.29.00"))</f>
        <v>7113.11.50.00</v>
      </c>
      <c r="M594" t="str">
        <f>quantInv[[#This Row],[ASIN]] &amp; " " &amp; quantInv[[#This Row],[Short Description]]</f>
        <v>B07Z568XVY Earrings - Crawler - stars</v>
      </c>
      <c r="N594" s="33">
        <f>quantInv[[#This Row],[UNIT
VALUE]] / EURtoGBP</f>
        <v>3.1692518999052175</v>
      </c>
      <c r="O594" s="33">
        <f>quantInv[[#This Row],[UNIT
VALUE]]/USDtoGBP</f>
        <v>3.8273681497718246</v>
      </c>
      <c r="P594" s="33">
        <f>quantInv[[#This Row],[UNIT
VALUE]] / CADtoGBP</f>
        <v>4.8992512498179446</v>
      </c>
      <c r="Q594" s="33">
        <f>quantInv[[#This Row],[UNIT
VALUE]]/AUDtoGBP</f>
        <v>5.0147280695452254</v>
      </c>
      <c r="R594">
        <f>IFERROR(VLOOKUP(quantInv[[#This Row],[Assigned Item SKU]],skuQuantity[#All],2,FALSE),0)</f>
        <v>15</v>
      </c>
      <c r="S594" t="str">
        <f>PROPER(quantInv[[#This Row],[Metal]] &amp; " " &amp; quantInv[[#This Row],[Item Type]])</f>
        <v>925 Silver Earrings</v>
      </c>
      <c r="T594" s="33">
        <f>quantInv[[#This Row],[Quantity]]*quantInv[[#This Row],[WEIGHT]]</f>
        <v>16.05</v>
      </c>
      <c r="U594" s="33">
        <f>quantInv[[#This Row],[UNIT
VALUE]]*quantInv[[#This Row],[Quantity]]</f>
        <v>41.879999999999995</v>
      </c>
      <c r="V594" s="33">
        <f>quantInv[[#This Row],[Total Cost GBP]]/EURtoGBP</f>
        <v>47.53877849857826</v>
      </c>
      <c r="W594" s="33">
        <f>quantInv[[#This Row],[Total Cost GBP]]/USDtoGBP</f>
        <v>57.410522246577365</v>
      </c>
      <c r="X594" s="33">
        <f>quantInv[[#This Row],[Total Cost GBP]]/CADtoGBP</f>
        <v>73.488768747269162</v>
      </c>
      <c r="Y594" s="33">
        <f>quantInv[[#This Row],[Quantity]]*quantInv[[#This Row],[UNIT
VALUE AUD]]</f>
        <v>75.220921043178379</v>
      </c>
      <c r="Z594" s="33"/>
    </row>
    <row r="595" spans="1:26" x14ac:dyDescent="0.25">
      <c r="A595" t="s">
        <v>1370</v>
      </c>
      <c r="B595" t="s">
        <v>1371</v>
      </c>
      <c r="C595" t="s">
        <v>115</v>
      </c>
      <c r="D595" t="s">
        <v>1372</v>
      </c>
      <c r="E595">
        <v>2.35</v>
      </c>
      <c r="F595" s="33">
        <v>3.9277000000000002</v>
      </c>
      <c r="G595" s="33" t="s">
        <v>117</v>
      </c>
      <c r="H595" t="s">
        <v>1310</v>
      </c>
      <c r="I595" t="str">
        <f>IF(quantInv[[#This Row],[Metal]] = "925 Silver",  "7113.11.00"," 7113.19.00")</f>
        <v>7113.11.00</v>
      </c>
      <c r="J595" t="str">
        <f>IF(quantInv[[#This Row],[Metal]] = "925 Silver", "7113.11.10.00"," 7113.19.10.00")</f>
        <v>7113.11.10.00</v>
      </c>
      <c r="K595" t="str">
        <f>IF(quantInv[[#This Row],[Metal]] = "925 Silver",  "7113.11.00"," 7113.19.00")</f>
        <v>7113.11.00</v>
      </c>
      <c r="L595" t="str">
        <f>IFERROR(VLOOKUP(quantInv[[#This Row],[Description for New Invoice]],Map!$G$12:$H$32,2,FALSE), IF(quantInv[[#This Row],[Metal]] = "925 Silver", "7113.11.10.00", "7113.19.29.00"))</f>
        <v>7113.11.50.00</v>
      </c>
      <c r="M595" t="str">
        <f>quantInv[[#This Row],[ASIN]] &amp; " " &amp; quantInv[[#This Row],[Short Description]]</f>
        <v>B07QS9Y5YM Hoop Earrings - Bali - 20 mm</v>
      </c>
      <c r="N595" s="33">
        <f>quantInv[[#This Row],[UNIT
VALUE]] / EURtoGBP</f>
        <v>4.4584064066109326</v>
      </c>
      <c r="O595" s="33">
        <f>quantInv[[#This Row],[UNIT
VALUE]]/USDtoGBP</f>
        <v>5.3842241697201993</v>
      </c>
      <c r="P595" s="33">
        <f>quantInv[[#This Row],[UNIT
VALUE]] / CADtoGBP</f>
        <v>6.8921164519734752</v>
      </c>
      <c r="Q595" s="33">
        <f>quantInv[[#This Row],[UNIT
VALUE]]/AUDtoGBP</f>
        <v>7.05456570155902</v>
      </c>
      <c r="R595">
        <f>IFERROR(VLOOKUP(quantInv[[#This Row],[Assigned Item SKU]],skuQuantity[#All],2,FALSE),0)</f>
        <v>25</v>
      </c>
      <c r="S595" t="str">
        <f>PROPER(quantInv[[#This Row],[Metal]] &amp; " " &amp; quantInv[[#This Row],[Item Type]])</f>
        <v>925 Silver Earrings</v>
      </c>
      <c r="T595" s="33">
        <f>quantInv[[#This Row],[Quantity]]*quantInv[[#This Row],[WEIGHT]]</f>
        <v>58.75</v>
      </c>
      <c r="U595" s="33">
        <f>quantInv[[#This Row],[UNIT
VALUE]]*quantInv[[#This Row],[Quantity]]</f>
        <v>98.19250000000001</v>
      </c>
      <c r="V595" s="33">
        <f>quantInv[[#This Row],[Total Cost GBP]]/EURtoGBP</f>
        <v>111.46016016527332</v>
      </c>
      <c r="W595" s="33">
        <f>quantInv[[#This Row],[Total Cost GBP]]/USDtoGBP</f>
        <v>134.60560424300499</v>
      </c>
      <c r="X595" s="33">
        <f>quantInv[[#This Row],[Total Cost GBP]]/CADtoGBP</f>
        <v>172.3029112993369</v>
      </c>
      <c r="Y595" s="33">
        <f>quantInv[[#This Row],[Quantity]]*quantInv[[#This Row],[UNIT
VALUE AUD]]</f>
        <v>176.3641425389755</v>
      </c>
      <c r="Z595" s="33"/>
    </row>
    <row r="596" spans="1:26" x14ac:dyDescent="0.25">
      <c r="A596" t="s">
        <v>1373</v>
      </c>
      <c r="B596" t="s">
        <v>1374</v>
      </c>
      <c r="C596" t="s">
        <v>115</v>
      </c>
      <c r="D596" t="s">
        <v>1369</v>
      </c>
      <c r="E596">
        <v>1.6</v>
      </c>
      <c r="F596" s="33">
        <v>2.9137</v>
      </c>
      <c r="G596" s="33" t="s">
        <v>117</v>
      </c>
      <c r="H596" t="s">
        <v>1310</v>
      </c>
      <c r="I596" t="str">
        <f>IF(quantInv[[#This Row],[Metal]] = "925 Silver",  "7113.11.00"," 7113.19.00")</f>
        <v>7113.11.00</v>
      </c>
      <c r="J596" t="str">
        <f>IF(quantInv[[#This Row],[Metal]] = "925 Silver", "7113.11.10.00"," 7113.19.10.00")</f>
        <v>7113.11.10.00</v>
      </c>
      <c r="K596" t="str">
        <f>IF(quantInv[[#This Row],[Metal]] = "925 Silver",  "7113.11.00"," 7113.19.00")</f>
        <v>7113.11.00</v>
      </c>
      <c r="L596" t="str">
        <f>IFERROR(VLOOKUP(quantInv[[#This Row],[Description for New Invoice]],Map!$G$12:$H$32,2,FALSE), IF(quantInv[[#This Row],[Metal]] = "925 Silver", "7113.11.10.00", "7113.19.29.00"))</f>
        <v>7113.11.50.00</v>
      </c>
      <c r="M596" t="str">
        <f>quantInv[[#This Row],[ASIN]] &amp; " " &amp; quantInv[[#This Row],[Short Description]]</f>
        <v>B07QNYQDSW Hoop Earrings - Bali - 15 mm</v>
      </c>
      <c r="N596" s="33">
        <f>quantInv[[#This Row],[UNIT
VALUE]] / EURtoGBP</f>
        <v>3.307395867032175</v>
      </c>
      <c r="O596" s="33">
        <f>quantInv[[#This Row],[UNIT
VALUE]]/USDtoGBP</f>
        <v>3.994198631085303</v>
      </c>
      <c r="P596" s="33">
        <f>quantInv[[#This Row],[UNIT
VALUE]] / CADtoGBP</f>
        <v>5.1128038562301379</v>
      </c>
      <c r="Q596" s="33">
        <f>quantInv[[#This Row],[UNIT
VALUE]]/AUDtoGBP</f>
        <v>5.2333141748688838</v>
      </c>
      <c r="R596">
        <f>IFERROR(VLOOKUP(quantInv[[#This Row],[Assigned Item SKU]],skuQuantity[#All],2,FALSE),0)</f>
        <v>40</v>
      </c>
      <c r="S596" t="str">
        <f>PROPER(quantInv[[#This Row],[Metal]] &amp; " " &amp; quantInv[[#This Row],[Item Type]])</f>
        <v>925 Silver Earrings</v>
      </c>
      <c r="T596" s="33">
        <f>quantInv[[#This Row],[Quantity]]*quantInv[[#This Row],[WEIGHT]]</f>
        <v>64</v>
      </c>
      <c r="U596" s="33">
        <f>quantInv[[#This Row],[UNIT
VALUE]]*quantInv[[#This Row],[Quantity]]</f>
        <v>116.548</v>
      </c>
      <c r="V596" s="33">
        <f>quantInv[[#This Row],[Total Cost GBP]]/EURtoGBP</f>
        <v>132.295834681287</v>
      </c>
      <c r="W596" s="33">
        <f>quantInv[[#This Row],[Total Cost GBP]]/USDtoGBP</f>
        <v>159.76794524341213</v>
      </c>
      <c r="X596" s="33">
        <f>quantInv[[#This Row],[Total Cost GBP]]/CADtoGBP</f>
        <v>204.51215424920554</v>
      </c>
      <c r="Y596" s="33">
        <f>quantInv[[#This Row],[Quantity]]*quantInv[[#This Row],[UNIT
VALUE AUD]]</f>
        <v>209.33256699475535</v>
      </c>
      <c r="Z596" s="33"/>
    </row>
    <row r="597" spans="1:26" x14ac:dyDescent="0.25">
      <c r="A597" t="s">
        <v>1472</v>
      </c>
      <c r="B597" t="s">
        <v>1473</v>
      </c>
      <c r="C597" t="s">
        <v>115</v>
      </c>
      <c r="D597" t="s">
        <v>1474</v>
      </c>
      <c r="E597">
        <v>0.74</v>
      </c>
      <c r="F597" s="33">
        <v>2.7109000000000001</v>
      </c>
      <c r="G597" s="33" t="s">
        <v>117</v>
      </c>
      <c r="H597" t="s">
        <v>1310</v>
      </c>
      <c r="I597" t="str">
        <f>IF(quantInv[[#This Row],[Metal]] = "925 Silver",  "7113.11.00"," 7113.19.00")</f>
        <v>7113.11.00</v>
      </c>
      <c r="J597" t="str">
        <f>IF(quantInv[[#This Row],[Metal]] = "925 Silver", "7113.11.10.00"," 7113.19.10.00")</f>
        <v>7113.11.10.00</v>
      </c>
      <c r="K597" t="str">
        <f>IF(quantInv[[#This Row],[Metal]] = "925 Silver",  "7113.11.00"," 7113.19.00")</f>
        <v>7113.11.00</v>
      </c>
      <c r="L597" t="str">
        <f>IFERROR(VLOOKUP(quantInv[[#This Row],[Description for New Invoice]],Map!$G$12:$H$32,2,FALSE), IF(quantInv[[#This Row],[Metal]] = "925 Silver", "7113.11.10.00", "7113.19.29.00"))</f>
        <v>7113.11.50.00</v>
      </c>
      <c r="M597" t="str">
        <f>quantInv[[#This Row],[ASIN]] &amp; " " &amp; quantInv[[#This Row],[Short Description]]</f>
        <v>B07Z57KVT4 Earrings - Crawler - ZigZag</v>
      </c>
      <c r="N597" s="33">
        <f>quantInv[[#This Row],[UNIT
VALUE]] / EURtoGBP</f>
        <v>3.0771937591164238</v>
      </c>
      <c r="O597" s="33">
        <f>quantInv[[#This Row],[UNIT
VALUE]]/USDtoGBP</f>
        <v>3.7161935233583239</v>
      </c>
      <c r="P597" s="33">
        <f>quantInv[[#This Row],[UNIT
VALUE]] / CADtoGBP</f>
        <v>4.7569413370814706</v>
      </c>
      <c r="Q597" s="33">
        <f>quantInv[[#This Row],[UNIT
VALUE]]/AUDtoGBP</f>
        <v>4.8690638695308568</v>
      </c>
      <c r="R597">
        <f>IFERROR(VLOOKUP(quantInv[[#This Row],[Assigned Item SKU]],skuQuantity[#All],2,FALSE),0)</f>
        <v>5</v>
      </c>
      <c r="S597" t="str">
        <f>PROPER(quantInv[[#This Row],[Metal]] &amp; " " &amp; quantInv[[#This Row],[Item Type]])</f>
        <v>925 Silver Earrings</v>
      </c>
      <c r="T597" s="33">
        <f>quantInv[[#This Row],[Quantity]]*quantInv[[#This Row],[WEIGHT]]</f>
        <v>3.7</v>
      </c>
      <c r="U597" s="33">
        <f>quantInv[[#This Row],[UNIT
VALUE]]*quantInv[[#This Row],[Quantity]]</f>
        <v>13.554500000000001</v>
      </c>
      <c r="V597" s="33">
        <f>quantInv[[#This Row],[Total Cost GBP]]/EURtoGBP</f>
        <v>15.385968795582118</v>
      </c>
      <c r="W597" s="33">
        <f>quantInv[[#This Row],[Total Cost GBP]]/USDtoGBP</f>
        <v>18.580967616791618</v>
      </c>
      <c r="X597" s="33">
        <f>quantInv[[#This Row],[Total Cost GBP]]/CADtoGBP</f>
        <v>23.784706685407357</v>
      </c>
      <c r="Y597" s="33">
        <f>quantInv[[#This Row],[Quantity]]*quantInv[[#This Row],[UNIT
VALUE AUD]]</f>
        <v>24.345319347654282</v>
      </c>
      <c r="Z597" s="33"/>
    </row>
    <row r="598" spans="1:26" x14ac:dyDescent="0.25">
      <c r="A598" t="s">
        <v>1378</v>
      </c>
      <c r="B598" t="s">
        <v>1379</v>
      </c>
      <c r="C598" t="s">
        <v>115</v>
      </c>
      <c r="D598" t="s">
        <v>1380</v>
      </c>
      <c r="E598">
        <v>1.54</v>
      </c>
      <c r="F598" s="33">
        <v>1.5750999999999999</v>
      </c>
      <c r="G598" s="33" t="s">
        <v>117</v>
      </c>
      <c r="H598" t="s">
        <v>1310</v>
      </c>
      <c r="I598" t="str">
        <f>IF(quantInv[[#This Row],[Metal]] = "925 Silver",  "7113.11.00"," 7113.19.00")</f>
        <v>7113.11.00</v>
      </c>
      <c r="J598" t="str">
        <f>IF(quantInv[[#This Row],[Metal]] = "925 Silver", "7113.11.10.00"," 7113.19.10.00")</f>
        <v>7113.11.10.00</v>
      </c>
      <c r="K598" t="str">
        <f>IF(quantInv[[#This Row],[Metal]] = "925 Silver",  "7113.11.00"," 7113.19.00")</f>
        <v>7113.11.00</v>
      </c>
      <c r="L598" t="str">
        <f>IFERROR(VLOOKUP(quantInv[[#This Row],[Description for New Invoice]],Map!$G$12:$H$32,2,FALSE), IF(quantInv[[#This Row],[Metal]] = "925 Silver", "7113.11.10.00", "7113.19.29.00"))</f>
        <v>7113.11.50.00</v>
      </c>
      <c r="M598" t="str">
        <f>quantInv[[#This Row],[ASIN]] &amp; " " &amp; quantInv[[#This Row],[Short Description]]</f>
        <v>B07TMP23LG Earrings - twisted shape - flat wire</v>
      </c>
      <c r="N598" s="33">
        <f>quantInv[[#This Row],[UNIT
VALUE]] / EURtoGBP</f>
        <v>1.7879257405231763</v>
      </c>
      <c r="O598" s="33">
        <f>quantInv[[#This Row],[UNIT
VALUE]]/USDtoGBP</f>
        <v>2.1592004200234962</v>
      </c>
      <c r="P598" s="33">
        <f>quantInv[[#This Row],[UNIT
VALUE]] / CADtoGBP</f>
        <v>2.7639006603109757</v>
      </c>
      <c r="Q598" s="33">
        <f>quantInv[[#This Row],[UNIT
VALUE]]/AUDtoGBP</f>
        <v>2.8290466269128527</v>
      </c>
      <c r="R598">
        <f>IFERROR(VLOOKUP(quantInv[[#This Row],[Assigned Item SKU]],skuQuantity[#All],2,FALSE),0)</f>
        <v>0</v>
      </c>
      <c r="S598" t="str">
        <f>PROPER(quantInv[[#This Row],[Metal]] &amp; " " &amp; quantInv[[#This Row],[Item Type]])</f>
        <v>925 Silver Earrings</v>
      </c>
      <c r="T598" s="33">
        <f>quantInv[[#This Row],[Quantity]]*quantInv[[#This Row],[WEIGHT]]</f>
        <v>0</v>
      </c>
      <c r="U598" s="33">
        <f>quantInv[[#This Row],[UNIT
VALUE]]*quantInv[[#This Row],[Quantity]]</f>
        <v>0</v>
      </c>
      <c r="V598" s="33">
        <f>quantInv[[#This Row],[Total Cost GBP]]/EURtoGBP</f>
        <v>0</v>
      </c>
      <c r="W598" s="33">
        <f>quantInv[[#This Row],[Total Cost GBP]]/USDtoGBP</f>
        <v>0</v>
      </c>
      <c r="X598" s="33">
        <f>quantInv[[#This Row],[Total Cost GBP]]/CADtoGBP</f>
        <v>0</v>
      </c>
      <c r="Y598" s="33">
        <f>quantInv[[#This Row],[Quantity]]*quantInv[[#This Row],[UNIT
VALUE AUD]]</f>
        <v>0</v>
      </c>
      <c r="Z598" s="33"/>
    </row>
    <row r="599" spans="1:26" x14ac:dyDescent="0.25">
      <c r="A599" t="s">
        <v>1381</v>
      </c>
      <c r="B599" t="s">
        <v>1382</v>
      </c>
      <c r="C599" t="s">
        <v>115</v>
      </c>
      <c r="D599" t="s">
        <v>1383</v>
      </c>
      <c r="E599">
        <v>2.92</v>
      </c>
      <c r="F599" s="33">
        <v>4.0087999999999999</v>
      </c>
      <c r="G599" s="33" t="s">
        <v>117</v>
      </c>
      <c r="H599" t="s">
        <v>1310</v>
      </c>
      <c r="I599" t="str">
        <f>IF(quantInv[[#This Row],[Metal]] = "925 Silver",  "7113.11.00"," 7113.19.00")</f>
        <v>7113.11.00</v>
      </c>
      <c r="J599" t="str">
        <f>IF(quantInv[[#This Row],[Metal]] = "925 Silver", "7113.11.10.00"," 7113.19.10.00")</f>
        <v>7113.11.10.00</v>
      </c>
      <c r="K599" t="str">
        <f>IF(quantInv[[#This Row],[Metal]] = "925 Silver",  "7113.11.00"," 7113.19.00")</f>
        <v>7113.11.00</v>
      </c>
      <c r="L599" t="str">
        <f>IFERROR(VLOOKUP(quantInv[[#This Row],[Description for New Invoice]],Map!$G$12:$H$32,2,FALSE), IF(quantInv[[#This Row],[Metal]] = "925 Silver", "7113.11.10.00", "7113.19.29.00"))</f>
        <v>7113.11.50.00</v>
      </c>
      <c r="M599" t="str">
        <f>quantInv[[#This Row],[ASIN]] &amp; " " &amp; quantInv[[#This Row],[Short Description]]</f>
        <v>B07TMMS3K8 Earrings - twisted shape</v>
      </c>
      <c r="N599" s="33">
        <f>quantInv[[#This Row],[UNIT
VALUE]] / EURtoGBP</f>
        <v>4.5504645473997263</v>
      </c>
      <c r="O599" s="33">
        <f>quantInv[[#This Row],[UNIT
VALUE]]/USDtoGBP</f>
        <v>5.4953987961337001</v>
      </c>
      <c r="P599" s="33">
        <f>quantInv[[#This Row],[UNIT
VALUE]] / CADtoGBP</f>
        <v>7.0344263647099483</v>
      </c>
      <c r="Q599" s="33">
        <f>quantInv[[#This Row],[UNIT
VALUE]]/AUDtoGBP</f>
        <v>7.2002299015733886</v>
      </c>
      <c r="R599">
        <f>IFERROR(VLOOKUP(quantInv[[#This Row],[Assigned Item SKU]],skuQuantity[#All],2,FALSE),0)</f>
        <v>0</v>
      </c>
      <c r="S599" t="str">
        <f>PROPER(quantInv[[#This Row],[Metal]] &amp; " " &amp; quantInv[[#This Row],[Item Type]])</f>
        <v>925 Silver Earrings</v>
      </c>
      <c r="T599" s="33">
        <f>quantInv[[#This Row],[Quantity]]*quantInv[[#This Row],[WEIGHT]]</f>
        <v>0</v>
      </c>
      <c r="U599" s="33">
        <f>quantInv[[#This Row],[UNIT
VALUE]]*quantInv[[#This Row],[Quantity]]</f>
        <v>0</v>
      </c>
      <c r="V599" s="33">
        <f>quantInv[[#This Row],[Total Cost GBP]]/EURtoGBP</f>
        <v>0</v>
      </c>
      <c r="W599" s="33">
        <f>quantInv[[#This Row],[Total Cost GBP]]/USDtoGBP</f>
        <v>0</v>
      </c>
      <c r="X599" s="33">
        <f>quantInv[[#This Row],[Total Cost GBP]]/CADtoGBP</f>
        <v>0</v>
      </c>
      <c r="Y599" s="33">
        <f>quantInv[[#This Row],[Quantity]]*quantInv[[#This Row],[UNIT
VALUE AUD]]</f>
        <v>0</v>
      </c>
      <c r="Z599" s="33"/>
    </row>
    <row r="600" spans="1:26" x14ac:dyDescent="0.25">
      <c r="A600" t="s">
        <v>1524</v>
      </c>
      <c r="B600" t="s">
        <v>1525</v>
      </c>
      <c r="C600" t="s">
        <v>114</v>
      </c>
      <c r="D600" t="s">
        <v>1526</v>
      </c>
      <c r="E600">
        <v>2.2999999999999998</v>
      </c>
      <c r="F600" s="33">
        <v>4.8501000000000003</v>
      </c>
      <c r="G600" s="33" t="s">
        <v>117</v>
      </c>
      <c r="H600" t="s">
        <v>1451</v>
      </c>
      <c r="I600" t="str">
        <f>IF(quantInv[[#This Row],[Metal]] = "925 Silver",  "7113.11.00"," 7113.19.00")</f>
        <v>7113.11.00</v>
      </c>
      <c r="J600" t="str">
        <f>IF(quantInv[[#This Row],[Metal]] = "925 Silver", "7113.11.10.00"," 7113.19.10.00")</f>
        <v>7113.11.10.00</v>
      </c>
      <c r="K600" t="str">
        <f>IF(quantInv[[#This Row],[Metal]] = "925 Silver",  "7113.11.00"," 7113.19.00")</f>
        <v>7113.11.00</v>
      </c>
      <c r="L600" t="str">
        <f>IFERROR(VLOOKUP(quantInv[[#This Row],[Description for New Invoice]],Map!$G$12:$H$32,2,FALSE), IF(quantInv[[#This Row],[Metal]] = "925 Silver", "7113.11.10.00", "7113.19.29.00"))</f>
        <v>7113.11.50.00</v>
      </c>
      <c r="M600" t="str">
        <f>quantInv[[#This Row],[ASIN]] &amp; " " &amp; quantInv[[#This Row],[Short Description]]</f>
        <v>B082BBXWB3 Pendant - Letter - E</v>
      </c>
      <c r="N600" s="33">
        <f>quantInv[[#This Row],[UNIT
VALUE]] / EURtoGBP</f>
        <v>5.5054400572099915</v>
      </c>
      <c r="O600" s="33">
        <f>quantInv[[#This Row],[UNIT
VALUE]]/USDtoGBP</f>
        <v>6.6486813263640148</v>
      </c>
      <c r="P600" s="33">
        <f>quantInv[[#This Row],[UNIT
VALUE]] / CADtoGBP</f>
        <v>8.5106943004090319</v>
      </c>
      <c r="Q600" s="33">
        <f>quantInv[[#This Row],[UNIT
VALUE]]/AUDtoGBP</f>
        <v>8.71129391479273</v>
      </c>
      <c r="R600">
        <f>IFERROR(VLOOKUP(quantInv[[#This Row],[Assigned Item SKU]],skuQuantity[#All],2,FALSE),0)</f>
        <v>0</v>
      </c>
      <c r="S600" t="str">
        <f>PROPER(quantInv[[#This Row],[Metal]] &amp; " " &amp; quantInv[[#This Row],[Item Type]])</f>
        <v>925 Silver Pendant</v>
      </c>
      <c r="T600" s="33">
        <f>quantInv[[#This Row],[Quantity]]*quantInv[[#This Row],[WEIGHT]]</f>
        <v>0</v>
      </c>
      <c r="U600" s="33">
        <f>quantInv[[#This Row],[UNIT
VALUE]]*quantInv[[#This Row],[Quantity]]</f>
        <v>0</v>
      </c>
      <c r="V600" s="33">
        <f>quantInv[[#This Row],[Total Cost GBP]]/EURtoGBP</f>
        <v>0</v>
      </c>
      <c r="W600" s="33">
        <f>quantInv[[#This Row],[Total Cost GBP]]/USDtoGBP</f>
        <v>0</v>
      </c>
      <c r="X600" s="33">
        <f>quantInv[[#This Row],[Total Cost GBP]]/CADtoGBP</f>
        <v>0</v>
      </c>
      <c r="Y600" s="33">
        <f>quantInv[[#This Row],[Quantity]]*quantInv[[#This Row],[UNIT
VALUE AUD]]</f>
        <v>0</v>
      </c>
      <c r="Z600" s="33"/>
    </row>
    <row r="601" spans="1:26" x14ac:dyDescent="0.25">
      <c r="A601" t="s">
        <v>1387</v>
      </c>
      <c r="B601" t="s">
        <v>1388</v>
      </c>
      <c r="C601" t="s">
        <v>114</v>
      </c>
      <c r="D601" t="s">
        <v>1389</v>
      </c>
      <c r="E601">
        <v>6.4</v>
      </c>
      <c r="F601" s="33">
        <v>8.6470000000000002</v>
      </c>
      <c r="G601" s="33" t="s">
        <v>117</v>
      </c>
      <c r="H601" t="s">
        <v>103</v>
      </c>
      <c r="I601" t="str">
        <f>IF(quantInv[[#This Row],[Metal]] = "925 Silver",  "7113.11.00"," 7113.19.00")</f>
        <v>7113.11.00</v>
      </c>
      <c r="J601" t="str">
        <f>IF(quantInv[[#This Row],[Metal]] = "925 Silver", "7113.11.10.00"," 7113.19.10.00")</f>
        <v>7113.11.10.00</v>
      </c>
      <c r="K601" t="str">
        <f>IF(quantInv[[#This Row],[Metal]] = "925 Silver",  "7113.11.00"," 7113.19.00")</f>
        <v>7113.11.00</v>
      </c>
      <c r="L601" t="str">
        <f>IFERROR(VLOOKUP(quantInv[[#This Row],[Description for New Invoice]],Map!$G$12:$H$32,2,FALSE), IF(quantInv[[#This Row],[Metal]] = "925 Silver", "7113.11.10.00", "7113.19.29.00"))</f>
        <v>7113.11.10.00</v>
      </c>
      <c r="M601" t="str">
        <f>quantInv[[#This Row],[ASIN]] &amp; " " &amp; quantInv[[#This Row],[Short Description]]</f>
        <v>B07SGMNVF8 Neaklce - chain with infinity</v>
      </c>
      <c r="N601" s="33">
        <f>quantInv[[#This Row],[UNIT
VALUE]] / EURtoGBP</f>
        <v>9.8153729149285169</v>
      </c>
      <c r="O601" s="33">
        <f>quantInv[[#This Row],[UNIT
VALUE]]/USDtoGBP</f>
        <v>11.853600426603499</v>
      </c>
      <c r="P601" s="33">
        <f>quantInv[[#This Row],[UNIT
VALUE]] / CADtoGBP</f>
        <v>15.173289956008514</v>
      </c>
      <c r="Q601" s="33">
        <f>quantInv[[#This Row],[UNIT
VALUE]]/AUDtoGBP</f>
        <v>15.530928946044973</v>
      </c>
      <c r="R601">
        <f>IFERROR(VLOOKUP(quantInv[[#This Row],[Assigned Item SKU]],skuQuantity[#All],2,FALSE),0)</f>
        <v>0</v>
      </c>
      <c r="S601" t="str">
        <f>PROPER(quantInv[[#This Row],[Metal]] &amp; " " &amp; quantInv[[#This Row],[Item Type]])</f>
        <v>925 Silver Chain</v>
      </c>
      <c r="T601" s="33">
        <f>quantInv[[#This Row],[Quantity]]*quantInv[[#This Row],[WEIGHT]]</f>
        <v>0</v>
      </c>
      <c r="U601" s="33">
        <f>quantInv[[#This Row],[UNIT
VALUE]]*quantInv[[#This Row],[Quantity]]</f>
        <v>0</v>
      </c>
      <c r="V601" s="33">
        <f>quantInv[[#This Row],[Total Cost GBP]]/EURtoGBP</f>
        <v>0</v>
      </c>
      <c r="W601" s="33">
        <f>quantInv[[#This Row],[Total Cost GBP]]/USDtoGBP</f>
        <v>0</v>
      </c>
      <c r="X601" s="33">
        <f>quantInv[[#This Row],[Total Cost GBP]]/CADtoGBP</f>
        <v>0</v>
      </c>
      <c r="Y601" s="33">
        <f>quantInv[[#This Row],[Quantity]]*quantInv[[#This Row],[UNIT
VALUE AUD]]</f>
        <v>0</v>
      </c>
      <c r="Z601" s="33"/>
    </row>
    <row r="602" spans="1:26" x14ac:dyDescent="0.25">
      <c r="A602" t="s">
        <v>1390</v>
      </c>
      <c r="B602" t="s">
        <v>1391</v>
      </c>
      <c r="C602" t="s">
        <v>114</v>
      </c>
      <c r="D602" t="s">
        <v>1392</v>
      </c>
      <c r="E602">
        <v>4.0999999999999996</v>
      </c>
      <c r="F602" s="33">
        <v>5.9688999999999997</v>
      </c>
      <c r="G602" s="33" t="s">
        <v>117</v>
      </c>
      <c r="H602" t="s">
        <v>103</v>
      </c>
      <c r="I602" t="str">
        <f>IF(quantInv[[#This Row],[Metal]] = "925 Silver",  "7113.11.00"," 7113.19.00")</f>
        <v>7113.11.00</v>
      </c>
      <c r="J602" t="str">
        <f>IF(quantInv[[#This Row],[Metal]] = "925 Silver", "7113.11.10.00"," 7113.19.10.00")</f>
        <v>7113.11.10.00</v>
      </c>
      <c r="K602" t="str">
        <f>IF(quantInv[[#This Row],[Metal]] = "925 Silver",  "7113.11.00"," 7113.19.00")</f>
        <v>7113.11.00</v>
      </c>
      <c r="L602" t="str">
        <f>IFERROR(VLOOKUP(quantInv[[#This Row],[Description for New Invoice]],Map!$G$12:$H$32,2,FALSE), IF(quantInv[[#This Row],[Metal]] = "925 Silver", "7113.11.10.00", "7113.19.29.00"))</f>
        <v>7113.11.10.00</v>
      </c>
      <c r="M602" t="str">
        <f>quantInv[[#This Row],[ASIN]] &amp; " " &amp; quantInv[[#This Row],[Short Description]]</f>
        <v>B07SHPTG4G Neaklce - chain with leaf</v>
      </c>
      <c r="N602" s="33">
        <f>quantInv[[#This Row],[UNIT
VALUE]] / EURtoGBP</f>
        <v>6.775411054922726</v>
      </c>
      <c r="O602" s="33">
        <f>quantInv[[#This Row],[UNIT
VALUE]]/USDtoGBP</f>
        <v>8.1823702540018068</v>
      </c>
      <c r="P602" s="33">
        <f>quantInv[[#This Row],[UNIT
VALUE]] / CADtoGBP</f>
        <v>10.473904292635504</v>
      </c>
      <c r="Q602" s="33">
        <f>quantInv[[#This Row],[UNIT
VALUE]]/AUDtoGBP</f>
        <v>10.72077735469502</v>
      </c>
      <c r="R602">
        <f>IFERROR(VLOOKUP(quantInv[[#This Row],[Assigned Item SKU]],skuQuantity[#All],2,FALSE),0)</f>
        <v>0</v>
      </c>
      <c r="S602" t="str">
        <f>PROPER(quantInv[[#This Row],[Metal]] &amp; " " &amp; quantInv[[#This Row],[Item Type]])</f>
        <v>925 Silver Chain</v>
      </c>
      <c r="T602" s="33">
        <f>quantInv[[#This Row],[Quantity]]*quantInv[[#This Row],[WEIGHT]]</f>
        <v>0</v>
      </c>
      <c r="U602" s="33">
        <f>quantInv[[#This Row],[UNIT
VALUE]]*quantInv[[#This Row],[Quantity]]</f>
        <v>0</v>
      </c>
      <c r="V602" s="33">
        <f>quantInv[[#This Row],[Total Cost GBP]]/EURtoGBP</f>
        <v>0</v>
      </c>
      <c r="W602" s="33">
        <f>quantInv[[#This Row],[Total Cost GBP]]/USDtoGBP</f>
        <v>0</v>
      </c>
      <c r="X602" s="33">
        <f>quantInv[[#This Row],[Total Cost GBP]]/CADtoGBP</f>
        <v>0</v>
      </c>
      <c r="Y602" s="33">
        <f>quantInv[[#This Row],[Quantity]]*quantInv[[#This Row],[UNIT
VALUE AUD]]</f>
        <v>0</v>
      </c>
      <c r="Z602" s="33"/>
    </row>
    <row r="603" spans="1:26" x14ac:dyDescent="0.25">
      <c r="A603" t="s">
        <v>1393</v>
      </c>
      <c r="B603" t="s">
        <v>1394</v>
      </c>
      <c r="C603" t="s">
        <v>114</v>
      </c>
      <c r="D603" t="s">
        <v>1395</v>
      </c>
      <c r="E603">
        <v>2.6</v>
      </c>
      <c r="F603" s="33">
        <v>4.5416999999999996</v>
      </c>
      <c r="G603" s="33" t="s">
        <v>117</v>
      </c>
      <c r="H603" t="s">
        <v>103</v>
      </c>
      <c r="I603" t="str">
        <f>IF(quantInv[[#This Row],[Metal]] = "925 Silver",  "7113.11.00"," 7113.19.00")</f>
        <v>7113.11.00</v>
      </c>
      <c r="J603" t="str">
        <f>IF(quantInv[[#This Row],[Metal]] = "925 Silver", "7113.11.10.00"," 7113.19.10.00")</f>
        <v>7113.11.10.00</v>
      </c>
      <c r="K603" t="str">
        <f>IF(quantInv[[#This Row],[Metal]] = "925 Silver",  "7113.11.00"," 7113.19.00")</f>
        <v>7113.11.00</v>
      </c>
      <c r="L603" t="str">
        <f>IFERROR(VLOOKUP(quantInv[[#This Row],[Description for New Invoice]],Map!$G$12:$H$32,2,FALSE), IF(quantInv[[#This Row],[Metal]] = "925 Silver", "7113.11.10.00", "7113.19.29.00"))</f>
        <v>7113.11.10.00</v>
      </c>
      <c r="M603" t="str">
        <f>quantInv[[#This Row],[ASIN]] &amp; " " &amp; quantInv[[#This Row],[Short Description]]</f>
        <v>B07SJPBY26 Necklace - trace chain with SVAROWSKY Rainbow Cube 8 mm</v>
      </c>
      <c r="N603" s="33">
        <f>quantInv[[#This Row],[UNIT
VALUE]] / EURtoGBP</f>
        <v>5.155369396060002</v>
      </c>
      <c r="O603" s="33">
        <f>quantInv[[#This Row],[UNIT
VALUE]]/USDtoGBP</f>
        <v>6.2259161625425126</v>
      </c>
      <c r="P603" s="33">
        <f>quantInv[[#This Row],[UNIT
VALUE]] / CADtoGBP</f>
        <v>7.9695305878575065</v>
      </c>
      <c r="Q603" s="33">
        <f>quantInv[[#This Row],[UNIT
VALUE]]/AUDtoGBP</f>
        <v>8.1573748114088644</v>
      </c>
      <c r="R603">
        <f>IFERROR(VLOOKUP(quantInv[[#This Row],[Assigned Item SKU]],skuQuantity[#All],2,FALSE),0)</f>
        <v>0</v>
      </c>
      <c r="S603" t="str">
        <f>PROPER(quantInv[[#This Row],[Metal]] &amp; " " &amp; quantInv[[#This Row],[Item Type]])</f>
        <v>925 Silver Chain</v>
      </c>
      <c r="T603" s="33">
        <f>quantInv[[#This Row],[Quantity]]*quantInv[[#This Row],[WEIGHT]]</f>
        <v>0</v>
      </c>
      <c r="U603" s="33">
        <f>quantInv[[#This Row],[UNIT
VALUE]]*quantInv[[#This Row],[Quantity]]</f>
        <v>0</v>
      </c>
      <c r="V603" s="33">
        <f>quantInv[[#This Row],[Total Cost GBP]]/EURtoGBP</f>
        <v>0</v>
      </c>
      <c r="W603" s="33">
        <f>quantInv[[#This Row],[Total Cost GBP]]/USDtoGBP</f>
        <v>0</v>
      </c>
      <c r="X603" s="33">
        <f>quantInv[[#This Row],[Total Cost GBP]]/CADtoGBP</f>
        <v>0</v>
      </c>
      <c r="Y603" s="33">
        <f>quantInv[[#This Row],[Quantity]]*quantInv[[#This Row],[UNIT
VALUE AUD]]</f>
        <v>0</v>
      </c>
      <c r="Z603" s="33"/>
    </row>
    <row r="604" spans="1:26" x14ac:dyDescent="0.25">
      <c r="A604" t="s">
        <v>1396</v>
      </c>
      <c r="B604" t="s">
        <v>1397</v>
      </c>
      <c r="C604" t="s">
        <v>114</v>
      </c>
      <c r="D604" t="s">
        <v>1398</v>
      </c>
      <c r="E604">
        <v>2.1</v>
      </c>
      <c r="F604" s="33">
        <v>3.7048000000000001</v>
      </c>
      <c r="G604" s="33" t="s">
        <v>117</v>
      </c>
      <c r="H604" t="s">
        <v>103</v>
      </c>
      <c r="I604" t="str">
        <f>IF(quantInv[[#This Row],[Metal]] = "925 Silver",  "7113.11.00"," 7113.19.00")</f>
        <v>7113.11.00</v>
      </c>
      <c r="J604" t="str">
        <f>IF(quantInv[[#This Row],[Metal]] = "925 Silver", "7113.11.10.00"," 7113.19.10.00")</f>
        <v>7113.11.10.00</v>
      </c>
      <c r="K604" t="str">
        <f>IF(quantInv[[#This Row],[Metal]] = "925 Silver",  "7113.11.00"," 7113.19.00")</f>
        <v>7113.11.00</v>
      </c>
      <c r="L604" t="str">
        <f>IFERROR(VLOOKUP(quantInv[[#This Row],[Description for New Invoice]],Map!$G$12:$H$32,2,FALSE), IF(quantInv[[#This Row],[Metal]] = "925 Silver", "7113.11.10.00", "7113.19.29.00"))</f>
        <v>7113.11.10.00</v>
      </c>
      <c r="M604" t="str">
        <f>quantInv[[#This Row],[ASIN]] &amp; " " &amp; quantInv[[#This Row],[Short Description]]</f>
        <v>B07SHPSYN3 Necklace - trace chain with SVAROWSKY Rainbow Ball 8 mm</v>
      </c>
      <c r="N604" s="33">
        <f>quantInv[[#This Row],[UNIT
VALUE]] / EURtoGBP</f>
        <v>4.2053884093011638</v>
      </c>
      <c r="O604" s="33">
        <f>quantInv[[#This Row],[UNIT
VALUE]]/USDtoGBP</f>
        <v>5.0786653013161374</v>
      </c>
      <c r="P604" s="33">
        <f>quantInv[[#This Row],[UNIT
VALUE]] / CADtoGBP</f>
        <v>6.5009835352168777</v>
      </c>
      <c r="Q604" s="33">
        <f>quantInv[[#This Row],[UNIT
VALUE]]/AUDtoGBP</f>
        <v>6.6542136647747681</v>
      </c>
      <c r="R604">
        <f>IFERROR(VLOOKUP(quantInv[[#This Row],[Assigned Item SKU]],skuQuantity[#All],2,FALSE),0)</f>
        <v>0</v>
      </c>
      <c r="S604" t="str">
        <f>PROPER(quantInv[[#This Row],[Metal]] &amp; " " &amp; quantInv[[#This Row],[Item Type]])</f>
        <v>925 Silver Chain</v>
      </c>
      <c r="T604" s="33">
        <f>quantInv[[#This Row],[Quantity]]*quantInv[[#This Row],[WEIGHT]]</f>
        <v>0</v>
      </c>
      <c r="U604" s="33">
        <f>quantInv[[#This Row],[UNIT
VALUE]]*quantInv[[#This Row],[Quantity]]</f>
        <v>0</v>
      </c>
      <c r="V604" s="33">
        <f>quantInv[[#This Row],[Total Cost GBP]]/EURtoGBP</f>
        <v>0</v>
      </c>
      <c r="W604" s="33">
        <f>quantInv[[#This Row],[Total Cost GBP]]/USDtoGBP</f>
        <v>0</v>
      </c>
      <c r="X604" s="33">
        <f>quantInv[[#This Row],[Total Cost GBP]]/CADtoGBP</f>
        <v>0</v>
      </c>
      <c r="Y604" s="33">
        <f>quantInv[[#This Row],[Quantity]]*quantInv[[#This Row],[UNIT
VALUE AUD]]</f>
        <v>0</v>
      </c>
      <c r="Z604" s="33"/>
    </row>
    <row r="605" spans="1:26" x14ac:dyDescent="0.25">
      <c r="A605" t="s">
        <v>1399</v>
      </c>
      <c r="B605" t="s">
        <v>1400</v>
      </c>
      <c r="C605" t="s">
        <v>114</v>
      </c>
      <c r="D605" t="s">
        <v>1401</v>
      </c>
      <c r="E605">
        <v>1.1599999999999999</v>
      </c>
      <c r="F605" s="33">
        <v>6.1169000000000002</v>
      </c>
      <c r="G605" s="33" t="s">
        <v>117</v>
      </c>
      <c r="H605" t="s">
        <v>1310</v>
      </c>
      <c r="I605" t="str">
        <f>IF(quantInv[[#This Row],[Metal]] = "925 Silver",  "7113.11.00"," 7113.19.00")</f>
        <v>7113.11.00</v>
      </c>
      <c r="J605" t="str">
        <f>IF(quantInv[[#This Row],[Metal]] = "925 Silver", "7113.11.10.00"," 7113.19.10.00")</f>
        <v>7113.11.10.00</v>
      </c>
      <c r="K605" t="str">
        <f>IF(quantInv[[#This Row],[Metal]] = "925 Silver",  "7113.11.00"," 7113.19.00")</f>
        <v>7113.11.00</v>
      </c>
      <c r="L605" t="str">
        <f>IFERROR(VLOOKUP(quantInv[[#This Row],[Description for New Invoice]],Map!$G$12:$H$32,2,FALSE), IF(quantInv[[#This Row],[Metal]] = "925 Silver", "7113.11.10.00", "7113.19.29.00"))</f>
        <v>7113.11.50.00</v>
      </c>
      <c r="M605" t="str">
        <f>quantInv[[#This Row],[ASIN]] &amp; " " &amp; quantInv[[#This Row],[Short Description]]</f>
        <v>B07SRV6JZG Earrings - Stud SVAROWSKY LIGHT SIAM stone 6 mm</v>
      </c>
      <c r="N605" s="33">
        <f>quantInv[[#This Row],[UNIT
VALUE]] / EURtoGBP</f>
        <v>6.9434086484707116</v>
      </c>
      <c r="O605" s="33">
        <f>quantInv[[#This Row],[UNIT
VALUE]]/USDtoGBP</f>
        <v>8.3852536659524635</v>
      </c>
      <c r="P605" s="33">
        <f>quantInv[[#This Row],[UNIT
VALUE]] / CADtoGBP</f>
        <v>10.733606722783449</v>
      </c>
      <c r="Q605" s="33">
        <f>quantInv[[#This Row],[UNIT
VALUE]]/AUDtoGBP</f>
        <v>10.986601048925928</v>
      </c>
      <c r="R605">
        <f>IFERROR(VLOOKUP(quantInv[[#This Row],[Assigned Item SKU]],skuQuantity[#All],2,FALSE),0)</f>
        <v>0</v>
      </c>
      <c r="S605" t="str">
        <f>PROPER(quantInv[[#This Row],[Metal]] &amp; " " &amp; quantInv[[#This Row],[Item Type]])</f>
        <v>925 Silver Earrings</v>
      </c>
      <c r="T605" s="33">
        <f>quantInv[[#This Row],[Quantity]]*quantInv[[#This Row],[WEIGHT]]</f>
        <v>0</v>
      </c>
      <c r="U605" s="33">
        <f>quantInv[[#This Row],[UNIT
VALUE]]*quantInv[[#This Row],[Quantity]]</f>
        <v>0</v>
      </c>
      <c r="V605" s="33">
        <f>quantInv[[#This Row],[Total Cost GBP]]/EURtoGBP</f>
        <v>0</v>
      </c>
      <c r="W605" s="33">
        <f>quantInv[[#This Row],[Total Cost GBP]]/USDtoGBP</f>
        <v>0</v>
      </c>
      <c r="X605" s="33">
        <f>quantInv[[#This Row],[Total Cost GBP]]/CADtoGBP</f>
        <v>0</v>
      </c>
      <c r="Y605" s="33">
        <f>quantInv[[#This Row],[Quantity]]*quantInv[[#This Row],[UNIT
VALUE AUD]]</f>
        <v>0</v>
      </c>
      <c r="Z605" s="33"/>
    </row>
    <row r="606" spans="1:26" x14ac:dyDescent="0.25">
      <c r="A606" t="s">
        <v>1402</v>
      </c>
      <c r="B606" t="s">
        <v>1403</v>
      </c>
      <c r="C606" t="s">
        <v>114</v>
      </c>
      <c r="D606" t="s">
        <v>1404</v>
      </c>
      <c r="E606">
        <v>1.33</v>
      </c>
      <c r="F606" s="33">
        <v>6.9855</v>
      </c>
      <c r="G606" s="33" t="s">
        <v>117</v>
      </c>
      <c r="H606" t="s">
        <v>1310</v>
      </c>
      <c r="I606" t="str">
        <f>IF(quantInv[[#This Row],[Metal]] = "925 Silver",  "7113.11.00"," 7113.19.00")</f>
        <v>7113.11.00</v>
      </c>
      <c r="J606" t="str">
        <f>IF(quantInv[[#This Row],[Metal]] = "925 Silver", "7113.11.10.00"," 7113.19.10.00")</f>
        <v>7113.11.10.00</v>
      </c>
      <c r="K606" t="str">
        <f>IF(quantInv[[#This Row],[Metal]] = "925 Silver",  "7113.11.00"," 7113.19.00")</f>
        <v>7113.11.00</v>
      </c>
      <c r="L606" t="str">
        <f>IFERROR(VLOOKUP(quantInv[[#This Row],[Description for New Invoice]],Map!$G$12:$H$32,2,FALSE), IF(quantInv[[#This Row],[Metal]] = "925 Silver", "7113.11.10.00", "7113.19.29.00"))</f>
        <v>7113.11.50.00</v>
      </c>
      <c r="M606" t="str">
        <f>quantInv[[#This Row],[ASIN]] &amp; " " &amp; quantInv[[#This Row],[Short Description]]</f>
        <v>B07STWSK97 Earrings - Stud SVAROWSKY Aquamarine stone 6 mm</v>
      </c>
      <c r="N606" s="33">
        <f>quantInv[[#This Row],[UNIT
VALUE]] / EURtoGBP</f>
        <v>7.9293729035773275</v>
      </c>
      <c r="O606" s="33">
        <f>quantInv[[#This Row],[UNIT
VALUE]]/USDtoGBP</f>
        <v>9.5759599606844841</v>
      </c>
      <c r="P606" s="33">
        <f>quantInv[[#This Row],[UNIT
VALUE]] / CADtoGBP</f>
        <v>12.257779228367928</v>
      </c>
      <c r="Q606" s="33">
        <f>quantInv[[#This Row],[UNIT
VALUE]]/AUDtoGBP</f>
        <v>12.546698757094617</v>
      </c>
      <c r="R606">
        <f>IFERROR(VLOOKUP(quantInv[[#This Row],[Assigned Item SKU]],skuQuantity[#All],2,FALSE),0)</f>
        <v>0</v>
      </c>
      <c r="S606" t="str">
        <f>PROPER(quantInv[[#This Row],[Metal]] &amp; " " &amp; quantInv[[#This Row],[Item Type]])</f>
        <v>925 Silver Earrings</v>
      </c>
      <c r="T606" s="33">
        <f>quantInv[[#This Row],[Quantity]]*quantInv[[#This Row],[WEIGHT]]</f>
        <v>0</v>
      </c>
      <c r="U606" s="33">
        <f>quantInv[[#This Row],[UNIT
VALUE]]*quantInv[[#This Row],[Quantity]]</f>
        <v>0</v>
      </c>
      <c r="V606" s="33">
        <f>quantInv[[#This Row],[Total Cost GBP]]/EURtoGBP</f>
        <v>0</v>
      </c>
      <c r="W606" s="33">
        <f>quantInv[[#This Row],[Total Cost GBP]]/USDtoGBP</f>
        <v>0</v>
      </c>
      <c r="X606" s="33">
        <f>quantInv[[#This Row],[Total Cost GBP]]/CADtoGBP</f>
        <v>0</v>
      </c>
      <c r="Y606" s="33">
        <f>quantInv[[#This Row],[Quantity]]*quantInv[[#This Row],[UNIT
VALUE AUD]]</f>
        <v>0</v>
      </c>
      <c r="Z606" s="33"/>
    </row>
    <row r="607" spans="1:26" x14ac:dyDescent="0.25">
      <c r="A607" t="s">
        <v>1405</v>
      </c>
      <c r="B607" t="s">
        <v>1406</v>
      </c>
      <c r="C607" t="s">
        <v>115</v>
      </c>
      <c r="D607" t="s">
        <v>1407</v>
      </c>
      <c r="E607">
        <v>0.6</v>
      </c>
      <c r="F607" s="33">
        <v>2.2728000000000002</v>
      </c>
      <c r="G607" s="33" t="s">
        <v>117</v>
      </c>
      <c r="H607" t="s">
        <v>1310</v>
      </c>
      <c r="I607" t="str">
        <f>IF(quantInv[[#This Row],[Metal]] = "925 Silver",  "7113.11.00"," 7113.19.00")</f>
        <v>7113.11.00</v>
      </c>
      <c r="J607" t="str">
        <f>IF(quantInv[[#This Row],[Metal]] = "925 Silver", "7113.11.10.00"," 7113.19.10.00")</f>
        <v>7113.11.10.00</v>
      </c>
      <c r="K607" t="str">
        <f>IF(quantInv[[#This Row],[Metal]] = "925 Silver",  "7113.11.00"," 7113.19.00")</f>
        <v>7113.11.00</v>
      </c>
      <c r="L607" t="str">
        <f>IFERROR(VLOOKUP(quantInv[[#This Row],[Description for New Invoice]],Map!$G$12:$H$32,2,FALSE), IF(quantInv[[#This Row],[Metal]] = "925 Silver", "7113.11.10.00", "7113.19.29.00"))</f>
        <v>7113.11.50.00</v>
      </c>
      <c r="M607" t="str">
        <f>quantInv[[#This Row],[ASIN]] &amp; " " &amp; quantInv[[#This Row],[Short Description]]</f>
        <v>B07STWSC6R Earrings - Stud with CZ Rainbow Cube - 6 mm?</v>
      </c>
      <c r="N607" s="33">
        <f>quantInv[[#This Row],[UNIT
VALUE]] / EURtoGBP</f>
        <v>2.5798981798368836</v>
      </c>
      <c r="O607" s="33">
        <f>quantInv[[#This Row],[UNIT
VALUE]]/USDtoGBP</f>
        <v>3.1156312073070929</v>
      </c>
      <c r="P607" s="33">
        <f>quantInv[[#This Row],[UNIT
VALUE]] / CADtoGBP</f>
        <v>3.988187048920568</v>
      </c>
      <c r="Q607" s="33">
        <f>quantInv[[#This Row],[UNIT
VALUE]]/AUDtoGBP</f>
        <v>4.0821898124865292</v>
      </c>
      <c r="R607">
        <f>IFERROR(VLOOKUP(quantInv[[#This Row],[Assigned Item SKU]],skuQuantity[#All],2,FALSE),0)</f>
        <v>0</v>
      </c>
      <c r="S607" t="str">
        <f>PROPER(quantInv[[#This Row],[Metal]] &amp; " " &amp; quantInv[[#This Row],[Item Type]])</f>
        <v>925 Silver Earrings</v>
      </c>
      <c r="T607" s="33">
        <f>quantInv[[#This Row],[Quantity]]*quantInv[[#This Row],[WEIGHT]]</f>
        <v>0</v>
      </c>
      <c r="U607" s="33">
        <f>quantInv[[#This Row],[UNIT
VALUE]]*quantInv[[#This Row],[Quantity]]</f>
        <v>0</v>
      </c>
      <c r="V607" s="33">
        <f>quantInv[[#This Row],[Total Cost GBP]]/EURtoGBP</f>
        <v>0</v>
      </c>
      <c r="W607" s="33">
        <f>quantInv[[#This Row],[Total Cost GBP]]/USDtoGBP</f>
        <v>0</v>
      </c>
      <c r="X607" s="33">
        <f>quantInv[[#This Row],[Total Cost GBP]]/CADtoGBP</f>
        <v>0</v>
      </c>
      <c r="Y607" s="33">
        <f>quantInv[[#This Row],[Quantity]]*quantInv[[#This Row],[UNIT
VALUE AUD]]</f>
        <v>0</v>
      </c>
      <c r="Z607" s="33"/>
    </row>
    <row r="608" spans="1:26" x14ac:dyDescent="0.25">
      <c r="A608" t="s">
        <v>1408</v>
      </c>
      <c r="B608" t="s">
        <v>1409</v>
      </c>
      <c r="C608" t="s">
        <v>115</v>
      </c>
      <c r="D608" t="s">
        <v>1410</v>
      </c>
      <c r="E608">
        <v>0.89</v>
      </c>
      <c r="F608" s="33">
        <v>1.4616</v>
      </c>
      <c r="G608" s="33" t="s">
        <v>117</v>
      </c>
      <c r="H608" t="s">
        <v>1310</v>
      </c>
      <c r="I608" t="str">
        <f>IF(quantInv[[#This Row],[Metal]] = "925 Silver",  "7113.11.00"," 7113.19.00")</f>
        <v>7113.11.00</v>
      </c>
      <c r="J608" t="str">
        <f>IF(quantInv[[#This Row],[Metal]] = "925 Silver", "7113.11.10.00"," 7113.19.10.00")</f>
        <v>7113.11.10.00</v>
      </c>
      <c r="K608" t="str">
        <f>IF(quantInv[[#This Row],[Metal]] = "925 Silver",  "7113.11.00"," 7113.19.00")</f>
        <v>7113.11.00</v>
      </c>
      <c r="L608" t="str">
        <f>IFERROR(VLOOKUP(quantInv[[#This Row],[Description for New Invoice]],Map!$G$12:$H$32,2,FALSE), IF(quantInv[[#This Row],[Metal]] = "925 Silver", "7113.11.10.00", "7113.19.29.00"))</f>
        <v>7113.11.50.00</v>
      </c>
      <c r="M608" t="str">
        <f>quantInv[[#This Row],[ASIN]] &amp; " " &amp; quantInv[[#This Row],[Short Description]]</f>
        <v>B07SX4VXD2 Earrings - Stud with CZ Rainbow Ball - 10 mm?</v>
      </c>
      <c r="N608" s="33">
        <f>quantInv[[#This Row],[UNIT
VALUE]] / EURtoGBP</f>
        <v>1.6590897481738776</v>
      </c>
      <c r="O608" s="33">
        <f>quantInv[[#This Row],[UNIT
VALUE]]/USDtoGBP</f>
        <v>2.0036107763991757</v>
      </c>
      <c r="P608" s="33">
        <f>quantInv[[#This Row],[UNIT
VALUE]] / CADtoGBP</f>
        <v>2.5647369723258984</v>
      </c>
      <c r="Q608" s="33">
        <f>quantInv[[#This Row],[UNIT
VALUE]]/AUDtoGBP</f>
        <v>2.6251885911344206</v>
      </c>
      <c r="R608">
        <f>IFERROR(VLOOKUP(quantInv[[#This Row],[Assigned Item SKU]],skuQuantity[#All],2,FALSE),0)</f>
        <v>0</v>
      </c>
      <c r="S608" t="str">
        <f>PROPER(quantInv[[#This Row],[Metal]] &amp; " " &amp; quantInv[[#This Row],[Item Type]])</f>
        <v>925 Silver Earrings</v>
      </c>
      <c r="T608" s="33">
        <f>quantInv[[#This Row],[Quantity]]*quantInv[[#This Row],[WEIGHT]]</f>
        <v>0</v>
      </c>
      <c r="U608" s="33">
        <f>quantInv[[#This Row],[UNIT
VALUE]]*quantInv[[#This Row],[Quantity]]</f>
        <v>0</v>
      </c>
      <c r="V608" s="33">
        <f>quantInv[[#This Row],[Total Cost GBP]]/EURtoGBP</f>
        <v>0</v>
      </c>
      <c r="W608" s="33">
        <f>quantInv[[#This Row],[Total Cost GBP]]/USDtoGBP</f>
        <v>0</v>
      </c>
      <c r="X608" s="33">
        <f>quantInv[[#This Row],[Total Cost GBP]]/CADtoGBP</f>
        <v>0</v>
      </c>
      <c r="Y608" s="33">
        <f>quantInv[[#This Row],[Quantity]]*quantInv[[#This Row],[UNIT
VALUE AUD]]</f>
        <v>0</v>
      </c>
      <c r="Z608" s="33"/>
    </row>
    <row r="609" spans="1:26" x14ac:dyDescent="0.25">
      <c r="A609" t="s">
        <v>1411</v>
      </c>
      <c r="B609" t="s">
        <v>1412</v>
      </c>
      <c r="C609" t="s">
        <v>114</v>
      </c>
      <c r="D609" t="s">
        <v>1413</v>
      </c>
      <c r="E609">
        <v>5.65</v>
      </c>
      <c r="F609" s="33">
        <v>5.1875</v>
      </c>
      <c r="G609" s="33" t="s">
        <v>117</v>
      </c>
      <c r="H609" t="s">
        <v>1414</v>
      </c>
      <c r="I609" t="str">
        <f>IF(quantInv[[#This Row],[Metal]] = "925 Silver",  "7113.11.00"," 7113.19.00")</f>
        <v>7113.11.00</v>
      </c>
      <c r="J609" t="str">
        <f>IF(quantInv[[#This Row],[Metal]] = "925 Silver", "7113.11.10.00"," 7113.19.10.00")</f>
        <v>7113.11.10.00</v>
      </c>
      <c r="K609" t="str">
        <f>IF(quantInv[[#This Row],[Metal]] = "925 Silver",  "7113.11.00"," 7113.19.00")</f>
        <v>7113.11.00</v>
      </c>
      <c r="L609" t="str">
        <f>IFERROR(VLOOKUP(quantInv[[#This Row],[Description for New Invoice]],Map!$G$12:$H$32,2,FALSE), IF(quantInv[[#This Row],[Metal]] = "925 Silver", "7113.11.10.00", "7113.19.29.00"))</f>
        <v>7113.11.10.00</v>
      </c>
      <c r="M609" t="str">
        <f>quantInv[[#This Row],[ASIN]] &amp; " " &amp; quantInv[[#This Row],[Short Description]]</f>
        <v>B07TZYMD5V Silver Charms Bracelet</v>
      </c>
      <c r="N609" s="33">
        <f>quantInv[[#This Row],[UNIT
VALUE]] / EURtoGBP</f>
        <v>5.888429165744383</v>
      </c>
      <c r="O609" s="33">
        <f>quantInv[[#This Row],[UNIT
VALUE]]/USDtoGBP</f>
        <v>7.1112006722569276</v>
      </c>
      <c r="P609" s="33">
        <f>quantInv[[#This Row],[UNIT
VALUE]] / CADtoGBP</f>
        <v>9.1027456513003546</v>
      </c>
      <c r="Q609" s="33">
        <f>quantInv[[#This Row],[UNIT
VALUE]]/AUDtoGBP</f>
        <v>9.3173000933975132</v>
      </c>
      <c r="R609">
        <f>IFERROR(VLOOKUP(quantInv[[#This Row],[Assigned Item SKU]],skuQuantity[#All],2,FALSE),0)</f>
        <v>0</v>
      </c>
      <c r="S609" t="str">
        <f>PROPER(quantInv[[#This Row],[Metal]] &amp; " " &amp; quantInv[[#This Row],[Item Type]])</f>
        <v>925 Silver Bracelet</v>
      </c>
      <c r="T609" s="33">
        <f>quantInv[[#This Row],[Quantity]]*quantInv[[#This Row],[WEIGHT]]</f>
        <v>0</v>
      </c>
      <c r="U609" s="33">
        <f>quantInv[[#This Row],[UNIT
VALUE]]*quantInv[[#This Row],[Quantity]]</f>
        <v>0</v>
      </c>
      <c r="V609" s="33">
        <f>quantInv[[#This Row],[Total Cost GBP]]/EURtoGBP</f>
        <v>0</v>
      </c>
      <c r="W609" s="33">
        <f>quantInv[[#This Row],[Total Cost GBP]]/USDtoGBP</f>
        <v>0</v>
      </c>
      <c r="X609" s="33">
        <f>quantInv[[#This Row],[Total Cost GBP]]/CADtoGBP</f>
        <v>0</v>
      </c>
      <c r="Y609" s="33">
        <f>quantInv[[#This Row],[Quantity]]*quantInv[[#This Row],[UNIT
VALUE AUD]]</f>
        <v>0</v>
      </c>
      <c r="Z609" s="33"/>
    </row>
    <row r="610" spans="1:26" x14ac:dyDescent="0.25">
      <c r="A610" t="s">
        <v>1415</v>
      </c>
      <c r="B610" t="s">
        <v>1416</v>
      </c>
      <c r="C610" t="s">
        <v>114</v>
      </c>
      <c r="D610" t="s">
        <v>1413</v>
      </c>
      <c r="E610">
        <v>6.29</v>
      </c>
      <c r="F610" s="33">
        <v>5.7625999999999999</v>
      </c>
      <c r="G610" s="33" t="s">
        <v>117</v>
      </c>
      <c r="H610" t="s">
        <v>1414</v>
      </c>
      <c r="I610" t="str">
        <f>IF(quantInv[[#This Row],[Metal]] = "925 Silver",  "7113.11.00"," 7113.19.00")</f>
        <v>7113.11.00</v>
      </c>
      <c r="J610" t="str">
        <f>IF(quantInv[[#This Row],[Metal]] = "925 Silver", "7113.11.10.00"," 7113.19.10.00")</f>
        <v>7113.11.10.00</v>
      </c>
      <c r="K610" t="str">
        <f>IF(quantInv[[#This Row],[Metal]] = "925 Silver",  "7113.11.00"," 7113.19.00")</f>
        <v>7113.11.00</v>
      </c>
      <c r="L610" t="str">
        <f>IFERROR(VLOOKUP(quantInv[[#This Row],[Description for New Invoice]],Map!$G$12:$H$32,2,FALSE), IF(quantInv[[#This Row],[Metal]] = "925 Silver", "7113.11.10.00", "7113.19.29.00"))</f>
        <v>7113.11.10.00</v>
      </c>
      <c r="M610" t="str">
        <f>quantInv[[#This Row],[ASIN]] &amp; " " &amp; quantInv[[#This Row],[Short Description]]</f>
        <v>B07TZYC6H3 Silver Charms Bracelet</v>
      </c>
      <c r="N610" s="33">
        <f>quantInv[[#This Row],[UNIT
VALUE]] / EURtoGBP</f>
        <v>6.5412360309433408</v>
      </c>
      <c r="O610" s="33">
        <f>quantInv[[#This Row],[UNIT
VALUE]]/USDtoGBP</f>
        <v>7.8995672277489675</v>
      </c>
      <c r="P610" s="33">
        <f>quantInv[[#This Row],[UNIT
VALUE]] / CADtoGBP</f>
        <v>10.111900161963069</v>
      </c>
      <c r="Q610" s="33">
        <f>quantInv[[#This Row],[UNIT
VALUE]]/AUDtoGBP</f>
        <v>10.350240678209641</v>
      </c>
      <c r="R610">
        <f>IFERROR(VLOOKUP(quantInv[[#This Row],[Assigned Item SKU]],skuQuantity[#All],2,FALSE),0)</f>
        <v>0</v>
      </c>
      <c r="S610" t="str">
        <f>PROPER(quantInv[[#This Row],[Metal]] &amp; " " &amp; quantInv[[#This Row],[Item Type]])</f>
        <v>925 Silver Bracelet</v>
      </c>
      <c r="T610" s="33">
        <f>quantInv[[#This Row],[Quantity]]*quantInv[[#This Row],[WEIGHT]]</f>
        <v>0</v>
      </c>
      <c r="U610" s="33">
        <f>quantInv[[#This Row],[UNIT
VALUE]]*quantInv[[#This Row],[Quantity]]</f>
        <v>0</v>
      </c>
      <c r="V610" s="33">
        <f>quantInv[[#This Row],[Total Cost GBP]]/EURtoGBP</f>
        <v>0</v>
      </c>
      <c r="W610" s="33">
        <f>quantInv[[#This Row],[Total Cost GBP]]/USDtoGBP</f>
        <v>0</v>
      </c>
      <c r="X610" s="33">
        <f>quantInv[[#This Row],[Total Cost GBP]]/CADtoGBP</f>
        <v>0</v>
      </c>
      <c r="Y610" s="33">
        <f>quantInv[[#This Row],[Quantity]]*quantInv[[#This Row],[UNIT
VALUE AUD]]</f>
        <v>0</v>
      </c>
      <c r="Z610" s="33"/>
    </row>
    <row r="611" spans="1:26" x14ac:dyDescent="0.25">
      <c r="A611" t="s">
        <v>1417</v>
      </c>
      <c r="B611" t="s">
        <v>1418</v>
      </c>
      <c r="C611" t="s">
        <v>114</v>
      </c>
      <c r="D611" t="s">
        <v>1419</v>
      </c>
      <c r="E611">
        <v>5.2</v>
      </c>
      <c r="F611" s="33">
        <v>7.4401000000000002</v>
      </c>
      <c r="G611" s="33" t="s">
        <v>117</v>
      </c>
      <c r="H611" t="s">
        <v>1414</v>
      </c>
      <c r="I611" t="str">
        <f>IF(quantInv[[#This Row],[Metal]] = "925 Silver",  "7113.11.00"," 7113.19.00")</f>
        <v>7113.11.00</v>
      </c>
      <c r="J611" t="str">
        <f>IF(quantInv[[#This Row],[Metal]] = "925 Silver", "7113.11.10.00"," 7113.19.10.00")</f>
        <v>7113.11.10.00</v>
      </c>
      <c r="K611" t="str">
        <f>IF(quantInv[[#This Row],[Metal]] = "925 Silver",  "7113.11.00"," 7113.19.00")</f>
        <v>7113.11.00</v>
      </c>
      <c r="L611" t="str">
        <f>IFERROR(VLOOKUP(quantInv[[#This Row],[Description for New Invoice]],Map!$G$12:$H$32,2,FALSE), IF(quantInv[[#This Row],[Metal]] = "925 Silver", "7113.11.10.00", "7113.19.29.00"))</f>
        <v>7113.11.10.00</v>
      </c>
      <c r="M611" t="str">
        <f>quantInv[[#This Row],[ASIN]] &amp; " " &amp; quantInv[[#This Row],[Short Description]]</f>
        <v>B07W5N53X1 Silver Ball Bracelet - Luck</v>
      </c>
      <c r="N611" s="33">
        <f>quantInv[[#This Row],[UNIT
VALUE]] / EURtoGBP</f>
        <v>8.4453979442997174</v>
      </c>
      <c r="O611" s="33">
        <f>quantInv[[#This Row],[UNIT
VALUE]]/USDtoGBP</f>
        <v>10.199141035500485</v>
      </c>
      <c r="P611" s="33">
        <f>quantInv[[#This Row],[UNIT
VALUE]] / CADtoGBP</f>
        <v>13.055486827998028</v>
      </c>
      <c r="Q611" s="33">
        <f>quantInv[[#This Row],[UNIT
VALUE]]/AUDtoGBP</f>
        <v>13.363208563833608</v>
      </c>
      <c r="R611">
        <f>IFERROR(VLOOKUP(quantInv[[#This Row],[Assigned Item SKU]],skuQuantity[#All],2,FALSE),0)</f>
        <v>0</v>
      </c>
      <c r="S611" t="str">
        <f>PROPER(quantInv[[#This Row],[Metal]] &amp; " " &amp; quantInv[[#This Row],[Item Type]])</f>
        <v>925 Silver Bracelet</v>
      </c>
      <c r="T611" s="33">
        <f>quantInv[[#This Row],[Quantity]]*quantInv[[#This Row],[WEIGHT]]</f>
        <v>0</v>
      </c>
      <c r="U611" s="33">
        <f>quantInv[[#This Row],[UNIT
VALUE]]*quantInv[[#This Row],[Quantity]]</f>
        <v>0</v>
      </c>
      <c r="V611" s="33">
        <f>quantInv[[#This Row],[Total Cost GBP]]/EURtoGBP</f>
        <v>0</v>
      </c>
      <c r="W611" s="33">
        <f>quantInv[[#This Row],[Total Cost GBP]]/USDtoGBP</f>
        <v>0</v>
      </c>
      <c r="X611" s="33">
        <f>quantInv[[#This Row],[Total Cost GBP]]/CADtoGBP</f>
        <v>0</v>
      </c>
      <c r="Y611" s="33">
        <f>quantInv[[#This Row],[Quantity]]*quantInv[[#This Row],[UNIT
VALUE AUD]]</f>
        <v>0</v>
      </c>
      <c r="Z611" s="33"/>
    </row>
    <row r="612" spans="1:26" x14ac:dyDescent="0.25">
      <c r="A612" t="s">
        <v>1420</v>
      </c>
      <c r="B612" t="s">
        <v>1421</v>
      </c>
      <c r="C612" t="s">
        <v>114</v>
      </c>
      <c r="D612" t="s">
        <v>1422</v>
      </c>
      <c r="E612">
        <v>5.5</v>
      </c>
      <c r="F612" s="33">
        <v>7.8630000000000004</v>
      </c>
      <c r="G612" s="33" t="s">
        <v>117</v>
      </c>
      <c r="H612" t="s">
        <v>1414</v>
      </c>
      <c r="I612" t="str">
        <f>IF(quantInv[[#This Row],[Metal]] = "925 Silver",  "7113.11.00"," 7113.19.00")</f>
        <v>7113.11.00</v>
      </c>
      <c r="J612" t="str">
        <f>IF(quantInv[[#This Row],[Metal]] = "925 Silver", "7113.11.10.00"," 7113.19.10.00")</f>
        <v>7113.11.10.00</v>
      </c>
      <c r="K612" t="str">
        <f>IF(quantInv[[#This Row],[Metal]] = "925 Silver",  "7113.11.00"," 7113.19.00")</f>
        <v>7113.11.00</v>
      </c>
      <c r="L612" t="str">
        <f>IFERROR(VLOOKUP(quantInv[[#This Row],[Description for New Invoice]],Map!$G$12:$H$32,2,FALSE), IF(quantInv[[#This Row],[Metal]] = "925 Silver", "7113.11.10.00", "7113.19.29.00"))</f>
        <v>7113.11.10.00</v>
      </c>
      <c r="M612" t="str">
        <f>quantInv[[#This Row],[ASIN]] &amp; " " &amp; quantInv[[#This Row],[Short Description]]</f>
        <v>B07W7SW486 Silver Ball Bracelet - Love Mom</v>
      </c>
      <c r="N612" s="33">
        <f>quantInv[[#This Row],[UNIT
VALUE]] / EURtoGBP</f>
        <v>8.9254397166743296</v>
      </c>
      <c r="O612" s="33">
        <f>quantInv[[#This Row],[UNIT
VALUE]]/USDtoGBP</f>
        <v>10.778866676810837</v>
      </c>
      <c r="P612" s="33">
        <f>quantInv[[#This Row],[UNIT
VALUE]] / CADtoGBP</f>
        <v>13.797568974684278</v>
      </c>
      <c r="Q612" s="33">
        <f>quantInv[[#This Row],[UNIT
VALUE]]/AUDtoGBP</f>
        <v>14.122781809038006</v>
      </c>
      <c r="R612">
        <f>IFERROR(VLOOKUP(quantInv[[#This Row],[Assigned Item SKU]],skuQuantity[#All],2,FALSE),0)</f>
        <v>5</v>
      </c>
      <c r="S612" t="str">
        <f>PROPER(quantInv[[#This Row],[Metal]] &amp; " " &amp; quantInv[[#This Row],[Item Type]])</f>
        <v>925 Silver Bracelet</v>
      </c>
      <c r="T612" s="33">
        <f>quantInv[[#This Row],[Quantity]]*quantInv[[#This Row],[WEIGHT]]</f>
        <v>27.5</v>
      </c>
      <c r="U612" s="33">
        <f>quantInv[[#This Row],[UNIT
VALUE]]*quantInv[[#This Row],[Quantity]]</f>
        <v>39.315000000000005</v>
      </c>
      <c r="V612" s="33">
        <f>quantInv[[#This Row],[Total Cost GBP]]/EURtoGBP</f>
        <v>44.627198583371651</v>
      </c>
      <c r="W612" s="33">
        <f>quantInv[[#This Row],[Total Cost GBP]]/USDtoGBP</f>
        <v>53.894333384054192</v>
      </c>
      <c r="X612" s="33">
        <f>quantInv[[#This Row],[Total Cost GBP]]/CADtoGBP</f>
        <v>68.987844873421395</v>
      </c>
      <c r="Y612" s="33">
        <f>quantInv[[#This Row],[Quantity]]*quantInv[[#This Row],[UNIT
VALUE AUD]]</f>
        <v>70.613909045190027</v>
      </c>
      <c r="Z612" s="33"/>
    </row>
    <row r="613" spans="1:26" x14ac:dyDescent="0.25">
      <c r="A613" t="s">
        <v>1423</v>
      </c>
      <c r="B613" t="s">
        <v>1424</v>
      </c>
      <c r="C613" t="s">
        <v>114</v>
      </c>
      <c r="D613" t="s">
        <v>1425</v>
      </c>
      <c r="E613">
        <v>5.5</v>
      </c>
      <c r="F613" s="33">
        <v>9.202</v>
      </c>
      <c r="G613" s="33" t="s">
        <v>117</v>
      </c>
      <c r="H613" t="s">
        <v>1426</v>
      </c>
      <c r="I613" t="str">
        <f>IF(quantInv[[#This Row],[Metal]] = "925 Silver",  "7113.11.00"," 7113.19.00")</f>
        <v>7113.11.00</v>
      </c>
      <c r="J613" t="str">
        <f>IF(quantInv[[#This Row],[Metal]] = "925 Silver", "7113.11.10.00"," 7113.19.10.00")</f>
        <v>7113.11.10.00</v>
      </c>
      <c r="K613" t="str">
        <f>IF(quantInv[[#This Row],[Metal]] = "925 Silver",  "7113.11.00"," 7113.19.00")</f>
        <v>7113.11.00</v>
      </c>
      <c r="L613" t="str">
        <f>IFERROR(VLOOKUP(quantInv[[#This Row],[Description for New Invoice]],Map!$G$12:$H$32,2,FALSE), IF(quantInv[[#This Row],[Metal]] = "925 Silver", "7113.11.10.00", "7113.19.29.00"))</f>
        <v>7113.11.10.00</v>
      </c>
      <c r="M613" t="str">
        <f>quantInv[[#This Row],[ASIN]] &amp; " " &amp; quantInv[[#This Row],[Short Description]]</f>
        <v>B07X9HLNDS Silver Anklet with coins</v>
      </c>
      <c r="N613" s="33">
        <f>quantInv[[#This Row],[UNIT
VALUE]] / EURtoGBP</f>
        <v>10.445363890733457</v>
      </c>
      <c r="O613" s="33">
        <f>quantInv[[#This Row],[UNIT
VALUE]]/USDtoGBP</f>
        <v>12.614413221418456</v>
      </c>
      <c r="P613" s="33">
        <f>quantInv[[#This Row],[UNIT
VALUE]] / CADtoGBP</f>
        <v>16.147174069063297</v>
      </c>
      <c r="Q613" s="33">
        <f>quantInv[[#This Row],[UNIT
VALUE]]/AUDtoGBP</f>
        <v>16.527767799410878</v>
      </c>
      <c r="R613">
        <f>IFERROR(VLOOKUP(quantInv[[#This Row],[Assigned Item SKU]],skuQuantity[#All],2,FALSE),0)</f>
        <v>0</v>
      </c>
      <c r="S613" t="str">
        <f>PROPER(quantInv[[#This Row],[Metal]] &amp; " " &amp; quantInv[[#This Row],[Item Type]])</f>
        <v>925 Silver Anklet</v>
      </c>
      <c r="T613" s="33">
        <f>quantInv[[#This Row],[Quantity]]*quantInv[[#This Row],[WEIGHT]]</f>
        <v>0</v>
      </c>
      <c r="U613" s="33">
        <f>quantInv[[#This Row],[UNIT
VALUE]]*quantInv[[#This Row],[Quantity]]</f>
        <v>0</v>
      </c>
      <c r="V613" s="33">
        <f>quantInv[[#This Row],[Total Cost GBP]]/EURtoGBP</f>
        <v>0</v>
      </c>
      <c r="W613" s="33">
        <f>quantInv[[#This Row],[Total Cost GBP]]/USDtoGBP</f>
        <v>0</v>
      </c>
      <c r="X613" s="33">
        <f>quantInv[[#This Row],[Total Cost GBP]]/CADtoGBP</f>
        <v>0</v>
      </c>
      <c r="Y613" s="33">
        <f>quantInv[[#This Row],[Quantity]]*quantInv[[#This Row],[UNIT
VALUE AUD]]</f>
        <v>0</v>
      </c>
      <c r="Z613" s="33"/>
    </row>
    <row r="614" spans="1:26" x14ac:dyDescent="0.25">
      <c r="A614" t="s">
        <v>1548</v>
      </c>
      <c r="B614" t="s">
        <v>1549</v>
      </c>
      <c r="C614" t="s">
        <v>114</v>
      </c>
      <c r="D614" t="s">
        <v>1550</v>
      </c>
      <c r="E614">
        <v>3.11</v>
      </c>
      <c r="F614" s="33">
        <v>6.4912999999999998</v>
      </c>
      <c r="G614" s="33" t="s">
        <v>117</v>
      </c>
      <c r="H614" t="s">
        <v>1451</v>
      </c>
      <c r="I614" t="str">
        <f>IF(quantInv[[#This Row],[Metal]] = "925 Silver",  "7113.11.00"," 7113.19.00")</f>
        <v>7113.11.00</v>
      </c>
      <c r="J614" t="str">
        <f>IF(quantInv[[#This Row],[Metal]] = "925 Silver", "7113.11.10.00"," 7113.19.10.00")</f>
        <v>7113.11.10.00</v>
      </c>
      <c r="K614" t="str">
        <f>IF(quantInv[[#This Row],[Metal]] = "925 Silver",  "7113.11.00"," 7113.19.00")</f>
        <v>7113.11.00</v>
      </c>
      <c r="L614" t="str">
        <f>IFERROR(VLOOKUP(quantInv[[#This Row],[Description for New Invoice]],Map!$G$12:$H$32,2,FALSE), IF(quantInv[[#This Row],[Metal]] = "925 Silver", "7113.11.10.00", "7113.19.29.00"))</f>
        <v>7113.11.50.00</v>
      </c>
      <c r="M614" t="str">
        <f>quantInv[[#This Row],[ASIN]] &amp; " " &amp; quantInv[[#This Row],[Short Description]]</f>
        <v>B082BCY7KW Pendant - Letter - M</v>
      </c>
      <c r="N614" s="33">
        <f>quantInv[[#This Row],[UNIT
VALUE]] / EURtoGBP</f>
        <v>7.3683971553920982</v>
      </c>
      <c r="O614" s="33">
        <f>quantInv[[#This Row],[UNIT
VALUE]]/USDtoGBP</f>
        <v>8.8984938648330392</v>
      </c>
      <c r="P614" s="33">
        <f>quantInv[[#This Row],[UNIT
VALUE]] / CADtoGBP</f>
        <v>11.390583681211757</v>
      </c>
      <c r="Q614" s="33">
        <f>quantInv[[#This Row],[UNIT
VALUE]]/AUDtoGBP</f>
        <v>11.659063151088439</v>
      </c>
      <c r="R614">
        <f>IFERROR(VLOOKUP(quantInv[[#This Row],[Assigned Item SKU]],skuQuantity[#All],2,FALSE),0)</f>
        <v>10</v>
      </c>
      <c r="S614" t="str">
        <f>PROPER(quantInv[[#This Row],[Metal]] &amp; " " &amp; quantInv[[#This Row],[Item Type]])</f>
        <v>925 Silver Pendant</v>
      </c>
      <c r="T614" s="33">
        <f>quantInv[[#This Row],[Quantity]]*quantInv[[#This Row],[WEIGHT]]</f>
        <v>31.099999999999998</v>
      </c>
      <c r="U614" s="33">
        <f>quantInv[[#This Row],[UNIT
VALUE]]*quantInv[[#This Row],[Quantity]]</f>
        <v>64.912999999999997</v>
      </c>
      <c r="V614" s="33">
        <f>quantInv[[#This Row],[Total Cost GBP]]/EURtoGBP</f>
        <v>73.683971553920983</v>
      </c>
      <c r="W614" s="33">
        <f>quantInv[[#This Row],[Total Cost GBP]]/USDtoGBP</f>
        <v>88.984938648330385</v>
      </c>
      <c r="X614" s="33">
        <f>quantInv[[#This Row],[Total Cost GBP]]/CADtoGBP</f>
        <v>113.90583681211757</v>
      </c>
      <c r="Y614" s="33">
        <f>quantInv[[#This Row],[Quantity]]*quantInv[[#This Row],[UNIT
VALUE AUD]]</f>
        <v>116.59063151088439</v>
      </c>
      <c r="Z614" s="33"/>
    </row>
    <row r="615" spans="1:26" x14ac:dyDescent="0.25">
      <c r="A615" t="s">
        <v>1569</v>
      </c>
      <c r="B615" t="s">
        <v>1570</v>
      </c>
      <c r="C615" t="s">
        <v>114</v>
      </c>
      <c r="D615" t="s">
        <v>1571</v>
      </c>
      <c r="E615">
        <v>2.23</v>
      </c>
      <c r="F615" s="33">
        <v>4.7081999999999997</v>
      </c>
      <c r="G615" s="33" t="s">
        <v>117</v>
      </c>
      <c r="H615" t="s">
        <v>1451</v>
      </c>
      <c r="I615" t="str">
        <f>IF(quantInv[[#This Row],[Metal]] = "925 Silver",  "7113.11.00"," 7113.19.00")</f>
        <v>7113.11.00</v>
      </c>
      <c r="J615" t="str">
        <f>IF(quantInv[[#This Row],[Metal]] = "925 Silver", "7113.11.10.00"," 7113.19.10.00")</f>
        <v>7113.11.10.00</v>
      </c>
      <c r="K615" t="str">
        <f>IF(quantInv[[#This Row],[Metal]] = "925 Silver",  "7113.11.00"," 7113.19.00")</f>
        <v>7113.11.00</v>
      </c>
      <c r="L615" t="str">
        <f>IFERROR(VLOOKUP(quantInv[[#This Row],[Description for New Invoice]],Map!$G$12:$H$32,2,FALSE), IF(quantInv[[#This Row],[Metal]] = "925 Silver", "7113.11.10.00", "7113.19.29.00"))</f>
        <v>7113.11.50.00</v>
      </c>
      <c r="M615" t="str">
        <f>quantInv[[#This Row],[ASIN]] &amp; " " &amp; quantInv[[#This Row],[Short Description]]</f>
        <v>B082BBSFKK Pendant - Letter - T</v>
      </c>
      <c r="N615" s="33">
        <f>quantInv[[#This Row],[UNIT
VALUE]] / EURtoGBP</f>
        <v>5.3443666888014842</v>
      </c>
      <c r="O615" s="33">
        <f>quantInv[[#This Row],[UNIT
VALUE]]/USDtoGBP</f>
        <v>6.4541600009869997</v>
      </c>
      <c r="P615" s="33">
        <f>quantInv[[#This Row],[UNIT
VALUE]] / CADtoGBP</f>
        <v>8.2616958217739427</v>
      </c>
      <c r="Q615" s="33">
        <f>quantInv[[#This Row],[UNIT
VALUE]]/AUDtoGBP</f>
        <v>8.4564264674186358</v>
      </c>
      <c r="R615">
        <f>IFERROR(VLOOKUP(quantInv[[#This Row],[Assigned Item SKU]],skuQuantity[#All],2,FALSE),0)</f>
        <v>10</v>
      </c>
      <c r="S615" t="str">
        <f>PROPER(quantInv[[#This Row],[Metal]] &amp; " " &amp; quantInv[[#This Row],[Item Type]])</f>
        <v>925 Silver Pendant</v>
      </c>
      <c r="T615" s="33">
        <f>quantInv[[#This Row],[Quantity]]*quantInv[[#This Row],[WEIGHT]]</f>
        <v>22.3</v>
      </c>
      <c r="U615" s="33">
        <f>quantInv[[#This Row],[UNIT
VALUE]]*quantInv[[#This Row],[Quantity]]</f>
        <v>47.081999999999994</v>
      </c>
      <c r="V615" s="33">
        <f>quantInv[[#This Row],[Total Cost GBP]]/EURtoGBP</f>
        <v>53.443666888014839</v>
      </c>
      <c r="W615" s="33">
        <f>quantInv[[#This Row],[Total Cost GBP]]/USDtoGBP</f>
        <v>64.541600009869995</v>
      </c>
      <c r="X615" s="33">
        <f>quantInv[[#This Row],[Total Cost GBP]]/CADtoGBP</f>
        <v>82.616958217739409</v>
      </c>
      <c r="Y615" s="33">
        <f>quantInv[[#This Row],[Quantity]]*quantInv[[#This Row],[UNIT
VALUE AUD]]</f>
        <v>84.564264674186362</v>
      </c>
      <c r="Z615" s="33"/>
    </row>
    <row r="616" spans="1:26" x14ac:dyDescent="0.25">
      <c r="A616" t="s">
        <v>1599</v>
      </c>
      <c r="B616" t="s">
        <v>1600</v>
      </c>
      <c r="C616" t="s">
        <v>115</v>
      </c>
      <c r="D616" t="s">
        <v>1601</v>
      </c>
      <c r="E616">
        <v>1.43</v>
      </c>
      <c r="F616" s="33">
        <v>2.7513999999999998</v>
      </c>
      <c r="G616" s="33" t="s">
        <v>117</v>
      </c>
      <c r="H616" t="s">
        <v>1310</v>
      </c>
      <c r="I616" t="str">
        <f>IF(quantInv[[#This Row],[Metal]] = "925 Silver",  "7113.11.00"," 7113.19.00")</f>
        <v>7113.11.00</v>
      </c>
      <c r="J616" t="str">
        <f>IF(quantInv[[#This Row],[Metal]] = "925 Silver", "7113.11.10.00"," 7113.19.10.00")</f>
        <v>7113.11.10.00</v>
      </c>
      <c r="K616" t="str">
        <f>IF(quantInv[[#This Row],[Metal]] = "925 Silver",  "7113.11.00"," 7113.19.00")</f>
        <v>7113.11.00</v>
      </c>
      <c r="L616" t="str">
        <f>IFERROR(VLOOKUP(quantInv[[#This Row],[Description for New Invoice]],Map!$G$12:$H$32,2,FALSE), IF(quantInv[[#This Row],[Metal]] = "925 Silver", "7113.11.10.00", "7113.19.29.00"))</f>
        <v>7113.11.50.00</v>
      </c>
      <c r="M616" t="str">
        <f>quantInv[[#This Row],[ASIN]] &amp; " " &amp; quantInv[[#This Row],[Short Description]]</f>
        <v>B083KMC8K1 Silver Earrings - Celtic Design- Stud - Knot</v>
      </c>
      <c r="N616" s="33">
        <f>quantInv[[#This Row],[UNIT
VALUE]] / EURtoGBP</f>
        <v>3.1231660735670541</v>
      </c>
      <c r="O616" s="33">
        <f>quantInv[[#This Row],[UNIT
VALUE]]/USDtoGBP</f>
        <v>3.7717122948718473</v>
      </c>
      <c r="P616" s="33">
        <f>quantInv[[#This Row],[UNIT
VALUE]] / CADtoGBP</f>
        <v>4.8280085561422252</v>
      </c>
      <c r="Q616" s="33">
        <f>quantInv[[#This Row],[UNIT
VALUE]]/AUDtoGBP</f>
        <v>4.9418061642359357</v>
      </c>
      <c r="R616">
        <f>IFERROR(VLOOKUP(quantInv[[#This Row],[Assigned Item SKU]],skuQuantity[#All],2,FALSE),0)</f>
        <v>0</v>
      </c>
      <c r="S616" t="str">
        <f>PROPER(quantInv[[#This Row],[Metal]] &amp; " " &amp; quantInv[[#This Row],[Item Type]])</f>
        <v>925 Silver Earrings</v>
      </c>
      <c r="T616" s="33">
        <f>quantInv[[#This Row],[Quantity]]*quantInv[[#This Row],[WEIGHT]]</f>
        <v>0</v>
      </c>
      <c r="U616" s="33">
        <f>quantInv[[#This Row],[UNIT
VALUE]]*quantInv[[#This Row],[Quantity]]</f>
        <v>0</v>
      </c>
      <c r="V616" s="33">
        <f>quantInv[[#This Row],[Total Cost GBP]]/EURtoGBP</f>
        <v>0</v>
      </c>
      <c r="W616" s="33">
        <f>quantInv[[#This Row],[Total Cost GBP]]/USDtoGBP</f>
        <v>0</v>
      </c>
      <c r="X616" s="33">
        <f>quantInv[[#This Row],[Total Cost GBP]]/CADtoGBP</f>
        <v>0</v>
      </c>
      <c r="Y616" s="33">
        <f>quantInv[[#This Row],[Quantity]]*quantInv[[#This Row],[UNIT
VALUE AUD]]</f>
        <v>0</v>
      </c>
      <c r="Z616" s="33"/>
    </row>
    <row r="617" spans="1:26" x14ac:dyDescent="0.25">
      <c r="A617" t="s">
        <v>1605</v>
      </c>
      <c r="B617" t="s">
        <v>1606</v>
      </c>
      <c r="C617" t="s">
        <v>115</v>
      </c>
      <c r="D617" t="s">
        <v>1604</v>
      </c>
      <c r="E617">
        <v>2.02</v>
      </c>
      <c r="F617" s="33">
        <v>3.3193000000000001</v>
      </c>
      <c r="G617" s="33" t="s">
        <v>117</v>
      </c>
      <c r="H617" t="s">
        <v>1310</v>
      </c>
      <c r="I617" t="str">
        <f>IF(quantInv[[#This Row],[Metal]] = "925 Silver",  "7113.11.00"," 7113.19.00")</f>
        <v>7113.11.00</v>
      </c>
      <c r="J617" t="str">
        <f>IF(quantInv[[#This Row],[Metal]] = "925 Silver", "7113.11.10.00"," 7113.19.10.00")</f>
        <v>7113.11.10.00</v>
      </c>
      <c r="K617" t="str">
        <f>IF(quantInv[[#This Row],[Metal]] = "925 Silver",  "7113.11.00"," 7113.19.00")</f>
        <v>7113.11.00</v>
      </c>
      <c r="L617" t="str">
        <f>IFERROR(VLOOKUP(quantInv[[#This Row],[Description for New Invoice]],Map!$G$12:$H$32,2,FALSE), IF(quantInv[[#This Row],[Metal]] = "925 Silver", "7113.11.10.00", "7113.19.29.00"))</f>
        <v>7113.11.50.00</v>
      </c>
      <c r="M617" t="str">
        <f>quantInv[[#This Row],[ASIN]] &amp; " " &amp; quantInv[[#This Row],[Short Description]]</f>
        <v xml:space="preserve">B083KLZKT1 Silver Earrings - Celtic Design- Stud </v>
      </c>
      <c r="N617" s="33">
        <f>quantInv[[#This Row],[UNIT
VALUE]] / EURtoGBP</f>
        <v>3.767800082863678</v>
      </c>
      <c r="O617" s="33">
        <f>quantInv[[#This Row],[UNIT
VALUE]]/USDtoGBP</f>
        <v>4.5502088465392614</v>
      </c>
      <c r="P617" s="33">
        <f>quantInv[[#This Row],[UNIT
VALUE]] / CADtoGBP</f>
        <v>5.8245288945274734</v>
      </c>
      <c r="Q617" s="33">
        <f>quantInv[[#This Row],[UNIT
VALUE]]/AUDtoGBP</f>
        <v>5.9618147855449388</v>
      </c>
      <c r="R617">
        <f>IFERROR(VLOOKUP(quantInv[[#This Row],[Assigned Item SKU]],skuQuantity[#All],2,FALSE),0)</f>
        <v>0</v>
      </c>
      <c r="S617" t="str">
        <f>PROPER(quantInv[[#This Row],[Metal]] &amp; " " &amp; quantInv[[#This Row],[Item Type]])</f>
        <v>925 Silver Earrings</v>
      </c>
      <c r="T617" s="33">
        <f>quantInv[[#This Row],[Quantity]]*quantInv[[#This Row],[WEIGHT]]</f>
        <v>0</v>
      </c>
      <c r="U617" s="33">
        <f>quantInv[[#This Row],[UNIT
VALUE]]*quantInv[[#This Row],[Quantity]]</f>
        <v>0</v>
      </c>
      <c r="V617" s="33">
        <f>quantInv[[#This Row],[Total Cost GBP]]/EURtoGBP</f>
        <v>0</v>
      </c>
      <c r="W617" s="33">
        <f>quantInv[[#This Row],[Total Cost GBP]]/USDtoGBP</f>
        <v>0</v>
      </c>
      <c r="X617" s="33">
        <f>quantInv[[#This Row],[Total Cost GBP]]/CADtoGBP</f>
        <v>0</v>
      </c>
      <c r="Y617" s="33">
        <f>quantInv[[#This Row],[Quantity]]*quantInv[[#This Row],[UNIT
VALUE AUD]]</f>
        <v>0</v>
      </c>
      <c r="Z617" s="33"/>
    </row>
    <row r="618" spans="1:26" x14ac:dyDescent="0.25">
      <c r="A618" t="s">
        <v>1439</v>
      </c>
      <c r="B618" t="s">
        <v>1440</v>
      </c>
      <c r="C618" t="s">
        <v>114</v>
      </c>
      <c r="D618" t="s">
        <v>1441</v>
      </c>
      <c r="E618">
        <v>1.1100000000000001</v>
      </c>
      <c r="F618" s="33">
        <v>1.9499</v>
      </c>
      <c r="G618" s="33" t="s">
        <v>117</v>
      </c>
      <c r="H618" t="s">
        <v>3301</v>
      </c>
      <c r="I618" t="str">
        <f>IF(quantInv[[#This Row],[Metal]] = "925 Silver",  "7113.11.00"," 7113.19.00")</f>
        <v>7113.11.00</v>
      </c>
      <c r="J618" t="str">
        <f>IF(quantInv[[#This Row],[Metal]] = "925 Silver", "7113.11.10.00"," 7113.19.10.00")</f>
        <v>7113.11.10.00</v>
      </c>
      <c r="K618" t="str">
        <f>IF(quantInv[[#This Row],[Metal]] = "925 Silver",  "7113.11.00"," 7113.19.00")</f>
        <v>7113.11.00</v>
      </c>
      <c r="L618" t="str">
        <f>IFERROR(VLOOKUP(quantInv[[#This Row],[Description for New Invoice]],Map!$G$12:$H$32,2,FALSE), IF(quantInv[[#This Row],[Metal]] = "925 Silver", "7113.11.10.00", "7113.19.29.00"))</f>
        <v>7113.11.10.00</v>
      </c>
      <c r="M618" t="str">
        <f>quantInv[[#This Row],[ASIN]] &amp; " " &amp; quantInv[[#This Row],[Short Description]]</f>
        <v>B07RZSHQVH Chain Extender - 3 sizes together - rhodium</v>
      </c>
      <c r="N618" s="33">
        <f>quantInv[[#This Row],[UNIT
VALUE]] / EURtoGBP</f>
        <v>2.2133682949946931</v>
      </c>
      <c r="O618" s="33">
        <f>quantInv[[#This Row],[UNIT
VALUE]]/USDtoGBP</f>
        <v>2.6729889524498858</v>
      </c>
      <c r="P618" s="33">
        <f>quantInv[[#This Row],[UNIT
VALUE]] / CADtoGBP</f>
        <v>3.4215795171991443</v>
      </c>
      <c r="Q618" s="33">
        <f>quantInv[[#This Row],[UNIT
VALUE]]/AUDtoGBP</f>
        <v>3.5022271714922044</v>
      </c>
      <c r="R618">
        <f>IFERROR(VLOOKUP(quantInv[[#This Row],[Assigned Item SKU]],skuQuantity[#All],2,FALSE),0)</f>
        <v>0</v>
      </c>
      <c r="S618" t="str">
        <f>PROPER(quantInv[[#This Row],[Metal]] &amp; " " &amp; quantInv[[#This Row],[Item Type]])</f>
        <v>925 Silver Extender</v>
      </c>
      <c r="T618" s="33">
        <f>quantInv[[#This Row],[Quantity]]*quantInv[[#This Row],[WEIGHT]]</f>
        <v>0</v>
      </c>
      <c r="U618" s="33">
        <f>quantInv[[#This Row],[UNIT
VALUE]]*quantInv[[#This Row],[Quantity]]</f>
        <v>0</v>
      </c>
      <c r="V618" s="33">
        <f>quantInv[[#This Row],[Total Cost GBP]]/EURtoGBP</f>
        <v>0</v>
      </c>
      <c r="W618" s="33">
        <f>quantInv[[#This Row],[Total Cost GBP]]/USDtoGBP</f>
        <v>0</v>
      </c>
      <c r="X618" s="33">
        <f>quantInv[[#This Row],[Total Cost GBP]]/CADtoGBP</f>
        <v>0</v>
      </c>
      <c r="Y618" s="33">
        <f>quantInv[[#This Row],[Quantity]]*quantInv[[#This Row],[UNIT
VALUE AUD]]</f>
        <v>0</v>
      </c>
      <c r="Z618" s="33"/>
    </row>
    <row r="619" spans="1:26" x14ac:dyDescent="0.25">
      <c r="A619" t="s">
        <v>1632</v>
      </c>
      <c r="B619" t="s">
        <v>1633</v>
      </c>
      <c r="C619" t="s">
        <v>114</v>
      </c>
      <c r="D619" t="s">
        <v>314</v>
      </c>
      <c r="E619">
        <v>2.5</v>
      </c>
      <c r="F619" s="33">
        <v>2.7313000000000001</v>
      </c>
      <c r="G619" s="33" t="s">
        <v>117</v>
      </c>
      <c r="H619" t="s">
        <v>103</v>
      </c>
      <c r="I619" t="str">
        <f>IF(quantInv[[#This Row],[Metal]] = "925 Silver",  "7113.11.00"," 7113.19.00")</f>
        <v>7113.11.00</v>
      </c>
      <c r="J619" t="str">
        <f>IF(quantInv[[#This Row],[Metal]] = "925 Silver", "7113.11.10.00"," 7113.19.10.00")</f>
        <v>7113.11.10.00</v>
      </c>
      <c r="K619" t="str">
        <f>IF(quantInv[[#This Row],[Metal]] = "925 Silver",  "7113.11.00"," 7113.19.00")</f>
        <v>7113.11.00</v>
      </c>
      <c r="L619" t="str">
        <f>IFERROR(VLOOKUP(quantInv[[#This Row],[Description for New Invoice]],Map!$G$12:$H$32,2,FALSE), IF(quantInv[[#This Row],[Metal]] = "925 Silver", "7113.11.10.00", "7113.19.29.00"))</f>
        <v>7113.11.10.00</v>
      </c>
      <c r="M619" t="str">
        <f>quantInv[[#This Row],[ASIN]] &amp; " " &amp; quantInv[[#This Row],[Short Description]]</f>
        <v>B0848FDK7Q Box Chain</v>
      </c>
      <c r="N619" s="33">
        <f>quantInv[[#This Row],[UNIT
VALUE]] / EURtoGBP</f>
        <v>3.1003501841730374</v>
      </c>
      <c r="O619" s="33">
        <f>quantInv[[#This Row],[UNIT
VALUE]]/USDtoGBP</f>
        <v>3.7441585341947654</v>
      </c>
      <c r="P619" s="33">
        <f>quantInv[[#This Row],[UNIT
VALUE]] / CADtoGBP</f>
        <v>4.7927381585342959</v>
      </c>
      <c r="Q619" s="33">
        <f>quantInv[[#This Row],[UNIT
VALUE]]/AUDtoGBP</f>
        <v>4.9057044327897117</v>
      </c>
      <c r="R619">
        <f>IFERROR(VLOOKUP(quantInv[[#This Row],[Assigned Item SKU]],skuQuantity[#All],2,FALSE),0)</f>
        <v>5</v>
      </c>
      <c r="S619" t="str">
        <f>PROPER(quantInv[[#This Row],[Metal]] &amp; " " &amp; quantInv[[#This Row],[Item Type]])</f>
        <v>925 Silver Chain</v>
      </c>
      <c r="T619" s="33">
        <f>quantInv[[#This Row],[Quantity]]*quantInv[[#This Row],[WEIGHT]]</f>
        <v>12.5</v>
      </c>
      <c r="U619" s="33">
        <f>quantInv[[#This Row],[UNIT
VALUE]]*quantInv[[#This Row],[Quantity]]</f>
        <v>13.656500000000001</v>
      </c>
      <c r="V619" s="33">
        <f>quantInv[[#This Row],[Total Cost GBP]]/EURtoGBP</f>
        <v>15.50175092086519</v>
      </c>
      <c r="W619" s="33">
        <f>quantInv[[#This Row],[Total Cost GBP]]/USDtoGBP</f>
        <v>18.720792670973829</v>
      </c>
      <c r="X619" s="33">
        <f>quantInv[[#This Row],[Total Cost GBP]]/CADtoGBP</f>
        <v>23.963690792671478</v>
      </c>
      <c r="Y619" s="33">
        <f>quantInv[[#This Row],[Quantity]]*quantInv[[#This Row],[UNIT
VALUE AUD]]</f>
        <v>24.528522163948558</v>
      </c>
      <c r="Z619" s="33"/>
    </row>
    <row r="620" spans="1:26" x14ac:dyDescent="0.25">
      <c r="A620" t="s">
        <v>1648</v>
      </c>
      <c r="B620" t="s">
        <v>1649</v>
      </c>
      <c r="C620" t="s">
        <v>114</v>
      </c>
      <c r="D620" t="s">
        <v>1650</v>
      </c>
      <c r="E620">
        <v>3.05</v>
      </c>
      <c r="F620" s="33">
        <v>4.0316999999999998</v>
      </c>
      <c r="G620" s="33" t="s">
        <v>117</v>
      </c>
      <c r="H620" t="s">
        <v>1414</v>
      </c>
      <c r="I620" t="str">
        <f>IF(quantInv[[#This Row],[Metal]] = "925 Silver",  "7113.11.00"," 7113.19.00")</f>
        <v>7113.11.00</v>
      </c>
      <c r="J620" t="str">
        <f>IF(quantInv[[#This Row],[Metal]] = "925 Silver", "7113.11.10.00"," 7113.19.10.00")</f>
        <v>7113.11.10.00</v>
      </c>
      <c r="K620" t="str">
        <f>IF(quantInv[[#This Row],[Metal]] = "925 Silver",  "7113.11.00"," 7113.19.00")</f>
        <v>7113.11.00</v>
      </c>
      <c r="L620" t="str">
        <f>IFERROR(VLOOKUP(quantInv[[#This Row],[Description for New Invoice]],Map!$G$12:$H$32,2,FALSE), IF(quantInv[[#This Row],[Metal]] = "925 Silver", "7113.11.10.00", "7113.19.29.00"))</f>
        <v>7113.11.10.00</v>
      </c>
      <c r="M620" t="str">
        <f>quantInv[[#This Row],[ASIN]] &amp; " " &amp; quantInv[[#This Row],[Short Description]]</f>
        <v>B0854N4WRJ Bracelet - Rolo chain with Wings</v>
      </c>
      <c r="N620" s="33">
        <f>quantInv[[#This Row],[UNIT
VALUE]] / EURtoGBP</f>
        <v>4.5764587696446508</v>
      </c>
      <c r="O620" s="33">
        <f>quantInv[[#This Row],[UNIT
VALUE]]/USDtoGBP</f>
        <v>5.5267908916314701</v>
      </c>
      <c r="P620" s="33">
        <f>quantInv[[#This Row],[UNIT
VALUE]] / CADtoGBP</f>
        <v>7.0746100515368937</v>
      </c>
      <c r="Q620" s="33">
        <f>quantInv[[#This Row],[UNIT
VALUE]]/AUDtoGBP</f>
        <v>7.2413607299374947</v>
      </c>
      <c r="R620">
        <f>IFERROR(VLOOKUP(quantInv[[#This Row],[Assigned Item SKU]],skuQuantity[#All],2,FALSE),0)</f>
        <v>5</v>
      </c>
      <c r="S620" t="str">
        <f>PROPER(quantInv[[#This Row],[Metal]] &amp; " " &amp; quantInv[[#This Row],[Item Type]])</f>
        <v>925 Silver Bracelet</v>
      </c>
      <c r="T620" s="33">
        <f>quantInv[[#This Row],[Quantity]]*quantInv[[#This Row],[WEIGHT]]</f>
        <v>15.25</v>
      </c>
      <c r="U620" s="33">
        <f>quantInv[[#This Row],[UNIT
VALUE]]*quantInv[[#This Row],[Quantity]]</f>
        <v>20.1585</v>
      </c>
      <c r="V620" s="33">
        <f>quantInv[[#This Row],[Total Cost GBP]]/EURtoGBP</f>
        <v>22.882293848223256</v>
      </c>
      <c r="W620" s="33">
        <f>quantInv[[#This Row],[Total Cost GBP]]/USDtoGBP</f>
        <v>27.633954458157351</v>
      </c>
      <c r="X620" s="33">
        <f>quantInv[[#This Row],[Total Cost GBP]]/CADtoGBP</f>
        <v>35.373050257684469</v>
      </c>
      <c r="Y620" s="33">
        <f>quantInv[[#This Row],[Quantity]]*quantInv[[#This Row],[UNIT
VALUE AUD]]</f>
        <v>36.206803649687473</v>
      </c>
      <c r="Z620" s="33"/>
    </row>
    <row r="621" spans="1:26" x14ac:dyDescent="0.25">
      <c r="A621" t="s">
        <v>1657</v>
      </c>
      <c r="B621" t="s">
        <v>1658</v>
      </c>
      <c r="C621" t="s">
        <v>114</v>
      </c>
      <c r="D621" t="s">
        <v>1659</v>
      </c>
      <c r="E621">
        <v>3.53</v>
      </c>
      <c r="F621" s="33">
        <v>5.4718</v>
      </c>
      <c r="G621" s="33" t="s">
        <v>117</v>
      </c>
      <c r="H621" t="s">
        <v>1414</v>
      </c>
      <c r="I621" t="str">
        <f>IF(quantInv[[#This Row],[Metal]] = "925 Silver",  "7113.11.00"," 7113.19.00")</f>
        <v>7113.11.00</v>
      </c>
      <c r="J621" t="str">
        <f>IF(quantInv[[#This Row],[Metal]] = "925 Silver", "7113.11.10.00"," 7113.19.10.00")</f>
        <v>7113.11.10.00</v>
      </c>
      <c r="K621" t="str">
        <f>IF(quantInv[[#This Row],[Metal]] = "925 Silver",  "7113.11.00"," 7113.19.00")</f>
        <v>7113.11.00</v>
      </c>
      <c r="L621" t="str">
        <f>IFERROR(VLOOKUP(quantInv[[#This Row],[Description for New Invoice]],Map!$G$12:$H$32,2,FALSE), IF(quantInv[[#This Row],[Metal]] = "925 Silver", "7113.11.10.00", "7113.19.29.00"))</f>
        <v>7113.11.10.00</v>
      </c>
      <c r="M621" t="str">
        <f>quantInv[[#This Row],[ASIN]] &amp; " " &amp; quantInv[[#This Row],[Short Description]]</f>
        <v>B0854N624S Bracelet - Rolo chain with Hearts</v>
      </c>
      <c r="N621" s="33">
        <f>quantInv[[#This Row],[UNIT
VALUE]] / EURtoGBP</f>
        <v>6.2111434619990575</v>
      </c>
      <c r="O621" s="33">
        <f>quantInv[[#This Row],[UNIT
VALUE]]/USDtoGBP</f>
        <v>7.5009287399432205</v>
      </c>
      <c r="P621" s="33">
        <f>quantInv[[#This Row],[UNIT
VALUE]] / CADtoGBP</f>
        <v>9.6016199816453547</v>
      </c>
      <c r="Q621" s="33">
        <f>quantInv[[#This Row],[UNIT
VALUE]]/AUDtoGBP</f>
        <v>9.8279330411667498</v>
      </c>
      <c r="R621">
        <f>IFERROR(VLOOKUP(quantInv[[#This Row],[Assigned Item SKU]],skuQuantity[#All],2,FALSE),0)</f>
        <v>0</v>
      </c>
      <c r="S621" t="str">
        <f>PROPER(quantInv[[#This Row],[Metal]] &amp; " " &amp; quantInv[[#This Row],[Item Type]])</f>
        <v>925 Silver Bracelet</v>
      </c>
      <c r="T621" s="33">
        <f>quantInv[[#This Row],[Quantity]]*quantInv[[#This Row],[WEIGHT]]</f>
        <v>0</v>
      </c>
      <c r="U621" s="33">
        <f>quantInv[[#This Row],[UNIT
VALUE]]*quantInv[[#This Row],[Quantity]]</f>
        <v>0</v>
      </c>
      <c r="V621" s="33">
        <f>quantInv[[#This Row],[Total Cost GBP]]/EURtoGBP</f>
        <v>0</v>
      </c>
      <c r="W621" s="33">
        <f>quantInv[[#This Row],[Total Cost GBP]]/USDtoGBP</f>
        <v>0</v>
      </c>
      <c r="X621" s="33">
        <f>quantInv[[#This Row],[Total Cost GBP]]/CADtoGBP</f>
        <v>0</v>
      </c>
      <c r="Y621" s="33">
        <f>quantInv[[#This Row],[Quantity]]*quantInv[[#This Row],[UNIT
VALUE AUD]]</f>
        <v>0</v>
      </c>
      <c r="Z621" s="33"/>
    </row>
    <row r="622" spans="1:26" x14ac:dyDescent="0.25">
      <c r="A622" t="s">
        <v>1452</v>
      </c>
      <c r="B622" t="s">
        <v>1453</v>
      </c>
      <c r="C622" t="s">
        <v>114</v>
      </c>
      <c r="D622" t="s">
        <v>1454</v>
      </c>
      <c r="E622">
        <v>2.75</v>
      </c>
      <c r="F622" s="33">
        <v>5.1803999999999997</v>
      </c>
      <c r="G622" s="33" t="s">
        <v>117</v>
      </c>
      <c r="H622" t="s">
        <v>1451</v>
      </c>
      <c r="I622" t="str">
        <f>IF(quantInv[[#This Row],[Metal]] = "925 Silver",  "7113.11.00"," 7113.19.00")</f>
        <v>7113.11.00</v>
      </c>
      <c r="J622" t="str">
        <f>IF(quantInv[[#This Row],[Metal]] = "925 Silver", "7113.11.10.00"," 7113.19.10.00")</f>
        <v>7113.11.10.00</v>
      </c>
      <c r="K622" t="str">
        <f>IF(quantInv[[#This Row],[Metal]] = "925 Silver",  "7113.11.00"," 7113.19.00")</f>
        <v>7113.11.00</v>
      </c>
      <c r="L622" t="str">
        <f>IFERROR(VLOOKUP(quantInv[[#This Row],[Description for New Invoice]],Map!$G$12:$H$32,2,FALSE), IF(quantInv[[#This Row],[Metal]] = "925 Silver", "7113.11.10.00", "7113.19.29.00"))</f>
        <v>7113.11.50.00</v>
      </c>
      <c r="M622" t="str">
        <f>quantInv[[#This Row],[ASIN]] &amp; " " &amp; quantInv[[#This Row],[Short Description]]</f>
        <v>B07Z59WJPW Coin Pendant - St Christopher - Gold Plated</v>
      </c>
      <c r="N622" s="33">
        <f>quantInv[[#This Row],[UNIT
VALUE]] / EURtoGBP</f>
        <v>5.8803698217295803</v>
      </c>
      <c r="O622" s="33">
        <f>quantInv[[#This Row],[UNIT
VALUE]]/USDtoGBP</f>
        <v>7.1014677518187534</v>
      </c>
      <c r="P622" s="33">
        <f>quantInv[[#This Row],[UNIT
VALUE]] / CADtoGBP</f>
        <v>9.0902869536378503</v>
      </c>
      <c r="Q622" s="33">
        <f>quantInv[[#This Row],[UNIT
VALUE]]/AUDtoGBP</f>
        <v>9.3045477404985988</v>
      </c>
      <c r="R622">
        <f>IFERROR(VLOOKUP(quantInv[[#This Row],[Assigned Item SKU]],skuQuantity[#All],2,FALSE),0)</f>
        <v>0</v>
      </c>
      <c r="S622" t="str">
        <f>PROPER(quantInv[[#This Row],[Metal]] &amp; " " &amp; quantInv[[#This Row],[Item Type]])</f>
        <v>925 Silver Pendant</v>
      </c>
      <c r="T622" s="33">
        <f>quantInv[[#This Row],[Quantity]]*quantInv[[#This Row],[WEIGHT]]</f>
        <v>0</v>
      </c>
      <c r="U622" s="33">
        <f>quantInv[[#This Row],[UNIT
VALUE]]*quantInv[[#This Row],[Quantity]]</f>
        <v>0</v>
      </c>
      <c r="V622" s="33">
        <f>quantInv[[#This Row],[Total Cost GBP]]/EURtoGBP</f>
        <v>0</v>
      </c>
      <c r="W622" s="33">
        <f>quantInv[[#This Row],[Total Cost GBP]]/USDtoGBP</f>
        <v>0</v>
      </c>
      <c r="X622" s="33">
        <f>quantInv[[#This Row],[Total Cost GBP]]/CADtoGBP</f>
        <v>0</v>
      </c>
      <c r="Y622" s="33">
        <f>quantInv[[#This Row],[Quantity]]*quantInv[[#This Row],[UNIT
VALUE AUD]]</f>
        <v>0</v>
      </c>
      <c r="Z622" s="33"/>
    </row>
    <row r="623" spans="1:26" x14ac:dyDescent="0.25">
      <c r="A623" t="s">
        <v>1455</v>
      </c>
      <c r="B623" t="s">
        <v>1456</v>
      </c>
      <c r="C623" t="s">
        <v>114</v>
      </c>
      <c r="D623" t="s">
        <v>1457</v>
      </c>
      <c r="E623">
        <v>17.940000000000001</v>
      </c>
      <c r="F623" s="33">
        <v>22.225899999999999</v>
      </c>
      <c r="G623" s="33" t="s">
        <v>117</v>
      </c>
      <c r="H623" t="s">
        <v>103</v>
      </c>
      <c r="I623" t="str">
        <f>IF(quantInv[[#This Row],[Metal]] = "925 Silver",  "7113.11.00"," 7113.19.00")</f>
        <v>7113.11.00</v>
      </c>
      <c r="J623" t="str">
        <f>IF(quantInv[[#This Row],[Metal]] = "925 Silver", "7113.11.10.00"," 7113.19.10.00")</f>
        <v>7113.11.10.00</v>
      </c>
      <c r="K623" t="str">
        <f>IF(quantInv[[#This Row],[Metal]] = "925 Silver",  "7113.11.00"," 7113.19.00")</f>
        <v>7113.11.00</v>
      </c>
      <c r="L623" t="str">
        <f>IFERROR(VLOOKUP(quantInv[[#This Row],[Description for New Invoice]],Map!$G$12:$H$32,2,FALSE), IF(quantInv[[#This Row],[Metal]] = "925 Silver", "7113.11.10.00", "7113.19.29.00"))</f>
        <v>7113.11.10.00</v>
      </c>
      <c r="M623" t="str">
        <f>quantInv[[#This Row],[ASIN]] &amp; " " &amp; quantInv[[#This Row],[Short Description]]</f>
        <v>B093QBWDLL Silver Rhodium Plated Double Dog tag on Ball Chain</v>
      </c>
      <c r="N623" s="33">
        <f>quantInv[[#This Row],[UNIT
VALUE]] / EURtoGBP</f>
        <v>25.229038611068543</v>
      </c>
      <c r="O623" s="33">
        <f>quantInv[[#This Row],[UNIT
VALUE]]/USDtoGBP</f>
        <v>30.468016389689684</v>
      </c>
      <c r="P623" s="33">
        <f>quantInv[[#This Row],[UNIT
VALUE]] / CADtoGBP</f>
        <v>39.000812447467283</v>
      </c>
      <c r="Q623" s="33">
        <f>quantInv[[#This Row],[UNIT
VALUE]]/AUDtoGBP</f>
        <v>39.920073281126513</v>
      </c>
      <c r="R623">
        <f>IFERROR(VLOOKUP(quantInv[[#This Row],[Assigned Item SKU]],skuQuantity[#All],2,FALSE),0)</f>
        <v>0</v>
      </c>
      <c r="S623" t="str">
        <f>PROPER(quantInv[[#This Row],[Metal]] &amp; " " &amp; quantInv[[#This Row],[Item Type]])</f>
        <v>925 Silver Chain</v>
      </c>
      <c r="T623" s="33">
        <f>quantInv[[#This Row],[Quantity]]*quantInv[[#This Row],[WEIGHT]]</f>
        <v>0</v>
      </c>
      <c r="U623" s="33">
        <f>quantInv[[#This Row],[UNIT
VALUE]]*quantInv[[#This Row],[Quantity]]</f>
        <v>0</v>
      </c>
      <c r="V623" s="33">
        <f>quantInv[[#This Row],[Total Cost GBP]]/EURtoGBP</f>
        <v>0</v>
      </c>
      <c r="W623" s="33">
        <f>quantInv[[#This Row],[Total Cost GBP]]/USDtoGBP</f>
        <v>0</v>
      </c>
      <c r="X623" s="33">
        <f>quantInv[[#This Row],[Total Cost GBP]]/CADtoGBP</f>
        <v>0</v>
      </c>
      <c r="Y623" s="33">
        <f>quantInv[[#This Row],[Quantity]]*quantInv[[#This Row],[UNIT
VALUE AUD]]</f>
        <v>0</v>
      </c>
      <c r="Z623" s="33"/>
    </row>
    <row r="624" spans="1:26" x14ac:dyDescent="0.25">
      <c r="A624" t="s">
        <v>1458</v>
      </c>
      <c r="B624" t="s">
        <v>1459</v>
      </c>
      <c r="C624" t="s">
        <v>114</v>
      </c>
      <c r="D624" t="s">
        <v>1460</v>
      </c>
      <c r="E624">
        <v>23.37</v>
      </c>
      <c r="F624" s="33">
        <v>22.428000000000001</v>
      </c>
      <c r="G624" s="33" t="s">
        <v>117</v>
      </c>
      <c r="H624" t="s">
        <v>1414</v>
      </c>
      <c r="I624" t="str">
        <f>IF(quantInv[[#This Row],[Metal]] = "925 Silver",  "7113.11.00"," 7113.19.00")</f>
        <v>7113.11.00</v>
      </c>
      <c r="J624" t="str">
        <f>IF(quantInv[[#This Row],[Metal]] = "925 Silver", "7113.11.10.00"," 7113.19.10.00")</f>
        <v>7113.11.10.00</v>
      </c>
      <c r="K624" t="str">
        <f>IF(quantInv[[#This Row],[Metal]] = "925 Silver",  "7113.11.00"," 7113.19.00")</f>
        <v>7113.11.00</v>
      </c>
      <c r="L624" t="str">
        <f>IFERROR(VLOOKUP(quantInv[[#This Row],[Description for New Invoice]],Map!$G$12:$H$32,2,FALSE), IF(quantInv[[#This Row],[Metal]] = "925 Silver", "7113.11.10.00", "7113.19.29.00"))</f>
        <v>7113.11.10.00</v>
      </c>
      <c r="M624" t="str">
        <f>quantInv[[#This Row],[ASIN]] &amp; " " &amp; quantInv[[#This Row],[Short Description]]</f>
        <v>B07T31BN76 Chain Bracelet - Men</v>
      </c>
      <c r="N624" s="33">
        <f>quantInv[[#This Row],[UNIT
VALUE]] / EURtoGBP</f>
        <v>25.45844613577157</v>
      </c>
      <c r="O624" s="33">
        <f>quantInv[[#This Row],[UNIT
VALUE]]/USDtoGBP</f>
        <v>30.745061913711492</v>
      </c>
      <c r="P624" s="33">
        <f>quantInv[[#This Row],[UNIT
VALUE]] / CADtoGBP</f>
        <v>39.355446644311201</v>
      </c>
      <c r="Q624" s="33">
        <f>quantInv[[#This Row],[UNIT
VALUE]]/AUDtoGBP</f>
        <v>40.283066312235071</v>
      </c>
      <c r="R624">
        <f>IFERROR(VLOOKUP(quantInv[[#This Row],[Assigned Item SKU]],skuQuantity[#All],2,FALSE),0)</f>
        <v>0</v>
      </c>
      <c r="S624" t="str">
        <f>PROPER(quantInv[[#This Row],[Metal]] &amp; " " &amp; quantInv[[#This Row],[Item Type]])</f>
        <v>925 Silver Bracelet</v>
      </c>
      <c r="T624" s="33">
        <f>quantInv[[#This Row],[Quantity]]*quantInv[[#This Row],[WEIGHT]]</f>
        <v>0</v>
      </c>
      <c r="U624" s="33">
        <f>quantInv[[#This Row],[UNIT
VALUE]]*quantInv[[#This Row],[Quantity]]</f>
        <v>0</v>
      </c>
      <c r="V624" s="33">
        <f>quantInv[[#This Row],[Total Cost GBP]]/EURtoGBP</f>
        <v>0</v>
      </c>
      <c r="W624" s="33">
        <f>quantInv[[#This Row],[Total Cost GBP]]/USDtoGBP</f>
        <v>0</v>
      </c>
      <c r="X624" s="33">
        <f>quantInv[[#This Row],[Total Cost GBP]]/CADtoGBP</f>
        <v>0</v>
      </c>
      <c r="Y624" s="33">
        <f>quantInv[[#This Row],[Quantity]]*quantInv[[#This Row],[UNIT
VALUE AUD]]</f>
        <v>0</v>
      </c>
      <c r="Z624" s="33"/>
    </row>
    <row r="625" spans="1:26" x14ac:dyDescent="0.25">
      <c r="A625" t="s">
        <v>1718</v>
      </c>
      <c r="B625" t="s">
        <v>1719</v>
      </c>
      <c r="C625" t="s">
        <v>114</v>
      </c>
      <c r="D625" t="s">
        <v>1720</v>
      </c>
      <c r="E625">
        <v>3.4</v>
      </c>
      <c r="F625" s="33">
        <v>6.1204000000000001</v>
      </c>
      <c r="G625" s="33" t="s">
        <v>117</v>
      </c>
      <c r="H625" t="s">
        <v>1414</v>
      </c>
      <c r="I625" t="str">
        <f>IF(quantInv[[#This Row],[Metal]] = "925 Silver",  "7113.11.00"," 7113.19.00")</f>
        <v>7113.11.00</v>
      </c>
      <c r="J625" t="str">
        <f>IF(quantInv[[#This Row],[Metal]] = "925 Silver", "7113.11.10.00"," 7113.19.10.00")</f>
        <v>7113.11.10.00</v>
      </c>
      <c r="K625" t="str">
        <f>IF(quantInv[[#This Row],[Metal]] = "925 Silver",  "7113.11.00"," 7113.19.00")</f>
        <v>7113.11.00</v>
      </c>
      <c r="L625" t="str">
        <f>IFERROR(VLOOKUP(quantInv[[#This Row],[Description for New Invoice]],Map!$G$12:$H$32,2,FALSE), IF(quantInv[[#This Row],[Metal]] = "925 Silver", "7113.11.10.00", "7113.19.29.00"))</f>
        <v>7113.11.10.00</v>
      </c>
      <c r="M625" t="str">
        <f>quantInv[[#This Row],[ASIN]] &amp; " " &amp; quantInv[[#This Row],[Short Description]]</f>
        <v>B0872D8GP7 Adjustable 3 layer bracelet with knots.</v>
      </c>
      <c r="N625" s="33">
        <f>quantInv[[#This Row],[UNIT
VALUE]] / EURtoGBP</f>
        <v>6.9473815645343455</v>
      </c>
      <c r="O625" s="33">
        <f>quantInv[[#This Row],[UNIT
VALUE]]/USDtoGBP</f>
        <v>8.3900515844783232</v>
      </c>
      <c r="P625" s="33">
        <f>quantInv[[#This Row],[UNIT
VALUE]] / CADtoGBP</f>
        <v>10.739748334307217</v>
      </c>
      <c r="Q625" s="33">
        <f>quantInv[[#This Row],[UNIT
VALUE]]/AUDtoGBP</f>
        <v>10.992887420073281</v>
      </c>
      <c r="R625">
        <f>IFERROR(VLOOKUP(quantInv[[#This Row],[Assigned Item SKU]],skuQuantity[#All],2,FALSE),0)</f>
        <v>5</v>
      </c>
      <c r="S625" t="str">
        <f>PROPER(quantInv[[#This Row],[Metal]] &amp; " " &amp; quantInv[[#This Row],[Item Type]])</f>
        <v>925 Silver Bracelet</v>
      </c>
      <c r="T625" s="33">
        <f>quantInv[[#This Row],[Quantity]]*quantInv[[#This Row],[WEIGHT]]</f>
        <v>17</v>
      </c>
      <c r="U625" s="33">
        <f>quantInv[[#This Row],[UNIT
VALUE]]*quantInv[[#This Row],[Quantity]]</f>
        <v>30.602</v>
      </c>
      <c r="V625" s="33">
        <f>quantInv[[#This Row],[Total Cost GBP]]/EURtoGBP</f>
        <v>34.736907822671732</v>
      </c>
      <c r="W625" s="33">
        <f>quantInv[[#This Row],[Total Cost GBP]]/USDtoGBP</f>
        <v>41.950257922391614</v>
      </c>
      <c r="X625" s="33">
        <f>quantInv[[#This Row],[Total Cost GBP]]/CADtoGBP</f>
        <v>53.698741671536084</v>
      </c>
      <c r="Y625" s="33">
        <f>quantInv[[#This Row],[Quantity]]*quantInv[[#This Row],[UNIT
VALUE AUD]]</f>
        <v>54.964437100366403</v>
      </c>
      <c r="Z625" s="33"/>
    </row>
    <row r="626" spans="1:26" x14ac:dyDescent="0.25">
      <c r="A626" t="s">
        <v>1464</v>
      </c>
      <c r="B626" t="s">
        <v>1465</v>
      </c>
      <c r="C626" t="s">
        <v>115</v>
      </c>
      <c r="D626" t="s">
        <v>2955</v>
      </c>
      <c r="E626">
        <v>2.35</v>
      </c>
      <c r="F626" s="33">
        <v>4.09</v>
      </c>
      <c r="G626" s="33" t="s">
        <v>117</v>
      </c>
      <c r="H626" t="s">
        <v>1310</v>
      </c>
      <c r="I626" t="str">
        <f>IF(quantInv[[#This Row],[Metal]] = "925 Silver",  "7113.11.00"," 7113.19.00")</f>
        <v>7113.11.00</v>
      </c>
      <c r="J626" t="str">
        <f>IF(quantInv[[#This Row],[Metal]] = "925 Silver", "7113.11.10.00"," 7113.19.10.00")</f>
        <v>7113.11.10.00</v>
      </c>
      <c r="K626" t="str">
        <f>IF(quantInv[[#This Row],[Metal]] = "925 Silver",  "7113.11.00"," 7113.19.00")</f>
        <v>7113.11.00</v>
      </c>
      <c r="L626" t="str">
        <f>IFERROR(VLOOKUP(quantInv[[#This Row],[Description for New Invoice]],Map!$G$12:$H$32,2,FALSE), IF(quantInv[[#This Row],[Metal]] = "925 Silver", "7113.11.10.00", "7113.19.29.00"))</f>
        <v>7113.11.50.00</v>
      </c>
      <c r="M626" t="str">
        <f>quantInv[[#This Row],[ASIN]] &amp; " " &amp; quantInv[[#This Row],[Short Description]]</f>
        <v>B07Z57VHF3 Earrings - Crawler  2 clasps  Flowers</v>
      </c>
      <c r="N626" s="33">
        <f>quantInv[[#This Row],[UNIT
VALUE]] / EURtoGBP</f>
        <v>4.642636200076053</v>
      </c>
      <c r="O626" s="33">
        <f>quantInv[[#This Row],[UNIT
VALUE]]/USDtoGBP</f>
        <v>5.6067105059336546</v>
      </c>
      <c r="P626" s="33">
        <f>quantInv[[#This Row],[UNIT
VALUE]] / CADtoGBP</f>
        <v>7.1769117520613879</v>
      </c>
      <c r="Q626" s="33">
        <f>quantInv[[#This Row],[UNIT
VALUE]]/AUDtoGBP</f>
        <v>7.3460737121919673</v>
      </c>
      <c r="R626">
        <f>IFERROR(VLOOKUP(quantInv[[#This Row],[Assigned Item SKU]],skuQuantity[#All],2,FALSE),0)</f>
        <v>0</v>
      </c>
      <c r="S626" t="str">
        <f>PROPER(quantInv[[#This Row],[Metal]] &amp; " " &amp; quantInv[[#This Row],[Item Type]])</f>
        <v>925 Silver Earrings</v>
      </c>
      <c r="T626" s="33">
        <f>quantInv[[#This Row],[Quantity]]*quantInv[[#This Row],[WEIGHT]]</f>
        <v>0</v>
      </c>
      <c r="U626" s="33">
        <f>quantInv[[#This Row],[UNIT
VALUE]]*quantInv[[#This Row],[Quantity]]</f>
        <v>0</v>
      </c>
      <c r="V626" s="33">
        <f>quantInv[[#This Row],[Total Cost GBP]]/EURtoGBP</f>
        <v>0</v>
      </c>
      <c r="W626" s="33">
        <f>quantInv[[#This Row],[Total Cost GBP]]/USDtoGBP</f>
        <v>0</v>
      </c>
      <c r="X626" s="33">
        <f>quantInv[[#This Row],[Total Cost GBP]]/CADtoGBP</f>
        <v>0</v>
      </c>
      <c r="Y626" s="33">
        <f>quantInv[[#This Row],[Quantity]]*quantInv[[#This Row],[UNIT
VALUE AUD]]</f>
        <v>0</v>
      </c>
      <c r="Z626" s="33"/>
    </row>
    <row r="627" spans="1:26" x14ac:dyDescent="0.25">
      <c r="A627" t="s">
        <v>1832</v>
      </c>
      <c r="B627" t="s">
        <v>1833</v>
      </c>
      <c r="C627" t="s">
        <v>115</v>
      </c>
      <c r="D627" t="s">
        <v>1834</v>
      </c>
      <c r="E627">
        <v>3.74</v>
      </c>
      <c r="F627" s="33">
        <v>5.5095999999999998</v>
      </c>
      <c r="G627" s="33" t="s">
        <v>117</v>
      </c>
      <c r="H627" t="s">
        <v>3302</v>
      </c>
      <c r="I627" t="str">
        <f>IF(quantInv[[#This Row],[Metal]] = "925 Silver",  "7113.11.00"," 7113.19.00")</f>
        <v>7113.11.00</v>
      </c>
      <c r="J627" t="str">
        <f>IF(quantInv[[#This Row],[Metal]] = "925 Silver", "7113.11.10.00"," 7113.19.10.00")</f>
        <v>7113.11.10.00</v>
      </c>
      <c r="K627" t="str">
        <f>IF(quantInv[[#This Row],[Metal]] = "925 Silver",  "7113.11.00"," 7113.19.00")</f>
        <v>7113.11.00</v>
      </c>
      <c r="L627" t="str">
        <f>IFERROR(VLOOKUP(quantInv[[#This Row],[Description for New Invoice]],Map!$G$12:$H$32,2,FALSE), IF(quantInv[[#This Row],[Metal]] = "925 Silver", "7113.11.10.00", "7113.19.29.00"))</f>
        <v>7113.11.50.00</v>
      </c>
      <c r="M627" t="str">
        <f>quantInv[[#This Row],[ASIN]] &amp; " " &amp; quantInv[[#This Row],[Short Description]]</f>
        <v>B08C34VPKM Celtic Adjustable Interlace Ring</v>
      </c>
      <c r="N627" s="33">
        <f>quantInv[[#This Row],[UNIT
VALUE]] / EURtoGBP</f>
        <v>6.2540509554863135</v>
      </c>
      <c r="O627" s="33">
        <f>quantInv[[#This Row],[UNIT
VALUE]]/USDtoGBP</f>
        <v>7.5527462600225093</v>
      </c>
      <c r="P627" s="33">
        <f>quantInv[[#This Row],[UNIT
VALUE]] / CADtoGBP</f>
        <v>9.6679493861020589</v>
      </c>
      <c r="Q627" s="33">
        <f>quantInv[[#This Row],[UNIT
VALUE]]/AUDtoGBP</f>
        <v>9.8958258495581575</v>
      </c>
      <c r="R627">
        <f>IFERROR(VLOOKUP(quantInv[[#This Row],[Assigned Item SKU]],skuQuantity[#All],2,FALSE),0)</f>
        <v>5</v>
      </c>
      <c r="S627" t="str">
        <f>PROPER(quantInv[[#This Row],[Metal]] &amp; " " &amp; quantInv[[#This Row],[Item Type]])</f>
        <v>925 Silver Ring</v>
      </c>
      <c r="T627" s="33">
        <f>quantInv[[#This Row],[Quantity]]*quantInv[[#This Row],[WEIGHT]]</f>
        <v>18.700000000000003</v>
      </c>
      <c r="U627" s="33">
        <f>quantInv[[#This Row],[UNIT
VALUE]]*quantInv[[#This Row],[Quantity]]</f>
        <v>27.547999999999998</v>
      </c>
      <c r="V627" s="33">
        <f>quantInv[[#This Row],[Total Cost GBP]]/EURtoGBP</f>
        <v>31.270254777431564</v>
      </c>
      <c r="W627" s="33">
        <f>quantInv[[#This Row],[Total Cost GBP]]/USDtoGBP</f>
        <v>37.763731300112546</v>
      </c>
      <c r="X627" s="33">
        <f>quantInv[[#This Row],[Total Cost GBP]]/CADtoGBP</f>
        <v>48.339746930510294</v>
      </c>
      <c r="Y627" s="33">
        <f>quantInv[[#This Row],[Quantity]]*quantInv[[#This Row],[UNIT
VALUE AUD]]</f>
        <v>49.479129247790787</v>
      </c>
      <c r="Z627" s="33"/>
    </row>
    <row r="628" spans="1:26" x14ac:dyDescent="0.25">
      <c r="A628" t="s">
        <v>1856</v>
      </c>
      <c r="B628" t="s">
        <v>1857</v>
      </c>
      <c r="C628" t="s">
        <v>115</v>
      </c>
      <c r="D628" t="s">
        <v>1858</v>
      </c>
      <c r="E628">
        <v>2.0699999999999998</v>
      </c>
      <c r="F628" s="33">
        <v>3.8466</v>
      </c>
      <c r="G628" s="33" t="s">
        <v>117</v>
      </c>
      <c r="H628" t="s">
        <v>3302</v>
      </c>
      <c r="I628" t="str">
        <f>IF(quantInv[[#This Row],[Metal]] = "925 Silver",  "7113.11.00"," 7113.19.00")</f>
        <v>7113.11.00</v>
      </c>
      <c r="J628" t="str">
        <f>IF(quantInv[[#This Row],[Metal]] = "925 Silver", "7113.11.10.00"," 7113.19.10.00")</f>
        <v>7113.11.10.00</v>
      </c>
      <c r="K628" t="str">
        <f>IF(quantInv[[#This Row],[Metal]] = "925 Silver",  "7113.11.00"," 7113.19.00")</f>
        <v>7113.11.00</v>
      </c>
      <c r="L628" t="str">
        <f>IFERROR(VLOOKUP(quantInv[[#This Row],[Description for New Invoice]],Map!$G$12:$H$32,2,FALSE), IF(quantInv[[#This Row],[Metal]] = "925 Silver", "7113.11.10.00", "7113.19.29.00"))</f>
        <v>7113.11.50.00</v>
      </c>
      <c r="M628" t="str">
        <f>quantInv[[#This Row],[ASIN]] &amp; " " &amp; quantInv[[#This Row],[Short Description]]</f>
        <v>B08C348HVN Celtic Braid Ring - Q</v>
      </c>
      <c r="N628" s="33">
        <f>quantInv[[#This Row],[UNIT
VALUE]] / EURtoGBP</f>
        <v>4.366348265822138</v>
      </c>
      <c r="O628" s="33">
        <f>quantInv[[#This Row],[UNIT
VALUE]]/USDtoGBP</f>
        <v>5.2730495433066977</v>
      </c>
      <c r="P628" s="33">
        <f>quantInv[[#This Row],[UNIT
VALUE]] / CADtoGBP</f>
        <v>6.7498065392370012</v>
      </c>
      <c r="Q628" s="33">
        <f>quantInv[[#This Row],[UNIT
VALUE]]/AUDtoGBP</f>
        <v>6.9089015015446504</v>
      </c>
      <c r="R628">
        <f>IFERROR(VLOOKUP(quantInv[[#This Row],[Assigned Item SKU]],skuQuantity[#All],2,FALSE),0)</f>
        <v>5</v>
      </c>
      <c r="S628" t="str">
        <f>PROPER(quantInv[[#This Row],[Metal]] &amp; " " &amp; quantInv[[#This Row],[Item Type]])</f>
        <v>925 Silver Ring</v>
      </c>
      <c r="T628" s="33">
        <f>quantInv[[#This Row],[Quantity]]*quantInv[[#This Row],[WEIGHT]]</f>
        <v>10.35</v>
      </c>
      <c r="U628" s="33">
        <f>quantInv[[#This Row],[UNIT
VALUE]]*quantInv[[#This Row],[Quantity]]</f>
        <v>19.233000000000001</v>
      </c>
      <c r="V628" s="33">
        <f>quantInv[[#This Row],[Total Cost GBP]]/EURtoGBP</f>
        <v>21.831741329110692</v>
      </c>
      <c r="W628" s="33">
        <f>quantInv[[#This Row],[Total Cost GBP]]/USDtoGBP</f>
        <v>26.365247716533492</v>
      </c>
      <c r="X628" s="33">
        <f>quantInv[[#This Row],[Total Cost GBP]]/CADtoGBP</f>
        <v>33.749032696185004</v>
      </c>
      <c r="Y628" s="33">
        <f>quantInv[[#This Row],[Quantity]]*quantInv[[#This Row],[UNIT
VALUE AUD]]</f>
        <v>34.544507507723253</v>
      </c>
      <c r="Z628" s="33"/>
    </row>
    <row r="629" spans="1:26" x14ac:dyDescent="0.25">
      <c r="A629" t="s">
        <v>1904</v>
      </c>
      <c r="B629" t="s">
        <v>1905</v>
      </c>
      <c r="C629" t="s">
        <v>115</v>
      </c>
      <c r="D629" t="s">
        <v>1906</v>
      </c>
      <c r="E629">
        <v>1.17</v>
      </c>
      <c r="F629" s="33">
        <v>2.7919999999999998</v>
      </c>
      <c r="G629" s="33" t="s">
        <v>117</v>
      </c>
      <c r="H629" t="s">
        <v>1451</v>
      </c>
      <c r="I629" t="str">
        <f>IF(quantInv[[#This Row],[Metal]] = "925 Silver",  "7113.11.00"," 7113.19.00")</f>
        <v>7113.11.00</v>
      </c>
      <c r="J629" t="str">
        <f>IF(quantInv[[#This Row],[Metal]] = "925 Silver", "7113.11.10.00"," 7113.19.10.00")</f>
        <v>7113.11.10.00</v>
      </c>
      <c r="K629" t="str">
        <f>IF(quantInv[[#This Row],[Metal]] = "925 Silver",  "7113.11.00"," 7113.19.00")</f>
        <v>7113.11.00</v>
      </c>
      <c r="L629" t="str">
        <f>IFERROR(VLOOKUP(quantInv[[#This Row],[Description for New Invoice]],Map!$G$12:$H$32,2,FALSE), IF(quantInv[[#This Row],[Metal]] = "925 Silver", "7113.11.10.00", "7113.19.29.00"))</f>
        <v>7113.11.50.00</v>
      </c>
      <c r="M629" t="str">
        <f>quantInv[[#This Row],[ASIN]] &amp; " " &amp; quantInv[[#This Row],[Short Description]]</f>
        <v>B091FRDB42 Pendant - Key</v>
      </c>
      <c r="N629" s="33">
        <f>quantInv[[#This Row],[UNIT
VALUE]] / EURtoGBP</f>
        <v>3.1692518999052175</v>
      </c>
      <c r="O629" s="33">
        <f>quantInv[[#This Row],[UNIT
VALUE]]/USDtoGBP</f>
        <v>3.8273681497718246</v>
      </c>
      <c r="P629" s="33">
        <f>quantInv[[#This Row],[UNIT
VALUE]] / CADtoGBP</f>
        <v>4.8992512498179446</v>
      </c>
      <c r="Q629" s="33">
        <f>quantInv[[#This Row],[UNIT
VALUE]]/AUDtoGBP</f>
        <v>5.0147280695452254</v>
      </c>
      <c r="R629">
        <f>IFERROR(VLOOKUP(quantInv[[#This Row],[Assigned Item SKU]],skuQuantity[#All],2,FALSE),0)</f>
        <v>5</v>
      </c>
      <c r="S629" t="str">
        <f>PROPER(quantInv[[#This Row],[Metal]] &amp; " " &amp; quantInv[[#This Row],[Item Type]])</f>
        <v>925 Silver Pendant</v>
      </c>
      <c r="T629" s="33">
        <f>quantInv[[#This Row],[Quantity]]*quantInv[[#This Row],[WEIGHT]]</f>
        <v>5.85</v>
      </c>
      <c r="U629" s="33">
        <f>quantInv[[#This Row],[UNIT
VALUE]]*quantInv[[#This Row],[Quantity]]</f>
        <v>13.959999999999999</v>
      </c>
      <c r="V629" s="33">
        <f>quantInv[[#This Row],[Total Cost GBP]]/EURtoGBP</f>
        <v>15.846259499526086</v>
      </c>
      <c r="W629" s="33">
        <f>quantInv[[#This Row],[Total Cost GBP]]/USDtoGBP</f>
        <v>19.136840748859122</v>
      </c>
      <c r="X629" s="33">
        <f>quantInv[[#This Row],[Total Cost GBP]]/CADtoGBP</f>
        <v>24.496256249089722</v>
      </c>
      <c r="Y629" s="33">
        <f>quantInv[[#This Row],[Quantity]]*quantInv[[#This Row],[UNIT
VALUE AUD]]</f>
        <v>25.073640347726126</v>
      </c>
      <c r="Z629" s="33"/>
    </row>
    <row r="630" spans="1:26" x14ac:dyDescent="0.25">
      <c r="A630" t="s">
        <v>1475</v>
      </c>
      <c r="B630" t="s">
        <v>1476</v>
      </c>
      <c r="C630" t="s">
        <v>115</v>
      </c>
      <c r="D630" t="s">
        <v>1477</v>
      </c>
      <c r="E630">
        <v>1.47</v>
      </c>
      <c r="F630" s="33">
        <v>2.9948000000000001</v>
      </c>
      <c r="G630" s="33" t="s">
        <v>117</v>
      </c>
      <c r="H630" t="s">
        <v>1310</v>
      </c>
      <c r="I630" t="str">
        <f>IF(quantInv[[#This Row],[Metal]] = "925 Silver",  "7113.11.00"," 7113.19.00")</f>
        <v>7113.11.00</v>
      </c>
      <c r="J630" t="str">
        <f>IF(quantInv[[#This Row],[Metal]] = "925 Silver", "7113.11.10.00"," 7113.19.10.00")</f>
        <v>7113.11.10.00</v>
      </c>
      <c r="K630" t="str">
        <f>IF(quantInv[[#This Row],[Metal]] = "925 Silver",  "7113.11.00"," 7113.19.00")</f>
        <v>7113.11.00</v>
      </c>
      <c r="L630" t="str">
        <f>IFERROR(VLOOKUP(quantInv[[#This Row],[Description for New Invoice]],Map!$G$12:$H$32,2,FALSE), IF(quantInv[[#This Row],[Metal]] = "925 Silver", "7113.11.10.00", "7113.19.29.00"))</f>
        <v>7113.11.50.00</v>
      </c>
      <c r="M630" t="str">
        <f>quantInv[[#This Row],[ASIN]] &amp; " " &amp; quantInv[[#This Row],[Short Description]]</f>
        <v>B07Z56NJV1 Earrings - Crawler - Multi CZ</v>
      </c>
      <c r="N630" s="33">
        <f>quantInv[[#This Row],[UNIT
VALUE]] / EURtoGBP</f>
        <v>3.3994540078209692</v>
      </c>
      <c r="O630" s="33">
        <f>quantInv[[#This Row],[UNIT
VALUE]]/USDtoGBP</f>
        <v>4.1053732574988038</v>
      </c>
      <c r="P630" s="33">
        <f>quantInv[[#This Row],[UNIT
VALUE]] / CADtoGBP</f>
        <v>5.2551137689666128</v>
      </c>
      <c r="Q630" s="33">
        <f>quantInv[[#This Row],[UNIT
VALUE]]/AUDtoGBP</f>
        <v>5.3789783748832534</v>
      </c>
      <c r="R630">
        <f>IFERROR(VLOOKUP(quantInv[[#This Row],[Assigned Item SKU]],skuQuantity[#All],2,FALSE),0)</f>
        <v>0</v>
      </c>
      <c r="S630" t="str">
        <f>PROPER(quantInv[[#This Row],[Metal]] &amp; " " &amp; quantInv[[#This Row],[Item Type]])</f>
        <v>925 Silver Earrings</v>
      </c>
      <c r="T630" s="33">
        <f>quantInv[[#This Row],[Quantity]]*quantInv[[#This Row],[WEIGHT]]</f>
        <v>0</v>
      </c>
      <c r="U630" s="33">
        <f>quantInv[[#This Row],[UNIT
VALUE]]*quantInv[[#This Row],[Quantity]]</f>
        <v>0</v>
      </c>
      <c r="V630" s="33">
        <f>quantInv[[#This Row],[Total Cost GBP]]/EURtoGBP</f>
        <v>0</v>
      </c>
      <c r="W630" s="33">
        <f>quantInv[[#This Row],[Total Cost GBP]]/USDtoGBP</f>
        <v>0</v>
      </c>
      <c r="X630" s="33">
        <f>quantInv[[#This Row],[Total Cost GBP]]/CADtoGBP</f>
        <v>0</v>
      </c>
      <c r="Y630" s="33">
        <f>quantInv[[#This Row],[Quantity]]*quantInv[[#This Row],[UNIT
VALUE AUD]]</f>
        <v>0</v>
      </c>
      <c r="Z630" s="33"/>
    </row>
    <row r="631" spans="1:26" x14ac:dyDescent="0.25">
      <c r="A631" t="s">
        <v>1478</v>
      </c>
      <c r="B631" t="s">
        <v>1479</v>
      </c>
      <c r="C631" t="s">
        <v>114</v>
      </c>
      <c r="D631" t="s">
        <v>1480</v>
      </c>
      <c r="E631">
        <v>2.42</v>
      </c>
      <c r="F631" s="33">
        <v>54.709499999999998</v>
      </c>
      <c r="G631" s="33" t="s">
        <v>3304</v>
      </c>
      <c r="H631" t="s">
        <v>103</v>
      </c>
      <c r="I631" t="str">
        <f>IF(quantInv[[#This Row],[Metal]] = "925 Silver",  "7113.11.00"," 7113.19.00")</f>
        <v xml:space="preserve"> 7113.19.00</v>
      </c>
      <c r="J631" t="str">
        <f>IF(quantInv[[#This Row],[Metal]] = "925 Silver", "7113.11.10.00"," 7113.19.10.00")</f>
        <v xml:space="preserve"> 7113.19.10.00</v>
      </c>
      <c r="K631" t="str">
        <f>IF(quantInv[[#This Row],[Metal]] = "925 Silver",  "7113.11.00"," 7113.19.00")</f>
        <v xml:space="preserve"> 7113.19.00</v>
      </c>
      <c r="L631" t="str">
        <f>IFERROR(VLOOKUP(quantInv[[#This Row],[Description for New Invoice]],Map!$G$12:$H$32,2,FALSE), IF(quantInv[[#This Row],[Metal]] = "925 Silver", "7113.11.10.00", "7113.19.29.00"))</f>
        <v>7113.11.50.00</v>
      </c>
      <c r="M631" t="str">
        <f>quantInv[[#This Row],[ASIN]] &amp; " " &amp; quantInv[[#This Row],[Short Description]]</f>
        <v>B07WFDL64M Yellow Gold 10k Spiga Wheat Chain (Hollow)</v>
      </c>
      <c r="N631" s="33">
        <f>quantInv[[#This Row],[UNIT
VALUE]] / EURtoGBP</f>
        <v>62.101786109550318</v>
      </c>
      <c r="O631" s="33">
        <f>quantInv[[#This Row],[UNIT
VALUE]]/USDtoGBP</f>
        <v>74.997635311583679</v>
      </c>
      <c r="P631" s="33">
        <f>quantInv[[#This Row],[UNIT
VALUE]] / CADtoGBP</f>
        <v>96.001284474181531</v>
      </c>
      <c r="Q631" s="33">
        <f>quantInv[[#This Row],[UNIT
VALUE]]/AUDtoGBP</f>
        <v>98.26406351030964</v>
      </c>
      <c r="R631">
        <f>IFERROR(VLOOKUP(quantInv[[#This Row],[Assigned Item SKU]],skuQuantity[#All],2,FALSE),0)</f>
        <v>0</v>
      </c>
      <c r="S631" t="str">
        <f>PROPER(quantInv[[#This Row],[Metal]] &amp; " " &amp; quantInv[[#This Row],[Item Type]])</f>
        <v>9K Gold Chain</v>
      </c>
      <c r="T631" s="33">
        <f>quantInv[[#This Row],[Quantity]]*quantInv[[#This Row],[WEIGHT]]</f>
        <v>0</v>
      </c>
      <c r="U631" s="33">
        <f>quantInv[[#This Row],[UNIT
VALUE]]*quantInv[[#This Row],[Quantity]]</f>
        <v>0</v>
      </c>
      <c r="V631" s="33">
        <f>quantInv[[#This Row],[Total Cost GBP]]/EURtoGBP</f>
        <v>0</v>
      </c>
      <c r="W631" s="33">
        <f>quantInv[[#This Row],[Total Cost GBP]]/USDtoGBP</f>
        <v>0</v>
      </c>
      <c r="X631" s="33">
        <f>quantInv[[#This Row],[Total Cost GBP]]/CADtoGBP</f>
        <v>0</v>
      </c>
      <c r="Y631" s="33">
        <f>quantInv[[#This Row],[Quantity]]*quantInv[[#This Row],[UNIT
VALUE AUD]]</f>
        <v>0</v>
      </c>
      <c r="Z631" s="33"/>
    </row>
    <row r="632" spans="1:26" x14ac:dyDescent="0.25">
      <c r="A632" t="s">
        <v>1481</v>
      </c>
      <c r="B632" t="s">
        <v>1482</v>
      </c>
      <c r="C632" t="s">
        <v>114</v>
      </c>
      <c r="D632" t="s">
        <v>1483</v>
      </c>
      <c r="E632">
        <v>1.6</v>
      </c>
      <c r="F632" s="33">
        <v>36.305300000000003</v>
      </c>
      <c r="G632" s="33" t="s">
        <v>3304</v>
      </c>
      <c r="H632" t="s">
        <v>103</v>
      </c>
      <c r="I632" t="str">
        <f>IF(quantInv[[#This Row],[Metal]] = "925 Silver",  "7113.11.00"," 7113.19.00")</f>
        <v xml:space="preserve"> 7113.19.00</v>
      </c>
      <c r="J632" t="str">
        <f>IF(quantInv[[#This Row],[Metal]] = "925 Silver", "7113.11.10.00"," 7113.19.10.00")</f>
        <v xml:space="preserve"> 7113.19.10.00</v>
      </c>
      <c r="K632" t="str">
        <f>IF(quantInv[[#This Row],[Metal]] = "925 Silver",  "7113.11.00"," 7113.19.00")</f>
        <v xml:space="preserve"> 7113.19.00</v>
      </c>
      <c r="L632" t="str">
        <f>IFERROR(VLOOKUP(quantInv[[#This Row],[Description for New Invoice]],Map!$G$12:$H$32,2,FALSE), IF(quantInv[[#This Row],[Metal]] = "925 Silver", "7113.11.10.00", "7113.19.29.00"))</f>
        <v>7113.11.50.00</v>
      </c>
      <c r="M632" t="str">
        <f>quantInv[[#This Row],[ASIN]] &amp; " " &amp; quantInv[[#This Row],[Short Description]]</f>
        <v>B07WFDVW32 White Gold 10k Classic Long Curb Chain - Diamond Cut (Hollow)</v>
      </c>
      <c r="N632" s="33">
        <f>quantInv[[#This Row],[UNIT
VALUE]] / EURtoGBP</f>
        <v>41.21083130430835</v>
      </c>
      <c r="O632" s="33">
        <f>quantInv[[#This Row],[UNIT
VALUE]]/USDtoGBP</f>
        <v>49.76853470197387</v>
      </c>
      <c r="P632" s="33">
        <f>quantInv[[#This Row],[UNIT
VALUE]] / CADtoGBP</f>
        <v>63.706585386825019</v>
      </c>
      <c r="Q632" s="33">
        <f>quantInv[[#This Row],[UNIT
VALUE]]/AUDtoGBP</f>
        <v>65.208168690279479</v>
      </c>
      <c r="R632">
        <f>IFERROR(VLOOKUP(quantInv[[#This Row],[Assigned Item SKU]],skuQuantity[#All],2,FALSE),0)</f>
        <v>0</v>
      </c>
      <c r="S632" t="str">
        <f>PROPER(quantInv[[#This Row],[Metal]] &amp; " " &amp; quantInv[[#This Row],[Item Type]])</f>
        <v>9K Gold Chain</v>
      </c>
      <c r="T632" s="33">
        <f>quantInv[[#This Row],[Quantity]]*quantInv[[#This Row],[WEIGHT]]</f>
        <v>0</v>
      </c>
      <c r="U632" s="33">
        <f>quantInv[[#This Row],[UNIT
VALUE]]*quantInv[[#This Row],[Quantity]]</f>
        <v>0</v>
      </c>
      <c r="V632" s="33">
        <f>quantInv[[#This Row],[Total Cost GBP]]/EURtoGBP</f>
        <v>0</v>
      </c>
      <c r="W632" s="33">
        <f>quantInv[[#This Row],[Total Cost GBP]]/USDtoGBP</f>
        <v>0</v>
      </c>
      <c r="X632" s="33">
        <f>quantInv[[#This Row],[Total Cost GBP]]/CADtoGBP</f>
        <v>0</v>
      </c>
      <c r="Y632" s="33">
        <f>quantInv[[#This Row],[Quantity]]*quantInv[[#This Row],[UNIT
VALUE AUD]]</f>
        <v>0</v>
      </c>
      <c r="Z632" s="33"/>
    </row>
    <row r="633" spans="1:26" x14ac:dyDescent="0.25">
      <c r="A633" t="s">
        <v>1484</v>
      </c>
      <c r="B633" t="s">
        <v>1485</v>
      </c>
      <c r="C633" t="s">
        <v>114</v>
      </c>
      <c r="D633" t="s">
        <v>1486</v>
      </c>
      <c r="E633">
        <v>1.55</v>
      </c>
      <c r="F633" s="33">
        <v>35.0595</v>
      </c>
      <c r="G633" s="33" t="s">
        <v>3304</v>
      </c>
      <c r="H633" t="s">
        <v>103</v>
      </c>
      <c r="I633" t="str">
        <f>IF(quantInv[[#This Row],[Metal]] = "925 Silver",  "7113.11.00"," 7113.19.00")</f>
        <v xml:space="preserve"> 7113.19.00</v>
      </c>
      <c r="J633" t="str">
        <f>IF(quantInv[[#This Row],[Metal]] = "925 Silver", "7113.11.10.00"," 7113.19.10.00")</f>
        <v xml:space="preserve"> 7113.19.10.00</v>
      </c>
      <c r="K633" t="str">
        <f>IF(quantInv[[#This Row],[Metal]] = "925 Silver",  "7113.11.00"," 7113.19.00")</f>
        <v xml:space="preserve"> 7113.19.00</v>
      </c>
      <c r="L633" t="str">
        <f>IFERROR(VLOOKUP(quantInv[[#This Row],[Description for New Invoice]],Map!$G$12:$H$32,2,FALSE), IF(quantInv[[#This Row],[Metal]] = "925 Silver", "7113.11.10.00", "7113.19.29.00"))</f>
        <v>7113.11.50.00</v>
      </c>
      <c r="M633" t="str">
        <f>quantInv[[#This Row],[ASIN]] &amp; " " &amp; quantInv[[#This Row],[Short Description]]</f>
        <v>B07WFDMDZ9 Rose Gold 10K - Long Anchor Chain</v>
      </c>
      <c r="N633" s="33">
        <f>quantInv[[#This Row],[UNIT
VALUE]] / EURtoGBP</f>
        <v>39.796700209429432</v>
      </c>
      <c r="O633" s="33">
        <f>quantInv[[#This Row],[UNIT
VALUE]]/USDtoGBP</f>
        <v>48.06074987354058</v>
      </c>
      <c r="P633" s="33">
        <f>quantInv[[#This Row],[UNIT
VALUE]] / CADtoGBP</f>
        <v>61.52052263359321</v>
      </c>
      <c r="Q633" s="33">
        <f>quantInv[[#This Row],[UNIT
VALUE]]/AUDtoGBP</f>
        <v>62.970579783030388</v>
      </c>
      <c r="R633">
        <f>IFERROR(VLOOKUP(quantInv[[#This Row],[Assigned Item SKU]],skuQuantity[#All],2,FALSE),0)</f>
        <v>0</v>
      </c>
      <c r="S633" t="str">
        <f>PROPER(quantInv[[#This Row],[Metal]] &amp; " " &amp; quantInv[[#This Row],[Item Type]])</f>
        <v>9K Gold Chain</v>
      </c>
      <c r="T633" s="33">
        <f>quantInv[[#This Row],[Quantity]]*quantInv[[#This Row],[WEIGHT]]</f>
        <v>0</v>
      </c>
      <c r="U633" s="33">
        <f>quantInv[[#This Row],[UNIT
VALUE]]*quantInv[[#This Row],[Quantity]]</f>
        <v>0</v>
      </c>
      <c r="V633" s="33">
        <f>quantInv[[#This Row],[Total Cost GBP]]/EURtoGBP</f>
        <v>0</v>
      </c>
      <c r="W633" s="33">
        <f>quantInv[[#This Row],[Total Cost GBP]]/USDtoGBP</f>
        <v>0</v>
      </c>
      <c r="X633" s="33">
        <f>quantInv[[#This Row],[Total Cost GBP]]/CADtoGBP</f>
        <v>0</v>
      </c>
      <c r="Y633" s="33">
        <f>quantInv[[#This Row],[Quantity]]*quantInv[[#This Row],[UNIT
VALUE AUD]]</f>
        <v>0</v>
      </c>
      <c r="Z633" s="33"/>
    </row>
    <row r="634" spans="1:26" x14ac:dyDescent="0.25">
      <c r="A634" t="s">
        <v>1487</v>
      </c>
      <c r="B634" t="s">
        <v>1488</v>
      </c>
      <c r="C634" t="s">
        <v>115</v>
      </c>
      <c r="D634" t="s">
        <v>1489</v>
      </c>
      <c r="E634">
        <v>2.38</v>
      </c>
      <c r="F634" s="33">
        <v>4.0736999999999997</v>
      </c>
      <c r="G634" s="33" t="s">
        <v>117</v>
      </c>
      <c r="H634" t="s">
        <v>1451</v>
      </c>
      <c r="I634" t="str">
        <f>IF(quantInv[[#This Row],[Metal]] = "925 Silver",  "7113.11.00"," 7113.19.00")</f>
        <v>7113.11.00</v>
      </c>
      <c r="J634" t="str">
        <f>IF(quantInv[[#This Row],[Metal]] = "925 Silver", "7113.11.10.00"," 7113.19.10.00")</f>
        <v>7113.11.10.00</v>
      </c>
      <c r="K634" t="str">
        <f>IF(quantInv[[#This Row],[Metal]] = "925 Silver",  "7113.11.00"," 7113.19.00")</f>
        <v>7113.11.00</v>
      </c>
      <c r="L634" t="str">
        <f>IFERROR(VLOOKUP(quantInv[[#This Row],[Description for New Invoice]],Map!$G$12:$H$32,2,FALSE), IF(quantInv[[#This Row],[Metal]] = "925 Silver", "7113.11.10.00", "7113.19.29.00"))</f>
        <v>7113.11.50.00</v>
      </c>
      <c r="M634" t="str">
        <f>quantInv[[#This Row],[ASIN]] &amp; " " &amp; quantInv[[#This Row],[Short Description]]</f>
        <v>B084SV527B Tree Of Life Pendant - Fruitful</v>
      </c>
      <c r="N634" s="33">
        <f>quantInv[[#This Row],[UNIT
VALUE]] / EURtoGBP</f>
        <v>4.6241337624082677</v>
      </c>
      <c r="O634" s="33">
        <f>quantInv[[#This Row],[UNIT
VALUE]]/USDtoGBP</f>
        <v>5.5843659139417916</v>
      </c>
      <c r="P634" s="33">
        <f>quantInv[[#This Row],[UNIT
VALUE]] / CADtoGBP</f>
        <v>7.1483093898221206</v>
      </c>
      <c r="Q634" s="33">
        <f>quantInv[[#This Row],[UNIT
VALUE]]/AUDtoGBP</f>
        <v>7.3167971837057246</v>
      </c>
      <c r="R634">
        <f>IFERROR(VLOOKUP(quantInv[[#This Row],[Assigned Item SKU]],skuQuantity[#All],2,FALSE),0)</f>
        <v>0</v>
      </c>
      <c r="S634" t="str">
        <f>PROPER(quantInv[[#This Row],[Metal]] &amp; " " &amp; quantInv[[#This Row],[Item Type]])</f>
        <v>925 Silver Pendant</v>
      </c>
      <c r="T634" s="33">
        <f>quantInv[[#This Row],[Quantity]]*quantInv[[#This Row],[WEIGHT]]</f>
        <v>0</v>
      </c>
      <c r="U634" s="33">
        <f>quantInv[[#This Row],[UNIT
VALUE]]*quantInv[[#This Row],[Quantity]]</f>
        <v>0</v>
      </c>
      <c r="V634" s="33">
        <f>quantInv[[#This Row],[Total Cost GBP]]/EURtoGBP</f>
        <v>0</v>
      </c>
      <c r="W634" s="33">
        <f>quantInv[[#This Row],[Total Cost GBP]]/USDtoGBP</f>
        <v>0</v>
      </c>
      <c r="X634" s="33">
        <f>quantInv[[#This Row],[Total Cost GBP]]/CADtoGBP</f>
        <v>0</v>
      </c>
      <c r="Y634" s="33">
        <f>quantInv[[#This Row],[Quantity]]*quantInv[[#This Row],[UNIT
VALUE AUD]]</f>
        <v>0</v>
      </c>
      <c r="Z634" s="33"/>
    </row>
    <row r="635" spans="1:26" x14ac:dyDescent="0.25">
      <c r="A635" t="s">
        <v>1916</v>
      </c>
      <c r="B635" t="s">
        <v>1917</v>
      </c>
      <c r="C635" t="s">
        <v>115</v>
      </c>
      <c r="D635" t="s">
        <v>1918</v>
      </c>
      <c r="E635">
        <v>1.35</v>
      </c>
      <c r="F635" s="33">
        <v>2.8325</v>
      </c>
      <c r="G635" s="33" t="s">
        <v>117</v>
      </c>
      <c r="H635" t="s">
        <v>1310</v>
      </c>
      <c r="I635" t="str">
        <f>IF(quantInv[[#This Row],[Metal]] = "925 Silver",  "7113.11.00"," 7113.19.00")</f>
        <v>7113.11.00</v>
      </c>
      <c r="J635" t="str">
        <f>IF(quantInv[[#This Row],[Metal]] = "925 Silver", "7113.11.10.00"," 7113.19.10.00")</f>
        <v>7113.11.10.00</v>
      </c>
      <c r="K635" t="str">
        <f>IF(quantInv[[#This Row],[Metal]] = "925 Silver",  "7113.11.00"," 7113.19.00")</f>
        <v>7113.11.00</v>
      </c>
      <c r="L635" t="str">
        <f>IFERROR(VLOOKUP(quantInv[[#This Row],[Description for New Invoice]],Map!$G$12:$H$32,2,FALSE), IF(quantInv[[#This Row],[Metal]] = "925 Silver", "7113.11.10.00", "7113.19.29.00"))</f>
        <v>7113.11.50.00</v>
      </c>
      <c r="M635" t="str">
        <f>quantInv[[#This Row],[ASIN]] &amp; " " &amp; quantInv[[#This Row],[Short Description]]</f>
        <v>B08J887BY3 Stud Earrings - Sea Star</v>
      </c>
      <c r="N635" s="33">
        <f>quantInv[[#This Row],[UNIT
VALUE]] / EURtoGBP</f>
        <v>3.2152242143558483</v>
      </c>
      <c r="O635" s="33">
        <f>quantInv[[#This Row],[UNIT
VALUE]]/USDtoGBP</f>
        <v>3.8828869212853485</v>
      </c>
      <c r="P635" s="33">
        <f>quantInv[[#This Row],[UNIT
VALUE]] / CADtoGBP</f>
        <v>4.9703184688786992</v>
      </c>
      <c r="Q635" s="33">
        <f>quantInv[[#This Row],[UNIT
VALUE]]/AUDtoGBP</f>
        <v>5.0874703642503052</v>
      </c>
      <c r="R635">
        <f>IFERROR(VLOOKUP(quantInv[[#This Row],[Assigned Item SKU]],skuQuantity[#All],2,FALSE),0)</f>
        <v>10</v>
      </c>
      <c r="S635" t="str">
        <f>PROPER(quantInv[[#This Row],[Metal]] &amp; " " &amp; quantInv[[#This Row],[Item Type]])</f>
        <v>925 Silver Earrings</v>
      </c>
      <c r="T635" s="33">
        <f>quantInv[[#This Row],[Quantity]]*quantInv[[#This Row],[WEIGHT]]</f>
        <v>13.5</v>
      </c>
      <c r="U635" s="33">
        <f>quantInv[[#This Row],[UNIT
VALUE]]*quantInv[[#This Row],[Quantity]]</f>
        <v>28.324999999999999</v>
      </c>
      <c r="V635" s="33">
        <f>quantInv[[#This Row],[Total Cost GBP]]/EURtoGBP</f>
        <v>32.152242143558482</v>
      </c>
      <c r="W635" s="33">
        <f>quantInv[[#This Row],[Total Cost GBP]]/USDtoGBP</f>
        <v>38.828869212853483</v>
      </c>
      <c r="X635" s="33">
        <f>quantInv[[#This Row],[Total Cost GBP]]/CADtoGBP</f>
        <v>49.70318468878699</v>
      </c>
      <c r="Y635" s="33">
        <f>quantInv[[#This Row],[Quantity]]*quantInv[[#This Row],[UNIT
VALUE AUD]]</f>
        <v>50.87470364250305</v>
      </c>
      <c r="Z635" s="33"/>
    </row>
    <row r="636" spans="1:26" x14ac:dyDescent="0.25">
      <c r="A636" t="s">
        <v>2057</v>
      </c>
      <c r="B636" t="s">
        <v>2058</v>
      </c>
      <c r="C636" t="s">
        <v>114</v>
      </c>
      <c r="D636" t="s">
        <v>2059</v>
      </c>
      <c r="E636">
        <v>4.0599999999999996</v>
      </c>
      <c r="F636" s="33">
        <v>4.8316999999999997</v>
      </c>
      <c r="G636" s="33" t="s">
        <v>117</v>
      </c>
      <c r="H636" t="s">
        <v>1310</v>
      </c>
      <c r="I636" t="str">
        <f>IF(quantInv[[#This Row],[Metal]] = "925 Silver",  "7113.11.00"," 7113.19.00")</f>
        <v>7113.11.00</v>
      </c>
      <c r="J636" t="str">
        <f>IF(quantInv[[#This Row],[Metal]] = "925 Silver", "7113.11.10.00"," 7113.19.10.00")</f>
        <v>7113.11.10.00</v>
      </c>
      <c r="K636" t="str">
        <f>IF(quantInv[[#This Row],[Metal]] = "925 Silver",  "7113.11.00"," 7113.19.00")</f>
        <v>7113.11.00</v>
      </c>
      <c r="L636" t="str">
        <f>IFERROR(VLOOKUP(quantInv[[#This Row],[Description for New Invoice]],Map!$G$12:$H$32,2,FALSE), IF(quantInv[[#This Row],[Metal]] = "925 Silver", "7113.11.10.00", "7113.19.29.00"))</f>
        <v>7113.11.50.00</v>
      </c>
      <c r="M636" t="str">
        <f>quantInv[[#This Row],[ASIN]] &amp; " " &amp; quantInv[[#This Row],[Short Description]]</f>
        <v>B08P3KHBKC Polished Twisted Open Hoops with butterfly back</v>
      </c>
      <c r="N636" s="33">
        <f>quantInv[[#This Row],[UNIT
VALUE]] / EURtoGBP</f>
        <v>5.4845538699040253</v>
      </c>
      <c r="O636" s="33">
        <f>quantInv[[#This Row],[UNIT
VALUE]]/USDtoGBP</f>
        <v>6.6234579832566345</v>
      </c>
      <c r="P636" s="33">
        <f>quantInv[[#This Row],[UNIT
VALUE]] / CADtoGBP</f>
        <v>8.4784069712555024</v>
      </c>
      <c r="Q636" s="33">
        <f>quantInv[[#This Row],[UNIT
VALUE]]/AUDtoGBP</f>
        <v>8.6782455636180753</v>
      </c>
      <c r="R636">
        <f>IFERROR(VLOOKUP(quantInv[[#This Row],[Assigned Item SKU]],skuQuantity[#All],2,FALSE),0)</f>
        <v>0</v>
      </c>
      <c r="S636" t="str">
        <f>PROPER(quantInv[[#This Row],[Metal]] &amp; " " &amp; quantInv[[#This Row],[Item Type]])</f>
        <v>925 Silver Earrings</v>
      </c>
      <c r="T636" s="33">
        <f>quantInv[[#This Row],[Quantity]]*quantInv[[#This Row],[WEIGHT]]</f>
        <v>0</v>
      </c>
      <c r="U636" s="33">
        <f>quantInv[[#This Row],[UNIT
VALUE]]*quantInv[[#This Row],[Quantity]]</f>
        <v>0</v>
      </c>
      <c r="V636" s="33">
        <f>quantInv[[#This Row],[Total Cost GBP]]/EURtoGBP</f>
        <v>0</v>
      </c>
      <c r="W636" s="33">
        <f>quantInv[[#This Row],[Total Cost GBP]]/USDtoGBP</f>
        <v>0</v>
      </c>
      <c r="X636" s="33">
        <f>quantInv[[#This Row],[Total Cost GBP]]/CADtoGBP</f>
        <v>0</v>
      </c>
      <c r="Y636" s="33">
        <f>quantInv[[#This Row],[Quantity]]*quantInv[[#This Row],[UNIT
VALUE AUD]]</f>
        <v>0</v>
      </c>
      <c r="Z636" s="33"/>
    </row>
    <row r="637" spans="1:26" x14ac:dyDescent="0.25">
      <c r="A637" t="s">
        <v>1496</v>
      </c>
      <c r="B637" t="s">
        <v>1497</v>
      </c>
      <c r="C637" t="s">
        <v>115</v>
      </c>
      <c r="D637" t="s">
        <v>2956</v>
      </c>
      <c r="E637">
        <v>1.74</v>
      </c>
      <c r="F637" s="33">
        <v>3.1976</v>
      </c>
      <c r="G637" s="33" t="s">
        <v>117</v>
      </c>
      <c r="H637" t="s">
        <v>1310</v>
      </c>
      <c r="I637" t="str">
        <f>IF(quantInv[[#This Row],[Metal]] = "925 Silver",  "7113.11.00"," 7113.19.00")</f>
        <v>7113.11.00</v>
      </c>
      <c r="J637" t="str">
        <f>IF(quantInv[[#This Row],[Metal]] = "925 Silver", "7113.11.10.00"," 7113.19.10.00")</f>
        <v>7113.11.10.00</v>
      </c>
      <c r="K637" t="str">
        <f>IF(quantInv[[#This Row],[Metal]] = "925 Silver",  "7113.11.00"," 7113.19.00")</f>
        <v>7113.11.00</v>
      </c>
      <c r="L637" t="str">
        <f>IFERROR(VLOOKUP(quantInv[[#This Row],[Description for New Invoice]],Map!$G$12:$H$32,2,FALSE), IF(quantInv[[#This Row],[Metal]] = "925 Silver", "7113.11.10.00", "7113.19.29.00"))</f>
        <v>7113.11.50.00</v>
      </c>
      <c r="M637" t="str">
        <f>quantInv[[#This Row],[ASIN]] &amp; " " &amp; quantInv[[#This Row],[Short Description]]</f>
        <v>B081VK8FYJ Earrings - Silver Ball Studs 3  4  5 mm combo pairs</v>
      </c>
      <c r="N637" s="33">
        <f>quantInv[[#This Row],[UNIT
VALUE]] / EURtoGBP</f>
        <v>3.6296561157367204</v>
      </c>
      <c r="O637" s="33">
        <f>quantInv[[#This Row],[UNIT
VALUE]]/USDtoGBP</f>
        <v>4.3833783652257834</v>
      </c>
      <c r="P637" s="33">
        <f>quantInv[[#This Row],[UNIT
VALUE]] / CADtoGBP</f>
        <v>5.6109762881152792</v>
      </c>
      <c r="Q637" s="33">
        <f>quantInv[[#This Row],[UNIT
VALUE]]/AUDtoGBP</f>
        <v>5.7432286802212795</v>
      </c>
      <c r="R637">
        <f>IFERROR(VLOOKUP(quantInv[[#This Row],[Assigned Item SKU]],skuQuantity[#All],2,FALSE),0)</f>
        <v>0</v>
      </c>
      <c r="S637" t="str">
        <f>PROPER(quantInv[[#This Row],[Metal]] &amp; " " &amp; quantInv[[#This Row],[Item Type]])</f>
        <v>925 Silver Earrings</v>
      </c>
      <c r="T637" s="33">
        <f>quantInv[[#This Row],[Quantity]]*quantInv[[#This Row],[WEIGHT]]</f>
        <v>0</v>
      </c>
      <c r="U637" s="33">
        <f>quantInv[[#This Row],[UNIT
VALUE]]*quantInv[[#This Row],[Quantity]]</f>
        <v>0</v>
      </c>
      <c r="V637" s="33">
        <f>quantInv[[#This Row],[Total Cost GBP]]/EURtoGBP</f>
        <v>0</v>
      </c>
      <c r="W637" s="33">
        <f>quantInv[[#This Row],[Total Cost GBP]]/USDtoGBP</f>
        <v>0</v>
      </c>
      <c r="X637" s="33">
        <f>quantInv[[#This Row],[Total Cost GBP]]/CADtoGBP</f>
        <v>0</v>
      </c>
      <c r="Y637" s="33">
        <f>quantInv[[#This Row],[Quantity]]*quantInv[[#This Row],[UNIT
VALUE AUD]]</f>
        <v>0</v>
      </c>
      <c r="Z637" s="33"/>
    </row>
    <row r="638" spans="1:26" x14ac:dyDescent="0.25">
      <c r="A638" t="s">
        <v>1498</v>
      </c>
      <c r="B638" t="s">
        <v>1332</v>
      </c>
      <c r="C638" t="s">
        <v>113</v>
      </c>
      <c r="D638" t="s">
        <v>1499</v>
      </c>
      <c r="E638">
        <v>0.89</v>
      </c>
      <c r="F638" s="33">
        <v>1.0286999999999999</v>
      </c>
      <c r="G638" s="33" t="s">
        <v>117</v>
      </c>
      <c r="H638" t="s">
        <v>1310</v>
      </c>
      <c r="I638" t="str">
        <f>IF(quantInv[[#This Row],[Metal]] = "925 Silver",  "7113.11.00"," 7113.19.00")</f>
        <v>7113.11.00</v>
      </c>
      <c r="J638" t="str">
        <f>IF(quantInv[[#This Row],[Metal]] = "925 Silver", "7113.11.10.00"," 7113.19.10.00")</f>
        <v>7113.11.10.00</v>
      </c>
      <c r="K638" t="str">
        <f>IF(quantInv[[#This Row],[Metal]] = "925 Silver",  "7113.11.00"," 7113.19.00")</f>
        <v>7113.11.00</v>
      </c>
      <c r="L638" t="str">
        <f>IFERROR(VLOOKUP(quantInv[[#This Row],[Description for New Invoice]],Map!$G$12:$H$32,2,FALSE), IF(quantInv[[#This Row],[Metal]] = "925 Silver", "7113.11.10.00", "7113.19.29.00"))</f>
        <v>7113.11.50.00</v>
      </c>
      <c r="M638" t="str">
        <f>quantInv[[#This Row],[ASIN]] &amp; " " &amp; quantInv[[#This Row],[Short Description]]</f>
        <v>EBAY Single Hoop Earrings - variation on ebay</v>
      </c>
      <c r="N638" s="33">
        <f>quantInv[[#This Row],[UNIT
VALUE]] / EURtoGBP</f>
        <v>1.1676967870460233</v>
      </c>
      <c r="O638" s="33">
        <f>quantInv[[#This Row],[UNIT
VALUE]]/USDtoGBP</f>
        <v>1.4101767964435086</v>
      </c>
      <c r="P638" s="33">
        <f>quantInv[[#This Row],[UNIT
VALUE]] / CADtoGBP</f>
        <v>1.8051073641431661</v>
      </c>
      <c r="Q638" s="33">
        <f>quantInv[[#This Row],[UNIT
VALUE]]/AUDtoGBP</f>
        <v>1.8476542855090163</v>
      </c>
      <c r="R638">
        <f>IFERROR(VLOOKUP(quantInv[[#This Row],[Assigned Item SKU]],skuQuantity[#All],2,FALSE),0)</f>
        <v>0</v>
      </c>
      <c r="S638" t="str">
        <f>PROPER(quantInv[[#This Row],[Metal]] &amp; " " &amp; quantInv[[#This Row],[Item Type]])</f>
        <v>925 Silver Earrings</v>
      </c>
      <c r="T638" s="33">
        <f>quantInv[[#This Row],[Quantity]]*quantInv[[#This Row],[WEIGHT]]</f>
        <v>0</v>
      </c>
      <c r="U638" s="33">
        <f>quantInv[[#This Row],[UNIT
VALUE]]*quantInv[[#This Row],[Quantity]]</f>
        <v>0</v>
      </c>
      <c r="V638" s="33">
        <f>quantInv[[#This Row],[Total Cost GBP]]/EURtoGBP</f>
        <v>0</v>
      </c>
      <c r="W638" s="33">
        <f>quantInv[[#This Row],[Total Cost GBP]]/USDtoGBP</f>
        <v>0</v>
      </c>
      <c r="X638" s="33">
        <f>quantInv[[#This Row],[Total Cost GBP]]/CADtoGBP</f>
        <v>0</v>
      </c>
      <c r="Y638" s="33">
        <f>quantInv[[#This Row],[Quantity]]*quantInv[[#This Row],[UNIT
VALUE AUD]]</f>
        <v>0</v>
      </c>
      <c r="Z638" s="33"/>
    </row>
    <row r="639" spans="1:26" x14ac:dyDescent="0.25">
      <c r="A639" t="s">
        <v>1500</v>
      </c>
      <c r="B639" t="s">
        <v>1332</v>
      </c>
      <c r="C639" t="s">
        <v>113</v>
      </c>
      <c r="D639" t="s">
        <v>1499</v>
      </c>
      <c r="E639">
        <v>0.6</v>
      </c>
      <c r="F639" s="33">
        <v>0.82410000000000005</v>
      </c>
      <c r="G639" s="33" t="s">
        <v>117</v>
      </c>
      <c r="H639" t="s">
        <v>1310</v>
      </c>
      <c r="I639" t="str">
        <f>IF(quantInv[[#This Row],[Metal]] = "925 Silver",  "7113.11.00"," 7113.19.00")</f>
        <v>7113.11.00</v>
      </c>
      <c r="J639" t="str">
        <f>IF(quantInv[[#This Row],[Metal]] = "925 Silver", "7113.11.10.00"," 7113.19.10.00")</f>
        <v>7113.11.10.00</v>
      </c>
      <c r="K639" t="str">
        <f>IF(quantInv[[#This Row],[Metal]] = "925 Silver",  "7113.11.00"," 7113.19.00")</f>
        <v>7113.11.00</v>
      </c>
      <c r="L639" t="str">
        <f>IFERROR(VLOOKUP(quantInv[[#This Row],[Description for New Invoice]],Map!$G$12:$H$32,2,FALSE), IF(quantInv[[#This Row],[Metal]] = "925 Silver", "7113.11.10.00", "7113.19.29.00"))</f>
        <v>7113.11.50.00</v>
      </c>
      <c r="M639" t="str">
        <f>quantInv[[#This Row],[ASIN]] &amp; " " &amp; quantInv[[#This Row],[Short Description]]</f>
        <v>EBAY Single Hoop Earrings - variation on ebay</v>
      </c>
      <c r="N639" s="33">
        <f>quantInv[[#This Row],[UNIT
VALUE]] / EURtoGBP</f>
        <v>0.93545146515468836</v>
      </c>
      <c r="O639" s="33">
        <f>quantInv[[#This Row],[UNIT
VALUE]]/USDtoGBP</f>
        <v>1.1297041877603728</v>
      </c>
      <c r="P639" s="33">
        <f>quantInv[[#This Row],[UNIT
VALUE]] / CADtoGBP</f>
        <v>1.446086301925132</v>
      </c>
      <c r="Q639" s="33">
        <f>quantInv[[#This Row],[UNIT
VALUE]]/AUDtoGBP</f>
        <v>1.480170989295208</v>
      </c>
      <c r="R639">
        <f>IFERROR(VLOOKUP(quantInv[[#This Row],[Assigned Item SKU]],skuQuantity[#All],2,FALSE),0)</f>
        <v>0</v>
      </c>
      <c r="S639" t="str">
        <f>PROPER(quantInv[[#This Row],[Metal]] &amp; " " &amp; quantInv[[#This Row],[Item Type]])</f>
        <v>925 Silver Earrings</v>
      </c>
      <c r="T639" s="33">
        <f>quantInv[[#This Row],[Quantity]]*quantInv[[#This Row],[WEIGHT]]</f>
        <v>0</v>
      </c>
      <c r="U639" s="33">
        <f>quantInv[[#This Row],[UNIT
VALUE]]*quantInv[[#This Row],[Quantity]]</f>
        <v>0</v>
      </c>
      <c r="V639" s="33">
        <f>quantInv[[#This Row],[Total Cost GBP]]/EURtoGBP</f>
        <v>0</v>
      </c>
      <c r="W639" s="33">
        <f>quantInv[[#This Row],[Total Cost GBP]]/USDtoGBP</f>
        <v>0</v>
      </c>
      <c r="X639" s="33">
        <f>quantInv[[#This Row],[Total Cost GBP]]/CADtoGBP</f>
        <v>0</v>
      </c>
      <c r="Y639" s="33">
        <f>quantInv[[#This Row],[Quantity]]*quantInv[[#This Row],[UNIT
VALUE AUD]]</f>
        <v>0</v>
      </c>
      <c r="Z639" s="33"/>
    </row>
    <row r="640" spans="1:26" x14ac:dyDescent="0.25">
      <c r="A640" t="s">
        <v>1501</v>
      </c>
      <c r="B640" t="s">
        <v>1332</v>
      </c>
      <c r="C640" t="s">
        <v>115</v>
      </c>
      <c r="D640" t="s">
        <v>1502</v>
      </c>
      <c r="E640">
        <v>4</v>
      </c>
      <c r="F640" s="33">
        <v>4.3414000000000001</v>
      </c>
      <c r="G640" s="33" t="s">
        <v>117</v>
      </c>
      <c r="H640" t="s">
        <v>1295</v>
      </c>
      <c r="I640" t="str">
        <f>IF(quantInv[[#This Row],[Metal]] = "925 Silver",  "7113.11.00"," 7113.19.00")</f>
        <v>7113.11.00</v>
      </c>
      <c r="J640" t="str">
        <f>IF(quantInv[[#This Row],[Metal]] = "925 Silver", "7113.11.10.00"," 7113.19.10.00")</f>
        <v>7113.11.10.00</v>
      </c>
      <c r="K640" t="str">
        <f>IF(quantInv[[#This Row],[Metal]] = "925 Silver",  "7113.11.00"," 7113.19.00")</f>
        <v>7113.11.00</v>
      </c>
      <c r="L640" t="str">
        <f>IFERROR(VLOOKUP(quantInv[[#This Row],[Description for New Invoice]],Map!$G$12:$H$32,2,FALSE), IF(quantInv[[#This Row],[Metal]] = "925 Silver", "7113.11.10.00", "7113.19.29.00"))</f>
        <v>7113.11.10.00</v>
      </c>
      <c r="M640" t="str">
        <f>quantInv[[#This Row],[ASIN]] &amp; " " &amp; quantInv[[#This Row],[Short Description]]</f>
        <v>EBAY Locket + Curb Chain 45 cm</v>
      </c>
      <c r="N640" s="33">
        <f>quantInv[[#This Row],[UNIT
VALUE]] / EURtoGBP</f>
        <v>4.9280050853325612</v>
      </c>
      <c r="O640" s="33">
        <f>quantInv[[#This Row],[UNIT
VALUE]]/USDtoGBP</f>
        <v>5.9513381394768627</v>
      </c>
      <c r="P640" s="33">
        <f>quantInv[[#This Row],[UNIT
VALUE]] / CADtoGBP</f>
        <v>7.6180549340829611</v>
      </c>
      <c r="Q640" s="33">
        <f>quantInv[[#This Row],[UNIT
VALUE]]/AUDtoGBP</f>
        <v>7.7976147711760904</v>
      </c>
      <c r="R640">
        <f>IFERROR(VLOOKUP(quantInv[[#This Row],[Assigned Item SKU]],skuQuantity[#All],2,FALSE),0)</f>
        <v>0</v>
      </c>
      <c r="S640" t="str">
        <f>PROPER(quantInv[[#This Row],[Metal]] &amp; " " &amp; quantInv[[#This Row],[Item Type]])</f>
        <v>925 Silver Locket</v>
      </c>
      <c r="T640" s="33">
        <f>quantInv[[#This Row],[Quantity]]*quantInv[[#This Row],[WEIGHT]]</f>
        <v>0</v>
      </c>
      <c r="U640" s="33">
        <f>quantInv[[#This Row],[UNIT
VALUE]]*quantInv[[#This Row],[Quantity]]</f>
        <v>0</v>
      </c>
      <c r="V640" s="33">
        <f>quantInv[[#This Row],[Total Cost GBP]]/EURtoGBP</f>
        <v>0</v>
      </c>
      <c r="W640" s="33">
        <f>quantInv[[#This Row],[Total Cost GBP]]/USDtoGBP</f>
        <v>0</v>
      </c>
      <c r="X640" s="33">
        <f>quantInv[[#This Row],[Total Cost GBP]]/CADtoGBP</f>
        <v>0</v>
      </c>
      <c r="Y640" s="33">
        <f>quantInv[[#This Row],[Quantity]]*quantInv[[#This Row],[UNIT
VALUE AUD]]</f>
        <v>0</v>
      </c>
      <c r="Z640" s="33"/>
    </row>
    <row r="641" spans="1:26" x14ac:dyDescent="0.25">
      <c r="A641" t="s">
        <v>1503</v>
      </c>
      <c r="B641" t="s">
        <v>1332</v>
      </c>
      <c r="C641" t="s">
        <v>115</v>
      </c>
      <c r="D641" t="s">
        <v>1502</v>
      </c>
      <c r="E641">
        <v>4.49</v>
      </c>
      <c r="F641" s="33">
        <v>4.7876000000000003</v>
      </c>
      <c r="G641" s="33" t="s">
        <v>117</v>
      </c>
      <c r="H641" t="s">
        <v>1295</v>
      </c>
      <c r="I641" t="str">
        <f>IF(quantInv[[#This Row],[Metal]] = "925 Silver",  "7113.11.00"," 7113.19.00")</f>
        <v>7113.11.00</v>
      </c>
      <c r="J641" t="str">
        <f>IF(quantInv[[#This Row],[Metal]] = "925 Silver", "7113.11.10.00"," 7113.19.10.00")</f>
        <v>7113.11.10.00</v>
      </c>
      <c r="K641" t="str">
        <f>IF(quantInv[[#This Row],[Metal]] = "925 Silver",  "7113.11.00"," 7113.19.00")</f>
        <v>7113.11.00</v>
      </c>
      <c r="L641" t="str">
        <f>IFERROR(VLOOKUP(quantInv[[#This Row],[Description for New Invoice]],Map!$G$12:$H$32,2,FALSE), IF(quantInv[[#This Row],[Metal]] = "925 Silver", "7113.11.10.00", "7113.19.29.00"))</f>
        <v>7113.11.10.00</v>
      </c>
      <c r="M641" t="str">
        <f>quantInv[[#This Row],[ASIN]] &amp; " " &amp; quantInv[[#This Row],[Short Description]]</f>
        <v>EBAY Locket + Curb Chain 45 cm</v>
      </c>
      <c r="N641" s="33">
        <f>quantInv[[#This Row],[UNIT
VALUE]] / EURtoGBP</f>
        <v>5.4344951275022284</v>
      </c>
      <c r="O641" s="33">
        <f>quantInv[[#This Row],[UNIT
VALUE]]/USDtoGBP</f>
        <v>6.5630042098307984</v>
      </c>
      <c r="P641" s="33">
        <f>quantInv[[#This Row],[UNIT
VALUE]] / CADtoGBP</f>
        <v>8.401022666056015</v>
      </c>
      <c r="Q641" s="33">
        <f>quantInv[[#This Row],[UNIT
VALUE]]/AUDtoGBP</f>
        <v>8.5990372871614333</v>
      </c>
      <c r="R641">
        <f>IFERROR(VLOOKUP(quantInv[[#This Row],[Assigned Item SKU]],skuQuantity[#All],2,FALSE),0)</f>
        <v>0</v>
      </c>
      <c r="S641" t="str">
        <f>PROPER(quantInv[[#This Row],[Metal]] &amp; " " &amp; quantInv[[#This Row],[Item Type]])</f>
        <v>925 Silver Locket</v>
      </c>
      <c r="T641" s="33">
        <f>quantInv[[#This Row],[Quantity]]*quantInv[[#This Row],[WEIGHT]]</f>
        <v>0</v>
      </c>
      <c r="U641" s="33">
        <f>quantInv[[#This Row],[UNIT
VALUE]]*quantInv[[#This Row],[Quantity]]</f>
        <v>0</v>
      </c>
      <c r="V641" s="33">
        <f>quantInv[[#This Row],[Total Cost GBP]]/EURtoGBP</f>
        <v>0</v>
      </c>
      <c r="W641" s="33">
        <f>quantInv[[#This Row],[Total Cost GBP]]/USDtoGBP</f>
        <v>0</v>
      </c>
      <c r="X641" s="33">
        <f>quantInv[[#This Row],[Total Cost GBP]]/CADtoGBP</f>
        <v>0</v>
      </c>
      <c r="Y641" s="33">
        <f>quantInv[[#This Row],[Quantity]]*quantInv[[#This Row],[UNIT
VALUE AUD]]</f>
        <v>0</v>
      </c>
      <c r="Z641" s="33"/>
    </row>
    <row r="642" spans="1:26" x14ac:dyDescent="0.25">
      <c r="A642" t="s">
        <v>1504</v>
      </c>
      <c r="B642" t="s">
        <v>1332</v>
      </c>
      <c r="C642" t="s">
        <v>116</v>
      </c>
      <c r="D642" t="s">
        <v>1505</v>
      </c>
      <c r="E642">
        <v>6.61</v>
      </c>
      <c r="F642" s="33">
        <v>6.4912000000000001</v>
      </c>
      <c r="G642" s="33" t="s">
        <v>117</v>
      </c>
      <c r="H642" t="s">
        <v>1295</v>
      </c>
      <c r="I642" t="str">
        <f>IF(quantInv[[#This Row],[Metal]] = "925 Silver",  "7113.11.00"," 7113.19.00")</f>
        <v>7113.11.00</v>
      </c>
      <c r="J642" t="str">
        <f>IF(quantInv[[#This Row],[Metal]] = "925 Silver", "7113.11.10.00"," 7113.19.10.00")</f>
        <v>7113.11.10.00</v>
      </c>
      <c r="K642" t="str">
        <f>IF(quantInv[[#This Row],[Metal]] = "925 Silver",  "7113.11.00"," 7113.19.00")</f>
        <v>7113.11.00</v>
      </c>
      <c r="L642" t="str">
        <f>IFERROR(VLOOKUP(quantInv[[#This Row],[Description for New Invoice]],Map!$G$12:$H$32,2,FALSE), IF(quantInv[[#This Row],[Metal]] = "925 Silver", "7113.11.10.00", "7113.19.29.00"))</f>
        <v>7113.11.10.00</v>
      </c>
      <c r="M642" t="str">
        <f>quantInv[[#This Row],[ASIN]] &amp; " " &amp; quantInv[[#This Row],[Short Description]]</f>
        <v>EBAY Locket - Round + Curb Chain 45 cm</v>
      </c>
      <c r="N642" s="33">
        <f>quantInv[[#This Row],[UNIT
VALUE]] / EURtoGBP</f>
        <v>7.368283643504566</v>
      </c>
      <c r="O642" s="33">
        <f>quantInv[[#This Row],[UNIT
VALUE]]/USDtoGBP</f>
        <v>8.8983567814465871</v>
      </c>
      <c r="P642" s="33">
        <f>quantInv[[#This Row],[UNIT
VALUE]] / CADtoGBP</f>
        <v>11.390408206596792</v>
      </c>
      <c r="Q642" s="33">
        <f>quantInv[[#This Row],[UNIT
VALUE]]/AUDtoGBP</f>
        <v>11.658883540484229</v>
      </c>
      <c r="R642">
        <f>IFERROR(VLOOKUP(quantInv[[#This Row],[Assigned Item SKU]],skuQuantity[#All],2,FALSE),0)</f>
        <v>0</v>
      </c>
      <c r="S642" t="str">
        <f>PROPER(quantInv[[#This Row],[Metal]] &amp; " " &amp; quantInv[[#This Row],[Item Type]])</f>
        <v>925 Silver Locket</v>
      </c>
      <c r="T642" s="33">
        <f>quantInv[[#This Row],[Quantity]]*quantInv[[#This Row],[WEIGHT]]</f>
        <v>0</v>
      </c>
      <c r="U642" s="33">
        <f>quantInv[[#This Row],[UNIT
VALUE]]*quantInv[[#This Row],[Quantity]]</f>
        <v>0</v>
      </c>
      <c r="V642" s="33">
        <f>quantInv[[#This Row],[Total Cost GBP]]/EURtoGBP</f>
        <v>0</v>
      </c>
      <c r="W642" s="33">
        <f>quantInv[[#This Row],[Total Cost GBP]]/USDtoGBP</f>
        <v>0</v>
      </c>
      <c r="X642" s="33">
        <f>quantInv[[#This Row],[Total Cost GBP]]/CADtoGBP</f>
        <v>0</v>
      </c>
      <c r="Y642" s="33">
        <f>quantInv[[#This Row],[Quantity]]*quantInv[[#This Row],[UNIT
VALUE AUD]]</f>
        <v>0</v>
      </c>
      <c r="Z642" s="33"/>
    </row>
    <row r="643" spans="1:26" x14ac:dyDescent="0.25">
      <c r="A643" t="s">
        <v>1506</v>
      </c>
      <c r="B643" t="s">
        <v>1332</v>
      </c>
      <c r="C643" t="s">
        <v>116</v>
      </c>
      <c r="D643" t="s">
        <v>1507</v>
      </c>
      <c r="E643">
        <v>7.01</v>
      </c>
      <c r="F643" s="33">
        <v>6.8156999999999996</v>
      </c>
      <c r="G643" s="33" t="s">
        <v>117</v>
      </c>
      <c r="H643" t="s">
        <v>1295</v>
      </c>
      <c r="I643" t="str">
        <f>IF(quantInv[[#This Row],[Metal]] = "925 Silver",  "7113.11.00"," 7113.19.00")</f>
        <v>7113.11.00</v>
      </c>
      <c r="J643" t="str">
        <f>IF(quantInv[[#This Row],[Metal]] = "925 Silver", "7113.11.10.00"," 7113.19.10.00")</f>
        <v>7113.11.10.00</v>
      </c>
      <c r="K643" t="str">
        <f>IF(quantInv[[#This Row],[Metal]] = "925 Silver",  "7113.11.00"," 7113.19.00")</f>
        <v>7113.11.00</v>
      </c>
      <c r="L643" t="str">
        <f>IFERROR(VLOOKUP(quantInv[[#This Row],[Description for New Invoice]],Map!$G$12:$H$32,2,FALSE), IF(quantInv[[#This Row],[Metal]] = "925 Silver", "7113.11.10.00", "7113.19.29.00"))</f>
        <v>7113.11.10.00</v>
      </c>
      <c r="M643" t="str">
        <f>quantInv[[#This Row],[ASIN]] &amp; " " &amp; quantInv[[#This Row],[Short Description]]</f>
        <v>EBAY Locket - Heart + Curb Chain 45 cm</v>
      </c>
      <c r="N643" s="33">
        <f>quantInv[[#This Row],[UNIT
VALUE]] / EURtoGBP</f>
        <v>7.7366297185472748</v>
      </c>
      <c r="O643" s="33">
        <f>quantInv[[#This Row],[UNIT
VALUE]]/USDtoGBP</f>
        <v>9.3431923704870439</v>
      </c>
      <c r="P643" s="33">
        <f>quantInv[[#This Row],[UNIT
VALUE]] / CADtoGBP</f>
        <v>11.959823332157653</v>
      </c>
      <c r="Q643" s="33">
        <f>quantInv[[#This Row],[UNIT
VALUE]]/AUDtoGBP</f>
        <v>12.241719951145914</v>
      </c>
      <c r="R643">
        <f>IFERROR(VLOOKUP(quantInv[[#This Row],[Assigned Item SKU]],skuQuantity[#All],2,FALSE),0)</f>
        <v>0</v>
      </c>
      <c r="S643" t="str">
        <f>PROPER(quantInv[[#This Row],[Metal]] &amp; " " &amp; quantInv[[#This Row],[Item Type]])</f>
        <v>925 Silver Locket</v>
      </c>
      <c r="T643" s="33">
        <f>quantInv[[#This Row],[Quantity]]*quantInv[[#This Row],[WEIGHT]]</f>
        <v>0</v>
      </c>
      <c r="U643" s="33">
        <f>quantInv[[#This Row],[UNIT
VALUE]]*quantInv[[#This Row],[Quantity]]</f>
        <v>0</v>
      </c>
      <c r="V643" s="33">
        <f>quantInv[[#This Row],[Total Cost GBP]]/EURtoGBP</f>
        <v>0</v>
      </c>
      <c r="W643" s="33">
        <f>quantInv[[#This Row],[Total Cost GBP]]/USDtoGBP</f>
        <v>0</v>
      </c>
      <c r="X643" s="33">
        <f>quantInv[[#This Row],[Total Cost GBP]]/CADtoGBP</f>
        <v>0</v>
      </c>
      <c r="Y643" s="33">
        <f>quantInv[[#This Row],[Quantity]]*quantInv[[#This Row],[UNIT
VALUE AUD]]</f>
        <v>0</v>
      </c>
      <c r="Z643" s="33"/>
    </row>
    <row r="644" spans="1:26" x14ac:dyDescent="0.25">
      <c r="A644" t="s">
        <v>1508</v>
      </c>
      <c r="B644" t="s">
        <v>1332</v>
      </c>
      <c r="C644" t="s">
        <v>115</v>
      </c>
      <c r="D644" t="s">
        <v>1507</v>
      </c>
      <c r="E644">
        <v>9.11</v>
      </c>
      <c r="F644" s="33">
        <v>9.0579999999999998</v>
      </c>
      <c r="G644" s="33" t="s">
        <v>117</v>
      </c>
      <c r="H644" t="s">
        <v>1295</v>
      </c>
      <c r="I644" t="str">
        <f>IF(quantInv[[#This Row],[Metal]] = "925 Silver",  "7113.11.00"," 7113.19.00")</f>
        <v>7113.11.00</v>
      </c>
      <c r="J644" t="str">
        <f>IF(quantInv[[#This Row],[Metal]] = "925 Silver", "7113.11.10.00"," 7113.19.10.00")</f>
        <v>7113.11.10.00</v>
      </c>
      <c r="K644" t="str">
        <f>IF(quantInv[[#This Row],[Metal]] = "925 Silver",  "7113.11.00"," 7113.19.00")</f>
        <v>7113.11.00</v>
      </c>
      <c r="L644" t="str">
        <f>IFERROR(VLOOKUP(quantInv[[#This Row],[Description for New Invoice]],Map!$G$12:$H$32,2,FALSE), IF(quantInv[[#This Row],[Metal]] = "925 Silver", "7113.11.10.00", "7113.19.29.00"))</f>
        <v>7113.11.10.00</v>
      </c>
      <c r="M644" t="str">
        <f>quantInv[[#This Row],[ASIN]] &amp; " " &amp; quantInv[[#This Row],[Short Description]]</f>
        <v>EBAY Locket - Heart + Curb Chain 45 cm</v>
      </c>
      <c r="N644" s="33">
        <f>quantInv[[#This Row],[UNIT
VALUE]] / EURtoGBP</f>
        <v>10.281906772686769</v>
      </c>
      <c r="O644" s="33">
        <f>quantInv[[#This Row],[UNIT
VALUE]]/USDtoGBP</f>
        <v>12.417013144925926</v>
      </c>
      <c r="P644" s="33">
        <f>quantInv[[#This Row],[UNIT
VALUE]] / CADtoGBP</f>
        <v>15.894490623513949</v>
      </c>
      <c r="Q644" s="33">
        <f>quantInv[[#This Row],[UNIT
VALUE]]/AUDtoGBP</f>
        <v>16.269128529348372</v>
      </c>
      <c r="R644">
        <f>IFERROR(VLOOKUP(quantInv[[#This Row],[Assigned Item SKU]],skuQuantity[#All],2,FALSE),0)</f>
        <v>0</v>
      </c>
      <c r="S644" t="str">
        <f>PROPER(quantInv[[#This Row],[Metal]] &amp; " " &amp; quantInv[[#This Row],[Item Type]])</f>
        <v>925 Silver Locket</v>
      </c>
      <c r="T644" s="33">
        <f>quantInv[[#This Row],[Quantity]]*quantInv[[#This Row],[WEIGHT]]</f>
        <v>0</v>
      </c>
      <c r="U644" s="33">
        <f>quantInv[[#This Row],[UNIT
VALUE]]*quantInv[[#This Row],[Quantity]]</f>
        <v>0</v>
      </c>
      <c r="V644" s="33">
        <f>quantInv[[#This Row],[Total Cost GBP]]/EURtoGBP</f>
        <v>0</v>
      </c>
      <c r="W644" s="33">
        <f>quantInv[[#This Row],[Total Cost GBP]]/USDtoGBP</f>
        <v>0</v>
      </c>
      <c r="X644" s="33">
        <f>quantInv[[#This Row],[Total Cost GBP]]/CADtoGBP</f>
        <v>0</v>
      </c>
      <c r="Y644" s="33">
        <f>quantInv[[#This Row],[Quantity]]*quantInv[[#This Row],[UNIT
VALUE AUD]]</f>
        <v>0</v>
      </c>
      <c r="Z644" s="33"/>
    </row>
    <row r="645" spans="1:26" x14ac:dyDescent="0.25">
      <c r="A645" t="s">
        <v>1509</v>
      </c>
      <c r="B645" t="s">
        <v>1510</v>
      </c>
      <c r="C645" t="s">
        <v>115</v>
      </c>
      <c r="D645" t="s">
        <v>1511</v>
      </c>
      <c r="E645">
        <v>7.81</v>
      </c>
      <c r="F645" s="33">
        <v>7.8735999999999997</v>
      </c>
      <c r="G645" s="33" t="s">
        <v>117</v>
      </c>
      <c r="H645" t="s">
        <v>1295</v>
      </c>
      <c r="I645" t="str">
        <f>IF(quantInv[[#This Row],[Metal]] = "925 Silver",  "7113.11.00"," 7113.19.00")</f>
        <v>7113.11.00</v>
      </c>
      <c r="J645" t="str">
        <f>IF(quantInv[[#This Row],[Metal]] = "925 Silver", "7113.11.10.00"," 7113.19.10.00")</f>
        <v>7113.11.10.00</v>
      </c>
      <c r="K645" t="str">
        <f>IF(quantInv[[#This Row],[Metal]] = "925 Silver",  "7113.11.00"," 7113.19.00")</f>
        <v>7113.11.00</v>
      </c>
      <c r="L645" t="str">
        <f>IFERROR(VLOOKUP(quantInv[[#This Row],[Description for New Invoice]],Map!$G$12:$H$32,2,FALSE), IF(quantInv[[#This Row],[Metal]] = "925 Silver", "7113.11.10.00", "7113.19.29.00"))</f>
        <v>7113.11.10.00</v>
      </c>
      <c r="M645" t="str">
        <f>quantInv[[#This Row],[ASIN]] &amp; " " &amp; quantInv[[#This Row],[Short Description]]</f>
        <v>B082L3K95P Locket - Heart + Tree of Life engraving</v>
      </c>
      <c r="N645" s="33">
        <f>quantInv[[#This Row],[UNIT
VALUE]] / EURtoGBP</f>
        <v>8.9374719767527644</v>
      </c>
      <c r="O645" s="33">
        <f>quantInv[[#This Row],[UNIT
VALUE]]/USDtoGBP</f>
        <v>10.79339751577487</v>
      </c>
      <c r="P645" s="33">
        <f>quantInv[[#This Row],[UNIT
VALUE]] / CADtoGBP</f>
        <v>13.816169283870547</v>
      </c>
      <c r="Q645" s="33">
        <f>quantInv[[#This Row],[UNIT
VALUE]]/AUDtoGBP</f>
        <v>14.141820533084273</v>
      </c>
      <c r="R645">
        <f>IFERROR(VLOOKUP(quantInv[[#This Row],[Assigned Item SKU]],skuQuantity[#All],2,FALSE),0)</f>
        <v>0</v>
      </c>
      <c r="S645" t="str">
        <f>PROPER(quantInv[[#This Row],[Metal]] &amp; " " &amp; quantInv[[#This Row],[Item Type]])</f>
        <v>925 Silver Locket</v>
      </c>
      <c r="T645" s="33">
        <f>quantInv[[#This Row],[Quantity]]*quantInv[[#This Row],[WEIGHT]]</f>
        <v>0</v>
      </c>
      <c r="U645" s="33">
        <f>quantInv[[#This Row],[UNIT
VALUE]]*quantInv[[#This Row],[Quantity]]</f>
        <v>0</v>
      </c>
      <c r="V645" s="33">
        <f>quantInv[[#This Row],[Total Cost GBP]]/EURtoGBP</f>
        <v>0</v>
      </c>
      <c r="W645" s="33">
        <f>quantInv[[#This Row],[Total Cost GBP]]/USDtoGBP</f>
        <v>0</v>
      </c>
      <c r="X645" s="33">
        <f>quantInv[[#This Row],[Total Cost GBP]]/CADtoGBP</f>
        <v>0</v>
      </c>
      <c r="Y645" s="33">
        <f>quantInv[[#This Row],[Quantity]]*quantInv[[#This Row],[UNIT
VALUE AUD]]</f>
        <v>0</v>
      </c>
      <c r="Z645" s="33"/>
    </row>
    <row r="646" spans="1:26" x14ac:dyDescent="0.25">
      <c r="A646" t="s">
        <v>2090</v>
      </c>
      <c r="B646" t="s">
        <v>2091</v>
      </c>
      <c r="C646" t="s">
        <v>115</v>
      </c>
      <c r="D646" t="s">
        <v>2092</v>
      </c>
      <c r="E646">
        <v>2.7</v>
      </c>
      <c r="F646" s="33">
        <v>3.9277000000000002</v>
      </c>
      <c r="G646" s="33" t="s">
        <v>117</v>
      </c>
      <c r="H646" t="s">
        <v>1451</v>
      </c>
      <c r="I646" t="str">
        <f>IF(quantInv[[#This Row],[Metal]] = "925 Silver",  "7113.11.00"," 7113.19.00")</f>
        <v>7113.11.00</v>
      </c>
      <c r="J646" t="str">
        <f>IF(quantInv[[#This Row],[Metal]] = "925 Silver", "7113.11.10.00"," 7113.19.10.00")</f>
        <v>7113.11.10.00</v>
      </c>
      <c r="K646" t="str">
        <f>IF(quantInv[[#This Row],[Metal]] = "925 Silver",  "7113.11.00"," 7113.19.00")</f>
        <v>7113.11.00</v>
      </c>
      <c r="L646" t="str">
        <f>IFERROR(VLOOKUP(quantInv[[#This Row],[Description for New Invoice]],Map!$G$12:$H$32,2,FALSE), IF(quantInv[[#This Row],[Metal]] = "925 Silver", "7113.11.10.00", "7113.19.29.00"))</f>
        <v>7113.11.50.00</v>
      </c>
      <c r="M646" t="str">
        <f>quantInv[[#This Row],[ASIN]] &amp; " " &amp; quantInv[[#This Row],[Short Description]]</f>
        <v>B08MFQ5FVJ Engraved Cross with Knot Pendant</v>
      </c>
      <c r="N646" s="33">
        <f>quantInv[[#This Row],[UNIT
VALUE]] / EURtoGBP</f>
        <v>4.4584064066109326</v>
      </c>
      <c r="O646" s="33">
        <f>quantInv[[#This Row],[UNIT
VALUE]]/USDtoGBP</f>
        <v>5.3842241697201993</v>
      </c>
      <c r="P646" s="33">
        <f>quantInv[[#This Row],[UNIT
VALUE]] / CADtoGBP</f>
        <v>6.8921164519734752</v>
      </c>
      <c r="Q646" s="33">
        <f>quantInv[[#This Row],[UNIT
VALUE]]/AUDtoGBP</f>
        <v>7.05456570155902</v>
      </c>
      <c r="R646">
        <f>IFERROR(VLOOKUP(quantInv[[#This Row],[Assigned Item SKU]],skuQuantity[#All],2,FALSE),0)</f>
        <v>0</v>
      </c>
      <c r="S646" t="str">
        <f>PROPER(quantInv[[#This Row],[Metal]] &amp; " " &amp; quantInv[[#This Row],[Item Type]])</f>
        <v>925 Silver Pendant</v>
      </c>
      <c r="T646" s="33">
        <f>quantInv[[#This Row],[Quantity]]*quantInv[[#This Row],[WEIGHT]]</f>
        <v>0</v>
      </c>
      <c r="U646" s="33">
        <f>quantInv[[#This Row],[UNIT
VALUE]]*quantInv[[#This Row],[Quantity]]</f>
        <v>0</v>
      </c>
      <c r="V646" s="33">
        <f>quantInv[[#This Row],[Total Cost GBP]]/EURtoGBP</f>
        <v>0</v>
      </c>
      <c r="W646" s="33">
        <f>quantInv[[#This Row],[Total Cost GBP]]/USDtoGBP</f>
        <v>0</v>
      </c>
      <c r="X646" s="33">
        <f>quantInv[[#This Row],[Total Cost GBP]]/CADtoGBP</f>
        <v>0</v>
      </c>
      <c r="Y646" s="33">
        <f>quantInv[[#This Row],[Quantity]]*quantInv[[#This Row],[UNIT
VALUE AUD]]</f>
        <v>0</v>
      </c>
      <c r="Z646" s="33"/>
    </row>
    <row r="647" spans="1:26" x14ac:dyDescent="0.25">
      <c r="A647" t="s">
        <v>1515</v>
      </c>
      <c r="B647" t="s">
        <v>1516</v>
      </c>
      <c r="C647" t="s">
        <v>114</v>
      </c>
      <c r="D647" t="s">
        <v>1517</v>
      </c>
      <c r="E647">
        <v>2.16</v>
      </c>
      <c r="F647" s="33">
        <v>4.5663999999999998</v>
      </c>
      <c r="G647" s="33" t="s">
        <v>117</v>
      </c>
      <c r="H647" t="s">
        <v>1451</v>
      </c>
      <c r="I647" t="str">
        <f>IF(quantInv[[#This Row],[Metal]] = "925 Silver",  "7113.11.00"," 7113.19.00")</f>
        <v>7113.11.00</v>
      </c>
      <c r="J647" t="str">
        <f>IF(quantInv[[#This Row],[Metal]] = "925 Silver", "7113.11.10.00"," 7113.19.10.00")</f>
        <v>7113.11.10.00</v>
      </c>
      <c r="K647" t="str">
        <f>IF(quantInv[[#This Row],[Metal]] = "925 Silver",  "7113.11.00"," 7113.19.00")</f>
        <v>7113.11.00</v>
      </c>
      <c r="L647" t="str">
        <f>IFERROR(VLOOKUP(quantInv[[#This Row],[Description for New Invoice]],Map!$G$12:$H$32,2,FALSE), IF(quantInv[[#This Row],[Metal]] = "925 Silver", "7113.11.10.00", "7113.19.29.00"))</f>
        <v>7113.11.50.00</v>
      </c>
      <c r="M647" t="str">
        <f>quantInv[[#This Row],[ASIN]] &amp; " " &amp; quantInv[[#This Row],[Short Description]]</f>
        <v>B082BBL6NW Pendant - Letter - B</v>
      </c>
      <c r="N647" s="33">
        <f>quantInv[[#This Row],[UNIT
VALUE]] / EURtoGBP</f>
        <v>5.18340683228051</v>
      </c>
      <c r="O647" s="33">
        <f>quantInv[[#This Row],[UNIT
VALUE]]/USDtoGBP</f>
        <v>6.2597757589964393</v>
      </c>
      <c r="P647" s="33">
        <f>quantInv[[#This Row],[UNIT
VALUE]] / CADtoGBP</f>
        <v>8.0128728177538182</v>
      </c>
      <c r="Q647" s="33">
        <f>quantInv[[#This Row],[UNIT
VALUE]]/AUDtoGBP</f>
        <v>8.2017386306487534</v>
      </c>
      <c r="R647">
        <f>IFERROR(VLOOKUP(quantInv[[#This Row],[Assigned Item SKU]],skuQuantity[#All],2,FALSE),0)</f>
        <v>0</v>
      </c>
      <c r="S647" t="str">
        <f>PROPER(quantInv[[#This Row],[Metal]] &amp; " " &amp; quantInv[[#This Row],[Item Type]])</f>
        <v>925 Silver Pendant</v>
      </c>
      <c r="T647" s="33">
        <f>quantInv[[#This Row],[Quantity]]*quantInv[[#This Row],[WEIGHT]]</f>
        <v>0</v>
      </c>
      <c r="U647" s="33">
        <f>quantInv[[#This Row],[UNIT
VALUE]]*quantInv[[#This Row],[Quantity]]</f>
        <v>0</v>
      </c>
      <c r="V647" s="33">
        <f>quantInv[[#This Row],[Total Cost GBP]]/EURtoGBP</f>
        <v>0</v>
      </c>
      <c r="W647" s="33">
        <f>quantInv[[#This Row],[Total Cost GBP]]/USDtoGBP</f>
        <v>0</v>
      </c>
      <c r="X647" s="33">
        <f>quantInv[[#This Row],[Total Cost GBP]]/CADtoGBP</f>
        <v>0</v>
      </c>
      <c r="Y647" s="33">
        <f>quantInv[[#This Row],[Quantity]]*quantInv[[#This Row],[UNIT
VALUE AUD]]</f>
        <v>0</v>
      </c>
      <c r="Z647" s="33"/>
    </row>
    <row r="648" spans="1:26" x14ac:dyDescent="0.25">
      <c r="A648" t="s">
        <v>1518</v>
      </c>
      <c r="B648" t="s">
        <v>1519</v>
      </c>
      <c r="C648" t="s">
        <v>114</v>
      </c>
      <c r="D648" t="s">
        <v>1520</v>
      </c>
      <c r="E648">
        <v>2.37</v>
      </c>
      <c r="F648" s="33">
        <v>4.9919000000000002</v>
      </c>
      <c r="G648" s="33" t="s">
        <v>117</v>
      </c>
      <c r="H648" t="s">
        <v>1451</v>
      </c>
      <c r="I648" t="str">
        <f>IF(quantInv[[#This Row],[Metal]] = "925 Silver",  "7113.11.00"," 7113.19.00")</f>
        <v>7113.11.00</v>
      </c>
      <c r="J648" t="str">
        <f>IF(quantInv[[#This Row],[Metal]] = "925 Silver", "7113.11.10.00"," 7113.19.10.00")</f>
        <v>7113.11.10.00</v>
      </c>
      <c r="K648" t="str">
        <f>IF(quantInv[[#This Row],[Metal]] = "925 Silver",  "7113.11.00"," 7113.19.00")</f>
        <v>7113.11.00</v>
      </c>
      <c r="L648" t="str">
        <f>IFERROR(VLOOKUP(quantInv[[#This Row],[Description for New Invoice]],Map!$G$12:$H$32,2,FALSE), IF(quantInv[[#This Row],[Metal]] = "925 Silver", "7113.11.10.00", "7113.19.29.00"))</f>
        <v>7113.11.50.00</v>
      </c>
      <c r="M648" t="str">
        <f>quantInv[[#This Row],[ASIN]] &amp; " " &amp; quantInv[[#This Row],[Short Description]]</f>
        <v>B082BBTLTG Pendant - Letter - C</v>
      </c>
      <c r="N648" s="33">
        <f>quantInv[[#This Row],[UNIT
VALUE]] / EURtoGBP</f>
        <v>5.6663999137309657</v>
      </c>
      <c r="O648" s="33">
        <f>quantInv[[#This Row],[UNIT
VALUE]]/USDtoGBP</f>
        <v>6.8430655683545751</v>
      </c>
      <c r="P648" s="33">
        <f>quantInv[[#This Row],[UNIT
VALUE]] / CADtoGBP</f>
        <v>8.7595173044291545</v>
      </c>
      <c r="Q648" s="33">
        <f>quantInv[[#This Row],[UNIT
VALUE]]/AUDtoGBP</f>
        <v>8.9659817515626123</v>
      </c>
      <c r="R648">
        <f>IFERROR(VLOOKUP(quantInv[[#This Row],[Assigned Item SKU]],skuQuantity[#All],2,FALSE),0)</f>
        <v>0</v>
      </c>
      <c r="S648" t="str">
        <f>PROPER(quantInv[[#This Row],[Metal]] &amp; " " &amp; quantInv[[#This Row],[Item Type]])</f>
        <v>925 Silver Pendant</v>
      </c>
      <c r="T648" s="33">
        <f>quantInv[[#This Row],[Quantity]]*quantInv[[#This Row],[WEIGHT]]</f>
        <v>0</v>
      </c>
      <c r="U648" s="33">
        <f>quantInv[[#This Row],[UNIT
VALUE]]*quantInv[[#This Row],[Quantity]]</f>
        <v>0</v>
      </c>
      <c r="V648" s="33">
        <f>quantInv[[#This Row],[Total Cost GBP]]/EURtoGBP</f>
        <v>0</v>
      </c>
      <c r="W648" s="33">
        <f>quantInv[[#This Row],[Total Cost GBP]]/USDtoGBP</f>
        <v>0</v>
      </c>
      <c r="X648" s="33">
        <f>quantInv[[#This Row],[Total Cost GBP]]/CADtoGBP</f>
        <v>0</v>
      </c>
      <c r="Y648" s="33">
        <f>quantInv[[#This Row],[Quantity]]*quantInv[[#This Row],[UNIT
VALUE AUD]]</f>
        <v>0</v>
      </c>
      <c r="Z648" s="33"/>
    </row>
    <row r="649" spans="1:26" x14ac:dyDescent="0.25">
      <c r="A649" t="s">
        <v>1521</v>
      </c>
      <c r="B649" t="s">
        <v>1522</v>
      </c>
      <c r="C649" t="s">
        <v>114</v>
      </c>
      <c r="D649" t="s">
        <v>1523</v>
      </c>
      <c r="E649">
        <v>2.62</v>
      </c>
      <c r="F649" s="33">
        <v>5.4984999999999999</v>
      </c>
      <c r="G649" s="33" t="s">
        <v>117</v>
      </c>
      <c r="H649" t="s">
        <v>1451</v>
      </c>
      <c r="I649" t="str">
        <f>IF(quantInv[[#This Row],[Metal]] = "925 Silver",  "7113.11.00"," 7113.19.00")</f>
        <v>7113.11.00</v>
      </c>
      <c r="J649" t="str">
        <f>IF(quantInv[[#This Row],[Metal]] = "925 Silver", "7113.11.10.00"," 7113.19.10.00")</f>
        <v>7113.11.10.00</v>
      </c>
      <c r="K649" t="str">
        <f>IF(quantInv[[#This Row],[Metal]] = "925 Silver",  "7113.11.00"," 7113.19.00")</f>
        <v>7113.11.00</v>
      </c>
      <c r="L649" t="str">
        <f>IFERROR(VLOOKUP(quantInv[[#This Row],[Description for New Invoice]],Map!$G$12:$H$32,2,FALSE), IF(quantInv[[#This Row],[Metal]] = "925 Silver", "7113.11.10.00", "7113.19.29.00"))</f>
        <v>7113.11.50.00</v>
      </c>
      <c r="M649" t="str">
        <f>quantInv[[#This Row],[ASIN]] &amp; " " &amp; quantInv[[#This Row],[Short Description]]</f>
        <v>B082B9CHCZ Pendant - Letter - D</v>
      </c>
      <c r="N649" s="33">
        <f>quantInv[[#This Row],[UNIT
VALUE]] / EURtoGBP</f>
        <v>6.2414511359702143</v>
      </c>
      <c r="O649" s="33">
        <f>quantInv[[#This Row],[UNIT
VALUE]]/USDtoGBP</f>
        <v>7.5375300041262099</v>
      </c>
      <c r="P649" s="33">
        <f>quantInv[[#This Row],[UNIT
VALUE]] / CADtoGBP</f>
        <v>9.6484717038409631</v>
      </c>
      <c r="Q649" s="33">
        <f>quantInv[[#This Row],[UNIT
VALUE]]/AUDtoGBP</f>
        <v>9.875889072490839</v>
      </c>
      <c r="R649">
        <f>IFERROR(VLOOKUP(quantInv[[#This Row],[Assigned Item SKU]],skuQuantity[#All],2,FALSE),0)</f>
        <v>0</v>
      </c>
      <c r="S649" t="str">
        <f>PROPER(quantInv[[#This Row],[Metal]] &amp; " " &amp; quantInv[[#This Row],[Item Type]])</f>
        <v>925 Silver Pendant</v>
      </c>
      <c r="T649" s="33">
        <f>quantInv[[#This Row],[Quantity]]*quantInv[[#This Row],[WEIGHT]]</f>
        <v>0</v>
      </c>
      <c r="U649" s="33">
        <f>quantInv[[#This Row],[UNIT
VALUE]]*quantInv[[#This Row],[Quantity]]</f>
        <v>0</v>
      </c>
      <c r="V649" s="33">
        <f>quantInv[[#This Row],[Total Cost GBP]]/EURtoGBP</f>
        <v>0</v>
      </c>
      <c r="W649" s="33">
        <f>quantInv[[#This Row],[Total Cost GBP]]/USDtoGBP</f>
        <v>0</v>
      </c>
      <c r="X649" s="33">
        <f>quantInv[[#This Row],[Total Cost GBP]]/CADtoGBP</f>
        <v>0</v>
      </c>
      <c r="Y649" s="33">
        <f>quantInv[[#This Row],[Quantity]]*quantInv[[#This Row],[UNIT
VALUE AUD]]</f>
        <v>0</v>
      </c>
      <c r="Z649" s="33"/>
    </row>
    <row r="650" spans="1:26" x14ac:dyDescent="0.25">
      <c r="A650" t="s">
        <v>2098</v>
      </c>
      <c r="B650" t="s">
        <v>2099</v>
      </c>
      <c r="C650" t="s">
        <v>115</v>
      </c>
      <c r="D650" t="s">
        <v>2100</v>
      </c>
      <c r="E650">
        <v>1.35</v>
      </c>
      <c r="F650" s="33">
        <v>2.7109000000000001</v>
      </c>
      <c r="G650" s="33" t="s">
        <v>117</v>
      </c>
      <c r="H650" t="s">
        <v>1310</v>
      </c>
      <c r="I650" t="str">
        <f>IF(quantInv[[#This Row],[Metal]] = "925 Silver",  "7113.11.00"," 7113.19.00")</f>
        <v>7113.11.00</v>
      </c>
      <c r="J650" t="str">
        <f>IF(quantInv[[#This Row],[Metal]] = "925 Silver", "7113.11.10.00"," 7113.19.10.00")</f>
        <v>7113.11.10.00</v>
      </c>
      <c r="K650" t="str">
        <f>IF(quantInv[[#This Row],[Metal]] = "925 Silver",  "7113.11.00"," 7113.19.00")</f>
        <v>7113.11.00</v>
      </c>
      <c r="L650" t="str">
        <f>IFERROR(VLOOKUP(quantInv[[#This Row],[Description for New Invoice]],Map!$G$12:$H$32,2,FALSE), IF(quantInv[[#This Row],[Metal]] = "925 Silver", "7113.11.10.00", "7113.19.29.00"))</f>
        <v>7113.11.50.00</v>
      </c>
      <c r="M650" t="str">
        <f>quantInv[[#This Row],[ASIN]] &amp; " " &amp; quantInv[[#This Row],[Short Description]]</f>
        <v>B08J8BHNF6 Small Thick Heart Studs</v>
      </c>
      <c r="N650" s="33">
        <f>quantInv[[#This Row],[UNIT
VALUE]] / EURtoGBP</f>
        <v>3.0771937591164238</v>
      </c>
      <c r="O650" s="33">
        <f>quantInv[[#This Row],[UNIT
VALUE]]/USDtoGBP</f>
        <v>3.7161935233583239</v>
      </c>
      <c r="P650" s="33">
        <f>quantInv[[#This Row],[UNIT
VALUE]] / CADtoGBP</f>
        <v>4.7569413370814706</v>
      </c>
      <c r="Q650" s="33">
        <f>quantInv[[#This Row],[UNIT
VALUE]]/AUDtoGBP</f>
        <v>4.8690638695308568</v>
      </c>
      <c r="R650">
        <f>IFERROR(VLOOKUP(quantInv[[#This Row],[Assigned Item SKU]],skuQuantity[#All],2,FALSE),0)</f>
        <v>0</v>
      </c>
      <c r="S650" t="str">
        <f>PROPER(quantInv[[#This Row],[Metal]] &amp; " " &amp; quantInv[[#This Row],[Item Type]])</f>
        <v>925 Silver Earrings</v>
      </c>
      <c r="T650" s="33">
        <f>quantInv[[#This Row],[Quantity]]*quantInv[[#This Row],[WEIGHT]]</f>
        <v>0</v>
      </c>
      <c r="U650" s="33">
        <f>quantInv[[#This Row],[UNIT
VALUE]]*quantInv[[#This Row],[Quantity]]</f>
        <v>0</v>
      </c>
      <c r="V650" s="33">
        <f>quantInv[[#This Row],[Total Cost GBP]]/EURtoGBP</f>
        <v>0</v>
      </c>
      <c r="W650" s="33">
        <f>quantInv[[#This Row],[Total Cost GBP]]/USDtoGBP</f>
        <v>0</v>
      </c>
      <c r="X650" s="33">
        <f>quantInv[[#This Row],[Total Cost GBP]]/CADtoGBP</f>
        <v>0</v>
      </c>
      <c r="Y650" s="33">
        <f>quantInv[[#This Row],[Quantity]]*quantInv[[#This Row],[UNIT
VALUE AUD]]</f>
        <v>0</v>
      </c>
      <c r="Z650" s="33"/>
    </row>
    <row r="651" spans="1:26" x14ac:dyDescent="0.25">
      <c r="A651" t="s">
        <v>2192</v>
      </c>
      <c r="B651" t="s">
        <v>2193</v>
      </c>
      <c r="C651" t="s">
        <v>114</v>
      </c>
      <c r="D651" t="s">
        <v>2194</v>
      </c>
      <c r="E651">
        <v>10</v>
      </c>
      <c r="F651" s="33">
        <v>9.1796000000000006</v>
      </c>
      <c r="G651" s="33" t="s">
        <v>117</v>
      </c>
      <c r="H651" t="s">
        <v>103</v>
      </c>
      <c r="I651" t="str">
        <f>IF(quantInv[[#This Row],[Metal]] = "925 Silver",  "7113.11.00"," 7113.19.00")</f>
        <v>7113.11.00</v>
      </c>
      <c r="J651" t="str">
        <f>IF(quantInv[[#This Row],[Metal]] = "925 Silver", "7113.11.10.00"," 7113.19.10.00")</f>
        <v>7113.11.10.00</v>
      </c>
      <c r="K651" t="str">
        <f>IF(quantInv[[#This Row],[Metal]] = "925 Silver",  "7113.11.00"," 7113.19.00")</f>
        <v>7113.11.00</v>
      </c>
      <c r="L651" t="str">
        <f>IFERROR(VLOOKUP(quantInv[[#This Row],[Description for New Invoice]],Map!$G$12:$H$32,2,FALSE), IF(quantInv[[#This Row],[Metal]] = "925 Silver", "7113.11.10.00", "7113.19.29.00"))</f>
        <v>7113.11.10.00</v>
      </c>
      <c r="M651" t="str">
        <f>quantInv[[#This Row],[ASIN]] &amp; " " &amp; quantInv[[#This Row],[Short Description]]</f>
        <v>B08LW4NW2K Chain - Super Flat Figaro - Gauge 120 - Width 4.7 mm - Length 50 cm</v>
      </c>
      <c r="N651" s="33">
        <f>quantInv[[#This Row],[UNIT
VALUE]] / EURtoGBP</f>
        <v>10.419937227926196</v>
      </c>
      <c r="O651" s="33">
        <f>quantInv[[#This Row],[UNIT
VALUE]]/USDtoGBP</f>
        <v>12.583706542852953</v>
      </c>
      <c r="P651" s="33">
        <f>quantInv[[#This Row],[UNIT
VALUE]] / CADtoGBP</f>
        <v>16.10786775531118</v>
      </c>
      <c r="Q651" s="33">
        <f>quantInv[[#This Row],[UNIT
VALUE]]/AUDtoGBP</f>
        <v>16.487535024067821</v>
      </c>
      <c r="R651">
        <f>IFERROR(VLOOKUP(quantInv[[#This Row],[Assigned Item SKU]],skuQuantity[#All],2,FALSE),0)</f>
        <v>5</v>
      </c>
      <c r="S651" t="str">
        <f>PROPER(quantInv[[#This Row],[Metal]] &amp; " " &amp; quantInv[[#This Row],[Item Type]])</f>
        <v>925 Silver Chain</v>
      </c>
      <c r="T651" s="33">
        <f>quantInv[[#This Row],[Quantity]]*quantInv[[#This Row],[WEIGHT]]</f>
        <v>50</v>
      </c>
      <c r="U651" s="33">
        <f>quantInv[[#This Row],[UNIT
VALUE]]*quantInv[[#This Row],[Quantity]]</f>
        <v>45.898000000000003</v>
      </c>
      <c r="V651" s="33">
        <f>quantInv[[#This Row],[Total Cost GBP]]/EURtoGBP</f>
        <v>52.099686139630975</v>
      </c>
      <c r="W651" s="33">
        <f>quantInv[[#This Row],[Total Cost GBP]]/USDtoGBP</f>
        <v>62.918532714264764</v>
      </c>
      <c r="X651" s="33">
        <f>quantInv[[#This Row],[Total Cost GBP]]/CADtoGBP</f>
        <v>80.539338776555894</v>
      </c>
      <c r="Y651" s="33">
        <f>quantInv[[#This Row],[Quantity]]*quantInv[[#This Row],[UNIT
VALUE AUD]]</f>
        <v>82.437675120339108</v>
      </c>
      <c r="Z651" s="33"/>
    </row>
    <row r="652" spans="1:26" x14ac:dyDescent="0.25">
      <c r="A652" t="s">
        <v>1530</v>
      </c>
      <c r="B652" t="s">
        <v>1531</v>
      </c>
      <c r="C652" t="s">
        <v>114</v>
      </c>
      <c r="D652" t="s">
        <v>1532</v>
      </c>
      <c r="E652">
        <v>1.8</v>
      </c>
      <c r="F652" s="33">
        <v>3.8370000000000002</v>
      </c>
      <c r="G652" s="33" t="s">
        <v>117</v>
      </c>
      <c r="H652" t="s">
        <v>1451</v>
      </c>
      <c r="I652" t="str">
        <f>IF(quantInv[[#This Row],[Metal]] = "925 Silver",  "7113.11.00"," 7113.19.00")</f>
        <v>7113.11.00</v>
      </c>
      <c r="J652" t="str">
        <f>IF(quantInv[[#This Row],[Metal]] = "925 Silver", "7113.11.10.00"," 7113.19.10.00")</f>
        <v>7113.11.10.00</v>
      </c>
      <c r="K652" t="str">
        <f>IF(quantInv[[#This Row],[Metal]] = "925 Silver",  "7113.11.00"," 7113.19.00")</f>
        <v>7113.11.00</v>
      </c>
      <c r="L652" t="str">
        <f>IFERROR(VLOOKUP(quantInv[[#This Row],[Description for New Invoice]],Map!$G$12:$H$32,2,FALSE), IF(quantInv[[#This Row],[Metal]] = "925 Silver", "7113.11.10.00", "7113.19.29.00"))</f>
        <v>7113.11.50.00</v>
      </c>
      <c r="M652" t="str">
        <f>quantInv[[#This Row],[ASIN]] &amp; " " &amp; quantInv[[#This Row],[Short Description]]</f>
        <v>B082BDLQXP Pendant - Letter - G</v>
      </c>
      <c r="N652" s="33">
        <f>quantInv[[#This Row],[UNIT
VALUE]] / EURtoGBP</f>
        <v>4.3554511246190257</v>
      </c>
      <c r="O652" s="33">
        <f>quantInv[[#This Row],[UNIT
VALUE]]/USDtoGBP</f>
        <v>5.2598895382071964</v>
      </c>
      <c r="P652" s="33">
        <f>quantInv[[#This Row],[UNIT
VALUE]] / CADtoGBP</f>
        <v>6.7329609762003777</v>
      </c>
      <c r="Q652" s="33">
        <f>quantInv[[#This Row],[UNIT
VALUE]]/AUDtoGBP</f>
        <v>6.8916588835404839</v>
      </c>
      <c r="R652">
        <f>IFERROR(VLOOKUP(quantInv[[#This Row],[Assigned Item SKU]],skuQuantity[#All],2,FALSE),0)</f>
        <v>0</v>
      </c>
      <c r="S652" t="str">
        <f>PROPER(quantInv[[#This Row],[Metal]] &amp; " " &amp; quantInv[[#This Row],[Item Type]])</f>
        <v>925 Silver Pendant</v>
      </c>
      <c r="T652" s="33">
        <f>quantInv[[#This Row],[Quantity]]*quantInv[[#This Row],[WEIGHT]]</f>
        <v>0</v>
      </c>
      <c r="U652" s="33">
        <f>quantInv[[#This Row],[UNIT
VALUE]]*quantInv[[#This Row],[Quantity]]</f>
        <v>0</v>
      </c>
      <c r="V652" s="33">
        <f>quantInv[[#This Row],[Total Cost GBP]]/EURtoGBP</f>
        <v>0</v>
      </c>
      <c r="W652" s="33">
        <f>quantInv[[#This Row],[Total Cost GBP]]/USDtoGBP</f>
        <v>0</v>
      </c>
      <c r="X652" s="33">
        <f>quantInv[[#This Row],[Total Cost GBP]]/CADtoGBP</f>
        <v>0</v>
      </c>
      <c r="Y652" s="33">
        <f>quantInv[[#This Row],[Quantity]]*quantInv[[#This Row],[UNIT
VALUE AUD]]</f>
        <v>0</v>
      </c>
      <c r="Z652" s="33"/>
    </row>
    <row r="653" spans="1:26" x14ac:dyDescent="0.25">
      <c r="A653" t="s">
        <v>1533</v>
      </c>
      <c r="B653" t="s">
        <v>1534</v>
      </c>
      <c r="C653" t="s">
        <v>114</v>
      </c>
      <c r="D653" t="s">
        <v>1535</v>
      </c>
      <c r="E653">
        <v>2.16</v>
      </c>
      <c r="F653" s="33">
        <v>4.5663999999999998</v>
      </c>
      <c r="G653" s="33" t="s">
        <v>117</v>
      </c>
      <c r="H653" t="s">
        <v>1451</v>
      </c>
      <c r="I653" t="str">
        <f>IF(quantInv[[#This Row],[Metal]] = "925 Silver",  "7113.11.00"," 7113.19.00")</f>
        <v>7113.11.00</v>
      </c>
      <c r="J653" t="str">
        <f>IF(quantInv[[#This Row],[Metal]] = "925 Silver", "7113.11.10.00"," 7113.19.10.00")</f>
        <v>7113.11.10.00</v>
      </c>
      <c r="K653" t="str">
        <f>IF(quantInv[[#This Row],[Metal]] = "925 Silver",  "7113.11.00"," 7113.19.00")</f>
        <v>7113.11.00</v>
      </c>
      <c r="L653" t="str">
        <f>IFERROR(VLOOKUP(quantInv[[#This Row],[Description for New Invoice]],Map!$G$12:$H$32,2,FALSE), IF(quantInv[[#This Row],[Metal]] = "925 Silver", "7113.11.10.00", "7113.19.29.00"))</f>
        <v>7113.11.50.00</v>
      </c>
      <c r="M653" t="str">
        <f>quantInv[[#This Row],[ASIN]] &amp; " " &amp; quantInv[[#This Row],[Short Description]]</f>
        <v>B082BBN14N Pendant - Letter - H</v>
      </c>
      <c r="N653" s="33">
        <f>quantInv[[#This Row],[UNIT
VALUE]] / EURtoGBP</f>
        <v>5.18340683228051</v>
      </c>
      <c r="O653" s="33">
        <f>quantInv[[#This Row],[UNIT
VALUE]]/USDtoGBP</f>
        <v>6.2597757589964393</v>
      </c>
      <c r="P653" s="33">
        <f>quantInv[[#This Row],[UNIT
VALUE]] / CADtoGBP</f>
        <v>8.0128728177538182</v>
      </c>
      <c r="Q653" s="33">
        <f>quantInv[[#This Row],[UNIT
VALUE]]/AUDtoGBP</f>
        <v>8.2017386306487534</v>
      </c>
      <c r="R653">
        <f>IFERROR(VLOOKUP(quantInv[[#This Row],[Assigned Item SKU]],skuQuantity[#All],2,FALSE),0)</f>
        <v>0</v>
      </c>
      <c r="S653" t="str">
        <f>PROPER(quantInv[[#This Row],[Metal]] &amp; " " &amp; quantInv[[#This Row],[Item Type]])</f>
        <v>925 Silver Pendant</v>
      </c>
      <c r="T653" s="33">
        <f>quantInv[[#This Row],[Quantity]]*quantInv[[#This Row],[WEIGHT]]</f>
        <v>0</v>
      </c>
      <c r="U653" s="33">
        <f>quantInv[[#This Row],[UNIT
VALUE]]*quantInv[[#This Row],[Quantity]]</f>
        <v>0</v>
      </c>
      <c r="V653" s="33">
        <f>quantInv[[#This Row],[Total Cost GBP]]/EURtoGBP</f>
        <v>0</v>
      </c>
      <c r="W653" s="33">
        <f>quantInv[[#This Row],[Total Cost GBP]]/USDtoGBP</f>
        <v>0</v>
      </c>
      <c r="X653" s="33">
        <f>quantInv[[#This Row],[Total Cost GBP]]/CADtoGBP</f>
        <v>0</v>
      </c>
      <c r="Y653" s="33">
        <f>quantInv[[#This Row],[Quantity]]*quantInv[[#This Row],[UNIT
VALUE AUD]]</f>
        <v>0</v>
      </c>
      <c r="Z653" s="33"/>
    </row>
    <row r="654" spans="1:26" x14ac:dyDescent="0.25">
      <c r="A654" t="s">
        <v>1536</v>
      </c>
      <c r="B654" t="s">
        <v>1537</v>
      </c>
      <c r="C654" t="s">
        <v>114</v>
      </c>
      <c r="D654" t="s">
        <v>1538</v>
      </c>
      <c r="E654">
        <v>1.78</v>
      </c>
      <c r="F654" s="33">
        <v>3.7964000000000002</v>
      </c>
      <c r="G654" s="33" t="s">
        <v>117</v>
      </c>
      <c r="H654" t="s">
        <v>1451</v>
      </c>
      <c r="I654" t="str">
        <f>IF(quantInv[[#This Row],[Metal]] = "925 Silver",  "7113.11.00"," 7113.19.00")</f>
        <v>7113.11.00</v>
      </c>
      <c r="J654" t="str">
        <f>IF(quantInv[[#This Row],[Metal]] = "925 Silver", "7113.11.10.00"," 7113.19.10.00")</f>
        <v>7113.11.10.00</v>
      </c>
      <c r="K654" t="str">
        <f>IF(quantInv[[#This Row],[Metal]] = "925 Silver",  "7113.11.00"," 7113.19.00")</f>
        <v>7113.11.00</v>
      </c>
      <c r="L654" t="str">
        <f>IFERROR(VLOOKUP(quantInv[[#This Row],[Description for New Invoice]],Map!$G$12:$H$32,2,FALSE), IF(quantInv[[#This Row],[Metal]] = "925 Silver", "7113.11.10.00", "7113.19.29.00"))</f>
        <v>7113.11.50.00</v>
      </c>
      <c r="M654" t="str">
        <f>quantInv[[#This Row],[ASIN]] &amp; " " &amp; quantInv[[#This Row],[Short Description]]</f>
        <v>B082BBK3VZ Pendant - Letter - I</v>
      </c>
      <c r="N654" s="33">
        <f>quantInv[[#This Row],[UNIT
VALUE]] / EURtoGBP</f>
        <v>4.3093652982808628</v>
      </c>
      <c r="O654" s="33">
        <f>quantInv[[#This Row],[UNIT
VALUE]]/USDtoGBP</f>
        <v>5.2042336833072191</v>
      </c>
      <c r="P654" s="33">
        <f>quantInv[[#This Row],[UNIT
VALUE]] / CADtoGBP</f>
        <v>6.6617182825246584</v>
      </c>
      <c r="Q654" s="33">
        <f>quantInv[[#This Row],[UNIT
VALUE]]/AUDtoGBP</f>
        <v>6.8187369782311951</v>
      </c>
      <c r="R654">
        <f>IFERROR(VLOOKUP(quantInv[[#This Row],[Assigned Item SKU]],skuQuantity[#All],2,FALSE),0)</f>
        <v>5</v>
      </c>
      <c r="S654" t="str">
        <f>PROPER(quantInv[[#This Row],[Metal]] &amp; " " &amp; quantInv[[#This Row],[Item Type]])</f>
        <v>925 Silver Pendant</v>
      </c>
      <c r="T654" s="33">
        <f>quantInv[[#This Row],[Quantity]]*quantInv[[#This Row],[WEIGHT]]</f>
        <v>8.9</v>
      </c>
      <c r="U654" s="33">
        <f>quantInv[[#This Row],[UNIT
VALUE]]*quantInv[[#This Row],[Quantity]]</f>
        <v>18.981999999999999</v>
      </c>
      <c r="V654" s="33">
        <f>quantInv[[#This Row],[Total Cost GBP]]/EURtoGBP</f>
        <v>21.54682649140431</v>
      </c>
      <c r="W654" s="33">
        <f>quantInv[[#This Row],[Total Cost GBP]]/USDtoGBP</f>
        <v>26.021168416536096</v>
      </c>
      <c r="X654" s="33">
        <f>quantInv[[#This Row],[Total Cost GBP]]/CADtoGBP</f>
        <v>33.308591412623286</v>
      </c>
      <c r="Y654" s="33">
        <f>quantInv[[#This Row],[Quantity]]*quantInv[[#This Row],[UNIT
VALUE AUD]]</f>
        <v>34.093684891155974</v>
      </c>
      <c r="Z654" s="33"/>
    </row>
    <row r="655" spans="1:26" x14ac:dyDescent="0.25">
      <c r="A655" t="s">
        <v>2246</v>
      </c>
      <c r="B655" t="s">
        <v>2247</v>
      </c>
      <c r="C655" t="s">
        <v>115</v>
      </c>
      <c r="D655" t="s">
        <v>2248</v>
      </c>
      <c r="E655">
        <v>1.23</v>
      </c>
      <c r="F655" s="33">
        <v>1.9806999999999999</v>
      </c>
      <c r="G655" s="33" t="s">
        <v>117</v>
      </c>
      <c r="H655" t="s">
        <v>1310</v>
      </c>
      <c r="I655" t="str">
        <f>IF(quantInv[[#This Row],[Metal]] = "925 Silver",  "7113.11.00"," 7113.19.00")</f>
        <v>7113.11.00</v>
      </c>
      <c r="J655" t="str">
        <f>IF(quantInv[[#This Row],[Metal]] = "925 Silver", "7113.11.10.00"," 7113.19.10.00")</f>
        <v>7113.11.10.00</v>
      </c>
      <c r="K655" t="str">
        <f>IF(quantInv[[#This Row],[Metal]] = "925 Silver",  "7113.11.00"," 7113.19.00")</f>
        <v>7113.11.00</v>
      </c>
      <c r="L655" t="str">
        <f>IFERROR(VLOOKUP(quantInv[[#This Row],[Description for New Invoice]],Map!$G$12:$H$32,2,FALSE), IF(quantInv[[#This Row],[Metal]] = "925 Silver", "7113.11.10.00", "7113.19.29.00"))</f>
        <v>7113.11.50.00</v>
      </c>
      <c r="M655" t="str">
        <f>quantInv[[#This Row],[ASIN]] &amp; " " &amp; quantInv[[#This Row],[Short Description]]</f>
        <v>B08ZSTHD3P Silver Pearl Studs (white) - 6 to 7 mm</v>
      </c>
      <c r="N655" s="33">
        <f>quantInv[[#This Row],[UNIT
VALUE]] / EURtoGBP</f>
        <v>2.248329956354679</v>
      </c>
      <c r="O655" s="33">
        <f>quantInv[[#This Row],[UNIT
VALUE]]/USDtoGBP</f>
        <v>2.7152106354774546</v>
      </c>
      <c r="P655" s="33">
        <f>quantInv[[#This Row],[UNIT
VALUE]] / CADtoGBP</f>
        <v>3.4756256986083103</v>
      </c>
      <c r="Q655" s="33">
        <f>quantInv[[#This Row],[UNIT
VALUE]]/AUDtoGBP</f>
        <v>3.5575472375889068</v>
      </c>
      <c r="R655">
        <f>IFERROR(VLOOKUP(quantInv[[#This Row],[Assigned Item SKU]],skuQuantity[#All],2,FALSE),0)</f>
        <v>0</v>
      </c>
      <c r="S655" t="str">
        <f>PROPER(quantInv[[#This Row],[Metal]] &amp; " " &amp; quantInv[[#This Row],[Item Type]])</f>
        <v>925 Silver Earrings</v>
      </c>
      <c r="T655" s="33">
        <f>quantInv[[#This Row],[Quantity]]*quantInv[[#This Row],[WEIGHT]]</f>
        <v>0</v>
      </c>
      <c r="U655" s="33">
        <f>quantInv[[#This Row],[UNIT
VALUE]]*quantInv[[#This Row],[Quantity]]</f>
        <v>0</v>
      </c>
      <c r="V655" s="33">
        <f>quantInv[[#This Row],[Total Cost GBP]]/EURtoGBP</f>
        <v>0</v>
      </c>
      <c r="W655" s="33">
        <f>quantInv[[#This Row],[Total Cost GBP]]/USDtoGBP</f>
        <v>0</v>
      </c>
      <c r="X655" s="33">
        <f>quantInv[[#This Row],[Total Cost GBP]]/CADtoGBP</f>
        <v>0</v>
      </c>
      <c r="Y655" s="33">
        <f>quantInv[[#This Row],[Quantity]]*quantInv[[#This Row],[UNIT
VALUE AUD]]</f>
        <v>0</v>
      </c>
      <c r="Z655" s="33"/>
    </row>
    <row r="656" spans="1:26" x14ac:dyDescent="0.25">
      <c r="A656" t="s">
        <v>2249</v>
      </c>
      <c r="B656" t="s">
        <v>2250</v>
      </c>
      <c r="C656" t="s">
        <v>115</v>
      </c>
      <c r="D656" t="s">
        <v>2251</v>
      </c>
      <c r="E656">
        <v>1.5</v>
      </c>
      <c r="F656" s="33">
        <v>2.0619000000000001</v>
      </c>
      <c r="G656" s="33" t="s">
        <v>117</v>
      </c>
      <c r="H656" t="s">
        <v>1310</v>
      </c>
      <c r="I656" t="str">
        <f>IF(quantInv[[#This Row],[Metal]] = "925 Silver",  "7113.11.00"," 7113.19.00")</f>
        <v>7113.11.00</v>
      </c>
      <c r="J656" t="str">
        <f>IF(quantInv[[#This Row],[Metal]] = "925 Silver", "7113.11.10.00"," 7113.19.10.00")</f>
        <v>7113.11.10.00</v>
      </c>
      <c r="K656" t="str">
        <f>IF(quantInv[[#This Row],[Metal]] = "925 Silver",  "7113.11.00"," 7113.19.00")</f>
        <v>7113.11.00</v>
      </c>
      <c r="L656" t="str">
        <f>IFERROR(VLOOKUP(quantInv[[#This Row],[Description for New Invoice]],Map!$G$12:$H$32,2,FALSE), IF(quantInv[[#This Row],[Metal]] = "925 Silver", "7113.11.10.00", "7113.19.29.00"))</f>
        <v>7113.11.50.00</v>
      </c>
      <c r="M656" t="str">
        <f>quantInv[[#This Row],[ASIN]] &amp; " " &amp; quantInv[[#This Row],[Short Description]]</f>
        <v>B08ZSVSK7Z Silver Pearl Studs (white) - 7 to 8 mm</v>
      </c>
      <c r="N656" s="33">
        <f>quantInv[[#This Row],[UNIT
VALUE]] / EURtoGBP</f>
        <v>2.3405016090310058</v>
      </c>
      <c r="O656" s="33">
        <f>quantInv[[#This Row],[UNIT
VALUE]]/USDtoGBP</f>
        <v>2.8265223452774091</v>
      </c>
      <c r="P656" s="33">
        <f>quantInv[[#This Row],[UNIT
VALUE]] / CADtoGBP</f>
        <v>3.6181110859597494</v>
      </c>
      <c r="Q656" s="33">
        <f>quantInv[[#This Row],[UNIT
VALUE]]/AUDtoGBP</f>
        <v>3.7033910482074859</v>
      </c>
      <c r="R656">
        <f>IFERROR(VLOOKUP(quantInv[[#This Row],[Assigned Item SKU]],skuQuantity[#All],2,FALSE),0)</f>
        <v>0</v>
      </c>
      <c r="S656" t="str">
        <f>PROPER(quantInv[[#This Row],[Metal]] &amp; " " &amp; quantInv[[#This Row],[Item Type]])</f>
        <v>925 Silver Earrings</v>
      </c>
      <c r="T656" s="33">
        <f>quantInv[[#This Row],[Quantity]]*quantInv[[#This Row],[WEIGHT]]</f>
        <v>0</v>
      </c>
      <c r="U656" s="33">
        <f>quantInv[[#This Row],[UNIT
VALUE]]*quantInv[[#This Row],[Quantity]]</f>
        <v>0</v>
      </c>
      <c r="V656" s="33">
        <f>quantInv[[#This Row],[Total Cost GBP]]/EURtoGBP</f>
        <v>0</v>
      </c>
      <c r="W656" s="33">
        <f>quantInv[[#This Row],[Total Cost GBP]]/USDtoGBP</f>
        <v>0</v>
      </c>
      <c r="X656" s="33">
        <f>quantInv[[#This Row],[Total Cost GBP]]/CADtoGBP</f>
        <v>0</v>
      </c>
      <c r="Y656" s="33">
        <f>quantInv[[#This Row],[Quantity]]*quantInv[[#This Row],[UNIT
VALUE AUD]]</f>
        <v>0</v>
      </c>
      <c r="Z656" s="33"/>
    </row>
    <row r="657" spans="1:26" x14ac:dyDescent="0.25">
      <c r="A657" t="s">
        <v>1545</v>
      </c>
      <c r="B657" t="s">
        <v>1546</v>
      </c>
      <c r="C657" t="s">
        <v>114</v>
      </c>
      <c r="D657" t="s">
        <v>1547</v>
      </c>
      <c r="E657">
        <v>2.31</v>
      </c>
      <c r="F657" s="33">
        <v>4.8703000000000003</v>
      </c>
      <c r="G657" s="33" t="s">
        <v>117</v>
      </c>
      <c r="H657" t="s">
        <v>1451</v>
      </c>
      <c r="I657" t="str">
        <f>IF(quantInv[[#This Row],[Metal]] = "925 Silver",  "7113.11.00"," 7113.19.00")</f>
        <v>7113.11.00</v>
      </c>
      <c r="J657" t="str">
        <f>IF(quantInv[[#This Row],[Metal]] = "925 Silver", "7113.11.10.00"," 7113.19.10.00")</f>
        <v>7113.11.10.00</v>
      </c>
      <c r="K657" t="str">
        <f>IF(quantInv[[#This Row],[Metal]] = "925 Silver",  "7113.11.00"," 7113.19.00")</f>
        <v>7113.11.00</v>
      </c>
      <c r="L657" t="str">
        <f>IFERROR(VLOOKUP(quantInv[[#This Row],[Description for New Invoice]],Map!$G$12:$H$32,2,FALSE), IF(quantInv[[#This Row],[Metal]] = "925 Silver", "7113.11.10.00", "7113.19.29.00"))</f>
        <v>7113.11.50.00</v>
      </c>
      <c r="M657" t="str">
        <f>quantInv[[#This Row],[ASIN]] &amp; " " &amp; quantInv[[#This Row],[Short Description]]</f>
        <v>B082BCWM1R Pendant - Letter - L</v>
      </c>
      <c r="N657" s="33">
        <f>quantInv[[#This Row],[UNIT
VALUE]] / EURtoGBP</f>
        <v>5.5283694584915413</v>
      </c>
      <c r="O657" s="33">
        <f>quantInv[[#This Row],[UNIT
VALUE]]/USDtoGBP</f>
        <v>6.67637217042755</v>
      </c>
      <c r="P657" s="33">
        <f>quantInv[[#This Row],[UNIT
VALUE]] / CADtoGBP</f>
        <v>8.5461401726319259</v>
      </c>
      <c r="Q657" s="33">
        <f>quantInv[[#This Row],[UNIT
VALUE]]/AUDtoGBP</f>
        <v>8.7475752568431648</v>
      </c>
      <c r="R657">
        <f>IFERROR(VLOOKUP(quantInv[[#This Row],[Assigned Item SKU]],skuQuantity[#All],2,FALSE),0)</f>
        <v>0</v>
      </c>
      <c r="S657" t="str">
        <f>PROPER(quantInv[[#This Row],[Metal]] &amp; " " &amp; quantInv[[#This Row],[Item Type]])</f>
        <v>925 Silver Pendant</v>
      </c>
      <c r="T657" s="33">
        <f>quantInv[[#This Row],[Quantity]]*quantInv[[#This Row],[WEIGHT]]</f>
        <v>0</v>
      </c>
      <c r="U657" s="33">
        <f>quantInv[[#This Row],[UNIT
VALUE]]*quantInv[[#This Row],[Quantity]]</f>
        <v>0</v>
      </c>
      <c r="V657" s="33">
        <f>quantInv[[#This Row],[Total Cost GBP]]/EURtoGBP</f>
        <v>0</v>
      </c>
      <c r="W657" s="33">
        <f>quantInv[[#This Row],[Total Cost GBP]]/USDtoGBP</f>
        <v>0</v>
      </c>
      <c r="X657" s="33">
        <f>quantInv[[#This Row],[Total Cost GBP]]/CADtoGBP</f>
        <v>0</v>
      </c>
      <c r="Y657" s="33">
        <f>quantInv[[#This Row],[Quantity]]*quantInv[[#This Row],[UNIT
VALUE AUD]]</f>
        <v>0</v>
      </c>
      <c r="Z657" s="33"/>
    </row>
    <row r="658" spans="1:26" x14ac:dyDescent="0.25">
      <c r="A658" t="s">
        <v>2252</v>
      </c>
      <c r="B658" t="s">
        <v>2253</v>
      </c>
      <c r="C658" t="s">
        <v>115</v>
      </c>
      <c r="D658" t="s">
        <v>2254</v>
      </c>
      <c r="E658">
        <v>3.13</v>
      </c>
      <c r="F658" s="33">
        <v>2.7919999999999998</v>
      </c>
      <c r="G658" s="33" t="s">
        <v>117</v>
      </c>
      <c r="H658" t="s">
        <v>1310</v>
      </c>
      <c r="I658" t="str">
        <f>IF(quantInv[[#This Row],[Metal]] = "925 Silver",  "7113.11.00"," 7113.19.00")</f>
        <v>7113.11.00</v>
      </c>
      <c r="J658" t="str">
        <f>IF(quantInv[[#This Row],[Metal]] = "925 Silver", "7113.11.10.00"," 7113.19.10.00")</f>
        <v>7113.11.10.00</v>
      </c>
      <c r="K658" t="str">
        <f>IF(quantInv[[#This Row],[Metal]] = "925 Silver",  "7113.11.00"," 7113.19.00")</f>
        <v>7113.11.00</v>
      </c>
      <c r="L658" t="str">
        <f>IFERROR(VLOOKUP(quantInv[[#This Row],[Description for New Invoice]],Map!$G$12:$H$32,2,FALSE), IF(quantInv[[#This Row],[Metal]] = "925 Silver", "7113.11.10.00", "7113.19.29.00"))</f>
        <v>7113.11.50.00</v>
      </c>
      <c r="M658" t="str">
        <f>quantInv[[#This Row],[ASIN]] &amp; " " &amp; quantInv[[#This Row],[Short Description]]</f>
        <v>B08ZSSZDS8 Silver Pearl Studs (white) - 9 to 10 mm</v>
      </c>
      <c r="N658" s="33">
        <f>quantInv[[#This Row],[UNIT
VALUE]] / EURtoGBP</f>
        <v>3.1692518999052175</v>
      </c>
      <c r="O658" s="33">
        <f>quantInv[[#This Row],[UNIT
VALUE]]/USDtoGBP</f>
        <v>3.8273681497718246</v>
      </c>
      <c r="P658" s="33">
        <f>quantInv[[#This Row],[UNIT
VALUE]] / CADtoGBP</f>
        <v>4.8992512498179446</v>
      </c>
      <c r="Q658" s="33">
        <f>quantInv[[#This Row],[UNIT
VALUE]]/AUDtoGBP</f>
        <v>5.0147280695452254</v>
      </c>
      <c r="R658">
        <f>IFERROR(VLOOKUP(quantInv[[#This Row],[Assigned Item SKU]],skuQuantity[#All],2,FALSE),0)</f>
        <v>0</v>
      </c>
      <c r="S658" t="str">
        <f>PROPER(quantInv[[#This Row],[Metal]] &amp; " " &amp; quantInv[[#This Row],[Item Type]])</f>
        <v>925 Silver Earrings</v>
      </c>
      <c r="T658" s="33">
        <f>quantInv[[#This Row],[Quantity]]*quantInv[[#This Row],[WEIGHT]]</f>
        <v>0</v>
      </c>
      <c r="U658" s="33">
        <f>quantInv[[#This Row],[UNIT
VALUE]]*quantInv[[#This Row],[Quantity]]</f>
        <v>0</v>
      </c>
      <c r="V658" s="33">
        <f>quantInv[[#This Row],[Total Cost GBP]]/EURtoGBP</f>
        <v>0</v>
      </c>
      <c r="W658" s="33">
        <f>quantInv[[#This Row],[Total Cost GBP]]/USDtoGBP</f>
        <v>0</v>
      </c>
      <c r="X658" s="33">
        <f>quantInv[[#This Row],[Total Cost GBP]]/CADtoGBP</f>
        <v>0</v>
      </c>
      <c r="Y658" s="33">
        <f>quantInv[[#This Row],[Quantity]]*quantInv[[#This Row],[UNIT
VALUE AUD]]</f>
        <v>0</v>
      </c>
      <c r="Z658" s="33"/>
    </row>
    <row r="659" spans="1:26" x14ac:dyDescent="0.25">
      <c r="A659" t="s">
        <v>1551</v>
      </c>
      <c r="B659" t="s">
        <v>1552</v>
      </c>
      <c r="C659" t="s">
        <v>114</v>
      </c>
      <c r="D659" t="s">
        <v>1553</v>
      </c>
      <c r="E659">
        <v>2.04</v>
      </c>
      <c r="F659" s="33">
        <v>4.3232999999999997</v>
      </c>
      <c r="G659" s="33" t="s">
        <v>117</v>
      </c>
      <c r="H659" t="s">
        <v>1451</v>
      </c>
      <c r="I659" t="str">
        <f>IF(quantInv[[#This Row],[Metal]] = "925 Silver",  "7113.11.00"," 7113.19.00")</f>
        <v>7113.11.00</v>
      </c>
      <c r="J659" t="str">
        <f>IF(quantInv[[#This Row],[Metal]] = "925 Silver", "7113.11.10.00"," 7113.19.10.00")</f>
        <v>7113.11.10.00</v>
      </c>
      <c r="K659" t="str">
        <f>IF(quantInv[[#This Row],[Metal]] = "925 Silver",  "7113.11.00"," 7113.19.00")</f>
        <v>7113.11.00</v>
      </c>
      <c r="L659" t="str">
        <f>IFERROR(VLOOKUP(quantInv[[#This Row],[Description for New Invoice]],Map!$G$12:$H$32,2,FALSE), IF(quantInv[[#This Row],[Metal]] = "925 Silver", "7113.11.10.00", "7113.19.29.00"))</f>
        <v>7113.11.50.00</v>
      </c>
      <c r="M659" t="str">
        <f>quantInv[[#This Row],[ASIN]] &amp; " " &amp; quantInv[[#This Row],[Short Description]]</f>
        <v>B082BD3NVQ Pendant - Letter - N</v>
      </c>
      <c r="N659" s="33">
        <f>quantInv[[#This Row],[UNIT
VALUE]] / EURtoGBP</f>
        <v>4.9074594336891924</v>
      </c>
      <c r="O659" s="33">
        <f>quantInv[[#This Row],[UNIT
VALUE]]/USDtoGBP</f>
        <v>5.926526046528843</v>
      </c>
      <c r="P659" s="33">
        <f>quantInv[[#This Row],[UNIT
VALUE]] / CADtoGBP</f>
        <v>7.5862940287743266</v>
      </c>
      <c r="Q659" s="33">
        <f>quantInv[[#This Row],[UNIT
VALUE]]/AUDtoGBP</f>
        <v>7.7651052518140657</v>
      </c>
      <c r="R659">
        <f>IFERROR(VLOOKUP(quantInv[[#This Row],[Assigned Item SKU]],skuQuantity[#All],2,FALSE),0)</f>
        <v>0</v>
      </c>
      <c r="S659" t="str">
        <f>PROPER(quantInv[[#This Row],[Metal]] &amp; " " &amp; quantInv[[#This Row],[Item Type]])</f>
        <v>925 Silver Pendant</v>
      </c>
      <c r="T659" s="33">
        <f>quantInv[[#This Row],[Quantity]]*quantInv[[#This Row],[WEIGHT]]</f>
        <v>0</v>
      </c>
      <c r="U659" s="33">
        <f>quantInv[[#This Row],[UNIT
VALUE]]*quantInv[[#This Row],[Quantity]]</f>
        <v>0</v>
      </c>
      <c r="V659" s="33">
        <f>quantInv[[#This Row],[Total Cost GBP]]/EURtoGBP</f>
        <v>0</v>
      </c>
      <c r="W659" s="33">
        <f>quantInv[[#This Row],[Total Cost GBP]]/USDtoGBP</f>
        <v>0</v>
      </c>
      <c r="X659" s="33">
        <f>quantInv[[#This Row],[Total Cost GBP]]/CADtoGBP</f>
        <v>0</v>
      </c>
      <c r="Y659" s="33">
        <f>quantInv[[#This Row],[Quantity]]*quantInv[[#This Row],[UNIT
VALUE AUD]]</f>
        <v>0</v>
      </c>
      <c r="Z659" s="33"/>
    </row>
    <row r="660" spans="1:26" x14ac:dyDescent="0.25">
      <c r="A660" t="s">
        <v>1554</v>
      </c>
      <c r="B660" t="s">
        <v>1555</v>
      </c>
      <c r="C660" t="s">
        <v>114</v>
      </c>
      <c r="D660" t="s">
        <v>1556</v>
      </c>
      <c r="E660">
        <v>2.06</v>
      </c>
      <c r="F660" s="33">
        <v>4.3638000000000003</v>
      </c>
      <c r="G660" s="33" t="s">
        <v>117</v>
      </c>
      <c r="H660" t="s">
        <v>1451</v>
      </c>
      <c r="I660" t="str">
        <f>IF(quantInv[[#This Row],[Metal]] = "925 Silver",  "7113.11.00"," 7113.19.00")</f>
        <v>7113.11.00</v>
      </c>
      <c r="J660" t="str">
        <f>IF(quantInv[[#This Row],[Metal]] = "925 Silver", "7113.11.10.00"," 7113.19.10.00")</f>
        <v>7113.11.10.00</v>
      </c>
      <c r="K660" t="str">
        <f>IF(quantInv[[#This Row],[Metal]] = "925 Silver",  "7113.11.00"," 7113.19.00")</f>
        <v>7113.11.00</v>
      </c>
      <c r="L660" t="str">
        <f>IFERROR(VLOOKUP(quantInv[[#This Row],[Description for New Invoice]],Map!$G$12:$H$32,2,FALSE), IF(quantInv[[#This Row],[Metal]] = "925 Silver", "7113.11.10.00", "7113.19.29.00"))</f>
        <v>7113.11.50.00</v>
      </c>
      <c r="M660" t="str">
        <f>quantInv[[#This Row],[ASIN]] &amp; " " &amp; quantInv[[#This Row],[Short Description]]</f>
        <v>B082BCF48D Pendant - Letter - O</v>
      </c>
      <c r="N660" s="33">
        <f>quantInv[[#This Row],[UNIT
VALUE]] / EURtoGBP</f>
        <v>4.953431748139824</v>
      </c>
      <c r="O660" s="33">
        <f>quantInv[[#This Row],[UNIT
VALUE]]/USDtoGBP</f>
        <v>5.9820448180423673</v>
      </c>
      <c r="P660" s="33">
        <f>quantInv[[#This Row],[UNIT
VALUE]] / CADtoGBP</f>
        <v>7.6573612478350821</v>
      </c>
      <c r="Q660" s="33">
        <f>quantInv[[#This Row],[UNIT
VALUE]]/AUDtoGBP</f>
        <v>7.8378475465191464</v>
      </c>
      <c r="R660">
        <f>IFERROR(VLOOKUP(quantInv[[#This Row],[Assigned Item SKU]],skuQuantity[#All],2,FALSE),0)</f>
        <v>0</v>
      </c>
      <c r="S660" t="str">
        <f>PROPER(quantInv[[#This Row],[Metal]] &amp; " " &amp; quantInv[[#This Row],[Item Type]])</f>
        <v>925 Silver Pendant</v>
      </c>
      <c r="T660" s="33">
        <f>quantInv[[#This Row],[Quantity]]*quantInv[[#This Row],[WEIGHT]]</f>
        <v>0</v>
      </c>
      <c r="U660" s="33">
        <f>quantInv[[#This Row],[UNIT
VALUE]]*quantInv[[#This Row],[Quantity]]</f>
        <v>0</v>
      </c>
      <c r="V660" s="33">
        <f>quantInv[[#This Row],[Total Cost GBP]]/EURtoGBP</f>
        <v>0</v>
      </c>
      <c r="W660" s="33">
        <f>quantInv[[#This Row],[Total Cost GBP]]/USDtoGBP</f>
        <v>0</v>
      </c>
      <c r="X660" s="33">
        <f>quantInv[[#This Row],[Total Cost GBP]]/CADtoGBP</f>
        <v>0</v>
      </c>
      <c r="Y660" s="33">
        <f>quantInv[[#This Row],[Quantity]]*quantInv[[#This Row],[UNIT
VALUE AUD]]</f>
        <v>0</v>
      </c>
      <c r="Z660" s="33"/>
    </row>
    <row r="661" spans="1:26" x14ac:dyDescent="0.25">
      <c r="A661" t="s">
        <v>1557</v>
      </c>
      <c r="B661" t="s">
        <v>1558</v>
      </c>
      <c r="C661" t="s">
        <v>114</v>
      </c>
      <c r="D661" t="s">
        <v>1559</v>
      </c>
      <c r="E661">
        <v>2.11</v>
      </c>
      <c r="F661" s="33">
        <v>4.4650999999999996</v>
      </c>
      <c r="G661" s="33" t="s">
        <v>117</v>
      </c>
      <c r="H661" t="s">
        <v>1451</v>
      </c>
      <c r="I661" t="str">
        <f>IF(quantInv[[#This Row],[Metal]] = "925 Silver",  "7113.11.00"," 7113.19.00")</f>
        <v>7113.11.00</v>
      </c>
      <c r="J661" t="str">
        <f>IF(quantInv[[#This Row],[Metal]] = "925 Silver", "7113.11.10.00"," 7113.19.10.00")</f>
        <v>7113.11.10.00</v>
      </c>
      <c r="K661" t="str">
        <f>IF(quantInv[[#This Row],[Metal]] = "925 Silver",  "7113.11.00"," 7113.19.00")</f>
        <v>7113.11.00</v>
      </c>
      <c r="L661" t="str">
        <f>IFERROR(VLOOKUP(quantInv[[#This Row],[Description for New Invoice]],Map!$G$12:$H$32,2,FALSE), IF(quantInv[[#This Row],[Metal]] = "925 Silver", "7113.11.10.00", "7113.19.29.00"))</f>
        <v>7113.11.50.00</v>
      </c>
      <c r="M661" t="str">
        <f>quantInv[[#This Row],[ASIN]] &amp; " " &amp; quantInv[[#This Row],[Short Description]]</f>
        <v>B082B96V8V Pendant - Letter - P</v>
      </c>
      <c r="N661" s="33">
        <f>quantInv[[#This Row],[UNIT
VALUE]] / EURtoGBP</f>
        <v>5.0684192902101666</v>
      </c>
      <c r="O661" s="33">
        <f>quantInv[[#This Row],[UNIT
VALUE]]/USDtoGBP</f>
        <v>6.1209102885194033</v>
      </c>
      <c r="P661" s="33">
        <f>quantInv[[#This Row],[UNIT
VALUE]] / CADtoGBP</f>
        <v>7.8351170327944502</v>
      </c>
      <c r="Q661" s="33">
        <f>quantInv[[#This Row],[UNIT
VALUE]]/AUDtoGBP</f>
        <v>8.019793088583949</v>
      </c>
      <c r="R661">
        <f>IFERROR(VLOOKUP(quantInv[[#This Row],[Assigned Item SKU]],skuQuantity[#All],2,FALSE),0)</f>
        <v>0</v>
      </c>
      <c r="S661" t="str">
        <f>PROPER(quantInv[[#This Row],[Metal]] &amp; " " &amp; quantInv[[#This Row],[Item Type]])</f>
        <v>925 Silver Pendant</v>
      </c>
      <c r="T661" s="33">
        <f>quantInv[[#This Row],[Quantity]]*quantInv[[#This Row],[WEIGHT]]</f>
        <v>0</v>
      </c>
      <c r="U661" s="33">
        <f>quantInv[[#This Row],[UNIT
VALUE]]*quantInv[[#This Row],[Quantity]]</f>
        <v>0</v>
      </c>
      <c r="V661" s="33">
        <f>quantInv[[#This Row],[Total Cost GBP]]/EURtoGBP</f>
        <v>0</v>
      </c>
      <c r="W661" s="33">
        <f>quantInv[[#This Row],[Total Cost GBP]]/USDtoGBP</f>
        <v>0</v>
      </c>
      <c r="X661" s="33">
        <f>quantInv[[#This Row],[Total Cost GBP]]/CADtoGBP</f>
        <v>0</v>
      </c>
      <c r="Y661" s="33">
        <f>quantInv[[#This Row],[Quantity]]*quantInv[[#This Row],[UNIT
VALUE AUD]]</f>
        <v>0</v>
      </c>
      <c r="Z661" s="33"/>
    </row>
    <row r="662" spans="1:26" x14ac:dyDescent="0.25">
      <c r="A662" t="s">
        <v>1560</v>
      </c>
      <c r="B662" t="s">
        <v>1561</v>
      </c>
      <c r="C662" t="s">
        <v>114</v>
      </c>
      <c r="D662" t="s">
        <v>1562</v>
      </c>
      <c r="E662">
        <v>1.94</v>
      </c>
      <c r="F662" s="33">
        <v>4.1205999999999996</v>
      </c>
      <c r="G662" s="33" t="s">
        <v>117</v>
      </c>
      <c r="H662" t="s">
        <v>1451</v>
      </c>
      <c r="I662" t="str">
        <f>IF(quantInv[[#This Row],[Metal]] = "925 Silver",  "7113.11.00"," 7113.19.00")</f>
        <v>7113.11.00</v>
      </c>
      <c r="J662" t="str">
        <f>IF(quantInv[[#This Row],[Metal]] = "925 Silver", "7113.11.10.00"," 7113.19.10.00")</f>
        <v>7113.11.10.00</v>
      </c>
      <c r="K662" t="str">
        <f>IF(quantInv[[#This Row],[Metal]] = "925 Silver",  "7113.11.00"," 7113.19.00")</f>
        <v>7113.11.00</v>
      </c>
      <c r="L662" t="str">
        <f>IFERROR(VLOOKUP(quantInv[[#This Row],[Description for New Invoice]],Map!$G$12:$H$32,2,FALSE), IF(quantInv[[#This Row],[Metal]] = "925 Silver", "7113.11.10.00", "7113.19.29.00"))</f>
        <v>7113.11.50.00</v>
      </c>
      <c r="M662" t="str">
        <f>quantInv[[#This Row],[ASIN]] &amp; " " &amp; quantInv[[#This Row],[Short Description]]</f>
        <v>B082BDB7X8 Pendant - Letter - Q</v>
      </c>
      <c r="N662" s="33">
        <f>quantInv[[#This Row],[UNIT
VALUE]] / EURtoGBP</f>
        <v>4.6773708376609733</v>
      </c>
      <c r="O662" s="33">
        <f>quantInv[[#This Row],[UNIT
VALUE]]/USDtoGBP</f>
        <v>5.6486580221883163</v>
      </c>
      <c r="P662" s="33">
        <f>quantInv[[#This Row],[UNIT
VALUE]] / CADtoGBP</f>
        <v>7.230606984240624</v>
      </c>
      <c r="Q662" s="33">
        <f>quantInv[[#This Row],[UNIT
VALUE]]/AUDtoGBP</f>
        <v>7.4010345570802487</v>
      </c>
      <c r="R662">
        <f>IFERROR(VLOOKUP(quantInv[[#This Row],[Assigned Item SKU]],skuQuantity[#All],2,FALSE),0)</f>
        <v>0</v>
      </c>
      <c r="S662" t="str">
        <f>PROPER(quantInv[[#This Row],[Metal]] &amp; " " &amp; quantInv[[#This Row],[Item Type]])</f>
        <v>925 Silver Pendant</v>
      </c>
      <c r="T662" s="33">
        <f>quantInv[[#This Row],[Quantity]]*quantInv[[#This Row],[WEIGHT]]</f>
        <v>0</v>
      </c>
      <c r="U662" s="33">
        <f>quantInv[[#This Row],[UNIT
VALUE]]*quantInv[[#This Row],[Quantity]]</f>
        <v>0</v>
      </c>
      <c r="V662" s="33">
        <f>quantInv[[#This Row],[Total Cost GBP]]/EURtoGBP</f>
        <v>0</v>
      </c>
      <c r="W662" s="33">
        <f>quantInv[[#This Row],[Total Cost GBP]]/USDtoGBP</f>
        <v>0</v>
      </c>
      <c r="X662" s="33">
        <f>quantInv[[#This Row],[Total Cost GBP]]/CADtoGBP</f>
        <v>0</v>
      </c>
      <c r="Y662" s="33">
        <f>quantInv[[#This Row],[Quantity]]*quantInv[[#This Row],[UNIT
VALUE AUD]]</f>
        <v>0</v>
      </c>
      <c r="Z662" s="33"/>
    </row>
    <row r="663" spans="1:26" x14ac:dyDescent="0.25">
      <c r="A663" t="s">
        <v>2330</v>
      </c>
      <c r="B663" t="s">
        <v>2331</v>
      </c>
      <c r="C663" t="s">
        <v>115</v>
      </c>
      <c r="D663" t="s">
        <v>2332</v>
      </c>
      <c r="E663">
        <v>7.07</v>
      </c>
      <c r="F663" s="33">
        <v>7.2538</v>
      </c>
      <c r="G663" s="33" t="s">
        <v>117</v>
      </c>
      <c r="H663" t="s">
        <v>1451</v>
      </c>
      <c r="I663" t="str">
        <f>IF(quantInv[[#This Row],[Metal]] = "925 Silver",  "7113.11.00"," 7113.19.00")</f>
        <v>7113.11.00</v>
      </c>
      <c r="J663" t="str">
        <f>IF(quantInv[[#This Row],[Metal]] = "925 Silver", "7113.11.10.00"," 7113.19.10.00")</f>
        <v>7113.11.10.00</v>
      </c>
      <c r="K663" t="str">
        <f>IF(quantInv[[#This Row],[Metal]] = "925 Silver",  "7113.11.00"," 7113.19.00")</f>
        <v>7113.11.00</v>
      </c>
      <c r="L663" t="str">
        <f>IFERROR(VLOOKUP(quantInv[[#This Row],[Description for New Invoice]],Map!$G$12:$H$32,2,FALSE), IF(quantInv[[#This Row],[Metal]] = "925 Silver", "7113.11.10.00", "7113.19.29.00"))</f>
        <v>7113.11.50.00</v>
      </c>
      <c r="M663" t="str">
        <f>quantInv[[#This Row],[ASIN]] &amp; " " &amp; quantInv[[#This Row],[Short Description]]</f>
        <v>B08Z4B83GL Silver Locket - Engraved Angel Wings</v>
      </c>
      <c r="N663" s="33">
        <f>quantInv[[#This Row],[UNIT
VALUE]] / EURtoGBP</f>
        <v>8.2339252978268149</v>
      </c>
      <c r="O663" s="33">
        <f>quantInv[[#This Row],[UNIT
VALUE]]/USDtoGBP</f>
        <v>9.9437546865382753</v>
      </c>
      <c r="P663" s="33">
        <f>quantInv[[#This Row],[UNIT
VALUE]] / CADtoGBP</f>
        <v>12.728577620318555</v>
      </c>
      <c r="Q663" s="33">
        <f>quantInv[[#This Row],[UNIT
VALUE]]/AUDtoGBP</f>
        <v>13.028594008190243</v>
      </c>
      <c r="R663">
        <f>IFERROR(VLOOKUP(quantInv[[#This Row],[Assigned Item SKU]],skuQuantity[#All],2,FALSE),0)</f>
        <v>0</v>
      </c>
      <c r="S663" t="str">
        <f>PROPER(quantInv[[#This Row],[Metal]] &amp; " " &amp; quantInv[[#This Row],[Item Type]])</f>
        <v>925 Silver Pendant</v>
      </c>
      <c r="T663" s="33">
        <f>quantInv[[#This Row],[Quantity]]*quantInv[[#This Row],[WEIGHT]]</f>
        <v>0</v>
      </c>
      <c r="U663" s="33">
        <f>quantInv[[#This Row],[UNIT
VALUE]]*quantInv[[#This Row],[Quantity]]</f>
        <v>0</v>
      </c>
      <c r="V663" s="33">
        <f>quantInv[[#This Row],[Total Cost GBP]]/EURtoGBP</f>
        <v>0</v>
      </c>
      <c r="W663" s="33">
        <f>quantInv[[#This Row],[Total Cost GBP]]/USDtoGBP</f>
        <v>0</v>
      </c>
      <c r="X663" s="33">
        <f>quantInv[[#This Row],[Total Cost GBP]]/CADtoGBP</f>
        <v>0</v>
      </c>
      <c r="Y663" s="33">
        <f>quantInv[[#This Row],[Quantity]]*quantInv[[#This Row],[UNIT
VALUE AUD]]</f>
        <v>0</v>
      </c>
      <c r="Z663" s="33"/>
    </row>
    <row r="664" spans="1:26" x14ac:dyDescent="0.25">
      <c r="A664" t="s">
        <v>176</v>
      </c>
      <c r="B664" t="s">
        <v>177</v>
      </c>
      <c r="C664" t="s">
        <v>113</v>
      </c>
      <c r="D664" t="s">
        <v>173</v>
      </c>
      <c r="E664">
        <v>2.42115384615385</v>
      </c>
      <c r="F664" s="33">
        <v>3.2492000000000001</v>
      </c>
      <c r="G664" s="33" t="s">
        <v>117</v>
      </c>
      <c r="H664" t="s">
        <v>103</v>
      </c>
      <c r="I664" t="str">
        <f>IF(quantInv[[#This Row],[Metal]] = "925 Silver",  "7113.11.00"," 7113.19.00")</f>
        <v>7113.11.00</v>
      </c>
      <c r="J664" t="str">
        <f>IF(quantInv[[#This Row],[Metal]] = "925 Silver", "7113.11.10.00"," 7113.19.10.00")</f>
        <v>7113.11.10.00</v>
      </c>
      <c r="K664" t="str">
        <f>IF(quantInv[[#This Row],[Metal]] = "925 Silver",  "7113.11.00"," 7113.19.00")</f>
        <v>7113.11.00</v>
      </c>
      <c r="L664" t="str">
        <f>IFERROR(VLOOKUP(quantInv[[#This Row],[Description for New Invoice]],Map!$G$12:$H$32,2,FALSE), IF(quantInv[[#This Row],[Metal]] = "925 Silver", "7113.11.10.00", "7113.19.29.00"))</f>
        <v>7113.11.10.00</v>
      </c>
      <c r="M664" t="str">
        <f>quantInv[[#This Row],[ASIN]] &amp; " " &amp; quantInv[[#This Row],[Short Description]]</f>
        <v>B073GB6WNZ Figaro Chain</v>
      </c>
      <c r="N664" s="33">
        <f>quantInv[[#This Row],[UNIT
VALUE]] / EURtoGBP</f>
        <v>3.6882282497034504</v>
      </c>
      <c r="O664" s="33">
        <f>quantInv[[#This Row],[UNIT
VALUE]]/USDtoGBP</f>
        <v>4.4541133926356062</v>
      </c>
      <c r="P664" s="33">
        <f>quantInv[[#This Row],[UNIT
VALUE]] / CADtoGBP</f>
        <v>5.7015211894371296</v>
      </c>
      <c r="Q664" s="33">
        <f>quantInv[[#This Row],[UNIT
VALUE]]/AUDtoGBP</f>
        <v>5.8359077519936777</v>
      </c>
      <c r="R664">
        <f>IFERROR(VLOOKUP(quantInv[[#This Row],[Assigned Item SKU]],skuQuantity[#All],2,FALSE),0)</f>
        <v>0</v>
      </c>
      <c r="S664" t="str">
        <f>PROPER(quantInv[[#This Row],[Metal]] &amp; " " &amp; quantInv[[#This Row],[Item Type]])</f>
        <v>925 Silver Chain</v>
      </c>
      <c r="T664" s="33">
        <f>quantInv[[#This Row],[Quantity]]*quantInv[[#This Row],[WEIGHT]]</f>
        <v>0</v>
      </c>
      <c r="U664" s="33">
        <f>quantInv[[#This Row],[UNIT
VALUE]]*quantInv[[#This Row],[Quantity]]</f>
        <v>0</v>
      </c>
      <c r="V664" s="33">
        <f>quantInv[[#This Row],[Total Cost GBP]]/EURtoGBP</f>
        <v>0</v>
      </c>
      <c r="W664" s="33">
        <f>quantInv[[#This Row],[Total Cost GBP]]/USDtoGBP</f>
        <v>0</v>
      </c>
      <c r="X664" s="33">
        <f>quantInv[[#This Row],[Total Cost GBP]]/CADtoGBP</f>
        <v>0</v>
      </c>
      <c r="Y664" s="33">
        <f>quantInv[[#This Row],[Quantity]]*quantInv[[#This Row],[UNIT
VALUE AUD]]</f>
        <v>0</v>
      </c>
      <c r="Z664" s="33"/>
    </row>
    <row r="665" spans="1:26" x14ac:dyDescent="0.25">
      <c r="A665" t="s">
        <v>74</v>
      </c>
      <c r="B665" t="s">
        <v>215</v>
      </c>
      <c r="C665" t="s">
        <v>114</v>
      </c>
      <c r="D665" t="s">
        <v>213</v>
      </c>
      <c r="E665">
        <v>2.87254901960784</v>
      </c>
      <c r="F665" s="33">
        <v>3.8658999999999999</v>
      </c>
      <c r="G665" s="33" t="s">
        <v>117</v>
      </c>
      <c r="H665" t="s">
        <v>103</v>
      </c>
      <c r="I665" t="str">
        <f>IF(quantInv[[#This Row],[Metal]] = "925 Silver",  "7113.11.00"," 7113.19.00")</f>
        <v>7113.11.00</v>
      </c>
      <c r="J665" t="str">
        <f>IF(quantInv[[#This Row],[Metal]] = "925 Silver", "7113.11.10.00"," 7113.19.10.00")</f>
        <v>7113.11.10.00</v>
      </c>
      <c r="K665" t="str">
        <f>IF(quantInv[[#This Row],[Metal]] = "925 Silver",  "7113.11.00"," 7113.19.00")</f>
        <v>7113.11.00</v>
      </c>
      <c r="L665" t="str">
        <f>IFERROR(VLOOKUP(quantInv[[#This Row],[Description for New Invoice]],Map!$G$12:$H$32,2,FALSE), IF(quantInv[[#This Row],[Metal]] = "925 Silver", "7113.11.10.00", "7113.19.29.00"))</f>
        <v>7113.11.10.00</v>
      </c>
      <c r="M665" t="str">
        <f>quantInv[[#This Row],[ASIN]] &amp; " " &amp; quantInv[[#This Row],[Short Description]]</f>
        <v>B073G8GNBV Ball Chain</v>
      </c>
      <c r="N665" s="33">
        <f>quantInv[[#This Row],[UNIT
VALUE]] / EURtoGBP</f>
        <v>4.3882560601158955</v>
      </c>
      <c r="O665" s="33">
        <f>quantInv[[#This Row],[UNIT
VALUE]]/USDtoGBP</f>
        <v>5.2995066368921551</v>
      </c>
      <c r="P665" s="33">
        <f>quantInv[[#This Row],[UNIT
VALUE]] / CADtoGBP</f>
        <v>6.7836731399252121</v>
      </c>
      <c r="Q665" s="33">
        <f>quantInv[[#This Row],[UNIT
VALUE]]/AUDtoGBP</f>
        <v>6.9435663481571943</v>
      </c>
      <c r="R665">
        <f>IFERROR(VLOOKUP(quantInv[[#This Row],[Assigned Item SKU]],skuQuantity[#All],2,FALSE),0)</f>
        <v>10</v>
      </c>
      <c r="S665" t="str">
        <f>PROPER(quantInv[[#This Row],[Metal]] &amp; " " &amp; quantInv[[#This Row],[Item Type]])</f>
        <v>925 Silver Chain</v>
      </c>
      <c r="T665" s="33">
        <f>quantInv[[#This Row],[Quantity]]*quantInv[[#This Row],[WEIGHT]]</f>
        <v>28.7254901960784</v>
      </c>
      <c r="U665" s="33">
        <f>quantInv[[#This Row],[UNIT
VALUE]]*quantInv[[#This Row],[Quantity]]</f>
        <v>38.658999999999999</v>
      </c>
      <c r="V665" s="33">
        <f>quantInv[[#This Row],[Total Cost GBP]]/EURtoGBP</f>
        <v>43.882560601158957</v>
      </c>
      <c r="W665" s="33">
        <f>quantInv[[#This Row],[Total Cost GBP]]/USDtoGBP</f>
        <v>52.995066368921549</v>
      </c>
      <c r="X665" s="33">
        <f>quantInv[[#This Row],[Total Cost GBP]]/CADtoGBP</f>
        <v>67.836731399252116</v>
      </c>
      <c r="Y665" s="33">
        <f>quantInv[[#This Row],[Quantity]]*quantInv[[#This Row],[UNIT
VALUE AUD]]</f>
        <v>69.435663481571936</v>
      </c>
      <c r="Z665" s="33"/>
    </row>
    <row r="666" spans="1:26" x14ac:dyDescent="0.25">
      <c r="A666" t="s">
        <v>1572</v>
      </c>
      <c r="B666" t="s">
        <v>1573</v>
      </c>
      <c r="C666" t="s">
        <v>114</v>
      </c>
      <c r="D666" t="s">
        <v>1574</v>
      </c>
      <c r="E666">
        <v>2.34</v>
      </c>
      <c r="F666" s="33">
        <v>4.9310999999999998</v>
      </c>
      <c r="G666" s="33" t="s">
        <v>117</v>
      </c>
      <c r="H666" t="s">
        <v>1451</v>
      </c>
      <c r="I666" t="str">
        <f>IF(quantInv[[#This Row],[Metal]] = "925 Silver",  "7113.11.00"," 7113.19.00")</f>
        <v>7113.11.00</v>
      </c>
      <c r="J666" t="str">
        <f>IF(quantInv[[#This Row],[Metal]] = "925 Silver", "7113.11.10.00"," 7113.19.10.00")</f>
        <v>7113.11.10.00</v>
      </c>
      <c r="K666" t="str">
        <f>IF(quantInv[[#This Row],[Metal]] = "925 Silver",  "7113.11.00"," 7113.19.00")</f>
        <v>7113.11.00</v>
      </c>
      <c r="L666" t="str">
        <f>IFERROR(VLOOKUP(quantInv[[#This Row],[Description for New Invoice]],Map!$G$12:$H$32,2,FALSE), IF(quantInv[[#This Row],[Metal]] = "925 Silver", "7113.11.10.00", "7113.19.29.00"))</f>
        <v>7113.11.50.00</v>
      </c>
      <c r="M666" t="str">
        <f>quantInv[[#This Row],[ASIN]] &amp; " " &amp; quantInv[[#This Row],[Short Description]]</f>
        <v>B082BCDTHV Pendant - Letter - U</v>
      </c>
      <c r="N666" s="33">
        <f>quantInv[[#This Row],[UNIT
VALUE]] / EURtoGBP</f>
        <v>5.5973846861112531</v>
      </c>
      <c r="O666" s="33">
        <f>quantInv[[#This Row],[UNIT
VALUE]]/USDtoGBP</f>
        <v>6.7597188693910617</v>
      </c>
      <c r="P666" s="33">
        <f>quantInv[[#This Row],[UNIT
VALUE]] / CADtoGBP</f>
        <v>8.6528287385305394</v>
      </c>
      <c r="Q666" s="33">
        <f>quantInv[[#This Row],[UNIT
VALUE]]/AUDtoGBP</f>
        <v>8.8567785042028877</v>
      </c>
      <c r="R666">
        <f>IFERROR(VLOOKUP(quantInv[[#This Row],[Assigned Item SKU]],skuQuantity[#All],2,FALSE),0)</f>
        <v>0</v>
      </c>
      <c r="S666" t="str">
        <f>PROPER(quantInv[[#This Row],[Metal]] &amp; " " &amp; quantInv[[#This Row],[Item Type]])</f>
        <v>925 Silver Pendant</v>
      </c>
      <c r="T666" s="33">
        <f>quantInv[[#This Row],[Quantity]]*quantInv[[#This Row],[WEIGHT]]</f>
        <v>0</v>
      </c>
      <c r="U666" s="33">
        <f>quantInv[[#This Row],[UNIT
VALUE]]*quantInv[[#This Row],[Quantity]]</f>
        <v>0</v>
      </c>
      <c r="V666" s="33">
        <f>quantInv[[#This Row],[Total Cost GBP]]/EURtoGBP</f>
        <v>0</v>
      </c>
      <c r="W666" s="33">
        <f>quantInv[[#This Row],[Total Cost GBP]]/USDtoGBP</f>
        <v>0</v>
      </c>
      <c r="X666" s="33">
        <f>quantInv[[#This Row],[Total Cost GBP]]/CADtoGBP</f>
        <v>0</v>
      </c>
      <c r="Y666" s="33">
        <f>quantInv[[#This Row],[Quantity]]*quantInv[[#This Row],[UNIT
VALUE AUD]]</f>
        <v>0</v>
      </c>
      <c r="Z666" s="33"/>
    </row>
    <row r="667" spans="1:26" x14ac:dyDescent="0.25">
      <c r="A667" t="s">
        <v>1575</v>
      </c>
      <c r="B667" t="s">
        <v>1576</v>
      </c>
      <c r="C667" t="s">
        <v>114</v>
      </c>
      <c r="D667" t="s">
        <v>1577</v>
      </c>
      <c r="E667">
        <v>3.07</v>
      </c>
      <c r="F667" s="33">
        <v>6.4103000000000003</v>
      </c>
      <c r="G667" s="33" t="s">
        <v>117</v>
      </c>
      <c r="H667" t="s">
        <v>1451</v>
      </c>
      <c r="I667" t="str">
        <f>IF(quantInv[[#This Row],[Metal]] = "925 Silver",  "7113.11.00"," 7113.19.00")</f>
        <v>7113.11.00</v>
      </c>
      <c r="J667" t="str">
        <f>IF(quantInv[[#This Row],[Metal]] = "925 Silver", "7113.11.10.00"," 7113.19.10.00")</f>
        <v>7113.11.10.00</v>
      </c>
      <c r="K667" t="str">
        <f>IF(quantInv[[#This Row],[Metal]] = "925 Silver",  "7113.11.00"," 7113.19.00")</f>
        <v>7113.11.00</v>
      </c>
      <c r="L667" t="str">
        <f>IFERROR(VLOOKUP(quantInv[[#This Row],[Description for New Invoice]],Map!$G$12:$H$32,2,FALSE), IF(quantInv[[#This Row],[Metal]] = "925 Silver", "7113.11.10.00", "7113.19.29.00"))</f>
        <v>7113.11.50.00</v>
      </c>
      <c r="M667" t="str">
        <f>quantInv[[#This Row],[ASIN]] &amp; " " &amp; quantInv[[#This Row],[Short Description]]</f>
        <v>B082BCLWBF Pendant - Letter - V</v>
      </c>
      <c r="N667" s="33">
        <f>quantInv[[#This Row],[UNIT
VALUE]] / EURtoGBP</f>
        <v>7.2764525264908375</v>
      </c>
      <c r="O667" s="33">
        <f>quantInv[[#This Row],[UNIT
VALUE]]/USDtoGBP</f>
        <v>8.7874563218059922</v>
      </c>
      <c r="P667" s="33">
        <f>quantInv[[#This Row],[UNIT
VALUE]] / CADtoGBP</f>
        <v>11.248449243090249</v>
      </c>
      <c r="Q667" s="33">
        <f>quantInv[[#This Row],[UNIT
VALUE]]/AUDtoGBP</f>
        <v>11.513578561678282</v>
      </c>
      <c r="R667">
        <f>IFERROR(VLOOKUP(quantInv[[#This Row],[Assigned Item SKU]],skuQuantity[#All],2,FALSE),0)</f>
        <v>0</v>
      </c>
      <c r="S667" t="str">
        <f>PROPER(quantInv[[#This Row],[Metal]] &amp; " " &amp; quantInv[[#This Row],[Item Type]])</f>
        <v>925 Silver Pendant</v>
      </c>
      <c r="T667" s="33">
        <f>quantInv[[#This Row],[Quantity]]*quantInv[[#This Row],[WEIGHT]]</f>
        <v>0</v>
      </c>
      <c r="U667" s="33">
        <f>quantInv[[#This Row],[UNIT
VALUE]]*quantInv[[#This Row],[Quantity]]</f>
        <v>0</v>
      </c>
      <c r="V667" s="33">
        <f>quantInv[[#This Row],[Total Cost GBP]]/EURtoGBP</f>
        <v>0</v>
      </c>
      <c r="W667" s="33">
        <f>quantInv[[#This Row],[Total Cost GBP]]/USDtoGBP</f>
        <v>0</v>
      </c>
      <c r="X667" s="33">
        <f>quantInv[[#This Row],[Total Cost GBP]]/CADtoGBP</f>
        <v>0</v>
      </c>
      <c r="Y667" s="33">
        <f>quantInv[[#This Row],[Quantity]]*quantInv[[#This Row],[UNIT
VALUE AUD]]</f>
        <v>0</v>
      </c>
      <c r="Z667" s="33"/>
    </row>
    <row r="668" spans="1:26" x14ac:dyDescent="0.25">
      <c r="A668" t="s">
        <v>1578</v>
      </c>
      <c r="B668" t="s">
        <v>1579</v>
      </c>
      <c r="C668" t="s">
        <v>114</v>
      </c>
      <c r="D668" t="s">
        <v>1580</v>
      </c>
      <c r="E668">
        <v>2.95</v>
      </c>
      <c r="F668" s="33">
        <v>6.1670999999999996</v>
      </c>
      <c r="G668" s="33" t="s">
        <v>117</v>
      </c>
      <c r="H668" t="s">
        <v>1451</v>
      </c>
      <c r="I668" t="str">
        <f>IF(quantInv[[#This Row],[Metal]] = "925 Silver",  "7113.11.00"," 7113.19.00")</f>
        <v>7113.11.00</v>
      </c>
      <c r="J668" t="str">
        <f>IF(quantInv[[#This Row],[Metal]] = "925 Silver", "7113.11.10.00"," 7113.19.10.00")</f>
        <v>7113.11.10.00</v>
      </c>
      <c r="K668" t="str">
        <f>IF(quantInv[[#This Row],[Metal]] = "925 Silver",  "7113.11.00"," 7113.19.00")</f>
        <v>7113.11.00</v>
      </c>
      <c r="L668" t="str">
        <f>IFERROR(VLOOKUP(quantInv[[#This Row],[Description for New Invoice]],Map!$G$12:$H$32,2,FALSE), IF(quantInv[[#This Row],[Metal]] = "925 Silver", "7113.11.10.00", "7113.19.29.00"))</f>
        <v>7113.11.50.00</v>
      </c>
      <c r="M668" t="str">
        <f>quantInv[[#This Row],[ASIN]] &amp; " " &amp; quantInv[[#This Row],[Short Description]]</f>
        <v>B082BBDK8Z Pendant - Letter - W</v>
      </c>
      <c r="N668" s="33">
        <f>quantInv[[#This Row],[UNIT
VALUE]] / EURtoGBP</f>
        <v>7.0003916160119868</v>
      </c>
      <c r="O668" s="33">
        <f>quantInv[[#This Row],[UNIT
VALUE]]/USDtoGBP</f>
        <v>8.4540695259519403</v>
      </c>
      <c r="P668" s="33">
        <f>quantInv[[#This Row],[UNIT
VALUE]] / CADtoGBP</f>
        <v>10.82169497949579</v>
      </c>
      <c r="Q668" s="33">
        <f>quantInv[[#This Row],[UNIT
VALUE]]/AUDtoGBP</f>
        <v>11.076765572239383</v>
      </c>
      <c r="R668">
        <f>IFERROR(VLOOKUP(quantInv[[#This Row],[Assigned Item SKU]],skuQuantity[#All],2,FALSE),0)</f>
        <v>0</v>
      </c>
      <c r="S668" t="str">
        <f>PROPER(quantInv[[#This Row],[Metal]] &amp; " " &amp; quantInv[[#This Row],[Item Type]])</f>
        <v>925 Silver Pendant</v>
      </c>
      <c r="T668" s="33">
        <f>quantInv[[#This Row],[Quantity]]*quantInv[[#This Row],[WEIGHT]]</f>
        <v>0</v>
      </c>
      <c r="U668" s="33">
        <f>quantInv[[#This Row],[UNIT
VALUE]]*quantInv[[#This Row],[Quantity]]</f>
        <v>0</v>
      </c>
      <c r="V668" s="33">
        <f>quantInv[[#This Row],[Total Cost GBP]]/EURtoGBP</f>
        <v>0</v>
      </c>
      <c r="W668" s="33">
        <f>quantInv[[#This Row],[Total Cost GBP]]/USDtoGBP</f>
        <v>0</v>
      </c>
      <c r="X668" s="33">
        <f>quantInv[[#This Row],[Total Cost GBP]]/CADtoGBP</f>
        <v>0</v>
      </c>
      <c r="Y668" s="33">
        <f>quantInv[[#This Row],[Quantity]]*quantInv[[#This Row],[UNIT
VALUE AUD]]</f>
        <v>0</v>
      </c>
      <c r="Z668" s="33"/>
    </row>
    <row r="669" spans="1:26" x14ac:dyDescent="0.25">
      <c r="A669" t="s">
        <v>1581</v>
      </c>
      <c r="B669" t="s">
        <v>1582</v>
      </c>
      <c r="C669" t="s">
        <v>114</v>
      </c>
      <c r="D669" t="s">
        <v>1583</v>
      </c>
      <c r="E669">
        <v>2.73</v>
      </c>
      <c r="F669" s="33">
        <v>5.7213000000000003</v>
      </c>
      <c r="G669" s="33" t="s">
        <v>117</v>
      </c>
      <c r="H669" t="s">
        <v>1451</v>
      </c>
      <c r="I669" t="str">
        <f>IF(quantInv[[#This Row],[Metal]] = "925 Silver",  "7113.11.00"," 7113.19.00")</f>
        <v>7113.11.00</v>
      </c>
      <c r="J669" t="str">
        <f>IF(quantInv[[#This Row],[Metal]] = "925 Silver", "7113.11.10.00"," 7113.19.10.00")</f>
        <v>7113.11.10.00</v>
      </c>
      <c r="K669" t="str">
        <f>IF(quantInv[[#This Row],[Metal]] = "925 Silver",  "7113.11.00"," 7113.19.00")</f>
        <v>7113.11.00</v>
      </c>
      <c r="L669" t="str">
        <f>IFERROR(VLOOKUP(quantInv[[#This Row],[Description for New Invoice]],Map!$G$12:$H$32,2,FALSE), IF(quantInv[[#This Row],[Metal]] = "925 Silver", "7113.11.10.00", "7113.19.29.00"))</f>
        <v>7113.11.50.00</v>
      </c>
      <c r="M669" t="str">
        <f>quantInv[[#This Row],[ASIN]] &amp; " " &amp; quantInv[[#This Row],[Short Description]]</f>
        <v>B082BBRJ4F Pendant - Letter - X</v>
      </c>
      <c r="N669" s="33">
        <f>quantInv[[#This Row],[UNIT
VALUE]] / EURtoGBP</f>
        <v>6.4943556213924509</v>
      </c>
      <c r="O669" s="33">
        <f>quantInv[[#This Row],[UNIT
VALUE]]/USDtoGBP</f>
        <v>7.842951789143819</v>
      </c>
      <c r="P669" s="33">
        <f>quantInv[[#This Row],[UNIT
VALUE]] / CADtoGBP</f>
        <v>10.039429145982597</v>
      </c>
      <c r="Q669" s="33">
        <f>quantInv[[#This Row],[UNIT
VALUE]]/AUDtoGBP</f>
        <v>10.276061498670881</v>
      </c>
      <c r="R669">
        <f>IFERROR(VLOOKUP(quantInv[[#This Row],[Assigned Item SKU]],skuQuantity[#All],2,FALSE),0)</f>
        <v>0</v>
      </c>
      <c r="S669" t="str">
        <f>PROPER(quantInv[[#This Row],[Metal]] &amp; " " &amp; quantInv[[#This Row],[Item Type]])</f>
        <v>925 Silver Pendant</v>
      </c>
      <c r="T669" s="33">
        <f>quantInv[[#This Row],[Quantity]]*quantInv[[#This Row],[WEIGHT]]</f>
        <v>0</v>
      </c>
      <c r="U669" s="33">
        <f>quantInv[[#This Row],[UNIT
VALUE]]*quantInv[[#This Row],[Quantity]]</f>
        <v>0</v>
      </c>
      <c r="V669" s="33">
        <f>quantInv[[#This Row],[Total Cost GBP]]/EURtoGBP</f>
        <v>0</v>
      </c>
      <c r="W669" s="33">
        <f>quantInv[[#This Row],[Total Cost GBP]]/USDtoGBP</f>
        <v>0</v>
      </c>
      <c r="X669" s="33">
        <f>quantInv[[#This Row],[Total Cost GBP]]/CADtoGBP</f>
        <v>0</v>
      </c>
      <c r="Y669" s="33">
        <f>quantInv[[#This Row],[Quantity]]*quantInv[[#This Row],[UNIT
VALUE AUD]]</f>
        <v>0</v>
      </c>
      <c r="Z669" s="33"/>
    </row>
    <row r="670" spans="1:26" x14ac:dyDescent="0.25">
      <c r="A670" t="s">
        <v>1584</v>
      </c>
      <c r="B670" t="s">
        <v>1585</v>
      </c>
      <c r="C670" t="s">
        <v>114</v>
      </c>
      <c r="D670" t="s">
        <v>1586</v>
      </c>
      <c r="E670">
        <v>1.85</v>
      </c>
      <c r="F670" s="33">
        <v>3.9382999999999999</v>
      </c>
      <c r="G670" s="33" t="s">
        <v>117</v>
      </c>
      <c r="H670" t="s">
        <v>1451</v>
      </c>
      <c r="I670" t="str">
        <f>IF(quantInv[[#This Row],[Metal]] = "925 Silver",  "7113.11.00"," 7113.19.00")</f>
        <v>7113.11.00</v>
      </c>
      <c r="J670" t="str">
        <f>IF(quantInv[[#This Row],[Metal]] = "925 Silver", "7113.11.10.00"," 7113.19.10.00")</f>
        <v>7113.11.10.00</v>
      </c>
      <c r="K670" t="str">
        <f>IF(quantInv[[#This Row],[Metal]] = "925 Silver",  "7113.11.00"," 7113.19.00")</f>
        <v>7113.11.00</v>
      </c>
      <c r="L670" t="str">
        <f>IFERROR(VLOOKUP(quantInv[[#This Row],[Description for New Invoice]],Map!$G$12:$H$32,2,FALSE), IF(quantInv[[#This Row],[Metal]] = "925 Silver", "7113.11.10.00", "7113.19.29.00"))</f>
        <v>7113.11.50.00</v>
      </c>
      <c r="M670" t="str">
        <f>quantInv[[#This Row],[ASIN]] &amp; " " &amp; quantInv[[#This Row],[Short Description]]</f>
        <v>B082BC9GCD Pendant - Letter - Y</v>
      </c>
      <c r="N670" s="33">
        <f>quantInv[[#This Row],[UNIT
VALUE]] / EURtoGBP</f>
        <v>4.4704386666893692</v>
      </c>
      <c r="O670" s="33">
        <f>quantInv[[#This Row],[UNIT
VALUE]]/USDtoGBP</f>
        <v>5.3987550086842324</v>
      </c>
      <c r="P670" s="33">
        <f>quantInv[[#This Row],[UNIT
VALUE]] / CADtoGBP</f>
        <v>6.9107167611597466</v>
      </c>
      <c r="Q670" s="33">
        <f>quantInv[[#This Row],[UNIT
VALUE]]/AUDtoGBP</f>
        <v>7.0736044256052875</v>
      </c>
      <c r="R670">
        <f>IFERROR(VLOOKUP(quantInv[[#This Row],[Assigned Item SKU]],skuQuantity[#All],2,FALSE),0)</f>
        <v>0</v>
      </c>
      <c r="S670" t="str">
        <f>PROPER(quantInv[[#This Row],[Metal]] &amp; " " &amp; quantInv[[#This Row],[Item Type]])</f>
        <v>925 Silver Pendant</v>
      </c>
      <c r="T670" s="33">
        <f>quantInv[[#This Row],[Quantity]]*quantInv[[#This Row],[WEIGHT]]</f>
        <v>0</v>
      </c>
      <c r="U670" s="33">
        <f>quantInv[[#This Row],[UNIT
VALUE]]*quantInv[[#This Row],[Quantity]]</f>
        <v>0</v>
      </c>
      <c r="V670" s="33">
        <f>quantInv[[#This Row],[Total Cost GBP]]/EURtoGBP</f>
        <v>0</v>
      </c>
      <c r="W670" s="33">
        <f>quantInv[[#This Row],[Total Cost GBP]]/USDtoGBP</f>
        <v>0</v>
      </c>
      <c r="X670" s="33">
        <f>quantInv[[#This Row],[Total Cost GBP]]/CADtoGBP</f>
        <v>0</v>
      </c>
      <c r="Y670" s="33">
        <f>quantInv[[#This Row],[Quantity]]*quantInv[[#This Row],[UNIT
VALUE AUD]]</f>
        <v>0</v>
      </c>
      <c r="Z670" s="33"/>
    </row>
    <row r="671" spans="1:26" x14ac:dyDescent="0.25">
      <c r="A671" t="s">
        <v>1587</v>
      </c>
      <c r="B671" t="s">
        <v>1588</v>
      </c>
      <c r="C671" t="s">
        <v>114</v>
      </c>
      <c r="D671" t="s">
        <v>1589</v>
      </c>
      <c r="E671">
        <v>2.5</v>
      </c>
      <c r="F671" s="33">
        <v>5.2553000000000001</v>
      </c>
      <c r="G671" s="33" t="s">
        <v>117</v>
      </c>
      <c r="H671" t="s">
        <v>1451</v>
      </c>
      <c r="I671" t="str">
        <f>IF(quantInv[[#This Row],[Metal]] = "925 Silver",  "7113.11.00"," 7113.19.00")</f>
        <v>7113.11.00</v>
      </c>
      <c r="J671" t="str">
        <f>IF(quantInv[[#This Row],[Metal]] = "925 Silver", "7113.11.10.00"," 7113.19.10.00")</f>
        <v>7113.11.10.00</v>
      </c>
      <c r="K671" t="str">
        <f>IF(quantInv[[#This Row],[Metal]] = "925 Silver",  "7113.11.00"," 7113.19.00")</f>
        <v>7113.11.00</v>
      </c>
      <c r="L671" t="str">
        <f>IFERROR(VLOOKUP(quantInv[[#This Row],[Description for New Invoice]],Map!$G$12:$H$32,2,FALSE), IF(quantInv[[#This Row],[Metal]] = "925 Silver", "7113.11.10.00", "7113.19.29.00"))</f>
        <v>7113.11.50.00</v>
      </c>
      <c r="M671" t="str">
        <f>quantInv[[#This Row],[ASIN]] &amp; " " &amp; quantInv[[#This Row],[Short Description]]</f>
        <v>B082BBKPRX Pendant - Letter - Z</v>
      </c>
      <c r="N671" s="33">
        <f>quantInv[[#This Row],[UNIT
VALUE]] / EURtoGBP</f>
        <v>5.9653902254913644</v>
      </c>
      <c r="O671" s="33">
        <f>quantInv[[#This Row],[UNIT
VALUE]]/USDtoGBP</f>
        <v>7.2041432082721597</v>
      </c>
      <c r="P671" s="33">
        <f>quantInv[[#This Row],[UNIT
VALUE]] / CADtoGBP</f>
        <v>9.2217174402465059</v>
      </c>
      <c r="Q671" s="33">
        <f>quantInv[[#This Row],[UNIT
VALUE]]/AUDtoGBP</f>
        <v>9.4390760830519422</v>
      </c>
      <c r="R671">
        <f>IFERROR(VLOOKUP(quantInv[[#This Row],[Assigned Item SKU]],skuQuantity[#All],2,FALSE),0)</f>
        <v>0</v>
      </c>
      <c r="S671" t="str">
        <f>PROPER(quantInv[[#This Row],[Metal]] &amp; " " &amp; quantInv[[#This Row],[Item Type]])</f>
        <v>925 Silver Pendant</v>
      </c>
      <c r="T671" s="33">
        <f>quantInv[[#This Row],[Quantity]]*quantInv[[#This Row],[WEIGHT]]</f>
        <v>0</v>
      </c>
      <c r="U671" s="33">
        <f>quantInv[[#This Row],[UNIT
VALUE]]*quantInv[[#This Row],[Quantity]]</f>
        <v>0</v>
      </c>
      <c r="V671" s="33">
        <f>quantInv[[#This Row],[Total Cost GBP]]/EURtoGBP</f>
        <v>0</v>
      </c>
      <c r="W671" s="33">
        <f>quantInv[[#This Row],[Total Cost GBP]]/USDtoGBP</f>
        <v>0</v>
      </c>
      <c r="X671" s="33">
        <f>quantInv[[#This Row],[Total Cost GBP]]/CADtoGBP</f>
        <v>0</v>
      </c>
      <c r="Y671" s="33">
        <f>quantInv[[#This Row],[Quantity]]*quantInv[[#This Row],[UNIT
VALUE AUD]]</f>
        <v>0</v>
      </c>
      <c r="Z671" s="33"/>
    </row>
    <row r="672" spans="1:26" x14ac:dyDescent="0.25">
      <c r="A672" t="s">
        <v>1590</v>
      </c>
      <c r="B672" t="s">
        <v>1591</v>
      </c>
      <c r="C672" t="s">
        <v>115</v>
      </c>
      <c r="D672" t="s">
        <v>1592</v>
      </c>
      <c r="E672">
        <v>2.21</v>
      </c>
      <c r="F672" s="33">
        <v>2.6297000000000001</v>
      </c>
      <c r="G672" s="33" t="s">
        <v>117</v>
      </c>
      <c r="H672" t="s">
        <v>1451</v>
      </c>
      <c r="I672" t="str">
        <f>IF(quantInv[[#This Row],[Metal]] = "925 Silver",  "7113.11.00"," 7113.19.00")</f>
        <v>7113.11.00</v>
      </c>
      <c r="J672" t="str">
        <f>IF(quantInv[[#This Row],[Metal]] = "925 Silver", "7113.11.10.00"," 7113.19.10.00")</f>
        <v>7113.11.10.00</v>
      </c>
      <c r="K672" t="str">
        <f>IF(quantInv[[#This Row],[Metal]] = "925 Silver",  "7113.11.00"," 7113.19.00")</f>
        <v>7113.11.00</v>
      </c>
      <c r="L672" t="str">
        <f>IFERROR(VLOOKUP(quantInv[[#This Row],[Description for New Invoice]],Map!$G$12:$H$32,2,FALSE), IF(quantInv[[#This Row],[Metal]] = "925 Silver", "7113.11.10.00", "7113.19.29.00"))</f>
        <v>7113.11.50.00</v>
      </c>
      <c r="M672" t="str">
        <f>quantInv[[#This Row],[ASIN]] &amp; " " &amp; quantInv[[#This Row],[Short Description]]</f>
        <v xml:space="preserve">B084SY1V7J Tree of Life Pendant - Yggdrasil </v>
      </c>
      <c r="N672" s="33">
        <f>quantInv[[#This Row],[UNIT
VALUE]] / EURtoGBP</f>
        <v>2.985022106440097</v>
      </c>
      <c r="O672" s="33">
        <f>quantInv[[#This Row],[UNIT
VALUE]]/USDtoGBP</f>
        <v>3.6048818135583698</v>
      </c>
      <c r="P672" s="33">
        <f>quantInv[[#This Row],[UNIT
VALUE]] / CADtoGBP</f>
        <v>4.6144559497300319</v>
      </c>
      <c r="Q672" s="33">
        <f>quantInv[[#This Row],[UNIT
VALUE]]/AUDtoGBP</f>
        <v>4.7232200589122781</v>
      </c>
      <c r="R672">
        <f>IFERROR(VLOOKUP(quantInv[[#This Row],[Assigned Item SKU]],skuQuantity[#All],2,FALSE),0)</f>
        <v>0</v>
      </c>
      <c r="S672" t="str">
        <f>PROPER(quantInv[[#This Row],[Metal]] &amp; " " &amp; quantInv[[#This Row],[Item Type]])</f>
        <v>925 Silver Pendant</v>
      </c>
      <c r="T672" s="33">
        <f>quantInv[[#This Row],[Quantity]]*quantInv[[#This Row],[WEIGHT]]</f>
        <v>0</v>
      </c>
      <c r="U672" s="33">
        <f>quantInv[[#This Row],[UNIT
VALUE]]*quantInv[[#This Row],[Quantity]]</f>
        <v>0</v>
      </c>
      <c r="V672" s="33">
        <f>quantInv[[#This Row],[Total Cost GBP]]/EURtoGBP</f>
        <v>0</v>
      </c>
      <c r="W672" s="33">
        <f>quantInv[[#This Row],[Total Cost GBP]]/USDtoGBP</f>
        <v>0</v>
      </c>
      <c r="X672" s="33">
        <f>quantInv[[#This Row],[Total Cost GBP]]/CADtoGBP</f>
        <v>0</v>
      </c>
      <c r="Y672" s="33">
        <f>quantInv[[#This Row],[Quantity]]*quantInv[[#This Row],[UNIT
VALUE AUD]]</f>
        <v>0</v>
      </c>
      <c r="Z672" s="33"/>
    </row>
    <row r="673" spans="1:26" x14ac:dyDescent="0.25">
      <c r="A673" t="s">
        <v>78</v>
      </c>
      <c r="B673" t="s">
        <v>226</v>
      </c>
      <c r="C673" t="s">
        <v>114</v>
      </c>
      <c r="D673" t="s">
        <v>213</v>
      </c>
      <c r="E673">
        <v>5.6764705882352899</v>
      </c>
      <c r="F673" s="33">
        <v>6.6493000000000002</v>
      </c>
      <c r="G673" s="33" t="s">
        <v>117</v>
      </c>
      <c r="H673" t="s">
        <v>103</v>
      </c>
      <c r="I673" t="str">
        <f>IF(quantInv[[#This Row],[Metal]] = "925 Silver",  "7113.11.00"," 7113.19.00")</f>
        <v>7113.11.00</v>
      </c>
      <c r="J673" t="str">
        <f>IF(quantInv[[#This Row],[Metal]] = "925 Silver", "7113.11.10.00"," 7113.19.10.00")</f>
        <v>7113.11.10.00</v>
      </c>
      <c r="K673" t="str">
        <f>IF(quantInv[[#This Row],[Metal]] = "925 Silver",  "7113.11.00"," 7113.19.00")</f>
        <v>7113.11.00</v>
      </c>
      <c r="L673" t="str">
        <f>IFERROR(VLOOKUP(quantInv[[#This Row],[Description for New Invoice]],Map!$G$12:$H$32,2,FALSE), IF(quantInv[[#This Row],[Metal]] = "925 Silver", "7113.11.10.00", "7113.19.29.00"))</f>
        <v>7113.11.10.00</v>
      </c>
      <c r="M673" t="str">
        <f>quantInv[[#This Row],[ASIN]] &amp; " " &amp; quantInv[[#This Row],[Short Description]]</f>
        <v>B073G9PK56 Ball Chain</v>
      </c>
      <c r="N673" s="33">
        <f>quantInv[[#This Row],[UNIT
VALUE]] / EURtoGBP</f>
        <v>7.5477459376933256</v>
      </c>
      <c r="O673" s="33">
        <f>quantInv[[#This Row],[UNIT
VALUE]]/USDtoGBP</f>
        <v>9.1150856154290096</v>
      </c>
      <c r="P673" s="33">
        <f>quantInv[[#This Row],[UNIT
VALUE]] / CADtoGBP</f>
        <v>11.667833572856182</v>
      </c>
      <c r="Q673" s="33">
        <f>quantInv[[#This Row],[UNIT
VALUE]]/AUDtoGBP</f>
        <v>11.942847905740354</v>
      </c>
      <c r="R673">
        <f>IFERROR(VLOOKUP(quantInv[[#This Row],[Assigned Item SKU]],skuQuantity[#All],2,FALSE),0)</f>
        <v>0</v>
      </c>
      <c r="S673" t="str">
        <f>PROPER(quantInv[[#This Row],[Metal]] &amp; " " &amp; quantInv[[#This Row],[Item Type]])</f>
        <v>925 Silver Chain</v>
      </c>
      <c r="T673" s="33">
        <f>quantInv[[#This Row],[Quantity]]*quantInv[[#This Row],[WEIGHT]]</f>
        <v>0</v>
      </c>
      <c r="U673" s="33">
        <f>quantInv[[#This Row],[UNIT
VALUE]]*quantInv[[#This Row],[Quantity]]</f>
        <v>0</v>
      </c>
      <c r="V673" s="33">
        <f>quantInv[[#This Row],[Total Cost GBP]]/EURtoGBP</f>
        <v>0</v>
      </c>
      <c r="W673" s="33">
        <f>quantInv[[#This Row],[Total Cost GBP]]/USDtoGBP</f>
        <v>0</v>
      </c>
      <c r="X673" s="33">
        <f>quantInv[[#This Row],[Total Cost GBP]]/CADtoGBP</f>
        <v>0</v>
      </c>
      <c r="Y673" s="33">
        <f>quantInv[[#This Row],[Quantity]]*quantInv[[#This Row],[UNIT
VALUE AUD]]</f>
        <v>0</v>
      </c>
      <c r="Z673" s="33"/>
    </row>
    <row r="674" spans="1:26" x14ac:dyDescent="0.25">
      <c r="A674" t="s">
        <v>82</v>
      </c>
      <c r="B674" t="s">
        <v>279</v>
      </c>
      <c r="C674" t="s">
        <v>113</v>
      </c>
      <c r="D674" t="s">
        <v>160</v>
      </c>
      <c r="E674">
        <v>2.7197183098591502</v>
      </c>
      <c r="F674" s="33">
        <v>3.5350000000000001</v>
      </c>
      <c r="G674" s="33" t="s">
        <v>117</v>
      </c>
      <c r="H674" t="s">
        <v>103</v>
      </c>
      <c r="I674" t="str">
        <f>IF(quantInv[[#This Row],[Metal]] = "925 Silver",  "7113.11.00"," 7113.19.00")</f>
        <v>7113.11.00</v>
      </c>
      <c r="J674" t="str">
        <f>IF(quantInv[[#This Row],[Metal]] = "925 Silver", "7113.11.10.00"," 7113.19.10.00")</f>
        <v>7113.11.10.00</v>
      </c>
      <c r="K674" t="str">
        <f>IF(quantInv[[#This Row],[Metal]] = "925 Silver",  "7113.11.00"," 7113.19.00")</f>
        <v>7113.11.00</v>
      </c>
      <c r="L674" t="str">
        <f>IFERROR(VLOOKUP(quantInv[[#This Row],[Description for New Invoice]],Map!$G$12:$H$32,2,FALSE), IF(quantInv[[#This Row],[Metal]] = "925 Silver", "7113.11.10.00", "7113.19.29.00"))</f>
        <v>7113.11.10.00</v>
      </c>
      <c r="M674" t="str">
        <f>quantInv[[#This Row],[ASIN]] &amp; " " &amp; quantInv[[#This Row],[Short Description]]</f>
        <v>B073G9LNHZ Curb Chain</v>
      </c>
      <c r="N674" s="33">
        <f>quantInv[[#This Row],[UNIT
VALUE]] / EURtoGBP</f>
        <v>4.0126452242711119</v>
      </c>
      <c r="O674" s="33">
        <f>quantInv[[#This Row],[UNIT
VALUE]]/USDtoGBP</f>
        <v>4.8458977111186963</v>
      </c>
      <c r="P674" s="33">
        <f>quantInv[[#This Row],[UNIT
VALUE]] / CADtoGBP</f>
        <v>6.2030276390066028</v>
      </c>
      <c r="Q674" s="33">
        <f>quantInv[[#This Row],[UNIT
VALUE]]/AUDtoGBP</f>
        <v>6.3492348588260645</v>
      </c>
      <c r="R674">
        <f>IFERROR(VLOOKUP(quantInv[[#This Row],[Assigned Item SKU]],skuQuantity[#All],2,FALSE),0)</f>
        <v>0</v>
      </c>
      <c r="S674" t="str">
        <f>PROPER(quantInv[[#This Row],[Metal]] &amp; " " &amp; quantInv[[#This Row],[Item Type]])</f>
        <v>925 Silver Chain</v>
      </c>
      <c r="T674" s="33">
        <f>quantInv[[#This Row],[Quantity]]*quantInv[[#This Row],[WEIGHT]]</f>
        <v>0</v>
      </c>
      <c r="U674" s="33">
        <f>quantInv[[#This Row],[UNIT
VALUE]]*quantInv[[#This Row],[Quantity]]</f>
        <v>0</v>
      </c>
      <c r="V674" s="33">
        <f>quantInv[[#This Row],[Total Cost GBP]]/EURtoGBP</f>
        <v>0</v>
      </c>
      <c r="W674" s="33">
        <f>quantInv[[#This Row],[Total Cost GBP]]/USDtoGBP</f>
        <v>0</v>
      </c>
      <c r="X674" s="33">
        <f>quantInv[[#This Row],[Total Cost GBP]]/CADtoGBP</f>
        <v>0</v>
      </c>
      <c r="Y674" s="33">
        <f>quantInv[[#This Row],[Quantity]]*quantInv[[#This Row],[UNIT
VALUE AUD]]</f>
        <v>0</v>
      </c>
      <c r="Z674" s="33"/>
    </row>
    <row r="675" spans="1:26" x14ac:dyDescent="0.25">
      <c r="A675" t="s">
        <v>95</v>
      </c>
      <c r="B675" t="s">
        <v>280</v>
      </c>
      <c r="C675" t="s">
        <v>113</v>
      </c>
      <c r="D675" t="s">
        <v>160</v>
      </c>
      <c r="E675">
        <v>1.48</v>
      </c>
      <c r="F675" s="33">
        <v>2.4735999999999998</v>
      </c>
      <c r="G675" s="33" t="s">
        <v>117</v>
      </c>
      <c r="H675" t="s">
        <v>1426</v>
      </c>
      <c r="I675" t="str">
        <f>IF(quantInv[[#This Row],[Metal]] = "925 Silver",  "7113.11.00"," 7113.19.00")</f>
        <v>7113.11.00</v>
      </c>
      <c r="J675" t="str">
        <f>IF(quantInv[[#This Row],[Metal]] = "925 Silver", "7113.11.10.00"," 7113.19.10.00")</f>
        <v>7113.11.10.00</v>
      </c>
      <c r="K675" t="str">
        <f>IF(quantInv[[#This Row],[Metal]] = "925 Silver",  "7113.11.00"," 7113.19.00")</f>
        <v>7113.11.00</v>
      </c>
      <c r="L675" t="str">
        <f>IFERROR(VLOOKUP(quantInv[[#This Row],[Description for New Invoice]],Map!$G$12:$H$32,2,FALSE), IF(quantInv[[#This Row],[Metal]] = "925 Silver", "7113.11.10.00", "7113.19.29.00"))</f>
        <v>7113.11.10.00</v>
      </c>
      <c r="M675" t="str">
        <f>quantInv[[#This Row],[ASIN]] &amp; " " &amp; quantInv[[#This Row],[Short Description]]</f>
        <v>B0783Q93YJ Curb Chain</v>
      </c>
      <c r="N675" s="33">
        <f>quantInv[[#This Row],[UNIT
VALUE]] / EURtoGBP</f>
        <v>2.8078300500019862</v>
      </c>
      <c r="O675" s="33">
        <f>quantInv[[#This Row],[UNIT
VALUE]]/USDtoGBP</f>
        <v>3.390894647305009</v>
      </c>
      <c r="P675" s="33">
        <f>quantInv[[#This Row],[UNIT
VALUE]] / CADtoGBP</f>
        <v>4.3405400757699386</v>
      </c>
      <c r="Q675" s="33">
        <f>quantInv[[#This Row],[UNIT
VALUE]]/AUDtoGBP</f>
        <v>4.4428479057403543</v>
      </c>
      <c r="R675">
        <f>IFERROR(VLOOKUP(quantInv[[#This Row],[Assigned Item SKU]],skuQuantity[#All],2,FALSE),0)</f>
        <v>0</v>
      </c>
      <c r="S675" t="str">
        <f>PROPER(quantInv[[#This Row],[Metal]] &amp; " " &amp; quantInv[[#This Row],[Item Type]])</f>
        <v>925 Silver Anklet</v>
      </c>
      <c r="T675" s="33">
        <f>quantInv[[#This Row],[Quantity]]*quantInv[[#This Row],[WEIGHT]]</f>
        <v>0</v>
      </c>
      <c r="U675" s="33">
        <f>quantInv[[#This Row],[UNIT
VALUE]]*quantInv[[#This Row],[Quantity]]</f>
        <v>0</v>
      </c>
      <c r="V675" s="33">
        <f>quantInv[[#This Row],[Total Cost GBP]]/EURtoGBP</f>
        <v>0</v>
      </c>
      <c r="W675" s="33">
        <f>quantInv[[#This Row],[Total Cost GBP]]/USDtoGBP</f>
        <v>0</v>
      </c>
      <c r="X675" s="33">
        <f>quantInv[[#This Row],[Total Cost GBP]]/CADtoGBP</f>
        <v>0</v>
      </c>
      <c r="Y675" s="33">
        <f>quantInv[[#This Row],[Quantity]]*quantInv[[#This Row],[UNIT
VALUE AUD]]</f>
        <v>0</v>
      </c>
      <c r="Z675" s="33"/>
    </row>
    <row r="676" spans="1:26" x14ac:dyDescent="0.25">
      <c r="A676" t="s">
        <v>308</v>
      </c>
      <c r="B676" t="s">
        <v>309</v>
      </c>
      <c r="C676" t="s">
        <v>113</v>
      </c>
      <c r="D676" t="s">
        <v>189</v>
      </c>
      <c r="E676">
        <v>3.0333333333333301</v>
      </c>
      <c r="F676" s="33">
        <v>4.1429</v>
      </c>
      <c r="G676" s="33" t="s">
        <v>117</v>
      </c>
      <c r="H676" t="s">
        <v>103</v>
      </c>
      <c r="I676" t="str">
        <f>IF(quantInv[[#This Row],[Metal]] = "925 Silver",  "7113.11.00"," 7113.19.00")</f>
        <v>7113.11.00</v>
      </c>
      <c r="J676" t="str">
        <f>IF(quantInv[[#This Row],[Metal]] = "925 Silver", "7113.11.10.00"," 7113.19.10.00")</f>
        <v>7113.11.10.00</v>
      </c>
      <c r="K676" t="str">
        <f>IF(quantInv[[#This Row],[Metal]] = "925 Silver",  "7113.11.00"," 7113.19.00")</f>
        <v>7113.11.00</v>
      </c>
      <c r="L676" t="str">
        <f>IFERROR(VLOOKUP(quantInv[[#This Row],[Description for New Invoice]],Map!$G$12:$H$32,2,FALSE), IF(quantInv[[#This Row],[Metal]] = "925 Silver", "7113.11.10.00", "7113.19.29.00"))</f>
        <v>7113.11.10.00</v>
      </c>
      <c r="M676" t="str">
        <f>quantInv[[#This Row],[ASIN]] &amp; " " &amp; quantInv[[#This Row],[Short Description]]</f>
        <v>B073JJLZBQ Singapore Chain</v>
      </c>
      <c r="N676" s="33">
        <f>quantInv[[#This Row],[UNIT
VALUE]] / EURtoGBP</f>
        <v>4.7026839885807039</v>
      </c>
      <c r="O676" s="33">
        <f>quantInv[[#This Row],[UNIT
VALUE]]/USDtoGBP</f>
        <v>5.6792276173673688</v>
      </c>
      <c r="P676" s="33">
        <f>quantInv[[#This Row],[UNIT
VALUE]] / CADtoGBP</f>
        <v>7.2697378233777803</v>
      </c>
      <c r="Q676" s="33">
        <f>quantInv[[#This Row],[UNIT
VALUE]]/AUDtoGBP</f>
        <v>7.4410877218190956</v>
      </c>
      <c r="R676">
        <f>IFERROR(VLOOKUP(quantInv[[#This Row],[Assigned Item SKU]],skuQuantity[#All],2,FALSE),0)</f>
        <v>0</v>
      </c>
      <c r="S676" t="str">
        <f>PROPER(quantInv[[#This Row],[Metal]] &amp; " " &amp; quantInv[[#This Row],[Item Type]])</f>
        <v>925 Silver Chain</v>
      </c>
      <c r="T676" s="33">
        <f>quantInv[[#This Row],[Quantity]]*quantInv[[#This Row],[WEIGHT]]</f>
        <v>0</v>
      </c>
      <c r="U676" s="33">
        <f>quantInv[[#This Row],[UNIT
VALUE]]*quantInv[[#This Row],[Quantity]]</f>
        <v>0</v>
      </c>
      <c r="V676" s="33">
        <f>quantInv[[#This Row],[Total Cost GBP]]/EURtoGBP</f>
        <v>0</v>
      </c>
      <c r="W676" s="33">
        <f>quantInv[[#This Row],[Total Cost GBP]]/USDtoGBP</f>
        <v>0</v>
      </c>
      <c r="X676" s="33">
        <f>quantInv[[#This Row],[Total Cost GBP]]/CADtoGBP</f>
        <v>0</v>
      </c>
      <c r="Y676" s="33">
        <f>quantInv[[#This Row],[Quantity]]*quantInv[[#This Row],[UNIT
VALUE AUD]]</f>
        <v>0</v>
      </c>
      <c r="Z676" s="33"/>
    </row>
    <row r="677" spans="1:26" x14ac:dyDescent="0.25">
      <c r="A677" t="s">
        <v>317</v>
      </c>
      <c r="B677" t="s">
        <v>318</v>
      </c>
      <c r="C677" t="s">
        <v>113</v>
      </c>
      <c r="D677" t="s">
        <v>314</v>
      </c>
      <c r="E677">
        <v>2.39387755102041</v>
      </c>
      <c r="F677" s="33">
        <v>3.1953999999999998</v>
      </c>
      <c r="G677" s="33" t="s">
        <v>117</v>
      </c>
      <c r="H677" t="s">
        <v>103</v>
      </c>
      <c r="I677" t="str">
        <f>IF(quantInv[[#This Row],[Metal]] = "925 Silver",  "7113.11.00"," 7113.19.00")</f>
        <v>7113.11.00</v>
      </c>
      <c r="J677" t="str">
        <f>IF(quantInv[[#This Row],[Metal]] = "925 Silver", "7113.11.10.00"," 7113.19.10.00")</f>
        <v>7113.11.10.00</v>
      </c>
      <c r="K677" t="str">
        <f>IF(quantInv[[#This Row],[Metal]] = "925 Silver",  "7113.11.00"," 7113.19.00")</f>
        <v>7113.11.00</v>
      </c>
      <c r="L677" t="str">
        <f>IFERROR(VLOOKUP(quantInv[[#This Row],[Description for New Invoice]],Map!$G$12:$H$32,2,FALSE), IF(quantInv[[#This Row],[Metal]] = "925 Silver", "7113.11.10.00", "7113.19.29.00"))</f>
        <v>7113.11.10.00</v>
      </c>
      <c r="M677" t="str">
        <f>quantInv[[#This Row],[ASIN]] &amp; " " &amp; quantInv[[#This Row],[Short Description]]</f>
        <v>B073G8CQ93 Box Chain</v>
      </c>
      <c r="N677" s="33">
        <f>quantInv[[#This Row],[UNIT
VALUE]] / EURtoGBP</f>
        <v>3.6271588542110069</v>
      </c>
      <c r="O677" s="33">
        <f>quantInv[[#This Row],[UNIT
VALUE]]/USDtoGBP</f>
        <v>4.3803625307238141</v>
      </c>
      <c r="P677" s="33">
        <f>quantInv[[#This Row],[UNIT
VALUE]] / CADtoGBP</f>
        <v>5.6071158465860531</v>
      </c>
      <c r="Q677" s="33">
        <f>quantInv[[#This Row],[UNIT
VALUE]]/AUDtoGBP</f>
        <v>5.7392772469286584</v>
      </c>
      <c r="R677">
        <f>IFERROR(VLOOKUP(quantInv[[#This Row],[Assigned Item SKU]],skuQuantity[#All],2,FALSE),0)</f>
        <v>0</v>
      </c>
      <c r="S677" t="str">
        <f>PROPER(quantInv[[#This Row],[Metal]] &amp; " " &amp; quantInv[[#This Row],[Item Type]])</f>
        <v>925 Silver Chain</v>
      </c>
      <c r="T677" s="33">
        <f>quantInv[[#This Row],[Quantity]]*quantInv[[#This Row],[WEIGHT]]</f>
        <v>0</v>
      </c>
      <c r="U677" s="33">
        <f>quantInv[[#This Row],[UNIT
VALUE]]*quantInv[[#This Row],[Quantity]]</f>
        <v>0</v>
      </c>
      <c r="V677" s="33">
        <f>quantInv[[#This Row],[Total Cost GBP]]/EURtoGBP</f>
        <v>0</v>
      </c>
      <c r="W677" s="33">
        <f>quantInv[[#This Row],[Total Cost GBP]]/USDtoGBP</f>
        <v>0</v>
      </c>
      <c r="X677" s="33">
        <f>quantInv[[#This Row],[Total Cost GBP]]/CADtoGBP</f>
        <v>0</v>
      </c>
      <c r="Y677" s="33">
        <f>quantInv[[#This Row],[Quantity]]*quantInv[[#This Row],[UNIT
VALUE AUD]]</f>
        <v>0</v>
      </c>
      <c r="Z677" s="33"/>
    </row>
    <row r="678" spans="1:26" x14ac:dyDescent="0.25">
      <c r="A678" t="s">
        <v>1607</v>
      </c>
      <c r="B678" t="s">
        <v>1608</v>
      </c>
      <c r="C678" t="s">
        <v>115</v>
      </c>
      <c r="D678" t="s">
        <v>1598</v>
      </c>
      <c r="E678">
        <v>3.93</v>
      </c>
      <c r="F678" s="33">
        <v>6.1181000000000001</v>
      </c>
      <c r="G678" s="33" t="s">
        <v>117</v>
      </c>
      <c r="H678" t="s">
        <v>1310</v>
      </c>
      <c r="I678" t="str">
        <f>IF(quantInv[[#This Row],[Metal]] = "925 Silver",  "7113.11.00"," 7113.19.00")</f>
        <v>7113.11.00</v>
      </c>
      <c r="J678" t="str">
        <f>IF(quantInv[[#This Row],[Metal]] = "925 Silver", "7113.11.10.00"," 7113.19.10.00")</f>
        <v>7113.11.10.00</v>
      </c>
      <c r="K678" t="str">
        <f>IF(quantInv[[#This Row],[Metal]] = "925 Silver",  "7113.11.00"," 7113.19.00")</f>
        <v>7113.11.00</v>
      </c>
      <c r="L678" t="str">
        <f>IFERROR(VLOOKUP(quantInv[[#This Row],[Description for New Invoice]],Map!$G$12:$H$32,2,FALSE), IF(quantInv[[#This Row],[Metal]] = "925 Silver", "7113.11.10.00", "7113.19.29.00"))</f>
        <v>7113.11.50.00</v>
      </c>
      <c r="M678" t="str">
        <f>quantInv[[#This Row],[ASIN]] &amp; " " &amp; quantInv[[#This Row],[Short Description]]</f>
        <v>B083KM9FLZ Silver Earrings - Celtic Design- Drop/Hooks/Dangle</v>
      </c>
      <c r="N678" s="33">
        <f>quantInv[[#This Row],[UNIT
VALUE]] / EURtoGBP</f>
        <v>6.9447707911211003</v>
      </c>
      <c r="O678" s="33">
        <f>quantInv[[#This Row],[UNIT
VALUE]]/USDtoGBP</f>
        <v>8.3868986665899001</v>
      </c>
      <c r="P678" s="33">
        <f>quantInv[[#This Row],[UNIT
VALUE]] / CADtoGBP</f>
        <v>10.735712418163025</v>
      </c>
      <c r="Q678" s="33">
        <f>quantInv[[#This Row],[UNIT
VALUE]]/AUDtoGBP</f>
        <v>10.988756376176449</v>
      </c>
      <c r="R678">
        <f>IFERROR(VLOOKUP(quantInv[[#This Row],[Assigned Item SKU]],skuQuantity[#All],2,FALSE),0)</f>
        <v>0</v>
      </c>
      <c r="S678" t="str">
        <f>PROPER(quantInv[[#This Row],[Metal]] &amp; " " &amp; quantInv[[#This Row],[Item Type]])</f>
        <v>925 Silver Earrings</v>
      </c>
      <c r="T678" s="33">
        <f>quantInv[[#This Row],[Quantity]]*quantInv[[#This Row],[WEIGHT]]</f>
        <v>0</v>
      </c>
      <c r="U678" s="33">
        <f>quantInv[[#This Row],[UNIT
VALUE]]*quantInv[[#This Row],[Quantity]]</f>
        <v>0</v>
      </c>
      <c r="V678" s="33">
        <f>quantInv[[#This Row],[Total Cost GBP]]/EURtoGBP</f>
        <v>0</v>
      </c>
      <c r="W678" s="33">
        <f>quantInv[[#This Row],[Total Cost GBP]]/USDtoGBP</f>
        <v>0</v>
      </c>
      <c r="X678" s="33">
        <f>quantInv[[#This Row],[Total Cost GBP]]/CADtoGBP</f>
        <v>0</v>
      </c>
      <c r="Y678" s="33">
        <f>quantInv[[#This Row],[Quantity]]*quantInv[[#This Row],[UNIT
VALUE AUD]]</f>
        <v>0</v>
      </c>
      <c r="Z678" s="33"/>
    </row>
    <row r="679" spans="1:26" x14ac:dyDescent="0.25">
      <c r="A679" t="s">
        <v>319</v>
      </c>
      <c r="B679" t="s">
        <v>320</v>
      </c>
      <c r="C679" t="s">
        <v>113</v>
      </c>
      <c r="D679" t="s">
        <v>314</v>
      </c>
      <c r="E679">
        <v>2.8584158415841601</v>
      </c>
      <c r="F679" s="33">
        <v>3.7479</v>
      </c>
      <c r="G679" s="33" t="s">
        <v>117</v>
      </c>
      <c r="H679" t="s">
        <v>103</v>
      </c>
      <c r="I679" t="str">
        <f>IF(quantInv[[#This Row],[Metal]] = "925 Silver",  "7113.11.00"," 7113.19.00")</f>
        <v>7113.11.00</v>
      </c>
      <c r="J679" t="str">
        <f>IF(quantInv[[#This Row],[Metal]] = "925 Silver", "7113.11.10.00"," 7113.19.10.00")</f>
        <v>7113.11.10.00</v>
      </c>
      <c r="K679" t="str">
        <f>IF(quantInv[[#This Row],[Metal]] = "925 Silver",  "7113.11.00"," 7113.19.00")</f>
        <v>7113.11.00</v>
      </c>
      <c r="L679" t="str">
        <f>IFERROR(VLOOKUP(quantInv[[#This Row],[Description for New Invoice]],Map!$G$12:$H$32,2,FALSE), IF(quantInv[[#This Row],[Metal]] = "925 Silver", "7113.11.10.00", "7113.19.29.00"))</f>
        <v>7113.11.10.00</v>
      </c>
      <c r="M679" t="str">
        <f>quantInv[[#This Row],[ASIN]] &amp; " " &amp; quantInv[[#This Row],[Short Description]]</f>
        <v>B073G7ZTRK Box Chain</v>
      </c>
      <c r="N679" s="33">
        <f>quantInv[[#This Row],[UNIT
VALUE]] / EURtoGBP</f>
        <v>4.254312032827638</v>
      </c>
      <c r="O679" s="33">
        <f>quantInv[[#This Row],[UNIT
VALUE]]/USDtoGBP</f>
        <v>5.1377482408774435</v>
      </c>
      <c r="P679" s="33">
        <f>quantInv[[#This Row],[UNIT
VALUE]] / CADtoGBP</f>
        <v>6.576613094266718</v>
      </c>
      <c r="Q679" s="33">
        <f>quantInv[[#This Row],[UNIT
VALUE]]/AUDtoGBP</f>
        <v>6.731625835189309</v>
      </c>
      <c r="R679">
        <f>IFERROR(VLOOKUP(quantInv[[#This Row],[Assigned Item SKU]],skuQuantity[#All],2,FALSE),0)</f>
        <v>5</v>
      </c>
      <c r="S679" t="str">
        <f>PROPER(quantInv[[#This Row],[Metal]] &amp; " " &amp; quantInv[[#This Row],[Item Type]])</f>
        <v>925 Silver Chain</v>
      </c>
      <c r="T679" s="33">
        <f>quantInv[[#This Row],[Quantity]]*quantInv[[#This Row],[WEIGHT]]</f>
        <v>14.2920792079208</v>
      </c>
      <c r="U679" s="33">
        <f>quantInv[[#This Row],[UNIT
VALUE]]*quantInv[[#This Row],[Quantity]]</f>
        <v>18.7395</v>
      </c>
      <c r="V679" s="33">
        <f>quantInv[[#This Row],[Total Cost GBP]]/EURtoGBP</f>
        <v>21.27156016413819</v>
      </c>
      <c r="W679" s="33">
        <f>quantInv[[#This Row],[Total Cost GBP]]/USDtoGBP</f>
        <v>25.688741204387217</v>
      </c>
      <c r="X679" s="33">
        <f>quantInv[[#This Row],[Total Cost GBP]]/CADtoGBP</f>
        <v>32.883065471333587</v>
      </c>
      <c r="Y679" s="33">
        <f>quantInv[[#This Row],[Quantity]]*quantInv[[#This Row],[UNIT
VALUE AUD]]</f>
        <v>33.658129175946542</v>
      </c>
      <c r="Z679" s="33"/>
    </row>
    <row r="680" spans="1:26" x14ac:dyDescent="0.25">
      <c r="A680" t="s">
        <v>1611</v>
      </c>
      <c r="B680" t="s">
        <v>1612</v>
      </c>
      <c r="C680" t="s">
        <v>114</v>
      </c>
      <c r="D680" t="s">
        <v>160</v>
      </c>
      <c r="E680">
        <v>1.8</v>
      </c>
      <c r="F680" s="33">
        <v>2.0609000000000002</v>
      </c>
      <c r="G680" s="33" t="s">
        <v>117</v>
      </c>
      <c r="H680" t="s">
        <v>103</v>
      </c>
      <c r="I680" t="str">
        <f>IF(quantInv[[#This Row],[Metal]] = "925 Silver",  "7113.11.00"," 7113.19.00")</f>
        <v>7113.11.00</v>
      </c>
      <c r="J680" t="str">
        <f>IF(quantInv[[#This Row],[Metal]] = "925 Silver", "7113.11.10.00"," 7113.19.10.00")</f>
        <v>7113.11.10.00</v>
      </c>
      <c r="K680" t="str">
        <f>IF(quantInv[[#This Row],[Metal]] = "925 Silver",  "7113.11.00"," 7113.19.00")</f>
        <v>7113.11.00</v>
      </c>
      <c r="L680" t="str">
        <f>IFERROR(VLOOKUP(quantInv[[#This Row],[Description for New Invoice]],Map!$G$12:$H$32,2,FALSE), IF(quantInv[[#This Row],[Metal]] = "925 Silver", "7113.11.10.00", "7113.19.29.00"))</f>
        <v>7113.11.10.00</v>
      </c>
      <c r="M680" t="str">
        <f>quantInv[[#This Row],[ASIN]] &amp; " " &amp; quantInv[[#This Row],[Short Description]]</f>
        <v>B0848W58XR Curb Chain</v>
      </c>
      <c r="N680" s="33">
        <f>quantInv[[#This Row],[UNIT
VALUE]] / EURtoGBP</f>
        <v>2.3393664901556819</v>
      </c>
      <c r="O680" s="33">
        <f>quantInv[[#This Row],[UNIT
VALUE]]/USDtoGBP</f>
        <v>2.8251515114128778</v>
      </c>
      <c r="P680" s="33">
        <f>quantInv[[#This Row],[UNIT
VALUE]] / CADtoGBP</f>
        <v>3.6163563398101015</v>
      </c>
      <c r="Q680" s="33">
        <f>quantInv[[#This Row],[UNIT
VALUE]]/AUDtoGBP</f>
        <v>3.7015949421653858</v>
      </c>
      <c r="R680">
        <f>IFERROR(VLOOKUP(quantInv[[#This Row],[Assigned Item SKU]],skuQuantity[#All],2,FALSE),0)</f>
        <v>0</v>
      </c>
      <c r="S680" t="str">
        <f>PROPER(quantInv[[#This Row],[Metal]] &amp; " " &amp; quantInv[[#This Row],[Item Type]])</f>
        <v>925 Silver Chain</v>
      </c>
      <c r="T680" s="33">
        <f>quantInv[[#This Row],[Quantity]]*quantInv[[#This Row],[WEIGHT]]</f>
        <v>0</v>
      </c>
      <c r="U680" s="33">
        <f>quantInv[[#This Row],[UNIT
VALUE]]*quantInv[[#This Row],[Quantity]]</f>
        <v>0</v>
      </c>
      <c r="V680" s="33">
        <f>quantInv[[#This Row],[Total Cost GBP]]/EURtoGBP</f>
        <v>0</v>
      </c>
      <c r="W680" s="33">
        <f>quantInv[[#This Row],[Total Cost GBP]]/USDtoGBP</f>
        <v>0</v>
      </c>
      <c r="X680" s="33">
        <f>quantInv[[#This Row],[Total Cost GBP]]/CADtoGBP</f>
        <v>0</v>
      </c>
      <c r="Y680" s="33">
        <f>quantInv[[#This Row],[Quantity]]*quantInv[[#This Row],[UNIT
VALUE AUD]]</f>
        <v>0</v>
      </c>
      <c r="Z680" s="33"/>
    </row>
    <row r="681" spans="1:26" x14ac:dyDescent="0.25">
      <c r="A681" t="s">
        <v>340</v>
      </c>
      <c r="B681" t="s">
        <v>341</v>
      </c>
      <c r="C681" t="s">
        <v>114</v>
      </c>
      <c r="D681" t="s">
        <v>213</v>
      </c>
      <c r="E681">
        <v>2.3470588235294101</v>
      </c>
      <c r="F681" s="33">
        <v>3.0363000000000002</v>
      </c>
      <c r="G681" s="33" t="s">
        <v>117</v>
      </c>
      <c r="H681" t="s">
        <v>1414</v>
      </c>
      <c r="I681" t="str">
        <f>IF(quantInv[[#This Row],[Metal]] = "925 Silver",  "7113.11.00"," 7113.19.00")</f>
        <v>7113.11.00</v>
      </c>
      <c r="J681" t="str">
        <f>IF(quantInv[[#This Row],[Metal]] = "925 Silver", "7113.11.10.00"," 7113.19.10.00")</f>
        <v>7113.11.10.00</v>
      </c>
      <c r="K681" t="str">
        <f>IF(quantInv[[#This Row],[Metal]] = "925 Silver",  "7113.11.00"," 7113.19.00")</f>
        <v>7113.11.00</v>
      </c>
      <c r="L681" t="str">
        <f>IFERROR(VLOOKUP(quantInv[[#This Row],[Description for New Invoice]],Map!$G$12:$H$32,2,FALSE), IF(quantInv[[#This Row],[Metal]] = "925 Silver", "7113.11.10.00", "7113.19.29.00"))</f>
        <v>7113.11.10.00</v>
      </c>
      <c r="M681" t="str">
        <f>quantInv[[#This Row],[ASIN]] &amp; " " &amp; quantInv[[#This Row],[Short Description]]</f>
        <v>B073V39W6R Ball Chain</v>
      </c>
      <c r="N681" s="33">
        <f>quantInv[[#This Row],[UNIT
VALUE]] / EURtoGBP</f>
        <v>3.4465614411469243</v>
      </c>
      <c r="O681" s="33">
        <f>quantInv[[#This Row],[UNIT
VALUE]]/USDtoGBP</f>
        <v>4.1622628628768599</v>
      </c>
      <c r="P681" s="33">
        <f>quantInv[[#This Row],[UNIT
VALUE]] / CADtoGBP</f>
        <v>5.3279357341770153</v>
      </c>
      <c r="Q681" s="33">
        <f>quantInv[[#This Row],[UNIT
VALUE]]/AUDtoGBP</f>
        <v>5.4535167756304332</v>
      </c>
      <c r="R681">
        <f>IFERROR(VLOOKUP(quantInv[[#This Row],[Assigned Item SKU]],skuQuantity[#All],2,FALSE),0)</f>
        <v>0</v>
      </c>
      <c r="S681" t="str">
        <f>PROPER(quantInv[[#This Row],[Metal]] &amp; " " &amp; quantInv[[#This Row],[Item Type]])</f>
        <v>925 Silver Bracelet</v>
      </c>
      <c r="T681" s="33">
        <f>quantInv[[#This Row],[Quantity]]*quantInv[[#This Row],[WEIGHT]]</f>
        <v>0</v>
      </c>
      <c r="U681" s="33">
        <f>quantInv[[#This Row],[UNIT
VALUE]]*quantInv[[#This Row],[Quantity]]</f>
        <v>0</v>
      </c>
      <c r="V681" s="33">
        <f>quantInv[[#This Row],[Total Cost GBP]]/EURtoGBP</f>
        <v>0</v>
      </c>
      <c r="W681" s="33">
        <f>quantInv[[#This Row],[Total Cost GBP]]/USDtoGBP</f>
        <v>0</v>
      </c>
      <c r="X681" s="33">
        <f>quantInv[[#This Row],[Total Cost GBP]]/CADtoGBP</f>
        <v>0</v>
      </c>
      <c r="Y681" s="33">
        <f>quantInv[[#This Row],[Quantity]]*quantInv[[#This Row],[UNIT
VALUE AUD]]</f>
        <v>0</v>
      </c>
      <c r="Z681" s="33"/>
    </row>
    <row r="682" spans="1:26" x14ac:dyDescent="0.25">
      <c r="A682" t="s">
        <v>348</v>
      </c>
      <c r="B682" t="s">
        <v>349</v>
      </c>
      <c r="C682" t="s">
        <v>114</v>
      </c>
      <c r="D682" t="s">
        <v>230</v>
      </c>
      <c r="E682">
        <v>1.6843137254902001</v>
      </c>
      <c r="F682" s="33">
        <v>2.3812000000000002</v>
      </c>
      <c r="G682" s="33" t="s">
        <v>117</v>
      </c>
      <c r="H682" t="s">
        <v>1414</v>
      </c>
      <c r="I682" t="str">
        <f>IF(quantInv[[#This Row],[Metal]] = "925 Silver",  "7113.11.00"," 7113.19.00")</f>
        <v>7113.11.00</v>
      </c>
      <c r="J682" t="str">
        <f>IF(quantInv[[#This Row],[Metal]] = "925 Silver", "7113.11.10.00"," 7113.19.10.00")</f>
        <v>7113.11.10.00</v>
      </c>
      <c r="K682" t="str">
        <f>IF(quantInv[[#This Row],[Metal]] = "925 Silver",  "7113.11.00"," 7113.19.00")</f>
        <v>7113.11.00</v>
      </c>
      <c r="L682" t="str">
        <f>IFERROR(VLOOKUP(quantInv[[#This Row],[Description for New Invoice]],Map!$G$12:$H$32,2,FALSE), IF(quantInv[[#This Row],[Metal]] = "925 Silver", "7113.11.10.00", "7113.19.29.00"))</f>
        <v>7113.11.10.00</v>
      </c>
      <c r="M682" t="str">
        <f>quantInv[[#This Row],[ASIN]] &amp; " " &amp; quantInv[[#This Row],[Short Description]]</f>
        <v>B073V37ZPN French Rope Chain</v>
      </c>
      <c r="N682" s="33">
        <f>quantInv[[#This Row],[UNIT
VALUE]] / EURtoGBP</f>
        <v>2.7029450659220289</v>
      </c>
      <c r="O682" s="33">
        <f>quantInv[[#This Row],[UNIT
VALUE]]/USDtoGBP</f>
        <v>3.2642295982223031</v>
      </c>
      <c r="P682" s="33">
        <f>quantInv[[#This Row],[UNIT
VALUE]] / CADtoGBP</f>
        <v>4.1784015315424394</v>
      </c>
      <c r="Q682" s="33">
        <f>quantInv[[#This Row],[UNIT
VALUE]]/AUDtoGBP</f>
        <v>4.276887707450248</v>
      </c>
      <c r="R682">
        <f>IFERROR(VLOOKUP(quantInv[[#This Row],[Assigned Item SKU]],skuQuantity[#All],2,FALSE),0)</f>
        <v>10</v>
      </c>
      <c r="S682" t="str">
        <f>PROPER(quantInv[[#This Row],[Metal]] &amp; " " &amp; quantInv[[#This Row],[Item Type]])</f>
        <v>925 Silver Bracelet</v>
      </c>
      <c r="T682" s="33">
        <f>quantInv[[#This Row],[Quantity]]*quantInv[[#This Row],[WEIGHT]]</f>
        <v>16.843137254902</v>
      </c>
      <c r="U682" s="33">
        <f>quantInv[[#This Row],[UNIT
VALUE]]*quantInv[[#This Row],[Quantity]]</f>
        <v>23.812000000000001</v>
      </c>
      <c r="V682" s="33">
        <f>quantInv[[#This Row],[Total Cost GBP]]/EURtoGBP</f>
        <v>27.029450659220288</v>
      </c>
      <c r="W682" s="33">
        <f>quantInv[[#This Row],[Total Cost GBP]]/USDtoGBP</f>
        <v>32.642295982223025</v>
      </c>
      <c r="X682" s="33">
        <f>quantInv[[#This Row],[Total Cost GBP]]/CADtoGBP</f>
        <v>41.784015315424391</v>
      </c>
      <c r="Y682" s="33">
        <f>quantInv[[#This Row],[Quantity]]*quantInv[[#This Row],[UNIT
VALUE AUD]]</f>
        <v>42.768877074502484</v>
      </c>
      <c r="Z682" s="33"/>
    </row>
    <row r="683" spans="1:26" x14ac:dyDescent="0.25">
      <c r="A683" t="s">
        <v>1617</v>
      </c>
      <c r="B683" t="s">
        <v>1618</v>
      </c>
      <c r="C683" t="s">
        <v>114</v>
      </c>
      <c r="D683" t="s">
        <v>173</v>
      </c>
      <c r="E683">
        <v>2</v>
      </c>
      <c r="F683" s="33">
        <v>2.2423999999999999</v>
      </c>
      <c r="G683" s="33" t="s">
        <v>117</v>
      </c>
      <c r="H683" t="s">
        <v>103</v>
      </c>
      <c r="I683" t="str">
        <f>IF(quantInv[[#This Row],[Metal]] = "925 Silver",  "7113.11.00"," 7113.19.00")</f>
        <v>7113.11.00</v>
      </c>
      <c r="J683" t="str">
        <f>IF(quantInv[[#This Row],[Metal]] = "925 Silver", "7113.11.10.00"," 7113.19.10.00")</f>
        <v>7113.11.10.00</v>
      </c>
      <c r="K683" t="str">
        <f>IF(quantInv[[#This Row],[Metal]] = "925 Silver",  "7113.11.00"," 7113.19.00")</f>
        <v>7113.11.00</v>
      </c>
      <c r="L683" t="str">
        <f>IFERROR(VLOOKUP(quantInv[[#This Row],[Description for New Invoice]],Map!$G$12:$H$32,2,FALSE), IF(quantInv[[#This Row],[Metal]] = "925 Silver", "7113.11.10.00", "7113.19.29.00"))</f>
        <v>7113.11.10.00</v>
      </c>
      <c r="M683" t="str">
        <f>quantInv[[#This Row],[ASIN]] &amp; " " &amp; quantInv[[#This Row],[Short Description]]</f>
        <v>B0848CNWK7 Figaro Chain</v>
      </c>
      <c r="N683" s="33">
        <f>quantInv[[#This Row],[UNIT
VALUE]] / EURtoGBP</f>
        <v>2.5453905660270273</v>
      </c>
      <c r="O683" s="33">
        <f>quantInv[[#This Row],[UNIT
VALUE]]/USDtoGBP</f>
        <v>3.0739578578253366</v>
      </c>
      <c r="P683" s="33">
        <f>quantInv[[#This Row],[UNIT
VALUE]] / CADtoGBP</f>
        <v>3.9348427659712604</v>
      </c>
      <c r="Q683" s="33">
        <f>quantInv[[#This Row],[UNIT
VALUE]]/AUDtoGBP</f>
        <v>4.0275881888066669</v>
      </c>
      <c r="R683">
        <f>IFERROR(VLOOKUP(quantInv[[#This Row],[Assigned Item SKU]],skuQuantity[#All],2,FALSE),0)</f>
        <v>0</v>
      </c>
      <c r="S683" t="str">
        <f>PROPER(quantInv[[#This Row],[Metal]] &amp; " " &amp; quantInv[[#This Row],[Item Type]])</f>
        <v>925 Silver Chain</v>
      </c>
      <c r="T683" s="33">
        <f>quantInv[[#This Row],[Quantity]]*quantInv[[#This Row],[WEIGHT]]</f>
        <v>0</v>
      </c>
      <c r="U683" s="33">
        <f>quantInv[[#This Row],[UNIT
VALUE]]*quantInv[[#This Row],[Quantity]]</f>
        <v>0</v>
      </c>
      <c r="V683" s="33">
        <f>quantInv[[#This Row],[Total Cost GBP]]/EURtoGBP</f>
        <v>0</v>
      </c>
      <c r="W683" s="33">
        <f>quantInv[[#This Row],[Total Cost GBP]]/USDtoGBP</f>
        <v>0</v>
      </c>
      <c r="X683" s="33">
        <f>quantInv[[#This Row],[Total Cost GBP]]/CADtoGBP</f>
        <v>0</v>
      </c>
      <c r="Y683" s="33">
        <f>quantInv[[#This Row],[Quantity]]*quantInv[[#This Row],[UNIT
VALUE AUD]]</f>
        <v>0</v>
      </c>
      <c r="Z683" s="33"/>
    </row>
    <row r="684" spans="1:26" x14ac:dyDescent="0.25">
      <c r="A684" t="s">
        <v>1619</v>
      </c>
      <c r="B684" t="s">
        <v>1620</v>
      </c>
      <c r="C684" t="s">
        <v>114</v>
      </c>
      <c r="D684" t="s">
        <v>173</v>
      </c>
      <c r="E684">
        <v>2.2000000000000002</v>
      </c>
      <c r="F684" s="33">
        <v>2.4556</v>
      </c>
      <c r="G684" s="33" t="s">
        <v>117</v>
      </c>
      <c r="H684" t="s">
        <v>103</v>
      </c>
      <c r="I684" t="str">
        <f>IF(quantInv[[#This Row],[Metal]] = "925 Silver",  "7113.11.00"," 7113.19.00")</f>
        <v>7113.11.00</v>
      </c>
      <c r="J684" t="str">
        <f>IF(quantInv[[#This Row],[Metal]] = "925 Silver", "7113.11.10.00"," 7113.19.10.00")</f>
        <v>7113.11.10.00</v>
      </c>
      <c r="K684" t="str">
        <f>IF(quantInv[[#This Row],[Metal]] = "925 Silver",  "7113.11.00"," 7113.19.00")</f>
        <v>7113.11.00</v>
      </c>
      <c r="L684" t="str">
        <f>IFERROR(VLOOKUP(quantInv[[#This Row],[Description for New Invoice]],Map!$G$12:$H$32,2,FALSE), IF(quantInv[[#This Row],[Metal]] = "925 Silver", "7113.11.10.00", "7113.19.29.00"))</f>
        <v>7113.11.10.00</v>
      </c>
      <c r="M684" t="str">
        <f>quantInv[[#This Row],[ASIN]] &amp; " " &amp; quantInv[[#This Row],[Short Description]]</f>
        <v>B0848MX3S6 Figaro Chain</v>
      </c>
      <c r="N684" s="33">
        <f>quantInv[[#This Row],[UNIT
VALUE]] / EURtoGBP</f>
        <v>2.7873979102461504</v>
      </c>
      <c r="O684" s="33">
        <f>quantInv[[#This Row],[UNIT
VALUE]]/USDtoGBP</f>
        <v>3.366219637743443</v>
      </c>
      <c r="P684" s="33">
        <f>quantInv[[#This Row],[UNIT
VALUE]] / CADtoGBP</f>
        <v>4.3089546450762697</v>
      </c>
      <c r="Q684" s="33">
        <f>quantInv[[#This Row],[UNIT
VALUE]]/AUDtoGBP</f>
        <v>4.4105179969825414</v>
      </c>
      <c r="R684">
        <f>IFERROR(VLOOKUP(quantInv[[#This Row],[Assigned Item SKU]],skuQuantity[#All],2,FALSE),0)</f>
        <v>0</v>
      </c>
      <c r="S684" t="str">
        <f>PROPER(quantInv[[#This Row],[Metal]] &amp; " " &amp; quantInv[[#This Row],[Item Type]])</f>
        <v>925 Silver Chain</v>
      </c>
      <c r="T684" s="33">
        <f>quantInv[[#This Row],[Quantity]]*quantInv[[#This Row],[WEIGHT]]</f>
        <v>0</v>
      </c>
      <c r="U684" s="33">
        <f>quantInv[[#This Row],[UNIT
VALUE]]*quantInv[[#This Row],[Quantity]]</f>
        <v>0</v>
      </c>
      <c r="V684" s="33">
        <f>quantInv[[#This Row],[Total Cost GBP]]/EURtoGBP</f>
        <v>0</v>
      </c>
      <c r="W684" s="33">
        <f>quantInv[[#This Row],[Total Cost GBP]]/USDtoGBP</f>
        <v>0</v>
      </c>
      <c r="X684" s="33">
        <f>quantInv[[#This Row],[Total Cost GBP]]/CADtoGBP</f>
        <v>0</v>
      </c>
      <c r="Y684" s="33">
        <f>quantInv[[#This Row],[Quantity]]*quantInv[[#This Row],[UNIT
VALUE AUD]]</f>
        <v>0</v>
      </c>
      <c r="Z684" s="33"/>
    </row>
    <row r="685" spans="1:26" x14ac:dyDescent="0.25">
      <c r="A685" t="s">
        <v>1621</v>
      </c>
      <c r="B685" t="s">
        <v>1622</v>
      </c>
      <c r="C685" t="s">
        <v>114</v>
      </c>
      <c r="D685" t="s">
        <v>173</v>
      </c>
      <c r="E685">
        <v>2.5</v>
      </c>
      <c r="F685" s="33">
        <v>2.7753999999999999</v>
      </c>
      <c r="G685" s="33" t="s">
        <v>117</v>
      </c>
      <c r="H685" t="s">
        <v>103</v>
      </c>
      <c r="I685" t="str">
        <f>IF(quantInv[[#This Row],[Metal]] = "925 Silver",  "7113.11.00"," 7113.19.00")</f>
        <v>7113.11.00</v>
      </c>
      <c r="J685" t="str">
        <f>IF(quantInv[[#This Row],[Metal]] = "925 Silver", "7113.11.10.00"," 7113.19.10.00")</f>
        <v>7113.11.10.00</v>
      </c>
      <c r="K685" t="str">
        <f>IF(quantInv[[#This Row],[Metal]] = "925 Silver",  "7113.11.00"," 7113.19.00")</f>
        <v>7113.11.00</v>
      </c>
      <c r="L685" t="str">
        <f>IFERROR(VLOOKUP(quantInv[[#This Row],[Description for New Invoice]],Map!$G$12:$H$32,2,FALSE), IF(quantInv[[#This Row],[Metal]] = "925 Silver", "7113.11.10.00", "7113.19.29.00"))</f>
        <v>7113.11.10.00</v>
      </c>
      <c r="M685" t="str">
        <f>quantInv[[#This Row],[ASIN]] &amp; " " &amp; quantInv[[#This Row],[Short Description]]</f>
        <v>B0848QJ5D9 Figaro Chain</v>
      </c>
      <c r="N685" s="33">
        <f>quantInv[[#This Row],[UNIT
VALUE]] / EURtoGBP</f>
        <v>3.1504089265748356</v>
      </c>
      <c r="O685" s="33">
        <f>quantInv[[#This Row],[UNIT
VALUE]]/USDtoGBP</f>
        <v>3.8046123076206024</v>
      </c>
      <c r="P685" s="33">
        <f>quantInv[[#This Row],[UNIT
VALUE]] / CADtoGBP</f>
        <v>4.8701224637337832</v>
      </c>
      <c r="Q685" s="33">
        <f>quantInv[[#This Row],[UNIT
VALUE]]/AUDtoGBP</f>
        <v>4.9849127092463537</v>
      </c>
      <c r="R685">
        <f>IFERROR(VLOOKUP(quantInv[[#This Row],[Assigned Item SKU]],skuQuantity[#All],2,FALSE),0)</f>
        <v>0</v>
      </c>
      <c r="S685" t="str">
        <f>PROPER(quantInv[[#This Row],[Metal]] &amp; " " &amp; quantInv[[#This Row],[Item Type]])</f>
        <v>925 Silver Chain</v>
      </c>
      <c r="T685" s="33">
        <f>quantInv[[#This Row],[Quantity]]*quantInv[[#This Row],[WEIGHT]]</f>
        <v>0</v>
      </c>
      <c r="U685" s="33">
        <f>quantInv[[#This Row],[UNIT
VALUE]]*quantInv[[#This Row],[Quantity]]</f>
        <v>0</v>
      </c>
      <c r="V685" s="33">
        <f>quantInv[[#This Row],[Total Cost GBP]]/EURtoGBP</f>
        <v>0</v>
      </c>
      <c r="W685" s="33">
        <f>quantInv[[#This Row],[Total Cost GBP]]/USDtoGBP</f>
        <v>0</v>
      </c>
      <c r="X685" s="33">
        <f>quantInv[[#This Row],[Total Cost GBP]]/CADtoGBP</f>
        <v>0</v>
      </c>
      <c r="Y685" s="33">
        <f>quantInv[[#This Row],[Quantity]]*quantInv[[#This Row],[UNIT
VALUE AUD]]</f>
        <v>0</v>
      </c>
      <c r="Z685" s="33"/>
    </row>
    <row r="686" spans="1:26" x14ac:dyDescent="0.25">
      <c r="A686" t="s">
        <v>354</v>
      </c>
      <c r="B686" t="s">
        <v>355</v>
      </c>
      <c r="C686" t="s">
        <v>114</v>
      </c>
      <c r="D686" t="s">
        <v>235</v>
      </c>
      <c r="E686">
        <v>3.8</v>
      </c>
      <c r="F686" s="33">
        <v>5.0015999999999998</v>
      </c>
      <c r="G686" s="33" t="s">
        <v>117</v>
      </c>
      <c r="H686" t="s">
        <v>103</v>
      </c>
      <c r="I686" t="str">
        <f>IF(quantInv[[#This Row],[Metal]] = "925 Silver",  "7113.11.00"," 7113.19.00")</f>
        <v>7113.11.00</v>
      </c>
      <c r="J686" t="str">
        <f>IF(quantInv[[#This Row],[Metal]] = "925 Silver", "7113.11.10.00"," 7113.19.10.00")</f>
        <v>7113.11.10.00</v>
      </c>
      <c r="K686" t="str">
        <f>IF(quantInv[[#This Row],[Metal]] = "925 Silver",  "7113.11.00"," 7113.19.00")</f>
        <v>7113.11.00</v>
      </c>
      <c r="L686" t="str">
        <f>IFERROR(VLOOKUP(quantInv[[#This Row],[Description for New Invoice]],Map!$G$12:$H$32,2,FALSE), IF(quantInv[[#This Row],[Metal]] = "925 Silver", "7113.11.10.00", "7113.19.29.00"))</f>
        <v>7113.11.10.00</v>
      </c>
      <c r="M686" t="str">
        <f>quantInv[[#This Row],[ASIN]] &amp; " " &amp; quantInv[[#This Row],[Short Description]]</f>
        <v>B073G969SY Snake Chain</v>
      </c>
      <c r="N686" s="33">
        <f>quantInv[[#This Row],[UNIT
VALUE]] / EURtoGBP</f>
        <v>5.6774105668216102</v>
      </c>
      <c r="O686" s="33">
        <f>quantInv[[#This Row],[UNIT
VALUE]]/USDtoGBP</f>
        <v>6.8563626568405294</v>
      </c>
      <c r="P686" s="33">
        <f>quantInv[[#This Row],[UNIT
VALUE]] / CADtoGBP</f>
        <v>8.7765383420807428</v>
      </c>
      <c r="Q686" s="33">
        <f>quantInv[[#This Row],[UNIT
VALUE]]/AUDtoGBP</f>
        <v>8.9834039801709888</v>
      </c>
      <c r="R686">
        <f>IFERROR(VLOOKUP(quantInv[[#This Row],[Assigned Item SKU]],skuQuantity[#All],2,FALSE),0)</f>
        <v>5</v>
      </c>
      <c r="S686" t="str">
        <f>PROPER(quantInv[[#This Row],[Metal]] &amp; " " &amp; quantInv[[#This Row],[Item Type]])</f>
        <v>925 Silver Chain</v>
      </c>
      <c r="T686" s="33">
        <f>quantInv[[#This Row],[Quantity]]*quantInv[[#This Row],[WEIGHT]]</f>
        <v>19</v>
      </c>
      <c r="U686" s="33">
        <f>quantInv[[#This Row],[UNIT
VALUE]]*quantInv[[#This Row],[Quantity]]</f>
        <v>25.007999999999999</v>
      </c>
      <c r="V686" s="33">
        <f>quantInv[[#This Row],[Total Cost GBP]]/EURtoGBP</f>
        <v>28.387052834108051</v>
      </c>
      <c r="W686" s="33">
        <f>quantInv[[#This Row],[Total Cost GBP]]/USDtoGBP</f>
        <v>34.281813284202649</v>
      </c>
      <c r="X686" s="33">
        <f>quantInv[[#This Row],[Total Cost GBP]]/CADtoGBP</f>
        <v>43.882691710403712</v>
      </c>
      <c r="Y686" s="33">
        <f>quantInv[[#This Row],[Quantity]]*quantInv[[#This Row],[UNIT
VALUE AUD]]</f>
        <v>44.917019900854946</v>
      </c>
      <c r="Z686" s="33"/>
    </row>
    <row r="687" spans="1:26" x14ac:dyDescent="0.25">
      <c r="A687" t="s">
        <v>356</v>
      </c>
      <c r="B687" t="s">
        <v>357</v>
      </c>
      <c r="C687" t="s">
        <v>114</v>
      </c>
      <c r="D687" t="s">
        <v>235</v>
      </c>
      <c r="E687">
        <v>4.5990000000000002</v>
      </c>
      <c r="F687" s="33">
        <v>5.98</v>
      </c>
      <c r="G687" s="33" t="s">
        <v>117</v>
      </c>
      <c r="H687" t="s">
        <v>103</v>
      </c>
      <c r="I687" t="str">
        <f>IF(quantInv[[#This Row],[Metal]] = "925 Silver",  "7113.11.00"," 7113.19.00")</f>
        <v>7113.11.00</v>
      </c>
      <c r="J687" t="str">
        <f>IF(quantInv[[#This Row],[Metal]] = "925 Silver", "7113.11.10.00"," 7113.19.10.00")</f>
        <v>7113.11.10.00</v>
      </c>
      <c r="K687" t="str">
        <f>IF(quantInv[[#This Row],[Metal]] = "925 Silver",  "7113.11.00"," 7113.19.00")</f>
        <v>7113.11.00</v>
      </c>
      <c r="L687" t="str">
        <f>IFERROR(VLOOKUP(quantInv[[#This Row],[Description for New Invoice]],Map!$G$12:$H$32,2,FALSE), IF(quantInv[[#This Row],[Metal]] = "925 Silver", "7113.11.10.00", "7113.19.29.00"))</f>
        <v>7113.11.10.00</v>
      </c>
      <c r="M687" t="str">
        <f>quantInv[[#This Row],[ASIN]] &amp; " " &amp; quantInv[[#This Row],[Short Description]]</f>
        <v>B073GBYRL5 Snake Chain</v>
      </c>
      <c r="N687" s="33">
        <f>quantInv[[#This Row],[UNIT
VALUE]] / EURtoGBP</f>
        <v>6.7880108744388261</v>
      </c>
      <c r="O687" s="33">
        <f>quantInv[[#This Row],[UNIT
VALUE]]/USDtoGBP</f>
        <v>8.1975865098981071</v>
      </c>
      <c r="P687" s="33">
        <f>quantInv[[#This Row],[UNIT
VALUE]] / CADtoGBP</f>
        <v>10.493381974896602</v>
      </c>
      <c r="Q687" s="33">
        <f>quantInv[[#This Row],[UNIT
VALUE]]/AUDtoGBP</f>
        <v>10.74071413176234</v>
      </c>
      <c r="R687">
        <f>IFERROR(VLOOKUP(quantInv[[#This Row],[Assigned Item SKU]],skuQuantity[#All],2,FALSE),0)</f>
        <v>0</v>
      </c>
      <c r="S687" t="str">
        <f>PROPER(quantInv[[#This Row],[Metal]] &amp; " " &amp; quantInv[[#This Row],[Item Type]])</f>
        <v>925 Silver Chain</v>
      </c>
      <c r="T687" s="33">
        <f>quantInv[[#This Row],[Quantity]]*quantInv[[#This Row],[WEIGHT]]</f>
        <v>0</v>
      </c>
      <c r="U687" s="33">
        <f>quantInv[[#This Row],[UNIT
VALUE]]*quantInv[[#This Row],[Quantity]]</f>
        <v>0</v>
      </c>
      <c r="V687" s="33">
        <f>quantInv[[#This Row],[Total Cost GBP]]/EURtoGBP</f>
        <v>0</v>
      </c>
      <c r="W687" s="33">
        <f>quantInv[[#This Row],[Total Cost GBP]]/USDtoGBP</f>
        <v>0</v>
      </c>
      <c r="X687" s="33">
        <f>quantInv[[#This Row],[Total Cost GBP]]/CADtoGBP</f>
        <v>0</v>
      </c>
      <c r="Y687" s="33">
        <f>quantInv[[#This Row],[Quantity]]*quantInv[[#This Row],[UNIT
VALUE AUD]]</f>
        <v>0</v>
      </c>
      <c r="Z687" s="33"/>
    </row>
    <row r="688" spans="1:26" x14ac:dyDescent="0.25">
      <c r="A688" t="s">
        <v>1628</v>
      </c>
      <c r="B688" t="s">
        <v>1629</v>
      </c>
      <c r="C688" t="s">
        <v>114</v>
      </c>
      <c r="D688" t="s">
        <v>1625</v>
      </c>
      <c r="E688">
        <v>3.1</v>
      </c>
      <c r="F688" s="33">
        <v>3.3877000000000002</v>
      </c>
      <c r="G688" s="33" t="s">
        <v>117</v>
      </c>
      <c r="H688" t="s">
        <v>103</v>
      </c>
      <c r="I688" t="str">
        <f>IF(quantInv[[#This Row],[Metal]] = "925 Silver",  "7113.11.00"," 7113.19.00")</f>
        <v>7113.11.00</v>
      </c>
      <c r="J688" t="str">
        <f>IF(quantInv[[#This Row],[Metal]] = "925 Silver", "7113.11.10.00"," 7113.19.10.00")</f>
        <v>7113.11.10.00</v>
      </c>
      <c r="K688" t="str">
        <f>IF(quantInv[[#This Row],[Metal]] = "925 Silver",  "7113.11.00"," 7113.19.00")</f>
        <v>7113.11.00</v>
      </c>
      <c r="L688" t="str">
        <f>IFERROR(VLOOKUP(quantInv[[#This Row],[Description for New Invoice]],Map!$G$12:$H$32,2,FALSE), IF(quantInv[[#This Row],[Metal]] = "925 Silver", "7113.11.10.00", "7113.19.29.00"))</f>
        <v>7113.11.10.00</v>
      </c>
      <c r="M688" t="str">
        <f>quantInv[[#This Row],[ASIN]] &amp; " " &amp; quantInv[[#This Row],[Short Description]]</f>
        <v>B0848QBDS5 Belcher/Trace Chain</v>
      </c>
      <c r="N688" s="33">
        <f>quantInv[[#This Row],[UNIT
VALUE]] / EURtoGBP</f>
        <v>3.8454422139358546</v>
      </c>
      <c r="O688" s="33">
        <f>quantInv[[#This Row],[UNIT
VALUE]]/USDtoGBP</f>
        <v>4.6439738828732136</v>
      </c>
      <c r="P688" s="33">
        <f>quantInv[[#This Row],[UNIT
VALUE]] / CADtoGBP</f>
        <v>5.9445535311634146</v>
      </c>
      <c r="Q688" s="33">
        <f>quantInv[[#This Row],[UNIT
VALUE]]/AUDtoGBP</f>
        <v>6.0846684388246279</v>
      </c>
      <c r="R688">
        <f>IFERROR(VLOOKUP(quantInv[[#This Row],[Assigned Item SKU]],skuQuantity[#All],2,FALSE),0)</f>
        <v>0</v>
      </c>
      <c r="S688" t="str">
        <f>PROPER(quantInv[[#This Row],[Metal]] &amp; " " &amp; quantInv[[#This Row],[Item Type]])</f>
        <v>925 Silver Chain</v>
      </c>
      <c r="T688" s="33">
        <f>quantInv[[#This Row],[Quantity]]*quantInv[[#This Row],[WEIGHT]]</f>
        <v>0</v>
      </c>
      <c r="U688" s="33">
        <f>quantInv[[#This Row],[UNIT
VALUE]]*quantInv[[#This Row],[Quantity]]</f>
        <v>0</v>
      </c>
      <c r="V688" s="33">
        <f>quantInv[[#This Row],[Total Cost GBP]]/EURtoGBP</f>
        <v>0</v>
      </c>
      <c r="W688" s="33">
        <f>quantInv[[#This Row],[Total Cost GBP]]/USDtoGBP</f>
        <v>0</v>
      </c>
      <c r="X688" s="33">
        <f>quantInv[[#This Row],[Total Cost GBP]]/CADtoGBP</f>
        <v>0</v>
      </c>
      <c r="Y688" s="33">
        <f>quantInv[[#This Row],[Quantity]]*quantInv[[#This Row],[UNIT
VALUE AUD]]</f>
        <v>0</v>
      </c>
      <c r="Z688" s="33"/>
    </row>
    <row r="689" spans="1:26" x14ac:dyDescent="0.25">
      <c r="A689" t="s">
        <v>1630</v>
      </c>
      <c r="B689" t="s">
        <v>1631</v>
      </c>
      <c r="C689" t="s">
        <v>114</v>
      </c>
      <c r="D689" t="s">
        <v>314</v>
      </c>
      <c r="E689">
        <v>2.2999999999999998</v>
      </c>
      <c r="F689" s="33">
        <v>2.5217000000000001</v>
      </c>
      <c r="G689" s="33" t="s">
        <v>117</v>
      </c>
      <c r="H689" t="s">
        <v>103</v>
      </c>
      <c r="I689" t="str">
        <f>IF(quantInv[[#This Row],[Metal]] = "925 Silver",  "7113.11.00"," 7113.19.00")</f>
        <v>7113.11.00</v>
      </c>
      <c r="J689" t="str">
        <f>IF(quantInv[[#This Row],[Metal]] = "925 Silver", "7113.11.10.00"," 7113.19.10.00")</f>
        <v>7113.11.10.00</v>
      </c>
      <c r="K689" t="str">
        <f>IF(quantInv[[#This Row],[Metal]] = "925 Silver",  "7113.11.00"," 7113.19.00")</f>
        <v>7113.11.00</v>
      </c>
      <c r="L689" t="str">
        <f>IFERROR(VLOOKUP(quantInv[[#This Row],[Description for New Invoice]],Map!$G$12:$H$32,2,FALSE), IF(quantInv[[#This Row],[Metal]] = "925 Silver", "7113.11.10.00", "7113.19.29.00"))</f>
        <v>7113.11.10.00</v>
      </c>
      <c r="M689" t="str">
        <f>quantInv[[#This Row],[ASIN]] &amp; " " &amp; quantInv[[#This Row],[Short Description]]</f>
        <v>B0848VQQLN Box Chain</v>
      </c>
      <c r="N689" s="33">
        <f>quantInv[[#This Row],[UNIT
VALUE]] / EURtoGBP</f>
        <v>2.8624292679050813</v>
      </c>
      <c r="O689" s="33">
        <f>quantInv[[#This Row],[UNIT
VALUE]]/USDtoGBP</f>
        <v>3.4568317561889721</v>
      </c>
      <c r="P689" s="33">
        <f>quantInv[[#This Row],[UNIT
VALUE]] / CADtoGBP</f>
        <v>4.4249433655680201</v>
      </c>
      <c r="Q689" s="33">
        <f>quantInv[[#This Row],[UNIT
VALUE]]/AUDtoGBP</f>
        <v>4.5292406063653994</v>
      </c>
      <c r="R689">
        <f>IFERROR(VLOOKUP(quantInv[[#This Row],[Assigned Item SKU]],skuQuantity[#All],2,FALSE),0)</f>
        <v>0</v>
      </c>
      <c r="S689" t="str">
        <f>PROPER(quantInv[[#This Row],[Metal]] &amp; " " &amp; quantInv[[#This Row],[Item Type]])</f>
        <v>925 Silver Chain</v>
      </c>
      <c r="T689" s="33">
        <f>quantInv[[#This Row],[Quantity]]*quantInv[[#This Row],[WEIGHT]]</f>
        <v>0</v>
      </c>
      <c r="U689" s="33">
        <f>quantInv[[#This Row],[UNIT
VALUE]]*quantInv[[#This Row],[Quantity]]</f>
        <v>0</v>
      </c>
      <c r="V689" s="33">
        <f>quantInv[[#This Row],[Total Cost GBP]]/EURtoGBP</f>
        <v>0</v>
      </c>
      <c r="W689" s="33">
        <f>quantInv[[#This Row],[Total Cost GBP]]/USDtoGBP</f>
        <v>0</v>
      </c>
      <c r="X689" s="33">
        <f>quantInv[[#This Row],[Total Cost GBP]]/CADtoGBP</f>
        <v>0</v>
      </c>
      <c r="Y689" s="33">
        <f>quantInv[[#This Row],[Quantity]]*quantInv[[#This Row],[UNIT
VALUE AUD]]</f>
        <v>0</v>
      </c>
      <c r="Z689" s="33"/>
    </row>
    <row r="690" spans="1:26" x14ac:dyDescent="0.25">
      <c r="A690" t="s">
        <v>370</v>
      </c>
      <c r="B690" t="s">
        <v>371</v>
      </c>
      <c r="C690" t="s">
        <v>114</v>
      </c>
      <c r="D690" t="s">
        <v>242</v>
      </c>
      <c r="E690">
        <v>4.1588235294117704</v>
      </c>
      <c r="F690" s="33">
        <v>5.4409999999999998</v>
      </c>
      <c r="G690" s="33" t="s">
        <v>117</v>
      </c>
      <c r="H690" t="s">
        <v>103</v>
      </c>
      <c r="I690" t="str">
        <f>IF(quantInv[[#This Row],[Metal]] = "925 Silver",  "7113.11.00"," 7113.19.00")</f>
        <v>7113.11.00</v>
      </c>
      <c r="J690" t="str">
        <f>IF(quantInv[[#This Row],[Metal]] = "925 Silver", "7113.11.10.00"," 7113.19.10.00")</f>
        <v>7113.11.10.00</v>
      </c>
      <c r="K690" t="str">
        <f>IF(quantInv[[#This Row],[Metal]] = "925 Silver",  "7113.11.00"," 7113.19.00")</f>
        <v>7113.11.00</v>
      </c>
      <c r="L690" t="str">
        <f>IFERROR(VLOOKUP(quantInv[[#This Row],[Description for New Invoice]],Map!$G$12:$H$32,2,FALSE), IF(quantInv[[#This Row],[Metal]] = "925 Silver", "7113.11.10.00", "7113.19.29.00"))</f>
        <v>7113.11.10.00</v>
      </c>
      <c r="M690" t="str">
        <f>quantInv[[#This Row],[ASIN]] &amp; " " &amp; quantInv[[#This Row],[Short Description]]</f>
        <v>B071KL1BNN Heart Chain</v>
      </c>
      <c r="N690" s="33">
        <f>quantInv[[#This Row],[UNIT
VALUE]] / EURtoGBP</f>
        <v>6.1761818006390721</v>
      </c>
      <c r="O690" s="33">
        <f>quantInv[[#This Row],[UNIT
VALUE]]/USDtoGBP</f>
        <v>7.4587070569156513</v>
      </c>
      <c r="P690" s="33">
        <f>quantInv[[#This Row],[UNIT
VALUE]] / CADtoGBP</f>
        <v>9.5475738002361883</v>
      </c>
      <c r="Q690" s="33">
        <f>quantInv[[#This Row],[UNIT
VALUE]]/AUDtoGBP</f>
        <v>9.7726129750700466</v>
      </c>
      <c r="R690">
        <f>IFERROR(VLOOKUP(quantInv[[#This Row],[Assigned Item SKU]],skuQuantity[#All],2,FALSE),0)</f>
        <v>5</v>
      </c>
      <c r="S690" t="str">
        <f>PROPER(quantInv[[#This Row],[Metal]] &amp; " " &amp; quantInv[[#This Row],[Item Type]])</f>
        <v>925 Silver Chain</v>
      </c>
      <c r="T690" s="33">
        <f>quantInv[[#This Row],[Quantity]]*quantInv[[#This Row],[WEIGHT]]</f>
        <v>20.794117647058851</v>
      </c>
      <c r="U690" s="33">
        <f>quantInv[[#This Row],[UNIT
VALUE]]*quantInv[[#This Row],[Quantity]]</f>
        <v>27.204999999999998</v>
      </c>
      <c r="V690" s="33">
        <f>quantInv[[#This Row],[Total Cost GBP]]/EURtoGBP</f>
        <v>30.880909003195359</v>
      </c>
      <c r="W690" s="33">
        <f>quantInv[[#This Row],[Total Cost GBP]]/USDtoGBP</f>
        <v>37.293535284578255</v>
      </c>
      <c r="X690" s="33">
        <f>quantInv[[#This Row],[Total Cost GBP]]/CADtoGBP</f>
        <v>47.73786900118094</v>
      </c>
      <c r="Y690" s="33">
        <f>quantInv[[#This Row],[Quantity]]*quantInv[[#This Row],[UNIT
VALUE AUD]]</f>
        <v>48.863064875350233</v>
      </c>
      <c r="Z690" s="33"/>
    </row>
    <row r="691" spans="1:26" x14ac:dyDescent="0.25">
      <c r="A691" t="s">
        <v>1634</v>
      </c>
      <c r="B691" t="s">
        <v>1635</v>
      </c>
      <c r="C691" t="s">
        <v>114</v>
      </c>
      <c r="D691" t="s">
        <v>314</v>
      </c>
      <c r="E691">
        <v>3</v>
      </c>
      <c r="F691" s="33">
        <v>3.2555000000000001</v>
      </c>
      <c r="G691" s="33" t="s">
        <v>117</v>
      </c>
      <c r="H691" t="s">
        <v>103</v>
      </c>
      <c r="I691" t="str">
        <f>IF(quantInv[[#This Row],[Metal]] = "925 Silver",  "7113.11.00"," 7113.19.00")</f>
        <v>7113.11.00</v>
      </c>
      <c r="J691" t="str">
        <f>IF(quantInv[[#This Row],[Metal]] = "925 Silver", "7113.11.10.00"," 7113.19.10.00")</f>
        <v>7113.11.10.00</v>
      </c>
      <c r="K691" t="str">
        <f>IF(quantInv[[#This Row],[Metal]] = "925 Silver",  "7113.11.00"," 7113.19.00")</f>
        <v>7113.11.00</v>
      </c>
      <c r="L691" t="str">
        <f>IFERROR(VLOOKUP(quantInv[[#This Row],[Description for New Invoice]],Map!$G$12:$H$32,2,FALSE), IF(quantInv[[#This Row],[Metal]] = "925 Silver", "7113.11.10.00", "7113.19.29.00"))</f>
        <v>7113.11.10.00</v>
      </c>
      <c r="M691" t="str">
        <f>quantInv[[#This Row],[ASIN]] &amp; " " &amp; quantInv[[#This Row],[Short Description]]</f>
        <v>B0848QH3TQ Box Chain</v>
      </c>
      <c r="N691" s="33">
        <f>quantInv[[#This Row],[UNIT
VALUE]] / EURtoGBP</f>
        <v>3.6953794986179926</v>
      </c>
      <c r="O691" s="33">
        <f>quantInv[[#This Row],[UNIT
VALUE]]/USDtoGBP</f>
        <v>4.4627496459821545</v>
      </c>
      <c r="P691" s="33">
        <f>quantInv[[#This Row],[UNIT
VALUE]] / CADtoGBP</f>
        <v>5.7125760901799136</v>
      </c>
      <c r="Q691" s="33">
        <f>quantInv[[#This Row],[UNIT
VALUE]]/AUDtoGBP</f>
        <v>5.847223220058912</v>
      </c>
      <c r="R691">
        <f>IFERROR(VLOOKUP(quantInv[[#This Row],[Assigned Item SKU]],skuQuantity[#All],2,FALSE),0)</f>
        <v>0</v>
      </c>
      <c r="S691" t="str">
        <f>PROPER(quantInv[[#This Row],[Metal]] &amp; " " &amp; quantInv[[#This Row],[Item Type]])</f>
        <v>925 Silver Chain</v>
      </c>
      <c r="T691" s="33">
        <f>quantInv[[#This Row],[Quantity]]*quantInv[[#This Row],[WEIGHT]]</f>
        <v>0</v>
      </c>
      <c r="U691" s="33">
        <f>quantInv[[#This Row],[UNIT
VALUE]]*quantInv[[#This Row],[Quantity]]</f>
        <v>0</v>
      </c>
      <c r="V691" s="33">
        <f>quantInv[[#This Row],[Total Cost GBP]]/EURtoGBP</f>
        <v>0</v>
      </c>
      <c r="W691" s="33">
        <f>quantInv[[#This Row],[Total Cost GBP]]/USDtoGBP</f>
        <v>0</v>
      </c>
      <c r="X691" s="33">
        <f>quantInv[[#This Row],[Total Cost GBP]]/CADtoGBP</f>
        <v>0</v>
      </c>
      <c r="Y691" s="33">
        <f>quantInv[[#This Row],[Quantity]]*quantInv[[#This Row],[UNIT
VALUE AUD]]</f>
        <v>0</v>
      </c>
      <c r="Z691" s="33"/>
    </row>
    <row r="692" spans="1:26" x14ac:dyDescent="0.25">
      <c r="A692" t="s">
        <v>1636</v>
      </c>
      <c r="B692" t="s">
        <v>1637</v>
      </c>
      <c r="C692" t="s">
        <v>114</v>
      </c>
      <c r="D692" t="s">
        <v>213</v>
      </c>
      <c r="E692">
        <v>2.4</v>
      </c>
      <c r="F692" s="33">
        <v>2.7534000000000001</v>
      </c>
      <c r="G692" s="33" t="s">
        <v>117</v>
      </c>
      <c r="H692" t="s">
        <v>103</v>
      </c>
      <c r="I692" t="str">
        <f>IF(quantInv[[#This Row],[Metal]] = "925 Silver",  "7113.11.00"," 7113.19.00")</f>
        <v>7113.11.00</v>
      </c>
      <c r="J692" t="str">
        <f>IF(quantInv[[#This Row],[Metal]] = "925 Silver", "7113.11.10.00"," 7113.19.10.00")</f>
        <v>7113.11.10.00</v>
      </c>
      <c r="K692" t="str">
        <f>IF(quantInv[[#This Row],[Metal]] = "925 Silver",  "7113.11.00"," 7113.19.00")</f>
        <v>7113.11.00</v>
      </c>
      <c r="L692" t="str">
        <f>IFERROR(VLOOKUP(quantInv[[#This Row],[Description for New Invoice]],Map!$G$12:$H$32,2,FALSE), IF(quantInv[[#This Row],[Metal]] = "925 Silver", "7113.11.10.00", "7113.19.29.00"))</f>
        <v>7113.11.10.00</v>
      </c>
      <c r="M692" t="str">
        <f>quantInv[[#This Row],[ASIN]] &amp; " " &amp; quantInv[[#This Row],[Short Description]]</f>
        <v>B0848LC4L5 Ball Chain</v>
      </c>
      <c r="N692" s="33">
        <f>quantInv[[#This Row],[UNIT
VALUE]] / EURtoGBP</f>
        <v>3.1254363113177028</v>
      </c>
      <c r="O692" s="33">
        <f>quantInv[[#This Row],[UNIT
VALUE]]/USDtoGBP</f>
        <v>3.7744539626009108</v>
      </c>
      <c r="P692" s="33">
        <f>quantInv[[#This Row],[UNIT
VALUE]] / CADtoGBP</f>
        <v>4.8315180484415219</v>
      </c>
      <c r="Q692" s="33">
        <f>quantInv[[#This Row],[UNIT
VALUE]]/AUDtoGBP</f>
        <v>4.9453983763201377</v>
      </c>
      <c r="R692">
        <f>IFERROR(VLOOKUP(quantInv[[#This Row],[Assigned Item SKU]],skuQuantity[#All],2,FALSE),0)</f>
        <v>0</v>
      </c>
      <c r="S692" t="str">
        <f>PROPER(quantInv[[#This Row],[Metal]] &amp; " " &amp; quantInv[[#This Row],[Item Type]])</f>
        <v>925 Silver Chain</v>
      </c>
      <c r="T692" s="33">
        <f>quantInv[[#This Row],[Quantity]]*quantInv[[#This Row],[WEIGHT]]</f>
        <v>0</v>
      </c>
      <c r="U692" s="33">
        <f>quantInv[[#This Row],[UNIT
VALUE]]*quantInv[[#This Row],[Quantity]]</f>
        <v>0</v>
      </c>
      <c r="V692" s="33">
        <f>quantInv[[#This Row],[Total Cost GBP]]/EURtoGBP</f>
        <v>0</v>
      </c>
      <c r="W692" s="33">
        <f>quantInv[[#This Row],[Total Cost GBP]]/USDtoGBP</f>
        <v>0</v>
      </c>
      <c r="X692" s="33">
        <f>quantInv[[#This Row],[Total Cost GBP]]/CADtoGBP</f>
        <v>0</v>
      </c>
      <c r="Y692" s="33">
        <f>quantInv[[#This Row],[Quantity]]*quantInv[[#This Row],[UNIT
VALUE AUD]]</f>
        <v>0</v>
      </c>
      <c r="Z692" s="33"/>
    </row>
    <row r="693" spans="1:26" x14ac:dyDescent="0.25">
      <c r="A693" t="s">
        <v>97</v>
      </c>
      <c r="B693" t="s">
        <v>380</v>
      </c>
      <c r="C693" t="s">
        <v>114</v>
      </c>
      <c r="D693" t="s">
        <v>260</v>
      </c>
      <c r="E693">
        <v>2.81</v>
      </c>
      <c r="F693" s="33">
        <v>4.3091999999999997</v>
      </c>
      <c r="G693" s="33" t="s">
        <v>117</v>
      </c>
      <c r="H693" t="s">
        <v>1426</v>
      </c>
      <c r="I693" t="str">
        <f>IF(quantInv[[#This Row],[Metal]] = "925 Silver",  "7113.11.00"," 7113.19.00")</f>
        <v>7113.11.00</v>
      </c>
      <c r="J693" t="str">
        <f>IF(quantInv[[#This Row],[Metal]] = "925 Silver", "7113.11.10.00"," 7113.19.10.00")</f>
        <v>7113.11.10.00</v>
      </c>
      <c r="K693" t="str">
        <f>IF(quantInv[[#This Row],[Metal]] = "925 Silver",  "7113.11.00"," 7113.19.00")</f>
        <v>7113.11.00</v>
      </c>
      <c r="L693" t="str">
        <f>IFERROR(VLOOKUP(quantInv[[#This Row],[Description for New Invoice]],Map!$G$12:$H$32,2,FALSE), IF(quantInv[[#This Row],[Metal]] = "925 Silver", "7113.11.10.00", "7113.19.29.00"))</f>
        <v>7113.11.10.00</v>
      </c>
      <c r="M693" t="str">
        <f>quantInv[[#This Row],[ASIN]] &amp; " " &amp; quantInv[[#This Row],[Short Description]]</f>
        <v>B0783PRGMM Bismark Chain</v>
      </c>
      <c r="N693" s="33">
        <f>quantInv[[#This Row],[UNIT
VALUE]] / EURtoGBP</f>
        <v>4.8914542575471209</v>
      </c>
      <c r="O693" s="33">
        <f>quantInv[[#This Row],[UNIT
VALUE]]/USDtoGBP</f>
        <v>5.9071972890389493</v>
      </c>
      <c r="P693" s="33">
        <f>quantInv[[#This Row],[UNIT
VALUE]] / CADtoGBP</f>
        <v>7.5615521080642862</v>
      </c>
      <c r="Q693" s="33">
        <f>quantInv[[#This Row],[UNIT
VALUE]]/AUDtoGBP</f>
        <v>7.739780156620446</v>
      </c>
      <c r="R693">
        <f>IFERROR(VLOOKUP(quantInv[[#This Row],[Assigned Item SKU]],skuQuantity[#All],2,FALSE),0)</f>
        <v>0</v>
      </c>
      <c r="S693" t="str">
        <f>PROPER(quantInv[[#This Row],[Metal]] &amp; " " &amp; quantInv[[#This Row],[Item Type]])</f>
        <v>925 Silver Anklet</v>
      </c>
      <c r="T693" s="33">
        <f>quantInv[[#This Row],[Quantity]]*quantInv[[#This Row],[WEIGHT]]</f>
        <v>0</v>
      </c>
      <c r="U693" s="33">
        <f>quantInv[[#This Row],[UNIT
VALUE]]*quantInv[[#This Row],[Quantity]]</f>
        <v>0</v>
      </c>
      <c r="V693" s="33">
        <f>quantInv[[#This Row],[Total Cost GBP]]/EURtoGBP</f>
        <v>0</v>
      </c>
      <c r="W693" s="33">
        <f>quantInv[[#This Row],[Total Cost GBP]]/USDtoGBP</f>
        <v>0</v>
      </c>
      <c r="X693" s="33">
        <f>quantInv[[#This Row],[Total Cost GBP]]/CADtoGBP</f>
        <v>0</v>
      </c>
      <c r="Y693" s="33">
        <f>quantInv[[#This Row],[Quantity]]*quantInv[[#This Row],[UNIT
VALUE AUD]]</f>
        <v>0</v>
      </c>
      <c r="Z693" s="33"/>
    </row>
    <row r="694" spans="1:26" x14ac:dyDescent="0.25">
      <c r="A694" t="s">
        <v>1640</v>
      </c>
      <c r="B694" t="s">
        <v>1641</v>
      </c>
      <c r="C694" t="s">
        <v>114</v>
      </c>
      <c r="D694" t="s">
        <v>213</v>
      </c>
      <c r="E694">
        <v>3.5</v>
      </c>
      <c r="F694" s="33">
        <v>3.9647000000000001</v>
      </c>
      <c r="G694" s="33" t="s">
        <v>117</v>
      </c>
      <c r="H694" t="s">
        <v>103</v>
      </c>
      <c r="I694" t="str">
        <f>IF(quantInv[[#This Row],[Metal]] = "925 Silver",  "7113.11.00"," 7113.19.00")</f>
        <v>7113.11.00</v>
      </c>
      <c r="J694" t="str">
        <f>IF(quantInv[[#This Row],[Metal]] = "925 Silver", "7113.11.10.00"," 7113.19.10.00")</f>
        <v>7113.11.10.00</v>
      </c>
      <c r="K694" t="str">
        <f>IF(quantInv[[#This Row],[Metal]] = "925 Silver",  "7113.11.00"," 7113.19.00")</f>
        <v>7113.11.00</v>
      </c>
      <c r="L694" t="str">
        <f>IFERROR(VLOOKUP(quantInv[[#This Row],[Description for New Invoice]],Map!$G$12:$H$32,2,FALSE), IF(quantInv[[#This Row],[Metal]] = "925 Silver", "7113.11.10.00", "7113.19.29.00"))</f>
        <v>7113.11.10.00</v>
      </c>
      <c r="M694" t="str">
        <f>quantInv[[#This Row],[ASIN]] &amp; " " &amp; quantInv[[#This Row],[Short Description]]</f>
        <v>B0848SVW8Y Ball Chain</v>
      </c>
      <c r="N694" s="33">
        <f>quantInv[[#This Row],[UNIT
VALUE]] / EURtoGBP</f>
        <v>4.5004058049979285</v>
      </c>
      <c r="O694" s="33">
        <f>quantInv[[#This Row],[UNIT
VALUE]]/USDtoGBP</f>
        <v>5.4349450227078631</v>
      </c>
      <c r="P694" s="33">
        <f>quantInv[[#This Row],[UNIT
VALUE]] / CADtoGBP</f>
        <v>6.957042059510461</v>
      </c>
      <c r="Q694" s="33">
        <f>quantInv[[#This Row],[UNIT
VALUE]]/AUDtoGBP</f>
        <v>7.1210216251167466</v>
      </c>
      <c r="R694">
        <f>IFERROR(VLOOKUP(quantInv[[#This Row],[Assigned Item SKU]],skuQuantity[#All],2,FALSE),0)</f>
        <v>0</v>
      </c>
      <c r="S694" t="str">
        <f>PROPER(quantInv[[#This Row],[Metal]] &amp; " " &amp; quantInv[[#This Row],[Item Type]])</f>
        <v>925 Silver Chain</v>
      </c>
      <c r="T694" s="33">
        <f>quantInv[[#This Row],[Quantity]]*quantInv[[#This Row],[WEIGHT]]</f>
        <v>0</v>
      </c>
      <c r="U694" s="33">
        <f>quantInv[[#This Row],[UNIT
VALUE]]*quantInv[[#This Row],[Quantity]]</f>
        <v>0</v>
      </c>
      <c r="V694" s="33">
        <f>quantInv[[#This Row],[Total Cost GBP]]/EURtoGBP</f>
        <v>0</v>
      </c>
      <c r="W694" s="33">
        <f>quantInv[[#This Row],[Total Cost GBP]]/USDtoGBP</f>
        <v>0</v>
      </c>
      <c r="X694" s="33">
        <f>quantInv[[#This Row],[Total Cost GBP]]/CADtoGBP</f>
        <v>0</v>
      </c>
      <c r="Y694" s="33">
        <f>quantInv[[#This Row],[Quantity]]*quantInv[[#This Row],[UNIT
VALUE AUD]]</f>
        <v>0</v>
      </c>
      <c r="Z694" s="33"/>
    </row>
    <row r="695" spans="1:26" x14ac:dyDescent="0.25">
      <c r="A695" t="s">
        <v>1642</v>
      </c>
      <c r="B695" t="s">
        <v>1643</v>
      </c>
      <c r="C695" t="s">
        <v>114</v>
      </c>
      <c r="D695" t="s">
        <v>1480</v>
      </c>
      <c r="E695">
        <v>2.42</v>
      </c>
      <c r="F695" s="33">
        <v>54.709499999999998</v>
      </c>
      <c r="G695" s="33" t="s">
        <v>3304</v>
      </c>
      <c r="H695" t="s">
        <v>103</v>
      </c>
      <c r="I695" t="str">
        <f>IF(quantInv[[#This Row],[Metal]] = "925 Silver",  "7113.11.00"," 7113.19.00")</f>
        <v xml:space="preserve"> 7113.19.00</v>
      </c>
      <c r="J695" t="str">
        <f>IF(quantInv[[#This Row],[Metal]] = "925 Silver", "7113.11.10.00"," 7113.19.10.00")</f>
        <v xml:space="preserve"> 7113.19.10.00</v>
      </c>
      <c r="K695" t="str">
        <f>IF(quantInv[[#This Row],[Metal]] = "925 Silver",  "7113.11.00"," 7113.19.00")</f>
        <v xml:space="preserve"> 7113.19.00</v>
      </c>
      <c r="L695" t="str">
        <f>IFERROR(VLOOKUP(quantInv[[#This Row],[Description for New Invoice]],Map!$G$12:$H$32,2,FALSE), IF(quantInv[[#This Row],[Metal]] = "925 Silver", "7113.11.10.00", "7113.19.29.00"))</f>
        <v>7113.11.50.00</v>
      </c>
      <c r="M695" t="str">
        <f>quantInv[[#This Row],[ASIN]] &amp; " " &amp; quantInv[[#This Row],[Short Description]]</f>
        <v>B07ZC8BN6K Yellow Gold 10k Spiga Wheat Chain (Hollow)</v>
      </c>
      <c r="N695" s="33">
        <f>quantInv[[#This Row],[UNIT
VALUE]] / EURtoGBP</f>
        <v>62.101786109550318</v>
      </c>
      <c r="O695" s="33">
        <f>quantInv[[#This Row],[UNIT
VALUE]]/USDtoGBP</f>
        <v>74.997635311583679</v>
      </c>
      <c r="P695" s="33">
        <f>quantInv[[#This Row],[UNIT
VALUE]] / CADtoGBP</f>
        <v>96.001284474181531</v>
      </c>
      <c r="Q695" s="33">
        <f>quantInv[[#This Row],[UNIT
VALUE]]/AUDtoGBP</f>
        <v>98.26406351030964</v>
      </c>
      <c r="R695">
        <f>IFERROR(VLOOKUP(quantInv[[#This Row],[Assigned Item SKU]],skuQuantity[#All],2,FALSE),0)</f>
        <v>0</v>
      </c>
      <c r="S695" t="str">
        <f>PROPER(quantInv[[#This Row],[Metal]] &amp; " " &amp; quantInv[[#This Row],[Item Type]])</f>
        <v>9K Gold Chain</v>
      </c>
      <c r="T695" s="33">
        <f>quantInv[[#This Row],[Quantity]]*quantInv[[#This Row],[WEIGHT]]</f>
        <v>0</v>
      </c>
      <c r="U695" s="33">
        <f>quantInv[[#This Row],[UNIT
VALUE]]*quantInv[[#This Row],[Quantity]]</f>
        <v>0</v>
      </c>
      <c r="V695" s="33">
        <f>quantInv[[#This Row],[Total Cost GBP]]/EURtoGBP</f>
        <v>0</v>
      </c>
      <c r="W695" s="33">
        <f>quantInv[[#This Row],[Total Cost GBP]]/USDtoGBP</f>
        <v>0</v>
      </c>
      <c r="X695" s="33">
        <f>quantInv[[#This Row],[Total Cost GBP]]/CADtoGBP</f>
        <v>0</v>
      </c>
      <c r="Y695" s="33">
        <f>quantInv[[#This Row],[Quantity]]*quantInv[[#This Row],[UNIT
VALUE AUD]]</f>
        <v>0</v>
      </c>
      <c r="Z695" s="33"/>
    </row>
    <row r="696" spans="1:26" x14ac:dyDescent="0.25">
      <c r="A696" t="s">
        <v>1644</v>
      </c>
      <c r="B696" t="s">
        <v>1645</v>
      </c>
      <c r="C696" t="s">
        <v>114</v>
      </c>
      <c r="D696" t="s">
        <v>1483</v>
      </c>
      <c r="E696">
        <v>1.6</v>
      </c>
      <c r="F696" s="33">
        <v>36.305300000000003</v>
      </c>
      <c r="G696" s="33" t="s">
        <v>3304</v>
      </c>
      <c r="H696" t="s">
        <v>103</v>
      </c>
      <c r="I696" t="str">
        <f>IF(quantInv[[#This Row],[Metal]] = "925 Silver",  "7113.11.00"," 7113.19.00")</f>
        <v xml:space="preserve"> 7113.19.00</v>
      </c>
      <c r="J696" t="str">
        <f>IF(quantInv[[#This Row],[Metal]] = "925 Silver", "7113.11.10.00"," 7113.19.10.00")</f>
        <v xml:space="preserve"> 7113.19.10.00</v>
      </c>
      <c r="K696" t="str">
        <f>IF(quantInv[[#This Row],[Metal]] = "925 Silver",  "7113.11.00"," 7113.19.00")</f>
        <v xml:space="preserve"> 7113.19.00</v>
      </c>
      <c r="L696" t="str">
        <f>IFERROR(VLOOKUP(quantInv[[#This Row],[Description for New Invoice]],Map!$G$12:$H$32,2,FALSE), IF(quantInv[[#This Row],[Metal]] = "925 Silver", "7113.11.10.00", "7113.19.29.00"))</f>
        <v>7113.11.50.00</v>
      </c>
      <c r="M696" t="str">
        <f>quantInv[[#This Row],[ASIN]] &amp; " " &amp; quantInv[[#This Row],[Short Description]]</f>
        <v>B07ZC7ZQMN White Gold 10k Classic Long Curb Chain - Diamond Cut (Hollow)</v>
      </c>
      <c r="N696" s="33">
        <f>quantInv[[#This Row],[UNIT
VALUE]] / EURtoGBP</f>
        <v>41.21083130430835</v>
      </c>
      <c r="O696" s="33">
        <f>quantInv[[#This Row],[UNIT
VALUE]]/USDtoGBP</f>
        <v>49.76853470197387</v>
      </c>
      <c r="P696" s="33">
        <f>quantInv[[#This Row],[UNIT
VALUE]] / CADtoGBP</f>
        <v>63.706585386825019</v>
      </c>
      <c r="Q696" s="33">
        <f>quantInv[[#This Row],[UNIT
VALUE]]/AUDtoGBP</f>
        <v>65.208168690279479</v>
      </c>
      <c r="R696">
        <f>IFERROR(VLOOKUP(quantInv[[#This Row],[Assigned Item SKU]],skuQuantity[#All],2,FALSE),0)</f>
        <v>0</v>
      </c>
      <c r="S696" t="str">
        <f>PROPER(quantInv[[#This Row],[Metal]] &amp; " " &amp; quantInv[[#This Row],[Item Type]])</f>
        <v>9K Gold Chain</v>
      </c>
      <c r="T696" s="33">
        <f>quantInv[[#This Row],[Quantity]]*quantInv[[#This Row],[WEIGHT]]</f>
        <v>0</v>
      </c>
      <c r="U696" s="33">
        <f>quantInv[[#This Row],[UNIT
VALUE]]*quantInv[[#This Row],[Quantity]]</f>
        <v>0</v>
      </c>
      <c r="V696" s="33">
        <f>quantInv[[#This Row],[Total Cost GBP]]/EURtoGBP</f>
        <v>0</v>
      </c>
      <c r="W696" s="33">
        <f>quantInv[[#This Row],[Total Cost GBP]]/USDtoGBP</f>
        <v>0</v>
      </c>
      <c r="X696" s="33">
        <f>quantInv[[#This Row],[Total Cost GBP]]/CADtoGBP</f>
        <v>0</v>
      </c>
      <c r="Y696" s="33">
        <f>quantInv[[#This Row],[Quantity]]*quantInv[[#This Row],[UNIT
VALUE AUD]]</f>
        <v>0</v>
      </c>
      <c r="Z696" s="33"/>
    </row>
    <row r="697" spans="1:26" x14ac:dyDescent="0.25">
      <c r="A697" t="s">
        <v>1646</v>
      </c>
      <c r="B697" t="s">
        <v>1647</v>
      </c>
      <c r="C697" t="s">
        <v>114</v>
      </c>
      <c r="D697" t="s">
        <v>1486</v>
      </c>
      <c r="E697">
        <v>1.55</v>
      </c>
      <c r="F697" s="33">
        <v>35.0595</v>
      </c>
      <c r="G697" s="33" t="s">
        <v>3304</v>
      </c>
      <c r="H697" t="s">
        <v>103</v>
      </c>
      <c r="I697" t="str">
        <f>IF(quantInv[[#This Row],[Metal]] = "925 Silver",  "7113.11.00"," 7113.19.00")</f>
        <v xml:space="preserve"> 7113.19.00</v>
      </c>
      <c r="J697" t="str">
        <f>IF(quantInv[[#This Row],[Metal]] = "925 Silver", "7113.11.10.00"," 7113.19.10.00")</f>
        <v xml:space="preserve"> 7113.19.10.00</v>
      </c>
      <c r="K697" t="str">
        <f>IF(quantInv[[#This Row],[Metal]] = "925 Silver",  "7113.11.00"," 7113.19.00")</f>
        <v xml:space="preserve"> 7113.19.00</v>
      </c>
      <c r="L697" t="str">
        <f>IFERROR(VLOOKUP(quantInv[[#This Row],[Description for New Invoice]],Map!$G$12:$H$32,2,FALSE), IF(quantInv[[#This Row],[Metal]] = "925 Silver", "7113.11.10.00", "7113.19.29.00"))</f>
        <v>7113.11.50.00</v>
      </c>
      <c r="M697" t="str">
        <f>quantInv[[#This Row],[ASIN]] &amp; " " &amp; quantInv[[#This Row],[Short Description]]</f>
        <v>B07ZC76LN6 Rose Gold 10K - Long Anchor Chain</v>
      </c>
      <c r="N697" s="33">
        <f>quantInv[[#This Row],[UNIT
VALUE]] / EURtoGBP</f>
        <v>39.796700209429432</v>
      </c>
      <c r="O697" s="33">
        <f>quantInv[[#This Row],[UNIT
VALUE]]/USDtoGBP</f>
        <v>48.06074987354058</v>
      </c>
      <c r="P697" s="33">
        <f>quantInv[[#This Row],[UNIT
VALUE]] / CADtoGBP</f>
        <v>61.52052263359321</v>
      </c>
      <c r="Q697" s="33">
        <f>quantInv[[#This Row],[UNIT
VALUE]]/AUDtoGBP</f>
        <v>62.970579783030388</v>
      </c>
      <c r="R697">
        <f>IFERROR(VLOOKUP(quantInv[[#This Row],[Assigned Item SKU]],skuQuantity[#All],2,FALSE),0)</f>
        <v>0</v>
      </c>
      <c r="S697" t="str">
        <f>PROPER(quantInv[[#This Row],[Metal]] &amp; " " &amp; quantInv[[#This Row],[Item Type]])</f>
        <v>9K Gold Chain</v>
      </c>
      <c r="T697" s="33">
        <f>quantInv[[#This Row],[Quantity]]*quantInv[[#This Row],[WEIGHT]]</f>
        <v>0</v>
      </c>
      <c r="U697" s="33">
        <f>quantInv[[#This Row],[UNIT
VALUE]]*quantInv[[#This Row],[Quantity]]</f>
        <v>0</v>
      </c>
      <c r="V697" s="33">
        <f>quantInv[[#This Row],[Total Cost GBP]]/EURtoGBP</f>
        <v>0</v>
      </c>
      <c r="W697" s="33">
        <f>quantInv[[#This Row],[Total Cost GBP]]/USDtoGBP</f>
        <v>0</v>
      </c>
      <c r="X697" s="33">
        <f>quantInv[[#This Row],[Total Cost GBP]]/CADtoGBP</f>
        <v>0</v>
      </c>
      <c r="Y697" s="33">
        <f>quantInv[[#This Row],[Quantity]]*quantInv[[#This Row],[UNIT
VALUE AUD]]</f>
        <v>0</v>
      </c>
      <c r="Z697" s="33"/>
    </row>
    <row r="698" spans="1:26" x14ac:dyDescent="0.25">
      <c r="A698" t="s">
        <v>84</v>
      </c>
      <c r="B698" t="s">
        <v>398</v>
      </c>
      <c r="C698" t="s">
        <v>113</v>
      </c>
      <c r="D698" t="s">
        <v>160</v>
      </c>
      <c r="E698">
        <v>1.48316831683168</v>
      </c>
      <c r="F698" s="33">
        <v>2.0207999999999999</v>
      </c>
      <c r="G698" s="33" t="s">
        <v>117</v>
      </c>
      <c r="H698" t="s">
        <v>1426</v>
      </c>
      <c r="I698" t="str">
        <f>IF(quantInv[[#This Row],[Metal]] = "925 Silver",  "7113.11.00"," 7113.19.00")</f>
        <v>7113.11.00</v>
      </c>
      <c r="J698" t="str">
        <f>IF(quantInv[[#This Row],[Metal]] = "925 Silver", "7113.11.10.00"," 7113.19.10.00")</f>
        <v>7113.11.10.00</v>
      </c>
      <c r="K698" t="str">
        <f>IF(quantInv[[#This Row],[Metal]] = "925 Silver",  "7113.11.00"," 7113.19.00")</f>
        <v>7113.11.00</v>
      </c>
      <c r="L698" t="str">
        <f>IFERROR(VLOOKUP(quantInv[[#This Row],[Description for New Invoice]],Map!$G$12:$H$32,2,FALSE), IF(quantInv[[#This Row],[Metal]] = "925 Silver", "7113.11.10.00", "7113.19.29.00"))</f>
        <v>7113.11.10.00</v>
      </c>
      <c r="M698" t="str">
        <f>quantInv[[#This Row],[ASIN]] &amp; " " &amp; quantInv[[#This Row],[Short Description]]</f>
        <v>B072882QN5 Curb Chain</v>
      </c>
      <c r="N698" s="33">
        <f>quantInv[[#This Row],[UNIT
VALUE]] / EURtoGBP</f>
        <v>2.2938482232551802</v>
      </c>
      <c r="O698" s="33">
        <f>quantInv[[#This Row],[UNIT
VALUE]]/USDtoGBP</f>
        <v>2.770181073445166</v>
      </c>
      <c r="P698" s="33">
        <f>quantInv[[#This Row],[UNIT
VALUE]] / CADtoGBP</f>
        <v>3.5459910192092057</v>
      </c>
      <c r="Q698" s="33">
        <f>quantInv[[#This Row],[UNIT
VALUE]]/AUDtoGBP</f>
        <v>3.6295710898771461</v>
      </c>
      <c r="R698">
        <f>IFERROR(VLOOKUP(quantInv[[#This Row],[Assigned Item SKU]],skuQuantity[#All],2,FALSE),0)</f>
        <v>20</v>
      </c>
      <c r="S698" t="str">
        <f>PROPER(quantInv[[#This Row],[Metal]] &amp; " " &amp; quantInv[[#This Row],[Item Type]])</f>
        <v>925 Silver Anklet</v>
      </c>
      <c r="T698" s="33">
        <f>quantInv[[#This Row],[Quantity]]*quantInv[[#This Row],[WEIGHT]]</f>
        <v>29.663366336633601</v>
      </c>
      <c r="U698" s="33">
        <f>quantInv[[#This Row],[UNIT
VALUE]]*quantInv[[#This Row],[Quantity]]</f>
        <v>40.415999999999997</v>
      </c>
      <c r="V698" s="33">
        <f>quantInv[[#This Row],[Total Cost GBP]]/EURtoGBP</f>
        <v>45.876964465103605</v>
      </c>
      <c r="W698" s="33">
        <f>quantInv[[#This Row],[Total Cost GBP]]/USDtoGBP</f>
        <v>55.403621468903317</v>
      </c>
      <c r="X698" s="33">
        <f>quantInv[[#This Row],[Total Cost GBP]]/CADtoGBP</f>
        <v>70.919820384184106</v>
      </c>
      <c r="Y698" s="33">
        <f>quantInv[[#This Row],[Quantity]]*quantInv[[#This Row],[UNIT
VALUE AUD]]</f>
        <v>72.591421797542921</v>
      </c>
      <c r="Z698" s="33"/>
    </row>
    <row r="699" spans="1:26" x14ac:dyDescent="0.25">
      <c r="A699" t="s">
        <v>411</v>
      </c>
      <c r="B699" t="s">
        <v>412</v>
      </c>
      <c r="C699" t="s">
        <v>113</v>
      </c>
      <c r="D699" t="s">
        <v>173</v>
      </c>
      <c r="E699">
        <v>2.2000000000000002</v>
      </c>
      <c r="F699" s="33">
        <v>2.3252000000000002</v>
      </c>
      <c r="G699" s="33" t="s">
        <v>117</v>
      </c>
      <c r="H699" t="s">
        <v>103</v>
      </c>
      <c r="I699" t="str">
        <f>IF(quantInv[[#This Row],[Metal]] = "925 Silver",  "7113.11.00"," 7113.19.00")</f>
        <v>7113.11.00</v>
      </c>
      <c r="J699" t="str">
        <f>IF(quantInv[[#This Row],[Metal]] = "925 Silver", "7113.11.10.00"," 7113.19.10.00")</f>
        <v>7113.11.10.00</v>
      </c>
      <c r="K699" t="str">
        <f>IF(quantInv[[#This Row],[Metal]] = "925 Silver",  "7113.11.00"," 7113.19.00")</f>
        <v>7113.11.00</v>
      </c>
      <c r="L699" t="str">
        <f>IFERROR(VLOOKUP(quantInv[[#This Row],[Description for New Invoice]],Map!$G$12:$H$32,2,FALSE), IF(quantInv[[#This Row],[Metal]] = "925 Silver", "7113.11.10.00", "7113.19.29.00"))</f>
        <v>7113.11.10.00</v>
      </c>
      <c r="M699" t="str">
        <f>quantInv[[#This Row],[ASIN]] &amp; " " &amp; quantInv[[#This Row],[Short Description]]</f>
        <v>B00DKCYWN6 Figaro Chain</v>
      </c>
      <c r="N699" s="33">
        <f>quantInv[[#This Row],[UNIT
VALUE]] / EURtoGBP</f>
        <v>2.6393784089038728</v>
      </c>
      <c r="O699" s="33">
        <f>quantInv[[#This Row],[UNIT
VALUE]]/USDtoGBP</f>
        <v>3.1874629018085412</v>
      </c>
      <c r="P699" s="33">
        <f>quantInv[[#This Row],[UNIT
VALUE]] / CADtoGBP</f>
        <v>4.0801357471621369</v>
      </c>
      <c r="Q699" s="33">
        <f>quantInv[[#This Row],[UNIT
VALUE]]/AUDtoGBP</f>
        <v>4.1763057690926075</v>
      </c>
      <c r="R699">
        <f>IFERROR(VLOOKUP(quantInv[[#This Row],[Assigned Item SKU]],skuQuantity[#All],2,FALSE),0)</f>
        <v>0</v>
      </c>
      <c r="S699" t="str">
        <f>PROPER(quantInv[[#This Row],[Metal]] &amp; " " &amp; quantInv[[#This Row],[Item Type]])</f>
        <v>925 Silver Chain</v>
      </c>
      <c r="T699" s="33">
        <f>quantInv[[#This Row],[Quantity]]*quantInv[[#This Row],[WEIGHT]]</f>
        <v>0</v>
      </c>
      <c r="U699" s="33">
        <f>quantInv[[#This Row],[UNIT
VALUE]]*quantInv[[#This Row],[Quantity]]</f>
        <v>0</v>
      </c>
      <c r="V699" s="33">
        <f>quantInv[[#This Row],[Total Cost GBP]]/EURtoGBP</f>
        <v>0</v>
      </c>
      <c r="W699" s="33">
        <f>quantInv[[#This Row],[Total Cost GBP]]/USDtoGBP</f>
        <v>0</v>
      </c>
      <c r="X699" s="33">
        <f>quantInv[[#This Row],[Total Cost GBP]]/CADtoGBP</f>
        <v>0</v>
      </c>
      <c r="Y699" s="33">
        <f>quantInv[[#This Row],[Quantity]]*quantInv[[#This Row],[UNIT
VALUE AUD]]</f>
        <v>0</v>
      </c>
      <c r="Z699" s="33"/>
    </row>
    <row r="700" spans="1:26" x14ac:dyDescent="0.25">
      <c r="A700" t="s">
        <v>437</v>
      </c>
      <c r="B700" t="s">
        <v>438</v>
      </c>
      <c r="C700" t="s">
        <v>113</v>
      </c>
      <c r="D700" t="s">
        <v>428</v>
      </c>
      <c r="E700">
        <v>3.0677631578947402</v>
      </c>
      <c r="F700" s="33">
        <v>3.1861000000000002</v>
      </c>
      <c r="G700" s="33" t="s">
        <v>117</v>
      </c>
      <c r="H700" t="s">
        <v>103</v>
      </c>
      <c r="I700" t="str">
        <f>IF(quantInv[[#This Row],[Metal]] = "925 Silver",  "7113.11.00"," 7113.19.00")</f>
        <v>7113.11.00</v>
      </c>
      <c r="J700" t="str">
        <f>IF(quantInv[[#This Row],[Metal]] = "925 Silver", "7113.11.10.00"," 7113.19.10.00")</f>
        <v>7113.11.10.00</v>
      </c>
      <c r="K700" t="str">
        <f>IF(quantInv[[#This Row],[Metal]] = "925 Silver",  "7113.11.00"," 7113.19.00")</f>
        <v>7113.11.00</v>
      </c>
      <c r="L700" t="str">
        <f>IFERROR(VLOOKUP(quantInv[[#This Row],[Description for New Invoice]],Map!$G$12:$H$32,2,FALSE), IF(quantInv[[#This Row],[Metal]] = "925 Silver", "7113.11.10.00", "7113.19.29.00"))</f>
        <v>7113.11.10.00</v>
      </c>
      <c r="M700" t="str">
        <f>quantInv[[#This Row],[ASIN]] &amp; " " &amp; quantInv[[#This Row],[Short Description]]</f>
        <v>B00DKCZF96 Rhombus Chain</v>
      </c>
      <c r="N700" s="33">
        <f>quantInv[[#This Row],[UNIT
VALUE]] / EURtoGBP</f>
        <v>3.6166022486704921</v>
      </c>
      <c r="O700" s="33">
        <f>quantInv[[#This Row],[UNIT
VALUE]]/USDtoGBP</f>
        <v>4.3676137757836715</v>
      </c>
      <c r="P700" s="33">
        <f>quantInv[[#This Row],[UNIT
VALUE]] / CADtoGBP</f>
        <v>5.5907967073943245</v>
      </c>
      <c r="Q700" s="33">
        <f>quantInv[[#This Row],[UNIT
VALUE]]/AUDtoGBP</f>
        <v>5.7225734607371219</v>
      </c>
      <c r="R700">
        <f>IFERROR(VLOOKUP(quantInv[[#This Row],[Assigned Item SKU]],skuQuantity[#All],2,FALSE),0)</f>
        <v>0</v>
      </c>
      <c r="S700" t="str">
        <f>PROPER(quantInv[[#This Row],[Metal]] &amp; " " &amp; quantInv[[#This Row],[Item Type]])</f>
        <v>925 Silver Chain</v>
      </c>
      <c r="T700" s="33">
        <f>quantInv[[#This Row],[Quantity]]*quantInv[[#This Row],[WEIGHT]]</f>
        <v>0</v>
      </c>
      <c r="U700" s="33">
        <f>quantInv[[#This Row],[UNIT
VALUE]]*quantInv[[#This Row],[Quantity]]</f>
        <v>0</v>
      </c>
      <c r="V700" s="33">
        <f>quantInv[[#This Row],[Total Cost GBP]]/EURtoGBP</f>
        <v>0</v>
      </c>
      <c r="W700" s="33">
        <f>quantInv[[#This Row],[Total Cost GBP]]/USDtoGBP</f>
        <v>0</v>
      </c>
      <c r="X700" s="33">
        <f>quantInv[[#This Row],[Total Cost GBP]]/CADtoGBP</f>
        <v>0</v>
      </c>
      <c r="Y700" s="33">
        <f>quantInv[[#This Row],[Quantity]]*quantInv[[#This Row],[UNIT
VALUE AUD]]</f>
        <v>0</v>
      </c>
      <c r="Z700" s="33"/>
    </row>
    <row r="701" spans="1:26" x14ac:dyDescent="0.25">
      <c r="A701" t="s">
        <v>449</v>
      </c>
      <c r="B701" t="s">
        <v>450</v>
      </c>
      <c r="C701" t="s">
        <v>113</v>
      </c>
      <c r="D701" t="s">
        <v>189</v>
      </c>
      <c r="E701">
        <v>2.7440000000000002</v>
      </c>
      <c r="F701" s="33">
        <v>2.9348999999999998</v>
      </c>
      <c r="G701" s="33" t="s">
        <v>117</v>
      </c>
      <c r="H701" t="s">
        <v>103</v>
      </c>
      <c r="I701" t="str">
        <f>IF(quantInv[[#This Row],[Metal]] = "925 Silver",  "7113.11.00"," 7113.19.00")</f>
        <v>7113.11.00</v>
      </c>
      <c r="J701" t="str">
        <f>IF(quantInv[[#This Row],[Metal]] = "925 Silver", "7113.11.10.00"," 7113.19.10.00")</f>
        <v>7113.11.10.00</v>
      </c>
      <c r="K701" t="str">
        <f>IF(quantInv[[#This Row],[Metal]] = "925 Silver",  "7113.11.00"," 7113.19.00")</f>
        <v>7113.11.00</v>
      </c>
      <c r="L701" t="str">
        <f>IFERROR(VLOOKUP(quantInv[[#This Row],[Description for New Invoice]],Map!$G$12:$H$32,2,FALSE), IF(quantInv[[#This Row],[Metal]] = "925 Silver", "7113.11.10.00", "7113.19.29.00"))</f>
        <v>7113.11.10.00</v>
      </c>
      <c r="M701" t="str">
        <f>quantInv[[#This Row],[ASIN]] &amp; " " &amp; quantInv[[#This Row],[Short Description]]</f>
        <v>B00DKCZKQY Singapore Chain</v>
      </c>
      <c r="N701" s="33">
        <f>quantInv[[#This Row],[UNIT
VALUE]] / EURtoGBP</f>
        <v>3.3314603871890482</v>
      </c>
      <c r="O701" s="33">
        <f>quantInv[[#This Row],[UNIT
VALUE]]/USDtoGBP</f>
        <v>4.0232603090133692</v>
      </c>
      <c r="P701" s="33">
        <f>quantInv[[#This Row],[UNIT
VALUE]] / CADtoGBP</f>
        <v>5.1500044746026807</v>
      </c>
      <c r="Q701" s="33">
        <f>quantInv[[#This Row],[UNIT
VALUE]]/AUDtoGBP</f>
        <v>5.2713916229614188</v>
      </c>
      <c r="R701">
        <f>IFERROR(VLOOKUP(quantInv[[#This Row],[Assigned Item SKU]],skuQuantity[#All],2,FALSE),0)</f>
        <v>0</v>
      </c>
      <c r="S701" t="str">
        <f>PROPER(quantInv[[#This Row],[Metal]] &amp; " " &amp; quantInv[[#This Row],[Item Type]])</f>
        <v>925 Silver Chain</v>
      </c>
      <c r="T701" s="33">
        <f>quantInv[[#This Row],[Quantity]]*quantInv[[#This Row],[WEIGHT]]</f>
        <v>0</v>
      </c>
      <c r="U701" s="33">
        <f>quantInv[[#This Row],[UNIT
VALUE]]*quantInv[[#This Row],[Quantity]]</f>
        <v>0</v>
      </c>
      <c r="V701" s="33">
        <f>quantInv[[#This Row],[Total Cost GBP]]/EURtoGBP</f>
        <v>0</v>
      </c>
      <c r="W701" s="33">
        <f>quantInv[[#This Row],[Total Cost GBP]]/USDtoGBP</f>
        <v>0</v>
      </c>
      <c r="X701" s="33">
        <f>quantInv[[#This Row],[Total Cost GBP]]/CADtoGBP</f>
        <v>0</v>
      </c>
      <c r="Y701" s="33">
        <f>quantInv[[#This Row],[Quantity]]*quantInv[[#This Row],[UNIT
VALUE AUD]]</f>
        <v>0</v>
      </c>
      <c r="Z701" s="33"/>
    </row>
    <row r="702" spans="1:26" x14ac:dyDescent="0.25">
      <c r="A702" t="s">
        <v>1660</v>
      </c>
      <c r="B702" t="s">
        <v>1661</v>
      </c>
      <c r="C702" t="s">
        <v>114</v>
      </c>
      <c r="D702" t="s">
        <v>1662</v>
      </c>
      <c r="E702">
        <v>6.65</v>
      </c>
      <c r="F702" s="33">
        <v>8.6523000000000003</v>
      </c>
      <c r="G702" s="33" t="s">
        <v>117</v>
      </c>
      <c r="H702" t="s">
        <v>103</v>
      </c>
      <c r="I702" t="str">
        <f>IF(quantInv[[#This Row],[Metal]] = "925 Silver",  "7113.11.00"," 7113.19.00")</f>
        <v>7113.11.00</v>
      </c>
      <c r="J702" t="str">
        <f>IF(quantInv[[#This Row],[Metal]] = "925 Silver", "7113.11.10.00"," 7113.19.10.00")</f>
        <v>7113.11.10.00</v>
      </c>
      <c r="K702" t="str">
        <f>IF(quantInv[[#This Row],[Metal]] = "925 Silver",  "7113.11.00"," 7113.19.00")</f>
        <v>7113.11.00</v>
      </c>
      <c r="L702" t="str">
        <f>IFERROR(VLOOKUP(quantInv[[#This Row],[Description for New Invoice]],Map!$G$12:$H$32,2,FALSE), IF(quantInv[[#This Row],[Metal]] = "925 Silver", "7113.11.10.00", "7113.19.29.00"))</f>
        <v>7113.11.10.00</v>
      </c>
      <c r="M702" t="str">
        <f>quantInv[[#This Row],[ASIN]] &amp; " " &amp; quantInv[[#This Row],[Short Description]]</f>
        <v>B085F37RXH Necklace - Rolo chain - tripple circle Pendant</v>
      </c>
      <c r="N702" s="33">
        <f>quantInv[[#This Row],[UNIT
VALUE]] / EURtoGBP</f>
        <v>9.8213890449677343</v>
      </c>
      <c r="O702" s="33">
        <f>quantInv[[#This Row],[UNIT
VALUE]]/USDtoGBP</f>
        <v>11.860865846085517</v>
      </c>
      <c r="P702" s="33">
        <f>quantInv[[#This Row],[UNIT
VALUE]] / CADtoGBP</f>
        <v>15.18259011060165</v>
      </c>
      <c r="Q702" s="33">
        <f>quantInv[[#This Row],[UNIT
VALUE]]/AUDtoGBP</f>
        <v>15.540448308068108</v>
      </c>
      <c r="R702">
        <f>IFERROR(VLOOKUP(quantInv[[#This Row],[Assigned Item SKU]],skuQuantity[#All],2,FALSE),0)</f>
        <v>0</v>
      </c>
      <c r="S702" t="str">
        <f>PROPER(quantInv[[#This Row],[Metal]] &amp; " " &amp; quantInv[[#This Row],[Item Type]])</f>
        <v>925 Silver Chain</v>
      </c>
      <c r="T702" s="33">
        <f>quantInv[[#This Row],[Quantity]]*quantInv[[#This Row],[WEIGHT]]</f>
        <v>0</v>
      </c>
      <c r="U702" s="33">
        <f>quantInv[[#This Row],[UNIT
VALUE]]*quantInv[[#This Row],[Quantity]]</f>
        <v>0</v>
      </c>
      <c r="V702" s="33">
        <f>quantInv[[#This Row],[Total Cost GBP]]/EURtoGBP</f>
        <v>0</v>
      </c>
      <c r="W702" s="33">
        <f>quantInv[[#This Row],[Total Cost GBP]]/USDtoGBP</f>
        <v>0</v>
      </c>
      <c r="X702" s="33">
        <f>quantInv[[#This Row],[Total Cost GBP]]/CADtoGBP</f>
        <v>0</v>
      </c>
      <c r="Y702" s="33">
        <f>quantInv[[#This Row],[Quantity]]*quantInv[[#This Row],[UNIT
VALUE AUD]]</f>
        <v>0</v>
      </c>
      <c r="Z702" s="33"/>
    </row>
    <row r="703" spans="1:26" x14ac:dyDescent="0.25">
      <c r="A703" t="s">
        <v>1663</v>
      </c>
      <c r="B703" t="s">
        <v>1664</v>
      </c>
      <c r="C703" t="s">
        <v>114</v>
      </c>
      <c r="D703" t="s">
        <v>1665</v>
      </c>
      <c r="E703">
        <v>6.37</v>
      </c>
      <c r="F703" s="33">
        <v>8.0725999999999996</v>
      </c>
      <c r="G703" s="33" t="s">
        <v>117</v>
      </c>
      <c r="H703" t="s">
        <v>103</v>
      </c>
      <c r="I703" t="str">
        <f>IF(quantInv[[#This Row],[Metal]] = "925 Silver",  "7113.11.00"," 7113.19.00")</f>
        <v>7113.11.00</v>
      </c>
      <c r="J703" t="str">
        <f>IF(quantInv[[#This Row],[Metal]] = "925 Silver", "7113.11.10.00"," 7113.19.10.00")</f>
        <v>7113.11.10.00</v>
      </c>
      <c r="K703" t="str">
        <f>IF(quantInv[[#This Row],[Metal]] = "925 Silver",  "7113.11.00"," 7113.19.00")</f>
        <v>7113.11.00</v>
      </c>
      <c r="L703" t="str">
        <f>IFERROR(VLOOKUP(quantInv[[#This Row],[Description for New Invoice]],Map!$G$12:$H$32,2,FALSE), IF(quantInv[[#This Row],[Metal]] = "925 Silver", "7113.11.10.00", "7113.19.29.00"))</f>
        <v>7113.11.10.00</v>
      </c>
      <c r="M703" t="str">
        <f>quantInv[[#This Row],[ASIN]] &amp; " " &amp; quantInv[[#This Row],[Short Description]]</f>
        <v>B085F34DW7 Necklace - Rolo chain - interlocking Circles Pendant</v>
      </c>
      <c r="N703" s="33">
        <f>quantInv[[#This Row],[UNIT
VALUE]] / EURtoGBP</f>
        <v>9.1633606329422843</v>
      </c>
      <c r="O703" s="33">
        <f>quantInv[[#This Row],[UNIT
VALUE]]/USDtoGBP</f>
        <v>11.066193454816631</v>
      </c>
      <c r="P703" s="33">
        <f>quantInv[[#This Row],[UNIT
VALUE]] / CADtoGBP</f>
        <v>14.165363767650552</v>
      </c>
      <c r="Q703" s="33">
        <f>quantInv[[#This Row],[UNIT
VALUE]]/AUDtoGBP</f>
        <v>14.499245635462316</v>
      </c>
      <c r="R703">
        <f>IFERROR(VLOOKUP(quantInv[[#This Row],[Assigned Item SKU]],skuQuantity[#All],2,FALSE),0)</f>
        <v>0</v>
      </c>
      <c r="S703" t="str">
        <f>PROPER(quantInv[[#This Row],[Metal]] &amp; " " &amp; quantInv[[#This Row],[Item Type]])</f>
        <v>925 Silver Chain</v>
      </c>
      <c r="T703" s="33">
        <f>quantInv[[#This Row],[Quantity]]*quantInv[[#This Row],[WEIGHT]]</f>
        <v>0</v>
      </c>
      <c r="U703" s="33">
        <f>quantInv[[#This Row],[UNIT
VALUE]]*quantInv[[#This Row],[Quantity]]</f>
        <v>0</v>
      </c>
      <c r="V703" s="33">
        <f>quantInv[[#This Row],[Total Cost GBP]]/EURtoGBP</f>
        <v>0</v>
      </c>
      <c r="W703" s="33">
        <f>quantInv[[#This Row],[Total Cost GBP]]/USDtoGBP</f>
        <v>0</v>
      </c>
      <c r="X703" s="33">
        <f>quantInv[[#This Row],[Total Cost GBP]]/CADtoGBP</f>
        <v>0</v>
      </c>
      <c r="Y703" s="33">
        <f>quantInv[[#This Row],[Quantity]]*quantInv[[#This Row],[UNIT
VALUE AUD]]</f>
        <v>0</v>
      </c>
      <c r="Z703" s="33"/>
    </row>
    <row r="704" spans="1:26" x14ac:dyDescent="0.25">
      <c r="A704" t="s">
        <v>1666</v>
      </c>
      <c r="B704" t="s">
        <v>1667</v>
      </c>
      <c r="C704" t="s">
        <v>114</v>
      </c>
      <c r="D704" t="s">
        <v>1665</v>
      </c>
      <c r="E704">
        <v>4.01</v>
      </c>
      <c r="F704" s="33">
        <v>6.0450999999999997</v>
      </c>
      <c r="G704" s="33" t="s">
        <v>117</v>
      </c>
      <c r="H704" t="s">
        <v>103</v>
      </c>
      <c r="I704" t="str">
        <f>IF(quantInv[[#This Row],[Metal]] = "925 Silver",  "7113.11.00"," 7113.19.00")</f>
        <v>7113.11.00</v>
      </c>
      <c r="J704" t="str">
        <f>IF(quantInv[[#This Row],[Metal]] = "925 Silver", "7113.11.10.00"," 7113.19.10.00")</f>
        <v>7113.11.10.00</v>
      </c>
      <c r="K704" t="str">
        <f>IF(quantInv[[#This Row],[Metal]] = "925 Silver",  "7113.11.00"," 7113.19.00")</f>
        <v>7113.11.00</v>
      </c>
      <c r="L704" t="str">
        <f>IFERROR(VLOOKUP(quantInv[[#This Row],[Description for New Invoice]],Map!$G$12:$H$32,2,FALSE), IF(quantInv[[#This Row],[Metal]] = "925 Silver", "7113.11.10.00", "7113.19.29.00"))</f>
        <v>7113.11.10.00</v>
      </c>
      <c r="M704" t="str">
        <f>quantInv[[#This Row],[ASIN]] &amp; " " &amp; quantInv[[#This Row],[Short Description]]</f>
        <v>B085F2X79R Necklace - Rolo chain - interlocking Circles Pendant</v>
      </c>
      <c r="N704" s="33">
        <f>quantInv[[#This Row],[UNIT
VALUE]] / EURtoGBP</f>
        <v>6.8619071132224319</v>
      </c>
      <c r="O704" s="33">
        <f>quantInv[[#This Row],[UNIT
VALUE]]/USDtoGBP</f>
        <v>8.2868277944791036</v>
      </c>
      <c r="P704" s="33">
        <f>quantInv[[#This Row],[UNIT
VALUE]] / CADtoGBP</f>
        <v>10.607615949238703</v>
      </c>
      <c r="Q704" s="33">
        <f>quantInv[[#This Row],[UNIT
VALUE]]/AUDtoGBP</f>
        <v>10.857640635103095</v>
      </c>
      <c r="R704">
        <f>IFERROR(VLOOKUP(quantInv[[#This Row],[Assigned Item SKU]],skuQuantity[#All],2,FALSE),0)</f>
        <v>0</v>
      </c>
      <c r="S704" t="str">
        <f>PROPER(quantInv[[#This Row],[Metal]] &amp; " " &amp; quantInv[[#This Row],[Item Type]])</f>
        <v>925 Silver Chain</v>
      </c>
      <c r="T704" s="33">
        <f>quantInv[[#This Row],[Quantity]]*quantInv[[#This Row],[WEIGHT]]</f>
        <v>0</v>
      </c>
      <c r="U704" s="33">
        <f>quantInv[[#This Row],[UNIT
VALUE]]*quantInv[[#This Row],[Quantity]]</f>
        <v>0</v>
      </c>
      <c r="V704" s="33">
        <f>quantInv[[#This Row],[Total Cost GBP]]/EURtoGBP</f>
        <v>0</v>
      </c>
      <c r="W704" s="33">
        <f>quantInv[[#This Row],[Total Cost GBP]]/USDtoGBP</f>
        <v>0</v>
      </c>
      <c r="X704" s="33">
        <f>quantInv[[#This Row],[Total Cost GBP]]/CADtoGBP</f>
        <v>0</v>
      </c>
      <c r="Y704" s="33">
        <f>quantInv[[#This Row],[Quantity]]*quantInv[[#This Row],[UNIT
VALUE AUD]]</f>
        <v>0</v>
      </c>
      <c r="Z704" s="33"/>
    </row>
    <row r="705" spans="1:26" x14ac:dyDescent="0.25">
      <c r="A705" t="s">
        <v>1668</v>
      </c>
      <c r="B705" t="s">
        <v>1669</v>
      </c>
      <c r="C705" t="s">
        <v>114</v>
      </c>
      <c r="D705" t="s">
        <v>1670</v>
      </c>
      <c r="E705">
        <v>1.6</v>
      </c>
      <c r="F705" s="33">
        <v>4.4024999999999999</v>
      </c>
      <c r="G705" s="33" t="s">
        <v>117</v>
      </c>
      <c r="H705" t="s">
        <v>1451</v>
      </c>
      <c r="I705" t="str">
        <f>IF(quantInv[[#This Row],[Metal]] = "925 Silver",  "7113.11.00"," 7113.19.00")</f>
        <v>7113.11.00</v>
      </c>
      <c r="J705" t="str">
        <f>IF(quantInv[[#This Row],[Metal]] = "925 Silver", "7113.11.10.00"," 7113.19.10.00")</f>
        <v>7113.11.10.00</v>
      </c>
      <c r="K705" t="str">
        <f>IF(quantInv[[#This Row],[Metal]] = "925 Silver",  "7113.11.00"," 7113.19.00")</f>
        <v>7113.11.00</v>
      </c>
      <c r="L705" t="str">
        <f>IFERROR(VLOOKUP(quantInv[[#This Row],[Description for New Invoice]],Map!$G$12:$H$32,2,FALSE), IF(quantInv[[#This Row],[Metal]] = "925 Silver", "7113.11.10.00", "7113.19.29.00"))</f>
        <v>7113.11.50.00</v>
      </c>
      <c r="M705" t="str">
        <f>quantInv[[#This Row],[ASIN]] &amp; " " &amp; quantInv[[#This Row],[Short Description]]</f>
        <v>B084SW9YWK Pendant - Tree of Life</v>
      </c>
      <c r="N705" s="33">
        <f>quantInv[[#This Row],[UNIT
VALUE]] / EURtoGBP</f>
        <v>4.9973608486148713</v>
      </c>
      <c r="O705" s="33">
        <f>quantInv[[#This Row],[UNIT
VALUE]]/USDtoGBP</f>
        <v>6.035096088599734</v>
      </c>
      <c r="P705" s="33">
        <f>quantInv[[#This Row],[UNIT
VALUE]] / CADtoGBP</f>
        <v>7.7252699238264686</v>
      </c>
      <c r="Q705" s="33">
        <f>quantInv[[#This Row],[UNIT
VALUE]]/AUDtoGBP</f>
        <v>7.9073568503484442</v>
      </c>
      <c r="R705">
        <f>IFERROR(VLOOKUP(quantInv[[#This Row],[Assigned Item SKU]],skuQuantity[#All],2,FALSE),0)</f>
        <v>0</v>
      </c>
      <c r="S705" t="str">
        <f>PROPER(quantInv[[#This Row],[Metal]] &amp; " " &amp; quantInv[[#This Row],[Item Type]])</f>
        <v>925 Silver Pendant</v>
      </c>
      <c r="T705" s="33">
        <f>quantInv[[#This Row],[Quantity]]*quantInv[[#This Row],[WEIGHT]]</f>
        <v>0</v>
      </c>
      <c r="U705" s="33">
        <f>quantInv[[#This Row],[UNIT
VALUE]]*quantInv[[#This Row],[Quantity]]</f>
        <v>0</v>
      </c>
      <c r="V705" s="33">
        <f>quantInv[[#This Row],[Total Cost GBP]]/EURtoGBP</f>
        <v>0</v>
      </c>
      <c r="W705" s="33">
        <f>quantInv[[#This Row],[Total Cost GBP]]/USDtoGBP</f>
        <v>0</v>
      </c>
      <c r="X705" s="33">
        <f>quantInv[[#This Row],[Total Cost GBP]]/CADtoGBP</f>
        <v>0</v>
      </c>
      <c r="Y705" s="33">
        <f>quantInv[[#This Row],[Quantity]]*quantInv[[#This Row],[UNIT
VALUE AUD]]</f>
        <v>0</v>
      </c>
      <c r="Z705" s="33"/>
    </row>
    <row r="706" spans="1:26" x14ac:dyDescent="0.25">
      <c r="A706" t="s">
        <v>1671</v>
      </c>
      <c r="B706" t="s">
        <v>1672</v>
      </c>
      <c r="C706" t="s">
        <v>114</v>
      </c>
      <c r="D706" t="s">
        <v>1673</v>
      </c>
      <c r="E706">
        <v>2.93</v>
      </c>
      <c r="F706" s="33">
        <v>7.6242999999999999</v>
      </c>
      <c r="G706" s="33" t="s">
        <v>117</v>
      </c>
      <c r="H706" t="s">
        <v>1451</v>
      </c>
      <c r="I706" t="str">
        <f>IF(quantInv[[#This Row],[Metal]] = "925 Silver",  "7113.11.00"," 7113.19.00")</f>
        <v>7113.11.00</v>
      </c>
      <c r="J706" t="str">
        <f>IF(quantInv[[#This Row],[Metal]] = "925 Silver", "7113.11.10.00"," 7113.19.10.00")</f>
        <v>7113.11.10.00</v>
      </c>
      <c r="K706" t="str">
        <f>IF(quantInv[[#This Row],[Metal]] = "925 Silver",  "7113.11.00"," 7113.19.00")</f>
        <v>7113.11.00</v>
      </c>
      <c r="L706" t="str">
        <f>IFERROR(VLOOKUP(quantInv[[#This Row],[Description for New Invoice]],Map!$G$12:$H$32,2,FALSE), IF(quantInv[[#This Row],[Metal]] = "925 Silver", "7113.11.10.00", "7113.19.29.00"))</f>
        <v>7113.11.50.00</v>
      </c>
      <c r="M706" t="str">
        <f>quantInv[[#This Row],[ASIN]] &amp; " " &amp; quantInv[[#This Row],[Short Description]]</f>
        <v>B084SX21MQ Pendant - Tree of Life - shiny</v>
      </c>
      <c r="N706" s="33">
        <f>quantInv[[#This Row],[UNIT
VALUE]] / EURtoGBP</f>
        <v>8.6544868411344371</v>
      </c>
      <c r="O706" s="33">
        <f>quantInv[[#This Row],[UNIT
VALUE]]/USDtoGBP</f>
        <v>10.451648633347178</v>
      </c>
      <c r="P706" s="33">
        <f>quantInv[[#This Row],[UNIT
VALUE]] / CADtoGBP</f>
        <v>13.378711068763236</v>
      </c>
      <c r="Q706" s="33">
        <f>quantInv[[#This Row],[UNIT
VALUE]]/AUDtoGBP</f>
        <v>13.694051296788562</v>
      </c>
      <c r="R706">
        <f>IFERROR(VLOOKUP(quantInv[[#This Row],[Assigned Item SKU]],skuQuantity[#All],2,FALSE),0)</f>
        <v>0</v>
      </c>
      <c r="S706" t="str">
        <f>PROPER(quantInv[[#This Row],[Metal]] &amp; " " &amp; quantInv[[#This Row],[Item Type]])</f>
        <v>925 Silver Pendant</v>
      </c>
      <c r="T706" s="33">
        <f>quantInv[[#This Row],[Quantity]]*quantInv[[#This Row],[WEIGHT]]</f>
        <v>0</v>
      </c>
      <c r="U706" s="33">
        <f>quantInv[[#This Row],[UNIT
VALUE]]*quantInv[[#This Row],[Quantity]]</f>
        <v>0</v>
      </c>
      <c r="V706" s="33">
        <f>quantInv[[#This Row],[Total Cost GBP]]/EURtoGBP</f>
        <v>0</v>
      </c>
      <c r="W706" s="33">
        <f>quantInv[[#This Row],[Total Cost GBP]]/USDtoGBP</f>
        <v>0</v>
      </c>
      <c r="X706" s="33">
        <f>quantInv[[#This Row],[Total Cost GBP]]/CADtoGBP</f>
        <v>0</v>
      </c>
      <c r="Y706" s="33">
        <f>quantInv[[#This Row],[Quantity]]*quantInv[[#This Row],[UNIT
VALUE AUD]]</f>
        <v>0</v>
      </c>
      <c r="Z706" s="33"/>
    </row>
    <row r="707" spans="1:26" x14ac:dyDescent="0.25">
      <c r="A707" t="s">
        <v>477</v>
      </c>
      <c r="B707" t="s">
        <v>478</v>
      </c>
      <c r="C707" t="s">
        <v>113</v>
      </c>
      <c r="D707" t="s">
        <v>200</v>
      </c>
      <c r="E707">
        <v>9.94</v>
      </c>
      <c r="F707" s="33">
        <v>9.1045999999999996</v>
      </c>
      <c r="G707" s="33" t="s">
        <v>117</v>
      </c>
      <c r="H707" t="s">
        <v>103</v>
      </c>
      <c r="I707" t="str">
        <f>IF(quantInv[[#This Row],[Metal]] = "925 Silver",  "7113.11.00"," 7113.19.00")</f>
        <v>7113.11.00</v>
      </c>
      <c r="J707" t="str">
        <f>IF(quantInv[[#This Row],[Metal]] = "925 Silver", "7113.11.10.00"," 7113.19.10.00")</f>
        <v>7113.11.10.00</v>
      </c>
      <c r="K707" t="str">
        <f>IF(quantInv[[#This Row],[Metal]] = "925 Silver",  "7113.11.00"," 7113.19.00")</f>
        <v>7113.11.00</v>
      </c>
      <c r="L707" t="str">
        <f>IFERROR(VLOOKUP(quantInv[[#This Row],[Description for New Invoice]],Map!$G$12:$H$32,2,FALSE), IF(quantInv[[#This Row],[Metal]] = "925 Silver", "7113.11.10.00", "7113.19.29.00"))</f>
        <v>7113.11.10.00</v>
      </c>
      <c r="M707" t="str">
        <f>quantInv[[#This Row],[ASIN]] &amp; " " &amp; quantInv[[#This Row],[Short Description]]</f>
        <v>B073D6H1YK Venice Box Chain</v>
      </c>
      <c r="N707" s="33">
        <f>quantInv[[#This Row],[UNIT
VALUE]] / EURtoGBP</f>
        <v>10.334803312276877</v>
      </c>
      <c r="O707" s="33">
        <f>quantInv[[#This Row],[UNIT
VALUE]]/USDtoGBP</f>
        <v>12.480894003013093</v>
      </c>
      <c r="P707" s="33">
        <f>quantInv[[#This Row],[UNIT
VALUE]] / CADtoGBP</f>
        <v>15.976261794087558</v>
      </c>
      <c r="Q707" s="33">
        <f>quantInv[[#This Row],[UNIT
VALUE]]/AUDtoGBP</f>
        <v>16.352827070910266</v>
      </c>
      <c r="R707">
        <f>IFERROR(VLOOKUP(quantInv[[#This Row],[Assigned Item SKU]],skuQuantity[#All],2,FALSE),0)</f>
        <v>5</v>
      </c>
      <c r="S707" t="str">
        <f>PROPER(quantInv[[#This Row],[Metal]] &amp; " " &amp; quantInv[[#This Row],[Item Type]])</f>
        <v>925 Silver Chain</v>
      </c>
      <c r="T707" s="33">
        <f>quantInv[[#This Row],[Quantity]]*quantInv[[#This Row],[WEIGHT]]</f>
        <v>49.699999999999996</v>
      </c>
      <c r="U707" s="33">
        <f>quantInv[[#This Row],[UNIT
VALUE]]*quantInv[[#This Row],[Quantity]]</f>
        <v>45.522999999999996</v>
      </c>
      <c r="V707" s="33">
        <f>quantInv[[#This Row],[Total Cost GBP]]/EURtoGBP</f>
        <v>51.674016561384384</v>
      </c>
      <c r="W707" s="33">
        <f>quantInv[[#This Row],[Total Cost GBP]]/USDtoGBP</f>
        <v>62.404470015065456</v>
      </c>
      <c r="X707" s="33">
        <f>quantInv[[#This Row],[Total Cost GBP]]/CADtoGBP</f>
        <v>79.881308970437786</v>
      </c>
      <c r="Y707" s="33">
        <f>quantInv[[#This Row],[Quantity]]*quantInv[[#This Row],[UNIT
VALUE AUD]]</f>
        <v>81.764135354551328</v>
      </c>
      <c r="Z707" s="33"/>
    </row>
    <row r="708" spans="1:26" x14ac:dyDescent="0.25">
      <c r="A708" t="s">
        <v>484</v>
      </c>
      <c r="B708" t="s">
        <v>485</v>
      </c>
      <c r="C708" t="s">
        <v>114</v>
      </c>
      <c r="D708" t="s">
        <v>209</v>
      </c>
      <c r="E708">
        <v>20</v>
      </c>
      <c r="F708" s="33">
        <v>26.358499999999999</v>
      </c>
      <c r="G708" s="33" t="s">
        <v>117</v>
      </c>
      <c r="H708" t="s">
        <v>103</v>
      </c>
      <c r="I708" t="str">
        <f>IF(quantInv[[#This Row],[Metal]] = "925 Silver",  "7113.11.00"," 7113.19.00")</f>
        <v>7113.11.00</v>
      </c>
      <c r="J708" t="str">
        <f>IF(quantInv[[#This Row],[Metal]] = "925 Silver", "7113.11.10.00"," 7113.19.10.00")</f>
        <v>7113.11.10.00</v>
      </c>
      <c r="K708" t="str">
        <f>IF(quantInv[[#This Row],[Metal]] = "925 Silver",  "7113.11.00"," 7113.19.00")</f>
        <v>7113.11.00</v>
      </c>
      <c r="L708" t="str">
        <f>IFERROR(VLOOKUP(quantInv[[#This Row],[Description for New Invoice]],Map!$G$12:$H$32,2,FALSE), IF(quantInv[[#This Row],[Metal]] = "925 Silver", "7113.11.10.00", "7113.19.29.00"))</f>
        <v>7113.11.10.00</v>
      </c>
      <c r="M708" t="str">
        <f>quantInv[[#This Row],[ASIN]] &amp; " " &amp; quantInv[[#This Row],[Short Description]]</f>
        <v>B073D6QSLB Byzantine Chain</v>
      </c>
      <c r="N708" s="33">
        <f>quantInv[[#This Row],[UNIT
VALUE]] / EURtoGBP</f>
        <v>29.920030875233408</v>
      </c>
      <c r="O708" s="33">
        <f>quantInv[[#This Row],[UNIT
VALUE]]/USDtoGBP</f>
        <v>36.133124418252379</v>
      </c>
      <c r="P708" s="33">
        <f>quantInv[[#This Row],[UNIT
VALUE]] / CADtoGBP</f>
        <v>46.252476385503691</v>
      </c>
      <c r="Q708" s="33">
        <f>quantInv[[#This Row],[UNIT
VALUE]]/AUDtoGBP</f>
        <v>47.342661110711973</v>
      </c>
      <c r="R708">
        <f>IFERROR(VLOOKUP(quantInv[[#This Row],[Assigned Item SKU]],skuQuantity[#All],2,FALSE),0)</f>
        <v>5</v>
      </c>
      <c r="S708" t="str">
        <f>PROPER(quantInv[[#This Row],[Metal]] &amp; " " &amp; quantInv[[#This Row],[Item Type]])</f>
        <v>925 Silver Chain</v>
      </c>
      <c r="T708" s="33">
        <f>quantInv[[#This Row],[Quantity]]*quantInv[[#This Row],[WEIGHT]]</f>
        <v>100</v>
      </c>
      <c r="U708" s="33">
        <f>quantInv[[#This Row],[UNIT
VALUE]]*quantInv[[#This Row],[Quantity]]</f>
        <v>131.79249999999999</v>
      </c>
      <c r="V708" s="33">
        <f>quantInv[[#This Row],[Total Cost GBP]]/EURtoGBP</f>
        <v>149.60015437616704</v>
      </c>
      <c r="W708" s="33">
        <f>quantInv[[#This Row],[Total Cost GBP]]/USDtoGBP</f>
        <v>180.66562209126189</v>
      </c>
      <c r="X708" s="33">
        <f>quantInv[[#This Row],[Total Cost GBP]]/CADtoGBP</f>
        <v>231.26238192751842</v>
      </c>
      <c r="Y708" s="33">
        <f>quantInv[[#This Row],[Quantity]]*quantInv[[#This Row],[UNIT
VALUE AUD]]</f>
        <v>236.71330555355985</v>
      </c>
      <c r="Z708" s="33"/>
    </row>
    <row r="709" spans="1:26" x14ac:dyDescent="0.25">
      <c r="A709" t="s">
        <v>512</v>
      </c>
      <c r="B709" t="s">
        <v>513</v>
      </c>
      <c r="C709" t="s">
        <v>114</v>
      </c>
      <c r="D709" t="s">
        <v>213</v>
      </c>
      <c r="E709">
        <v>4.0571428571428596</v>
      </c>
      <c r="F709" s="33">
        <v>4.0297999999999998</v>
      </c>
      <c r="G709" s="33" t="s">
        <v>117</v>
      </c>
      <c r="H709" t="s">
        <v>103</v>
      </c>
      <c r="I709" t="str">
        <f>IF(quantInv[[#This Row],[Metal]] = "925 Silver",  "7113.11.00"," 7113.19.00")</f>
        <v>7113.11.00</v>
      </c>
      <c r="J709" t="str">
        <f>IF(quantInv[[#This Row],[Metal]] = "925 Silver", "7113.11.10.00"," 7113.19.10.00")</f>
        <v>7113.11.10.00</v>
      </c>
      <c r="K709" t="str">
        <f>IF(quantInv[[#This Row],[Metal]] = "925 Silver",  "7113.11.00"," 7113.19.00")</f>
        <v>7113.11.00</v>
      </c>
      <c r="L709" t="str">
        <f>IFERROR(VLOOKUP(quantInv[[#This Row],[Description for New Invoice]],Map!$G$12:$H$32,2,FALSE), IF(quantInv[[#This Row],[Metal]] = "925 Silver", "7113.11.10.00", "7113.19.29.00"))</f>
        <v>7113.11.10.00</v>
      </c>
      <c r="M709" t="str">
        <f>quantInv[[#This Row],[ASIN]] &amp; " " &amp; quantInv[[#This Row],[Short Description]]</f>
        <v>B00DKD0L5S Ball Chain</v>
      </c>
      <c r="N709" s="33">
        <f>quantInv[[#This Row],[UNIT
VALUE]] / EURtoGBP</f>
        <v>4.5743020437815352</v>
      </c>
      <c r="O709" s="33">
        <f>quantInv[[#This Row],[UNIT
VALUE]]/USDtoGBP</f>
        <v>5.5241863072888604</v>
      </c>
      <c r="P709" s="33">
        <f>quantInv[[#This Row],[UNIT
VALUE]] / CADtoGBP</f>
        <v>7.0712760338525618</v>
      </c>
      <c r="Q709" s="33">
        <f>quantInv[[#This Row],[UNIT
VALUE]]/AUDtoGBP</f>
        <v>7.2379481284575036</v>
      </c>
      <c r="R709">
        <f>IFERROR(VLOOKUP(quantInv[[#This Row],[Assigned Item SKU]],skuQuantity[#All],2,FALSE),0)</f>
        <v>20</v>
      </c>
      <c r="S709" t="str">
        <f>PROPER(quantInv[[#This Row],[Metal]] &amp; " " &amp; quantInv[[#This Row],[Item Type]])</f>
        <v>925 Silver Chain</v>
      </c>
      <c r="T709" s="33">
        <f>quantInv[[#This Row],[Quantity]]*quantInv[[#This Row],[WEIGHT]]</f>
        <v>81.142857142857196</v>
      </c>
      <c r="U709" s="33">
        <f>quantInv[[#This Row],[UNIT
VALUE]]*quantInv[[#This Row],[Quantity]]</f>
        <v>80.596000000000004</v>
      </c>
      <c r="V709" s="33">
        <f>quantInv[[#This Row],[Total Cost GBP]]/EURtoGBP</f>
        <v>91.486040875630707</v>
      </c>
      <c r="W709" s="33">
        <f>quantInv[[#This Row],[Total Cost GBP]]/USDtoGBP</f>
        <v>110.48372614577723</v>
      </c>
      <c r="X709" s="33">
        <f>quantInv[[#This Row],[Total Cost GBP]]/CADtoGBP</f>
        <v>141.42552067705125</v>
      </c>
      <c r="Y709" s="33">
        <f>quantInv[[#This Row],[Quantity]]*quantInv[[#This Row],[UNIT
VALUE AUD]]</f>
        <v>144.75896256915007</v>
      </c>
      <c r="Z709" s="33"/>
    </row>
    <row r="710" spans="1:26" x14ac:dyDescent="0.25">
      <c r="A710" t="s">
        <v>1682</v>
      </c>
      <c r="B710" t="s">
        <v>1683</v>
      </c>
      <c r="C710" t="s">
        <v>114</v>
      </c>
      <c r="D710" t="s">
        <v>1684</v>
      </c>
      <c r="E710">
        <v>1.96</v>
      </c>
      <c r="F710" s="33">
        <v>41.372799999999998</v>
      </c>
      <c r="G710" s="33" t="s">
        <v>3304</v>
      </c>
      <c r="H710" t="s">
        <v>1414</v>
      </c>
      <c r="I710" t="str">
        <f>IF(quantInv[[#This Row],[Metal]] = "925 Silver",  "7113.11.00"," 7113.19.00")</f>
        <v xml:space="preserve"> 7113.19.00</v>
      </c>
      <c r="J710" t="str">
        <f>IF(quantInv[[#This Row],[Metal]] = "925 Silver", "7113.11.10.00"," 7113.19.10.00")</f>
        <v xml:space="preserve"> 7113.19.10.00</v>
      </c>
      <c r="K710" t="str">
        <f>IF(quantInv[[#This Row],[Metal]] = "925 Silver",  "7113.11.00"," 7113.19.00")</f>
        <v xml:space="preserve"> 7113.19.00</v>
      </c>
      <c r="L710" t="str">
        <f>IFERROR(VLOOKUP(quantInv[[#This Row],[Description for New Invoice]],Map!$G$12:$H$32,2,FALSE), IF(quantInv[[#This Row],[Metal]] = "925 Silver", "7113.11.10.00", "7113.19.29.00"))</f>
        <v>7113.19.10.00</v>
      </c>
      <c r="M710" t="str">
        <f>quantInv[[#This Row],[ASIN]] &amp; " " &amp; quantInv[[#This Row],[Short Description]]</f>
        <v>B085QKX58N Chain Bracelet - Heart - 9K Gold Rose</v>
      </c>
      <c r="N710" s="33">
        <f>quantInv[[#This Row],[UNIT
VALUE]] / EURtoGBP</f>
        <v>46.963046205013818</v>
      </c>
      <c r="O710" s="33">
        <f>quantInv[[#This Row],[UNIT
VALUE]]/USDtoGBP</f>
        <v>56.715235310487017</v>
      </c>
      <c r="P710" s="33">
        <f>quantInv[[#This Row],[UNIT
VALUE]] / CADtoGBP</f>
        <v>72.598761500167569</v>
      </c>
      <c r="Q710" s="33">
        <f>quantInv[[#This Row],[UNIT
VALUE]]/AUDtoGBP</f>
        <v>74.309936058624899</v>
      </c>
      <c r="R710">
        <f>IFERROR(VLOOKUP(quantInv[[#This Row],[Assigned Item SKU]],skuQuantity[#All],2,FALSE),0)</f>
        <v>0</v>
      </c>
      <c r="S710" t="str">
        <f>PROPER(quantInv[[#This Row],[Metal]] &amp; " " &amp; quantInv[[#This Row],[Item Type]])</f>
        <v>9K Gold Bracelet</v>
      </c>
      <c r="T710" s="33">
        <f>quantInv[[#This Row],[Quantity]]*quantInv[[#This Row],[WEIGHT]]</f>
        <v>0</v>
      </c>
      <c r="U710" s="33">
        <f>quantInv[[#This Row],[UNIT
VALUE]]*quantInv[[#This Row],[Quantity]]</f>
        <v>0</v>
      </c>
      <c r="V710" s="33">
        <f>quantInv[[#This Row],[Total Cost GBP]]/EURtoGBP</f>
        <v>0</v>
      </c>
      <c r="W710" s="33">
        <f>quantInv[[#This Row],[Total Cost GBP]]/USDtoGBP</f>
        <v>0</v>
      </c>
      <c r="X710" s="33">
        <f>quantInv[[#This Row],[Total Cost GBP]]/CADtoGBP</f>
        <v>0</v>
      </c>
      <c r="Y710" s="33">
        <f>quantInv[[#This Row],[Quantity]]*quantInv[[#This Row],[UNIT
VALUE AUD]]</f>
        <v>0</v>
      </c>
      <c r="Z710" s="33"/>
    </row>
    <row r="711" spans="1:26" x14ac:dyDescent="0.25">
      <c r="A711" t="s">
        <v>1685</v>
      </c>
      <c r="B711" t="s">
        <v>1332</v>
      </c>
      <c r="C711" t="s">
        <v>114</v>
      </c>
      <c r="D711" t="s">
        <v>1450</v>
      </c>
      <c r="E711">
        <v>6.17</v>
      </c>
      <c r="F711" s="33">
        <v>4.5381999999999998</v>
      </c>
      <c r="G711" s="33" t="s">
        <v>117</v>
      </c>
      <c r="H711" t="s">
        <v>1451</v>
      </c>
      <c r="I711" t="str">
        <f>IF(quantInv[[#This Row],[Metal]] = "925 Silver",  "7113.11.00"," 7113.19.00")</f>
        <v>7113.11.00</v>
      </c>
      <c r="J711" t="str">
        <f>IF(quantInv[[#This Row],[Metal]] = "925 Silver", "7113.11.10.00"," 7113.19.10.00")</f>
        <v>7113.11.10.00</v>
      </c>
      <c r="K711" t="str">
        <f>IF(quantInv[[#This Row],[Metal]] = "925 Silver",  "7113.11.00"," 7113.19.00")</f>
        <v>7113.11.00</v>
      </c>
      <c r="L711" t="str">
        <f>IFERROR(VLOOKUP(quantInv[[#This Row],[Description for New Invoice]],Map!$G$12:$H$32,2,FALSE), IF(quantInv[[#This Row],[Metal]] = "925 Silver", "7113.11.10.00", "7113.19.29.00"))</f>
        <v>7113.11.50.00</v>
      </c>
      <c r="M711" t="str">
        <f>quantInv[[#This Row],[ASIN]] &amp; " " &amp; quantInv[[#This Row],[Short Description]]</f>
        <v>EBAY Coin Pendant - St Christopher - Silver</v>
      </c>
      <c r="N711" s="33">
        <f>quantInv[[#This Row],[UNIT
VALUE]] / EURtoGBP</f>
        <v>5.1513964799963672</v>
      </c>
      <c r="O711" s="33">
        <f>quantInv[[#This Row],[UNIT
VALUE]]/USDtoGBP</f>
        <v>6.2211182440166528</v>
      </c>
      <c r="P711" s="33">
        <f>quantInv[[#This Row],[UNIT
VALUE]] / CADtoGBP</f>
        <v>7.9633889763337375</v>
      </c>
      <c r="Q711" s="33">
        <f>quantInv[[#This Row],[UNIT
VALUE]]/AUDtoGBP</f>
        <v>8.1510884402615122</v>
      </c>
      <c r="R711">
        <f>IFERROR(VLOOKUP(quantInv[[#This Row],[Assigned Item SKU]],skuQuantity[#All],2,FALSE),0)</f>
        <v>0</v>
      </c>
      <c r="S711" t="str">
        <f>PROPER(quantInv[[#This Row],[Metal]] &amp; " " &amp; quantInv[[#This Row],[Item Type]])</f>
        <v>925 Silver Pendant</v>
      </c>
      <c r="T711" s="33">
        <f>quantInv[[#This Row],[Quantity]]*quantInv[[#This Row],[WEIGHT]]</f>
        <v>0</v>
      </c>
      <c r="U711" s="33">
        <f>quantInv[[#This Row],[UNIT
VALUE]]*quantInv[[#This Row],[Quantity]]</f>
        <v>0</v>
      </c>
      <c r="V711" s="33">
        <f>quantInv[[#This Row],[Total Cost GBP]]/EURtoGBP</f>
        <v>0</v>
      </c>
      <c r="W711" s="33">
        <f>quantInv[[#This Row],[Total Cost GBP]]/USDtoGBP</f>
        <v>0</v>
      </c>
      <c r="X711" s="33">
        <f>quantInv[[#This Row],[Total Cost GBP]]/CADtoGBP</f>
        <v>0</v>
      </c>
      <c r="Y711" s="33">
        <f>quantInv[[#This Row],[Quantity]]*quantInv[[#This Row],[UNIT
VALUE AUD]]</f>
        <v>0</v>
      </c>
      <c r="Z711" s="33"/>
    </row>
    <row r="712" spans="1:26" x14ac:dyDescent="0.25">
      <c r="A712" t="s">
        <v>1686</v>
      </c>
      <c r="B712" t="s">
        <v>1332</v>
      </c>
      <c r="C712" t="s">
        <v>114</v>
      </c>
      <c r="D712" t="s">
        <v>1454</v>
      </c>
      <c r="E712">
        <v>6.23</v>
      </c>
      <c r="F712" s="33">
        <v>4.5804999999999998</v>
      </c>
      <c r="G712" s="33" t="s">
        <v>117</v>
      </c>
      <c r="H712" t="s">
        <v>1451</v>
      </c>
      <c r="I712" t="str">
        <f>IF(quantInv[[#This Row],[Metal]] = "925 Silver",  "7113.11.00"," 7113.19.00")</f>
        <v>7113.11.00</v>
      </c>
      <c r="J712" t="str">
        <f>IF(quantInv[[#This Row],[Metal]] = "925 Silver", "7113.11.10.00"," 7113.19.10.00")</f>
        <v>7113.11.10.00</v>
      </c>
      <c r="K712" t="str">
        <f>IF(quantInv[[#This Row],[Metal]] = "925 Silver",  "7113.11.00"," 7113.19.00")</f>
        <v>7113.11.00</v>
      </c>
      <c r="L712" t="str">
        <f>IFERROR(VLOOKUP(quantInv[[#This Row],[Description for New Invoice]],Map!$G$12:$H$32,2,FALSE), IF(quantInv[[#This Row],[Metal]] = "925 Silver", "7113.11.10.00", "7113.19.29.00"))</f>
        <v>7113.11.50.00</v>
      </c>
      <c r="M712" t="str">
        <f>quantInv[[#This Row],[ASIN]] &amp; " " &amp; quantInv[[#This Row],[Short Description]]</f>
        <v>EBAY Coin Pendant - St Christopher - Gold Plated</v>
      </c>
      <c r="N712" s="33">
        <f>quantInv[[#This Row],[UNIT
VALUE]] / EURtoGBP</f>
        <v>5.1994120084225814</v>
      </c>
      <c r="O712" s="33">
        <f>quantInv[[#This Row],[UNIT
VALUE]]/USDtoGBP</f>
        <v>6.2791045164863331</v>
      </c>
      <c r="P712" s="33">
        <f>quantInv[[#This Row],[UNIT
VALUE]] / CADtoGBP</f>
        <v>8.0376147384638585</v>
      </c>
      <c r="Q712" s="33">
        <f>quantInv[[#This Row],[UNIT
VALUE]]/AUDtoGBP</f>
        <v>8.2270637258423722</v>
      </c>
      <c r="R712">
        <f>IFERROR(VLOOKUP(quantInv[[#This Row],[Assigned Item SKU]],skuQuantity[#All],2,FALSE),0)</f>
        <v>0</v>
      </c>
      <c r="S712" t="str">
        <f>PROPER(quantInv[[#This Row],[Metal]] &amp; " " &amp; quantInv[[#This Row],[Item Type]])</f>
        <v>925 Silver Pendant</v>
      </c>
      <c r="T712" s="33">
        <f>quantInv[[#This Row],[Quantity]]*quantInv[[#This Row],[WEIGHT]]</f>
        <v>0</v>
      </c>
      <c r="U712" s="33">
        <f>quantInv[[#This Row],[UNIT
VALUE]]*quantInv[[#This Row],[Quantity]]</f>
        <v>0</v>
      </c>
      <c r="V712" s="33">
        <f>quantInv[[#This Row],[Total Cost GBP]]/EURtoGBP</f>
        <v>0</v>
      </c>
      <c r="W712" s="33">
        <f>quantInv[[#This Row],[Total Cost GBP]]/USDtoGBP</f>
        <v>0</v>
      </c>
      <c r="X712" s="33">
        <f>quantInv[[#This Row],[Total Cost GBP]]/CADtoGBP</f>
        <v>0</v>
      </c>
      <c r="Y712" s="33">
        <f>quantInv[[#This Row],[Quantity]]*quantInv[[#This Row],[UNIT
VALUE AUD]]</f>
        <v>0</v>
      </c>
      <c r="Z712" s="33"/>
    </row>
    <row r="713" spans="1:26" x14ac:dyDescent="0.25">
      <c r="A713" t="s">
        <v>1687</v>
      </c>
      <c r="B713" t="s">
        <v>1688</v>
      </c>
      <c r="C713" t="s">
        <v>114</v>
      </c>
      <c r="D713" t="s">
        <v>1689</v>
      </c>
      <c r="E713">
        <v>0.45</v>
      </c>
      <c r="F713" s="33">
        <v>9.9943000000000008</v>
      </c>
      <c r="G713" s="33" t="s">
        <v>3304</v>
      </c>
      <c r="H713" t="s">
        <v>1310</v>
      </c>
      <c r="I713" t="str">
        <f>IF(quantInv[[#This Row],[Metal]] = "925 Silver",  "7113.11.00"," 7113.19.00")</f>
        <v xml:space="preserve"> 7113.19.00</v>
      </c>
      <c r="J713" t="str">
        <f>IF(quantInv[[#This Row],[Metal]] = "925 Silver", "7113.11.10.00"," 7113.19.10.00")</f>
        <v xml:space="preserve"> 7113.19.10.00</v>
      </c>
      <c r="K713" t="str">
        <f>IF(quantInv[[#This Row],[Metal]] = "925 Silver",  "7113.11.00"," 7113.19.00")</f>
        <v xml:space="preserve"> 7113.19.00</v>
      </c>
      <c r="L713" t="str">
        <f>IFERROR(VLOOKUP(quantInv[[#This Row],[Description for New Invoice]],Map!$G$12:$H$32,2,FALSE), IF(quantInv[[#This Row],[Metal]] = "925 Silver", "7113.11.10.00", "7113.19.29.00"))</f>
        <v>7113.19.29.00</v>
      </c>
      <c r="M713" t="str">
        <f>quantInv[[#This Row],[ASIN]] &amp; " " &amp; quantInv[[#This Row],[Short Description]]</f>
        <v>Listed as 9K 10k Gold Hoops - 10 mm</v>
      </c>
      <c r="N713" s="33">
        <f>quantInv[[#This Row],[UNIT
VALUE]] / EURtoGBP</f>
        <v>11.344718575652836</v>
      </c>
      <c r="O713" s="33">
        <f>quantInv[[#This Row],[UNIT
VALUE]]/USDtoGBP</f>
        <v>13.70052489228673</v>
      </c>
      <c r="P713" s="33">
        <f>quantInv[[#This Row],[UNIT
VALUE]] / CADtoGBP</f>
        <v>17.537459443429618</v>
      </c>
      <c r="Q713" s="33">
        <f>quantInv[[#This Row],[UNIT
VALUE]]/AUDtoGBP</f>
        <v>17.950822616567283</v>
      </c>
      <c r="R713">
        <f>IFERROR(VLOOKUP(quantInv[[#This Row],[Assigned Item SKU]],skuQuantity[#All],2,FALSE),0)</f>
        <v>0</v>
      </c>
      <c r="S713" t="str">
        <f>PROPER(quantInv[[#This Row],[Metal]] &amp; " " &amp; quantInv[[#This Row],[Item Type]])</f>
        <v>9K Gold Earrings</v>
      </c>
      <c r="T713" s="33">
        <f>quantInv[[#This Row],[Quantity]]*quantInv[[#This Row],[WEIGHT]]</f>
        <v>0</v>
      </c>
      <c r="U713" s="33">
        <f>quantInv[[#This Row],[UNIT
VALUE]]*quantInv[[#This Row],[Quantity]]</f>
        <v>0</v>
      </c>
      <c r="V713" s="33">
        <f>quantInv[[#This Row],[Total Cost GBP]]/EURtoGBP</f>
        <v>0</v>
      </c>
      <c r="W713" s="33">
        <f>quantInv[[#This Row],[Total Cost GBP]]/USDtoGBP</f>
        <v>0</v>
      </c>
      <c r="X713" s="33">
        <f>quantInv[[#This Row],[Total Cost GBP]]/CADtoGBP</f>
        <v>0</v>
      </c>
      <c r="Y713" s="33">
        <f>quantInv[[#This Row],[Quantity]]*quantInv[[#This Row],[UNIT
VALUE AUD]]</f>
        <v>0</v>
      </c>
      <c r="Z713" s="33"/>
    </row>
    <row r="714" spans="1:26" x14ac:dyDescent="0.25">
      <c r="A714" t="s">
        <v>1690</v>
      </c>
      <c r="B714" t="s">
        <v>1688</v>
      </c>
      <c r="C714" t="s">
        <v>114</v>
      </c>
      <c r="D714" t="s">
        <v>1691</v>
      </c>
      <c r="E714">
        <v>0.76</v>
      </c>
      <c r="F714" s="33">
        <v>16.803100000000001</v>
      </c>
      <c r="G714" s="33" t="s">
        <v>3304</v>
      </c>
      <c r="H714" t="s">
        <v>1310</v>
      </c>
      <c r="I714" t="str">
        <f>IF(quantInv[[#This Row],[Metal]] = "925 Silver",  "7113.11.00"," 7113.19.00")</f>
        <v xml:space="preserve"> 7113.19.00</v>
      </c>
      <c r="J714" t="str">
        <f>IF(quantInv[[#This Row],[Metal]] = "925 Silver", "7113.11.10.00"," 7113.19.10.00")</f>
        <v xml:space="preserve"> 7113.19.10.00</v>
      </c>
      <c r="K714" t="str">
        <f>IF(quantInv[[#This Row],[Metal]] = "925 Silver",  "7113.11.00"," 7113.19.00")</f>
        <v xml:space="preserve"> 7113.19.00</v>
      </c>
      <c r="L714" t="str">
        <f>IFERROR(VLOOKUP(quantInv[[#This Row],[Description for New Invoice]],Map!$G$12:$H$32,2,FALSE), IF(quantInv[[#This Row],[Metal]] = "925 Silver", "7113.11.10.00", "7113.19.29.00"))</f>
        <v>7113.19.29.00</v>
      </c>
      <c r="M714" t="str">
        <f>quantInv[[#This Row],[ASIN]] &amp; " " &amp; quantInv[[#This Row],[Short Description]]</f>
        <v>Listed as 9K 10k Gold Hoops - 15 mm</v>
      </c>
      <c r="N714" s="33">
        <f>quantInv[[#This Row],[UNIT
VALUE]] / EURtoGBP</f>
        <v>19.073515973960372</v>
      </c>
      <c r="O714" s="33">
        <f>quantInv[[#This Row],[UNIT
VALUE]]/USDtoGBP</f>
        <v>23.034258509108508</v>
      </c>
      <c r="P714" s="33">
        <f>quantInv[[#This Row],[UNIT
VALUE]] / CADtoGBP</f>
        <v>29.485175027154696</v>
      </c>
      <c r="Q714" s="33">
        <f>quantInv[[#This Row],[UNIT
VALUE]]/AUDtoGBP</f>
        <v>30.180149436022703</v>
      </c>
      <c r="R714">
        <f>IFERROR(VLOOKUP(quantInv[[#This Row],[Assigned Item SKU]],skuQuantity[#All],2,FALSE),0)</f>
        <v>0</v>
      </c>
      <c r="S714" t="str">
        <f>PROPER(quantInv[[#This Row],[Metal]] &amp; " " &amp; quantInv[[#This Row],[Item Type]])</f>
        <v>9K Gold Earrings</v>
      </c>
      <c r="T714" s="33">
        <f>quantInv[[#This Row],[Quantity]]*quantInv[[#This Row],[WEIGHT]]</f>
        <v>0</v>
      </c>
      <c r="U714" s="33">
        <f>quantInv[[#This Row],[UNIT
VALUE]]*quantInv[[#This Row],[Quantity]]</f>
        <v>0</v>
      </c>
      <c r="V714" s="33">
        <f>quantInv[[#This Row],[Total Cost GBP]]/EURtoGBP</f>
        <v>0</v>
      </c>
      <c r="W714" s="33">
        <f>quantInv[[#This Row],[Total Cost GBP]]/USDtoGBP</f>
        <v>0</v>
      </c>
      <c r="X714" s="33">
        <f>quantInv[[#This Row],[Total Cost GBP]]/CADtoGBP</f>
        <v>0</v>
      </c>
      <c r="Y714" s="33">
        <f>quantInv[[#This Row],[Quantity]]*quantInv[[#This Row],[UNIT
VALUE AUD]]</f>
        <v>0</v>
      </c>
      <c r="Z714" s="33"/>
    </row>
    <row r="715" spans="1:26" x14ac:dyDescent="0.25">
      <c r="A715" t="s">
        <v>1692</v>
      </c>
      <c r="B715" t="s">
        <v>1688</v>
      </c>
      <c r="C715" t="s">
        <v>114</v>
      </c>
      <c r="D715" t="s">
        <v>1693</v>
      </c>
      <c r="E715">
        <v>1.0900000000000001</v>
      </c>
      <c r="F715" s="33">
        <v>24.751200000000001</v>
      </c>
      <c r="G715" s="33" t="s">
        <v>3304</v>
      </c>
      <c r="H715" t="s">
        <v>1310</v>
      </c>
      <c r="I715" t="str">
        <f>IF(quantInv[[#This Row],[Metal]] = "925 Silver",  "7113.11.00"," 7113.19.00")</f>
        <v xml:space="preserve"> 7113.19.00</v>
      </c>
      <c r="J715" t="str">
        <f>IF(quantInv[[#This Row],[Metal]] = "925 Silver", "7113.11.10.00"," 7113.19.10.00")</f>
        <v xml:space="preserve"> 7113.19.10.00</v>
      </c>
      <c r="K715" t="str">
        <f>IF(quantInv[[#This Row],[Metal]] = "925 Silver",  "7113.11.00"," 7113.19.00")</f>
        <v xml:space="preserve"> 7113.19.00</v>
      </c>
      <c r="L715" t="str">
        <f>IFERROR(VLOOKUP(quantInv[[#This Row],[Description for New Invoice]],Map!$G$12:$H$32,2,FALSE), IF(quantInv[[#This Row],[Metal]] = "925 Silver", "7113.11.10.00", "7113.19.29.00"))</f>
        <v>7113.19.29.00</v>
      </c>
      <c r="M715" t="str">
        <f>quantInv[[#This Row],[ASIN]] &amp; " " &amp; quantInv[[#This Row],[Short Description]]</f>
        <v>Listed as 9K 10k Gold Hoops - 20 mm</v>
      </c>
      <c r="N715" s="33">
        <f>quantInv[[#This Row],[UNIT
VALUE]] / EURtoGBP</f>
        <v>28.095554306924793</v>
      </c>
      <c r="O715" s="33">
        <f>quantInv[[#This Row],[UNIT
VALUE]]/USDtoGBP</f>
        <v>33.929783147790971</v>
      </c>
      <c r="P715" s="33">
        <f>quantInv[[#This Row],[UNIT
VALUE]] / CADtoGBP</f>
        <v>43.432072899174038</v>
      </c>
      <c r="Q715" s="33">
        <f>quantInv[[#This Row],[UNIT
VALUE]]/AUDtoGBP</f>
        <v>44.455779869243479</v>
      </c>
      <c r="R715">
        <f>IFERROR(VLOOKUP(quantInv[[#This Row],[Assigned Item SKU]],skuQuantity[#All],2,FALSE),0)</f>
        <v>0</v>
      </c>
      <c r="S715" t="str">
        <f>PROPER(quantInv[[#This Row],[Metal]] &amp; " " &amp; quantInv[[#This Row],[Item Type]])</f>
        <v>9K Gold Earrings</v>
      </c>
      <c r="T715" s="33">
        <f>quantInv[[#This Row],[Quantity]]*quantInv[[#This Row],[WEIGHT]]</f>
        <v>0</v>
      </c>
      <c r="U715" s="33">
        <f>quantInv[[#This Row],[UNIT
VALUE]]*quantInv[[#This Row],[Quantity]]</f>
        <v>0</v>
      </c>
      <c r="V715" s="33">
        <f>quantInv[[#This Row],[Total Cost GBP]]/EURtoGBP</f>
        <v>0</v>
      </c>
      <c r="W715" s="33">
        <f>quantInv[[#This Row],[Total Cost GBP]]/USDtoGBP</f>
        <v>0</v>
      </c>
      <c r="X715" s="33">
        <f>quantInv[[#This Row],[Total Cost GBP]]/CADtoGBP</f>
        <v>0</v>
      </c>
      <c r="Y715" s="33">
        <f>quantInv[[#This Row],[Quantity]]*quantInv[[#This Row],[UNIT
VALUE AUD]]</f>
        <v>0</v>
      </c>
      <c r="Z715" s="33"/>
    </row>
    <row r="716" spans="1:26" x14ac:dyDescent="0.25">
      <c r="A716" t="s">
        <v>1694</v>
      </c>
      <c r="B716" t="s">
        <v>1688</v>
      </c>
      <c r="C716" t="s">
        <v>114</v>
      </c>
      <c r="D716" t="s">
        <v>1695</v>
      </c>
      <c r="E716">
        <v>1.55</v>
      </c>
      <c r="F716" s="33">
        <v>35.0595</v>
      </c>
      <c r="G716" s="33" t="s">
        <v>3304</v>
      </c>
      <c r="H716" t="s">
        <v>103</v>
      </c>
      <c r="I716" t="str">
        <f>IF(quantInv[[#This Row],[Metal]] = "925 Silver",  "7113.11.00"," 7113.19.00")</f>
        <v xml:space="preserve"> 7113.19.00</v>
      </c>
      <c r="J716" t="str">
        <f>IF(quantInv[[#This Row],[Metal]] = "925 Silver", "7113.11.10.00"," 7113.19.10.00")</f>
        <v xml:space="preserve"> 7113.19.10.00</v>
      </c>
      <c r="K716" t="str">
        <f>IF(quantInv[[#This Row],[Metal]] = "925 Silver",  "7113.11.00"," 7113.19.00")</f>
        <v xml:space="preserve"> 7113.19.00</v>
      </c>
      <c r="L716" t="str">
        <f>IFERROR(VLOOKUP(quantInv[[#This Row],[Description for New Invoice]],Map!$G$12:$H$32,2,FALSE), IF(quantInv[[#This Row],[Metal]] = "925 Silver", "7113.11.10.00", "7113.19.29.00"))</f>
        <v>7113.11.50.00</v>
      </c>
      <c r="M716" t="str">
        <f>quantInv[[#This Row],[ASIN]] &amp; " " &amp; quantInv[[#This Row],[Short Description]]</f>
        <v>Listed as 9K 10K Curb Chain</v>
      </c>
      <c r="N716" s="33">
        <f>quantInv[[#This Row],[UNIT
VALUE]] / EURtoGBP</f>
        <v>39.796700209429432</v>
      </c>
      <c r="O716" s="33">
        <f>quantInv[[#This Row],[UNIT
VALUE]]/USDtoGBP</f>
        <v>48.06074987354058</v>
      </c>
      <c r="P716" s="33">
        <f>quantInv[[#This Row],[UNIT
VALUE]] / CADtoGBP</f>
        <v>61.52052263359321</v>
      </c>
      <c r="Q716" s="33">
        <f>quantInv[[#This Row],[UNIT
VALUE]]/AUDtoGBP</f>
        <v>62.970579783030388</v>
      </c>
      <c r="R716">
        <f>IFERROR(VLOOKUP(quantInv[[#This Row],[Assigned Item SKU]],skuQuantity[#All],2,FALSE),0)</f>
        <v>0</v>
      </c>
      <c r="S716" t="str">
        <f>PROPER(quantInv[[#This Row],[Metal]] &amp; " " &amp; quantInv[[#This Row],[Item Type]])</f>
        <v>9K Gold Chain</v>
      </c>
      <c r="T716" s="33">
        <f>quantInv[[#This Row],[Quantity]]*quantInv[[#This Row],[WEIGHT]]</f>
        <v>0</v>
      </c>
      <c r="U716" s="33">
        <f>quantInv[[#This Row],[UNIT
VALUE]]*quantInv[[#This Row],[Quantity]]</f>
        <v>0</v>
      </c>
      <c r="V716" s="33">
        <f>quantInv[[#This Row],[Total Cost GBP]]/EURtoGBP</f>
        <v>0</v>
      </c>
      <c r="W716" s="33">
        <f>quantInv[[#This Row],[Total Cost GBP]]/USDtoGBP</f>
        <v>0</v>
      </c>
      <c r="X716" s="33">
        <f>quantInv[[#This Row],[Total Cost GBP]]/CADtoGBP</f>
        <v>0</v>
      </c>
      <c r="Y716" s="33">
        <f>quantInv[[#This Row],[Quantity]]*quantInv[[#This Row],[UNIT
VALUE AUD]]</f>
        <v>0</v>
      </c>
      <c r="Z716" s="33"/>
    </row>
    <row r="717" spans="1:26" x14ac:dyDescent="0.25">
      <c r="A717" t="s">
        <v>1696</v>
      </c>
      <c r="B717" t="s">
        <v>1688</v>
      </c>
      <c r="C717" t="s">
        <v>114</v>
      </c>
      <c r="D717" t="s">
        <v>1697</v>
      </c>
      <c r="E717">
        <v>1.36</v>
      </c>
      <c r="F717" s="33">
        <v>30.741399999999999</v>
      </c>
      <c r="G717" s="33" t="s">
        <v>3304</v>
      </c>
      <c r="H717" t="s">
        <v>103</v>
      </c>
      <c r="I717" t="str">
        <f>IF(quantInv[[#This Row],[Metal]] = "925 Silver",  "7113.11.00"," 7113.19.00")</f>
        <v xml:space="preserve"> 7113.19.00</v>
      </c>
      <c r="J717" t="str">
        <f>IF(quantInv[[#This Row],[Metal]] = "925 Silver", "7113.11.10.00"," 7113.19.10.00")</f>
        <v xml:space="preserve"> 7113.19.10.00</v>
      </c>
      <c r="K717" t="str">
        <f>IF(quantInv[[#This Row],[Metal]] = "925 Silver",  "7113.11.00"," 7113.19.00")</f>
        <v xml:space="preserve"> 7113.19.00</v>
      </c>
      <c r="L717" t="str">
        <f>IFERROR(VLOOKUP(quantInv[[#This Row],[Description for New Invoice]],Map!$G$12:$H$32,2,FALSE), IF(quantInv[[#This Row],[Metal]] = "925 Silver", "7113.11.10.00", "7113.19.29.00"))</f>
        <v>7113.11.50.00</v>
      </c>
      <c r="M717" t="str">
        <f>quantInv[[#This Row],[ASIN]] &amp; " " &amp; quantInv[[#This Row],[Short Description]]</f>
        <v>Listed as 9K 10K Anchor Chain</v>
      </c>
      <c r="N717" s="33">
        <f>quantInv[[#This Row],[UNIT
VALUE]] / EURtoGBP</f>
        <v>34.895143393891921</v>
      </c>
      <c r="O717" s="33">
        <f>quantInv[[#This Row],[UNIT
VALUE]]/USDtoGBP</f>
        <v>42.141352163107292</v>
      </c>
      <c r="P717" s="33">
        <f>quantInv[[#This Row],[UNIT
VALUE]] / CADtoGBP</f>
        <v>53.943353284797048</v>
      </c>
      <c r="Q717" s="33">
        <f>quantInv[[#This Row],[UNIT
VALUE]]/AUDtoGBP</f>
        <v>55.214814282635238</v>
      </c>
      <c r="R717">
        <f>IFERROR(VLOOKUP(quantInv[[#This Row],[Assigned Item SKU]],skuQuantity[#All],2,FALSE),0)</f>
        <v>0</v>
      </c>
      <c r="S717" t="str">
        <f>PROPER(quantInv[[#This Row],[Metal]] &amp; " " &amp; quantInv[[#This Row],[Item Type]])</f>
        <v>9K Gold Chain</v>
      </c>
      <c r="T717" s="33">
        <f>quantInv[[#This Row],[Quantity]]*quantInv[[#This Row],[WEIGHT]]</f>
        <v>0</v>
      </c>
      <c r="U717" s="33">
        <f>quantInv[[#This Row],[UNIT
VALUE]]*quantInv[[#This Row],[Quantity]]</f>
        <v>0</v>
      </c>
      <c r="V717" s="33">
        <f>quantInv[[#This Row],[Total Cost GBP]]/EURtoGBP</f>
        <v>0</v>
      </c>
      <c r="W717" s="33">
        <f>quantInv[[#This Row],[Total Cost GBP]]/USDtoGBP</f>
        <v>0</v>
      </c>
      <c r="X717" s="33">
        <f>quantInv[[#This Row],[Total Cost GBP]]/CADtoGBP</f>
        <v>0</v>
      </c>
      <c r="Y717" s="33">
        <f>quantInv[[#This Row],[Quantity]]*quantInv[[#This Row],[UNIT
VALUE AUD]]</f>
        <v>0</v>
      </c>
      <c r="Z717" s="33"/>
    </row>
    <row r="718" spans="1:26" x14ac:dyDescent="0.25">
      <c r="A718" t="s">
        <v>1698</v>
      </c>
      <c r="B718" t="s">
        <v>1688</v>
      </c>
      <c r="C718" t="s">
        <v>114</v>
      </c>
      <c r="D718" t="s">
        <v>1699</v>
      </c>
      <c r="E718">
        <v>1.1100000000000001</v>
      </c>
      <c r="F718" s="33">
        <v>25.2883</v>
      </c>
      <c r="G718" s="33" t="s">
        <v>3304</v>
      </c>
      <c r="H718" t="s">
        <v>103</v>
      </c>
      <c r="I718" t="str">
        <f>IF(quantInv[[#This Row],[Metal]] = "925 Silver",  "7113.11.00"," 7113.19.00")</f>
        <v xml:space="preserve"> 7113.19.00</v>
      </c>
      <c r="J718" t="str">
        <f>IF(quantInv[[#This Row],[Metal]] = "925 Silver", "7113.11.10.00"," 7113.19.10.00")</f>
        <v xml:space="preserve"> 7113.19.10.00</v>
      </c>
      <c r="K718" t="str">
        <f>IF(quantInv[[#This Row],[Metal]] = "925 Silver",  "7113.11.00"," 7113.19.00")</f>
        <v xml:space="preserve"> 7113.19.00</v>
      </c>
      <c r="L718" t="str">
        <f>IFERROR(VLOOKUP(quantInv[[#This Row],[Description for New Invoice]],Map!$G$12:$H$32,2,FALSE), IF(quantInv[[#This Row],[Metal]] = "925 Silver", "7113.11.10.00", "7113.19.29.00"))</f>
        <v>7113.11.50.00</v>
      </c>
      <c r="M718" t="str">
        <f>quantInv[[#This Row],[ASIN]] &amp; " " &amp; quantInv[[#This Row],[Short Description]]</f>
        <v>Listed as 9K 10K Figaro Chain</v>
      </c>
      <c r="N718" s="33">
        <f>quantInv[[#This Row],[UNIT
VALUE]] / EURtoGBP</f>
        <v>28.705226654861431</v>
      </c>
      <c r="O718" s="33">
        <f>quantInv[[#This Row],[UNIT
VALUE]]/USDtoGBP</f>
        <v>34.666058016430817</v>
      </c>
      <c r="P718" s="33">
        <f>quantInv[[#This Row],[UNIT
VALUE]] / CADtoGBP</f>
        <v>44.374547056150121</v>
      </c>
      <c r="Q718" s="33">
        <f>quantInv[[#This Row],[UNIT
VALUE]]/AUDtoGBP</f>
        <v>45.420468424455777</v>
      </c>
      <c r="R718">
        <f>IFERROR(VLOOKUP(quantInv[[#This Row],[Assigned Item SKU]],skuQuantity[#All],2,FALSE),0)</f>
        <v>0</v>
      </c>
      <c r="S718" t="str">
        <f>PROPER(quantInv[[#This Row],[Metal]] &amp; " " &amp; quantInv[[#This Row],[Item Type]])</f>
        <v>9K Gold Chain</v>
      </c>
      <c r="T718" s="33">
        <f>quantInv[[#This Row],[Quantity]]*quantInv[[#This Row],[WEIGHT]]</f>
        <v>0</v>
      </c>
      <c r="U718" s="33">
        <f>quantInv[[#This Row],[UNIT
VALUE]]*quantInv[[#This Row],[Quantity]]</f>
        <v>0</v>
      </c>
      <c r="V718" s="33">
        <f>quantInv[[#This Row],[Total Cost GBP]]/EURtoGBP</f>
        <v>0</v>
      </c>
      <c r="W718" s="33">
        <f>quantInv[[#This Row],[Total Cost GBP]]/USDtoGBP</f>
        <v>0</v>
      </c>
      <c r="X718" s="33">
        <f>quantInv[[#This Row],[Total Cost GBP]]/CADtoGBP</f>
        <v>0</v>
      </c>
      <c r="Y718" s="33">
        <f>quantInv[[#This Row],[Quantity]]*quantInv[[#This Row],[UNIT
VALUE AUD]]</f>
        <v>0</v>
      </c>
      <c r="Z718" s="33"/>
    </row>
    <row r="719" spans="1:26" x14ac:dyDescent="0.25">
      <c r="A719" t="s">
        <v>1700</v>
      </c>
      <c r="B719" t="s">
        <v>1701</v>
      </c>
      <c r="C719" t="s">
        <v>114</v>
      </c>
      <c r="D719" t="s">
        <v>1702</v>
      </c>
      <c r="E719">
        <v>4.6500000000000004</v>
      </c>
      <c r="F719" s="33">
        <v>8.7980999999999998</v>
      </c>
      <c r="G719" s="33" t="s">
        <v>117</v>
      </c>
      <c r="H719" t="s">
        <v>1414</v>
      </c>
      <c r="I719" t="str">
        <f>IF(quantInv[[#This Row],[Metal]] = "925 Silver",  "7113.11.00"," 7113.19.00")</f>
        <v>7113.11.00</v>
      </c>
      <c r="J719" t="str">
        <f>IF(quantInv[[#This Row],[Metal]] = "925 Silver", "7113.11.10.00"," 7113.19.10.00")</f>
        <v>7113.11.10.00</v>
      </c>
      <c r="K719" t="str">
        <f>IF(quantInv[[#This Row],[Metal]] = "925 Silver",  "7113.11.00"," 7113.19.00")</f>
        <v>7113.11.00</v>
      </c>
      <c r="L719" t="str">
        <f>IFERROR(VLOOKUP(quantInv[[#This Row],[Description for New Invoice]],Map!$G$12:$H$32,2,FALSE), IF(quantInv[[#This Row],[Metal]] = "925 Silver", "7113.11.10.00", "7113.19.29.00"))</f>
        <v>7113.11.10.00</v>
      </c>
      <c r="M719" t="str">
        <f>quantInv[[#This Row],[ASIN]] &amp; " " &amp; quantInv[[#This Row],[Short Description]]</f>
        <v>B08618C612 Silver Adjustable Bangle</v>
      </c>
      <c r="N719" s="33">
        <f>quantInv[[#This Row],[UNIT
VALUE]] / EURtoGBP</f>
        <v>9.9868893769900051</v>
      </c>
      <c r="O719" s="33">
        <f>quantInv[[#This Row],[UNIT
VALUE]]/USDtoGBP</f>
        <v>12.060733423534202</v>
      </c>
      <c r="P719" s="33">
        <f>quantInv[[#This Row],[UNIT
VALUE]] / CADtoGBP</f>
        <v>15.438432099220366</v>
      </c>
      <c r="Q719" s="33">
        <f>quantInv[[#This Row],[UNIT
VALUE]]/AUDtoGBP</f>
        <v>15.802320569006392</v>
      </c>
      <c r="R719">
        <f>IFERROR(VLOOKUP(quantInv[[#This Row],[Assigned Item SKU]],skuQuantity[#All],2,FALSE),0)</f>
        <v>0</v>
      </c>
      <c r="S719" t="str">
        <f>PROPER(quantInv[[#This Row],[Metal]] &amp; " " &amp; quantInv[[#This Row],[Item Type]])</f>
        <v>925 Silver Bracelet</v>
      </c>
      <c r="T719" s="33">
        <f>quantInv[[#This Row],[Quantity]]*quantInv[[#This Row],[WEIGHT]]</f>
        <v>0</v>
      </c>
      <c r="U719" s="33">
        <f>quantInv[[#This Row],[UNIT
VALUE]]*quantInv[[#This Row],[Quantity]]</f>
        <v>0</v>
      </c>
      <c r="V719" s="33">
        <f>quantInv[[#This Row],[Total Cost GBP]]/EURtoGBP</f>
        <v>0</v>
      </c>
      <c r="W719" s="33">
        <f>quantInv[[#This Row],[Total Cost GBP]]/USDtoGBP</f>
        <v>0</v>
      </c>
      <c r="X719" s="33">
        <f>quantInv[[#This Row],[Total Cost GBP]]/CADtoGBP</f>
        <v>0</v>
      </c>
      <c r="Y719" s="33">
        <f>quantInv[[#This Row],[Quantity]]*quantInv[[#This Row],[UNIT
VALUE AUD]]</f>
        <v>0</v>
      </c>
      <c r="Z719" s="33"/>
    </row>
    <row r="720" spans="1:26" x14ac:dyDescent="0.25">
      <c r="A720" t="s">
        <v>1703</v>
      </c>
      <c r="B720" t="s">
        <v>1704</v>
      </c>
      <c r="C720" t="s">
        <v>114</v>
      </c>
      <c r="D720" t="s">
        <v>1705</v>
      </c>
      <c r="E720">
        <v>4.66</v>
      </c>
      <c r="F720" s="33">
        <v>9.2271000000000001</v>
      </c>
      <c r="G720" s="33" t="s">
        <v>117</v>
      </c>
      <c r="H720" t="s">
        <v>1414</v>
      </c>
      <c r="I720" t="str">
        <f>IF(quantInv[[#This Row],[Metal]] = "925 Silver",  "7113.11.00"," 7113.19.00")</f>
        <v>7113.11.00</v>
      </c>
      <c r="J720" t="str">
        <f>IF(quantInv[[#This Row],[Metal]] = "925 Silver", "7113.11.10.00"," 7113.19.10.00")</f>
        <v>7113.11.10.00</v>
      </c>
      <c r="K720" t="str">
        <f>IF(quantInv[[#This Row],[Metal]] = "925 Silver",  "7113.11.00"," 7113.19.00")</f>
        <v>7113.11.00</v>
      </c>
      <c r="L720" t="str">
        <f>IFERROR(VLOOKUP(quantInv[[#This Row],[Description for New Invoice]],Map!$G$12:$H$32,2,FALSE), IF(quantInv[[#This Row],[Metal]] = "925 Silver", "7113.11.10.00", "7113.19.29.00"))</f>
        <v>7113.11.10.00</v>
      </c>
      <c r="M720" t="str">
        <f>quantInv[[#This Row],[ASIN]] &amp; " " &amp; quantInv[[#This Row],[Short Description]]</f>
        <v>B08618HGR4 Rose Plated Adjustable Bangle</v>
      </c>
      <c r="N720" s="33">
        <f>quantInv[[#This Row],[UNIT
VALUE]] / EURtoGBP</f>
        <v>10.473855374504096</v>
      </c>
      <c r="O720" s="33">
        <f>quantInv[[#This Row],[UNIT
VALUE]]/USDtoGBP</f>
        <v>12.648821151418197</v>
      </c>
      <c r="P720" s="33">
        <f>quantInv[[#This Row],[UNIT
VALUE]] / CADtoGBP</f>
        <v>16.19121819741947</v>
      </c>
      <c r="Q720" s="33">
        <f>quantInv[[#This Row],[UNIT
VALUE]]/AUDtoGBP</f>
        <v>16.572850061067605</v>
      </c>
      <c r="R720">
        <f>IFERROR(VLOOKUP(quantInv[[#This Row],[Assigned Item SKU]],skuQuantity[#All],2,FALSE),0)</f>
        <v>0</v>
      </c>
      <c r="S720" t="str">
        <f>PROPER(quantInv[[#This Row],[Metal]] &amp; " " &amp; quantInv[[#This Row],[Item Type]])</f>
        <v>925 Silver Bracelet</v>
      </c>
      <c r="T720" s="33">
        <f>quantInv[[#This Row],[Quantity]]*quantInv[[#This Row],[WEIGHT]]</f>
        <v>0</v>
      </c>
      <c r="U720" s="33">
        <f>quantInv[[#This Row],[UNIT
VALUE]]*quantInv[[#This Row],[Quantity]]</f>
        <v>0</v>
      </c>
      <c r="V720" s="33">
        <f>quantInv[[#This Row],[Total Cost GBP]]/EURtoGBP</f>
        <v>0</v>
      </c>
      <c r="W720" s="33">
        <f>quantInv[[#This Row],[Total Cost GBP]]/USDtoGBP</f>
        <v>0</v>
      </c>
      <c r="X720" s="33">
        <f>quantInv[[#This Row],[Total Cost GBP]]/CADtoGBP</f>
        <v>0</v>
      </c>
      <c r="Y720" s="33">
        <f>quantInv[[#This Row],[Quantity]]*quantInv[[#This Row],[UNIT
VALUE AUD]]</f>
        <v>0</v>
      </c>
      <c r="Z720" s="33"/>
    </row>
    <row r="721" spans="1:26" x14ac:dyDescent="0.25">
      <c r="A721" t="s">
        <v>1706</v>
      </c>
      <c r="B721" t="s">
        <v>1707</v>
      </c>
      <c r="C721" t="s">
        <v>114</v>
      </c>
      <c r="D721" t="s">
        <v>1708</v>
      </c>
      <c r="E721">
        <v>4.8899999999999997</v>
      </c>
      <c r="F721" s="33">
        <v>9.6729000000000003</v>
      </c>
      <c r="G721" s="33" t="s">
        <v>117</v>
      </c>
      <c r="H721" t="s">
        <v>1414</v>
      </c>
      <c r="I721" t="str">
        <f>IF(quantInv[[#This Row],[Metal]] = "925 Silver",  "7113.11.00"," 7113.19.00")</f>
        <v>7113.11.00</v>
      </c>
      <c r="J721" t="str">
        <f>IF(quantInv[[#This Row],[Metal]] = "925 Silver", "7113.11.10.00"," 7113.19.10.00")</f>
        <v>7113.11.10.00</v>
      </c>
      <c r="K721" t="str">
        <f>IF(quantInv[[#This Row],[Metal]] = "925 Silver",  "7113.11.00"," 7113.19.00")</f>
        <v>7113.11.00</v>
      </c>
      <c r="L721" t="str">
        <f>IFERROR(VLOOKUP(quantInv[[#This Row],[Description for New Invoice]],Map!$G$12:$H$32,2,FALSE), IF(quantInv[[#This Row],[Metal]] = "925 Silver", "7113.11.10.00", "7113.19.29.00"))</f>
        <v>7113.11.10.00</v>
      </c>
      <c r="M721" t="str">
        <f>quantInv[[#This Row],[ASIN]] &amp; " " &amp; quantInv[[#This Row],[Short Description]]</f>
        <v>B08618N9LX Gold Plated Adjustable Bangle</v>
      </c>
      <c r="N721" s="33">
        <f>quantInv[[#This Row],[UNIT
VALUE]] / EURtoGBP</f>
        <v>10.979891369123632</v>
      </c>
      <c r="O721" s="33">
        <f>quantInv[[#This Row],[UNIT
VALUE]]/USDtoGBP</f>
        <v>13.259938888226319</v>
      </c>
      <c r="P721" s="33">
        <f>quantInv[[#This Row],[UNIT
VALUE]] / CADtoGBP</f>
        <v>16.973484030932664</v>
      </c>
      <c r="Q721" s="33">
        <f>quantInv[[#This Row],[UNIT
VALUE]]/AUDtoGBP</f>
        <v>17.373554134636109</v>
      </c>
      <c r="R721">
        <f>IFERROR(VLOOKUP(quantInv[[#This Row],[Assigned Item SKU]],skuQuantity[#All],2,FALSE),0)</f>
        <v>0</v>
      </c>
      <c r="S721" t="str">
        <f>PROPER(quantInv[[#This Row],[Metal]] &amp; " " &amp; quantInv[[#This Row],[Item Type]])</f>
        <v>925 Silver Bracelet</v>
      </c>
      <c r="T721" s="33">
        <f>quantInv[[#This Row],[Quantity]]*quantInv[[#This Row],[WEIGHT]]</f>
        <v>0</v>
      </c>
      <c r="U721" s="33">
        <f>quantInv[[#This Row],[UNIT
VALUE]]*quantInv[[#This Row],[Quantity]]</f>
        <v>0</v>
      </c>
      <c r="V721" s="33">
        <f>quantInv[[#This Row],[Total Cost GBP]]/EURtoGBP</f>
        <v>0</v>
      </c>
      <c r="W721" s="33">
        <f>quantInv[[#This Row],[Total Cost GBP]]/USDtoGBP</f>
        <v>0</v>
      </c>
      <c r="X721" s="33">
        <f>quantInv[[#This Row],[Total Cost GBP]]/CADtoGBP</f>
        <v>0</v>
      </c>
      <c r="Y721" s="33">
        <f>quantInv[[#This Row],[Quantity]]*quantInv[[#This Row],[UNIT
VALUE AUD]]</f>
        <v>0</v>
      </c>
      <c r="Z721" s="33"/>
    </row>
    <row r="722" spans="1:26" x14ac:dyDescent="0.25">
      <c r="A722" t="s">
        <v>1709</v>
      </c>
      <c r="B722" t="s">
        <v>1710</v>
      </c>
      <c r="C722" t="s">
        <v>114</v>
      </c>
      <c r="D722" t="s">
        <v>1711</v>
      </c>
      <c r="E722">
        <v>15.46</v>
      </c>
      <c r="F722" s="33">
        <v>21.157699999999998</v>
      </c>
      <c r="G722" s="33" t="s">
        <v>117</v>
      </c>
      <c r="H722" t="s">
        <v>1414</v>
      </c>
      <c r="I722" t="str">
        <f>IF(quantInv[[#This Row],[Metal]] = "925 Silver",  "7113.11.00"," 7113.19.00")</f>
        <v>7113.11.00</v>
      </c>
      <c r="J722" t="str">
        <f>IF(quantInv[[#This Row],[Metal]] = "925 Silver", "7113.11.10.00"," 7113.19.10.00")</f>
        <v>7113.11.10.00</v>
      </c>
      <c r="K722" t="str">
        <f>IF(quantInv[[#This Row],[Metal]] = "925 Silver",  "7113.11.00"," 7113.19.00")</f>
        <v>7113.11.00</v>
      </c>
      <c r="L722" t="str">
        <f>IFERROR(VLOOKUP(quantInv[[#This Row],[Description for New Invoice]],Map!$G$12:$H$32,2,FALSE), IF(quantInv[[#This Row],[Metal]] = "925 Silver", "7113.11.10.00", "7113.19.29.00"))</f>
        <v>7113.11.10.00</v>
      </c>
      <c r="M722" t="str">
        <f>quantInv[[#This Row],[ASIN]] &amp; " " &amp; quantInv[[#This Row],[Short Description]]</f>
        <v>B09968Z6K4 Silver Elastic Snake Bracelet</v>
      </c>
      <c r="N722" s="33">
        <f>quantInv[[#This Row],[UNIT
VALUE]] / EURtoGBP</f>
        <v>24.016504628447212</v>
      </c>
      <c r="O722" s="33">
        <f>quantInv[[#This Row],[UNIT
VALUE]]/USDtoGBP</f>
        <v>29.00369165559718</v>
      </c>
      <c r="P722" s="33">
        <f>quantInv[[#This Row],[UNIT
VALUE]] / CADtoGBP</f>
        <v>37.126392610413006</v>
      </c>
      <c r="Q722" s="33">
        <f>quantInv[[#This Row],[UNIT
VALUE]]/AUDtoGBP</f>
        <v>38.001472806954517</v>
      </c>
      <c r="R722">
        <f>IFERROR(VLOOKUP(quantInv[[#This Row],[Assigned Item SKU]],skuQuantity[#All],2,FALSE),0)</f>
        <v>0</v>
      </c>
      <c r="S722" t="str">
        <f>PROPER(quantInv[[#This Row],[Metal]] &amp; " " &amp; quantInv[[#This Row],[Item Type]])</f>
        <v>925 Silver Bracelet</v>
      </c>
      <c r="T722" s="33">
        <f>quantInv[[#This Row],[Quantity]]*quantInv[[#This Row],[WEIGHT]]</f>
        <v>0</v>
      </c>
      <c r="U722" s="33">
        <f>quantInv[[#This Row],[UNIT
VALUE]]*quantInv[[#This Row],[Quantity]]</f>
        <v>0</v>
      </c>
      <c r="V722" s="33">
        <f>quantInv[[#This Row],[Total Cost GBP]]/EURtoGBP</f>
        <v>0</v>
      </c>
      <c r="W722" s="33">
        <f>quantInv[[#This Row],[Total Cost GBP]]/USDtoGBP</f>
        <v>0</v>
      </c>
      <c r="X722" s="33">
        <f>quantInv[[#This Row],[Total Cost GBP]]/CADtoGBP</f>
        <v>0</v>
      </c>
      <c r="Y722" s="33">
        <f>quantInv[[#This Row],[Quantity]]*quantInv[[#This Row],[UNIT
VALUE AUD]]</f>
        <v>0</v>
      </c>
      <c r="Z722" s="33"/>
    </row>
    <row r="723" spans="1:26" x14ac:dyDescent="0.25">
      <c r="A723" t="s">
        <v>552</v>
      </c>
      <c r="B723" t="s">
        <v>553</v>
      </c>
      <c r="C723" t="s">
        <v>114</v>
      </c>
      <c r="D723" t="s">
        <v>544</v>
      </c>
      <c r="E723">
        <v>3.1219999999999999</v>
      </c>
      <c r="F723" s="33">
        <v>3.3736999999999999</v>
      </c>
      <c r="G723" s="33" t="s">
        <v>117</v>
      </c>
      <c r="H723" t="s">
        <v>1414</v>
      </c>
      <c r="I723" t="str">
        <f>IF(quantInv[[#This Row],[Metal]] = "925 Silver",  "7113.11.00"," 7113.19.00")</f>
        <v>7113.11.00</v>
      </c>
      <c r="J723" t="str">
        <f>IF(quantInv[[#This Row],[Metal]] = "925 Silver", "7113.11.10.00"," 7113.19.10.00")</f>
        <v>7113.11.10.00</v>
      </c>
      <c r="K723" t="str">
        <f>IF(quantInv[[#This Row],[Metal]] = "925 Silver",  "7113.11.00"," 7113.19.00")</f>
        <v>7113.11.00</v>
      </c>
      <c r="L723" t="str">
        <f>IFERROR(VLOOKUP(quantInv[[#This Row],[Description for New Invoice]],Map!$G$12:$H$32,2,FALSE), IF(quantInv[[#This Row],[Metal]] = "925 Silver", "7113.11.10.00", "7113.19.29.00"))</f>
        <v>7113.11.10.00</v>
      </c>
      <c r="M723" t="str">
        <f>quantInv[[#This Row],[ASIN]] &amp; " " &amp; quantInv[[#This Row],[Short Description]]</f>
        <v>B01NAVHGB2 Rat Tail</v>
      </c>
      <c r="N723" s="33">
        <f>quantInv[[#This Row],[UNIT
VALUE]] / EURtoGBP</f>
        <v>3.8295505496813154</v>
      </c>
      <c r="O723" s="33">
        <f>quantInv[[#This Row],[UNIT
VALUE]]/USDtoGBP</f>
        <v>4.6247822087697728</v>
      </c>
      <c r="P723" s="33">
        <f>quantInv[[#This Row],[UNIT
VALUE]] / CADtoGBP</f>
        <v>5.919987085068338</v>
      </c>
      <c r="Q723" s="33">
        <f>quantInv[[#This Row],[UNIT
VALUE]]/AUDtoGBP</f>
        <v>6.0595229542352174</v>
      </c>
      <c r="R723">
        <f>IFERROR(VLOOKUP(quantInv[[#This Row],[Assigned Item SKU]],skuQuantity[#All],2,FALSE),0)</f>
        <v>0</v>
      </c>
      <c r="S723" t="str">
        <f>PROPER(quantInv[[#This Row],[Metal]] &amp; " " &amp; quantInv[[#This Row],[Item Type]])</f>
        <v>925 Silver Bracelet</v>
      </c>
      <c r="T723" s="33">
        <f>quantInv[[#This Row],[Quantity]]*quantInv[[#This Row],[WEIGHT]]</f>
        <v>0</v>
      </c>
      <c r="U723" s="33">
        <f>quantInv[[#This Row],[UNIT
VALUE]]*quantInv[[#This Row],[Quantity]]</f>
        <v>0</v>
      </c>
      <c r="V723" s="33">
        <f>quantInv[[#This Row],[Total Cost GBP]]/EURtoGBP</f>
        <v>0</v>
      </c>
      <c r="W723" s="33">
        <f>quantInv[[#This Row],[Total Cost GBP]]/USDtoGBP</f>
        <v>0</v>
      </c>
      <c r="X723" s="33">
        <f>quantInv[[#This Row],[Total Cost GBP]]/CADtoGBP</f>
        <v>0</v>
      </c>
      <c r="Y723" s="33">
        <f>quantInv[[#This Row],[Quantity]]*quantInv[[#This Row],[UNIT
VALUE AUD]]</f>
        <v>0</v>
      </c>
      <c r="Z723" s="33"/>
    </row>
    <row r="724" spans="1:26" x14ac:dyDescent="0.25">
      <c r="A724" t="s">
        <v>1715</v>
      </c>
      <c r="B724" t="s">
        <v>1716</v>
      </c>
      <c r="C724" t="s">
        <v>114</v>
      </c>
      <c r="D724" t="s">
        <v>1717</v>
      </c>
      <c r="E724">
        <v>3.8</v>
      </c>
      <c r="F724" s="33">
        <v>5.8137999999999996</v>
      </c>
      <c r="G724" s="33" t="s">
        <v>117</v>
      </c>
      <c r="H724" t="s">
        <v>1414</v>
      </c>
      <c r="I724" t="str">
        <f>IF(quantInv[[#This Row],[Metal]] = "925 Silver",  "7113.11.00"," 7113.19.00")</f>
        <v>7113.11.00</v>
      </c>
      <c r="J724" t="str">
        <f>IF(quantInv[[#This Row],[Metal]] = "925 Silver", "7113.11.10.00"," 7113.19.10.00")</f>
        <v>7113.11.10.00</v>
      </c>
      <c r="K724" t="str">
        <f>IF(quantInv[[#This Row],[Metal]] = "925 Silver",  "7113.11.00"," 7113.19.00")</f>
        <v>7113.11.00</v>
      </c>
      <c r="L724" t="str">
        <f>IFERROR(VLOOKUP(quantInv[[#This Row],[Description for New Invoice]],Map!$G$12:$H$32,2,FALSE), IF(quantInv[[#This Row],[Metal]] = "925 Silver", "7113.11.10.00", "7113.19.29.00"))</f>
        <v>7113.11.10.00</v>
      </c>
      <c r="M724" t="str">
        <f>quantInv[[#This Row],[ASIN]] &amp; " " &amp; quantInv[[#This Row],[Short Description]]</f>
        <v>B0872DTX5C Adjustable 3 layer bracelet with Small Beads.</v>
      </c>
      <c r="N724" s="33">
        <f>quantInv[[#This Row],[UNIT
VALUE]] / EURtoGBP</f>
        <v>6.5993541173599404</v>
      </c>
      <c r="O724" s="33">
        <f>quantInv[[#This Row],[UNIT
VALUE]]/USDtoGBP</f>
        <v>7.9697539216129778</v>
      </c>
      <c r="P724" s="33">
        <f>quantInv[[#This Row],[UNIT
VALUE]] / CADtoGBP</f>
        <v>10.201743164825059</v>
      </c>
      <c r="Q724" s="33">
        <f>quantInv[[#This Row],[UNIT
VALUE]]/AUDtoGBP</f>
        <v>10.442201307565197</v>
      </c>
      <c r="R724">
        <f>IFERROR(VLOOKUP(quantInv[[#This Row],[Assigned Item SKU]],skuQuantity[#All],2,FALSE),0)</f>
        <v>0</v>
      </c>
      <c r="S724" t="str">
        <f>PROPER(quantInv[[#This Row],[Metal]] &amp; " " &amp; quantInv[[#This Row],[Item Type]])</f>
        <v>925 Silver Bracelet</v>
      </c>
      <c r="T724" s="33">
        <f>quantInv[[#This Row],[Quantity]]*quantInv[[#This Row],[WEIGHT]]</f>
        <v>0</v>
      </c>
      <c r="U724" s="33">
        <f>quantInv[[#This Row],[UNIT
VALUE]]*quantInv[[#This Row],[Quantity]]</f>
        <v>0</v>
      </c>
      <c r="V724" s="33">
        <f>quantInv[[#This Row],[Total Cost GBP]]/EURtoGBP</f>
        <v>0</v>
      </c>
      <c r="W724" s="33">
        <f>quantInv[[#This Row],[Total Cost GBP]]/USDtoGBP</f>
        <v>0</v>
      </c>
      <c r="X724" s="33">
        <f>quantInv[[#This Row],[Total Cost GBP]]/CADtoGBP</f>
        <v>0</v>
      </c>
      <c r="Y724" s="33">
        <f>quantInv[[#This Row],[Quantity]]*quantInv[[#This Row],[UNIT
VALUE AUD]]</f>
        <v>0</v>
      </c>
      <c r="Z724" s="33"/>
    </row>
    <row r="725" spans="1:26" x14ac:dyDescent="0.25">
      <c r="A725" t="s">
        <v>558</v>
      </c>
      <c r="B725" t="s">
        <v>559</v>
      </c>
      <c r="C725" t="s">
        <v>114</v>
      </c>
      <c r="D725" t="s">
        <v>544</v>
      </c>
      <c r="E725">
        <v>9.5950000000000006</v>
      </c>
      <c r="F725" s="33">
        <v>9.9238</v>
      </c>
      <c r="G725" s="33" t="s">
        <v>117</v>
      </c>
      <c r="H725" t="s">
        <v>103</v>
      </c>
      <c r="I725" t="str">
        <f>IF(quantInv[[#This Row],[Metal]] = "925 Silver",  "7113.11.00"," 7113.19.00")</f>
        <v>7113.11.00</v>
      </c>
      <c r="J725" t="str">
        <f>IF(quantInv[[#This Row],[Metal]] = "925 Silver", "7113.11.10.00"," 7113.19.10.00")</f>
        <v>7113.11.10.00</v>
      </c>
      <c r="K725" t="str">
        <f>IF(quantInv[[#This Row],[Metal]] = "925 Silver",  "7113.11.00"," 7113.19.00")</f>
        <v>7113.11.00</v>
      </c>
      <c r="L725" t="str">
        <f>IFERROR(VLOOKUP(quantInv[[#This Row],[Description for New Invoice]],Map!$G$12:$H$32,2,FALSE), IF(quantInv[[#This Row],[Metal]] = "925 Silver", "7113.11.10.00", "7113.19.29.00"))</f>
        <v>7113.11.10.00</v>
      </c>
      <c r="M725" t="str">
        <f>quantInv[[#This Row],[ASIN]] &amp; " " &amp; quantInv[[#This Row],[Short Description]]</f>
        <v>B073D5W5TK Rat Tail</v>
      </c>
      <c r="N725" s="33">
        <f>quantInv[[#This Row],[UNIT
VALUE]] / EURtoGBP</f>
        <v>11.264692694942477</v>
      </c>
      <c r="O725" s="33">
        <f>quantInv[[#This Row],[UNIT
VALUE]]/USDtoGBP</f>
        <v>13.603881104837262</v>
      </c>
      <c r="P725" s="33">
        <f>quantInv[[#This Row],[UNIT
VALUE]] / CADtoGBP</f>
        <v>17.413749839879411</v>
      </c>
      <c r="Q725" s="33">
        <f>quantInv[[#This Row],[UNIT
VALUE]]/AUDtoGBP</f>
        <v>17.824197140599178</v>
      </c>
      <c r="R725">
        <f>IFERROR(VLOOKUP(quantInv[[#This Row],[Assigned Item SKU]],skuQuantity[#All],2,FALSE),0)</f>
        <v>5</v>
      </c>
      <c r="S725" t="str">
        <f>PROPER(quantInv[[#This Row],[Metal]] &amp; " " &amp; quantInv[[#This Row],[Item Type]])</f>
        <v>925 Silver Chain</v>
      </c>
      <c r="T725" s="33">
        <f>quantInv[[#This Row],[Quantity]]*quantInv[[#This Row],[WEIGHT]]</f>
        <v>47.975000000000001</v>
      </c>
      <c r="U725" s="33">
        <f>quantInv[[#This Row],[UNIT
VALUE]]*quantInv[[#This Row],[Quantity]]</f>
        <v>49.619</v>
      </c>
      <c r="V725" s="33">
        <f>quantInv[[#This Row],[Total Cost GBP]]/EURtoGBP</f>
        <v>56.323463474712391</v>
      </c>
      <c r="W725" s="33">
        <f>quantInv[[#This Row],[Total Cost GBP]]/USDtoGBP</f>
        <v>68.019405524186311</v>
      </c>
      <c r="X725" s="33">
        <f>quantInv[[#This Row],[Total Cost GBP]]/CADtoGBP</f>
        <v>87.068749199397061</v>
      </c>
      <c r="Y725" s="33">
        <f>quantInv[[#This Row],[Quantity]]*quantInv[[#This Row],[UNIT
VALUE AUD]]</f>
        <v>89.120985702995895</v>
      </c>
      <c r="Z725" s="33"/>
    </row>
    <row r="726" spans="1:26" x14ac:dyDescent="0.25">
      <c r="A726" t="s">
        <v>1721</v>
      </c>
      <c r="B726" t="s">
        <v>1722</v>
      </c>
      <c r="C726" t="s">
        <v>114</v>
      </c>
      <c r="D726" t="s">
        <v>1723</v>
      </c>
      <c r="E726">
        <v>6.2</v>
      </c>
      <c r="F726" s="33">
        <v>8.5765999999999991</v>
      </c>
      <c r="G726" s="33" t="s">
        <v>117</v>
      </c>
      <c r="H726" t="s">
        <v>103</v>
      </c>
      <c r="I726" t="str">
        <f>IF(quantInv[[#This Row],[Metal]] = "925 Silver",  "7113.11.00"," 7113.19.00")</f>
        <v>7113.11.00</v>
      </c>
      <c r="J726" t="str">
        <f>IF(quantInv[[#This Row],[Metal]] = "925 Silver", "7113.11.10.00"," 7113.19.10.00")</f>
        <v>7113.11.10.00</v>
      </c>
      <c r="K726" t="str">
        <f>IF(quantInv[[#This Row],[Metal]] = "925 Silver",  "7113.11.00"," 7113.19.00")</f>
        <v>7113.11.00</v>
      </c>
      <c r="L726" t="str">
        <f>IFERROR(VLOOKUP(quantInv[[#This Row],[Description for New Invoice]],Map!$G$12:$H$32,2,FALSE), IF(quantInv[[#This Row],[Metal]] = "925 Silver", "7113.11.10.00", "7113.19.29.00"))</f>
        <v>7113.11.10.00</v>
      </c>
      <c r="M726" t="str">
        <f>quantInv[[#This Row],[ASIN]] &amp; " " &amp; quantInv[[#This Row],[Short Description]]</f>
        <v>B087CZF1D2 Adjustable 3 layered chain. Chains with knot.</v>
      </c>
      <c r="N726" s="33">
        <f>quantInv[[#This Row],[UNIT
VALUE]] / EURtoGBP</f>
        <v>9.7354605461056902</v>
      </c>
      <c r="O726" s="33">
        <f>quantInv[[#This Row],[UNIT
VALUE]]/USDtoGBP</f>
        <v>11.757093722540484</v>
      </c>
      <c r="P726" s="33">
        <f>quantInv[[#This Row],[UNIT
VALUE]] / CADtoGBP</f>
        <v>15.049755827073275</v>
      </c>
      <c r="Q726" s="33">
        <f>quantInv[[#This Row],[UNIT
VALUE]]/AUDtoGBP</f>
        <v>15.40448308068108</v>
      </c>
      <c r="R726">
        <f>IFERROR(VLOOKUP(quantInv[[#This Row],[Assigned Item SKU]],skuQuantity[#All],2,FALSE),0)</f>
        <v>0</v>
      </c>
      <c r="S726" t="str">
        <f>PROPER(quantInv[[#This Row],[Metal]] &amp; " " &amp; quantInv[[#This Row],[Item Type]])</f>
        <v>925 Silver Chain</v>
      </c>
      <c r="T726" s="33">
        <f>quantInv[[#This Row],[Quantity]]*quantInv[[#This Row],[WEIGHT]]</f>
        <v>0</v>
      </c>
      <c r="U726" s="33">
        <f>quantInv[[#This Row],[UNIT
VALUE]]*quantInv[[#This Row],[Quantity]]</f>
        <v>0</v>
      </c>
      <c r="V726" s="33">
        <f>quantInv[[#This Row],[Total Cost GBP]]/EURtoGBP</f>
        <v>0</v>
      </c>
      <c r="W726" s="33">
        <f>quantInv[[#This Row],[Total Cost GBP]]/USDtoGBP</f>
        <v>0</v>
      </c>
      <c r="X726" s="33">
        <f>quantInv[[#This Row],[Total Cost GBP]]/CADtoGBP</f>
        <v>0</v>
      </c>
      <c r="Y726" s="33">
        <f>quantInv[[#This Row],[Quantity]]*quantInv[[#This Row],[UNIT
VALUE AUD]]</f>
        <v>0</v>
      </c>
      <c r="Z726" s="33"/>
    </row>
    <row r="727" spans="1:26" x14ac:dyDescent="0.25">
      <c r="A727" t="s">
        <v>1724</v>
      </c>
      <c r="B727" t="s">
        <v>1725</v>
      </c>
      <c r="C727" t="s">
        <v>114</v>
      </c>
      <c r="D727" t="s">
        <v>1726</v>
      </c>
      <c r="E727">
        <v>8.5500000000000007</v>
      </c>
      <c r="F727" s="33">
        <v>11.355600000000001</v>
      </c>
      <c r="G727" s="33" t="s">
        <v>117</v>
      </c>
      <c r="H727" t="s">
        <v>103</v>
      </c>
      <c r="I727" t="str">
        <f>IF(quantInv[[#This Row],[Metal]] = "925 Silver",  "7113.11.00"," 7113.19.00")</f>
        <v>7113.11.00</v>
      </c>
      <c r="J727" t="str">
        <f>IF(quantInv[[#This Row],[Metal]] = "925 Silver", "7113.11.10.00"," 7113.19.10.00")</f>
        <v>7113.11.10.00</v>
      </c>
      <c r="K727" t="str">
        <f>IF(quantInv[[#This Row],[Metal]] = "925 Silver",  "7113.11.00"," 7113.19.00")</f>
        <v>7113.11.00</v>
      </c>
      <c r="L727" t="str">
        <f>IFERROR(VLOOKUP(quantInv[[#This Row],[Description for New Invoice]],Map!$G$12:$H$32,2,FALSE), IF(quantInv[[#This Row],[Metal]] = "925 Silver", "7113.11.10.00", "7113.19.29.00"))</f>
        <v>7113.11.10.00</v>
      </c>
      <c r="M727" t="str">
        <f>quantInv[[#This Row],[ASIN]] &amp; " " &amp; quantInv[[#This Row],[Short Description]]</f>
        <v>B087D5B5VF Adjustable 3 necklace with small Beads.</v>
      </c>
      <c r="N727" s="33">
        <f>quantInv[[#This Row],[UNIT
VALUE]] / EURtoGBP</f>
        <v>12.889955900631694</v>
      </c>
      <c r="O727" s="33">
        <f>quantInv[[#This Row],[UNIT
VALUE]]/USDtoGBP</f>
        <v>15.566641032073401</v>
      </c>
      <c r="P727" s="33">
        <f>quantInv[[#This Row],[UNIT
VALUE]] / CADtoGBP</f>
        <v>19.926195376945795</v>
      </c>
      <c r="Q727" s="33">
        <f>quantInv[[#This Row],[UNIT
VALUE]]/AUDtoGBP</f>
        <v>20.395861771679002</v>
      </c>
      <c r="R727">
        <f>IFERROR(VLOOKUP(quantInv[[#This Row],[Assigned Item SKU]],skuQuantity[#All],2,FALSE),0)</f>
        <v>0</v>
      </c>
      <c r="S727" t="str">
        <f>PROPER(quantInv[[#This Row],[Metal]] &amp; " " &amp; quantInv[[#This Row],[Item Type]])</f>
        <v>925 Silver Chain</v>
      </c>
      <c r="T727" s="33">
        <f>quantInv[[#This Row],[Quantity]]*quantInv[[#This Row],[WEIGHT]]</f>
        <v>0</v>
      </c>
      <c r="U727" s="33">
        <f>quantInv[[#This Row],[UNIT
VALUE]]*quantInv[[#This Row],[Quantity]]</f>
        <v>0</v>
      </c>
      <c r="V727" s="33">
        <f>quantInv[[#This Row],[Total Cost GBP]]/EURtoGBP</f>
        <v>0</v>
      </c>
      <c r="W727" s="33">
        <f>quantInv[[#This Row],[Total Cost GBP]]/USDtoGBP</f>
        <v>0</v>
      </c>
      <c r="X727" s="33">
        <f>quantInv[[#This Row],[Total Cost GBP]]/CADtoGBP</f>
        <v>0</v>
      </c>
      <c r="Y727" s="33">
        <f>quantInv[[#This Row],[Quantity]]*quantInv[[#This Row],[UNIT
VALUE AUD]]</f>
        <v>0</v>
      </c>
      <c r="Z727" s="33"/>
    </row>
    <row r="728" spans="1:26" x14ac:dyDescent="0.25">
      <c r="A728" t="s">
        <v>1727</v>
      </c>
      <c r="B728" t="s">
        <v>1728</v>
      </c>
      <c r="C728" t="s">
        <v>114</v>
      </c>
      <c r="D728" t="s">
        <v>1729</v>
      </c>
      <c r="E728">
        <v>6.85</v>
      </c>
      <c r="F728" s="33">
        <v>8.8606999999999996</v>
      </c>
      <c r="G728" s="33" t="s">
        <v>117</v>
      </c>
      <c r="H728" t="s">
        <v>103</v>
      </c>
      <c r="I728" t="str">
        <f>IF(quantInv[[#This Row],[Metal]] = "925 Silver",  "7113.11.00"," 7113.19.00")</f>
        <v>7113.11.00</v>
      </c>
      <c r="J728" t="str">
        <f>IF(quantInv[[#This Row],[Metal]] = "925 Silver", "7113.11.10.00"," 7113.19.10.00")</f>
        <v>7113.11.10.00</v>
      </c>
      <c r="K728" t="str">
        <f>IF(quantInv[[#This Row],[Metal]] = "925 Silver",  "7113.11.00"," 7113.19.00")</f>
        <v>7113.11.00</v>
      </c>
      <c r="L728" t="str">
        <f>IFERROR(VLOOKUP(quantInv[[#This Row],[Description for New Invoice]],Map!$G$12:$H$32,2,FALSE), IF(quantInv[[#This Row],[Metal]] = "925 Silver", "7113.11.10.00", "7113.19.29.00"))</f>
        <v>7113.11.10.00</v>
      </c>
      <c r="M728" t="str">
        <f>quantInv[[#This Row],[ASIN]] &amp; " " &amp; quantInv[[#This Row],[Short Description]]</f>
        <v>B087D5DP5K Adjustable 3 necklace with small and medium Beads.</v>
      </c>
      <c r="N728" s="33">
        <f>quantInv[[#This Row],[UNIT
VALUE]] / EURtoGBP</f>
        <v>10.057947818585301</v>
      </c>
      <c r="O728" s="33">
        <f>quantInv[[#This Row],[UNIT
VALUE]]/USDtoGBP</f>
        <v>12.14654762345387</v>
      </c>
      <c r="P728" s="33">
        <f>quantInv[[#This Row],[UNIT
VALUE]] / CADtoGBP</f>
        <v>15.548279208188346</v>
      </c>
      <c r="Q728" s="33">
        <f>quantInv[[#This Row],[UNIT
VALUE]]/AUDtoGBP</f>
        <v>15.914756807241897</v>
      </c>
      <c r="R728">
        <f>IFERROR(VLOOKUP(quantInv[[#This Row],[Assigned Item SKU]],skuQuantity[#All],2,FALSE),0)</f>
        <v>0</v>
      </c>
      <c r="S728" t="str">
        <f>PROPER(quantInv[[#This Row],[Metal]] &amp; " " &amp; quantInv[[#This Row],[Item Type]])</f>
        <v>925 Silver Chain</v>
      </c>
      <c r="T728" s="33">
        <f>quantInv[[#This Row],[Quantity]]*quantInv[[#This Row],[WEIGHT]]</f>
        <v>0</v>
      </c>
      <c r="U728" s="33">
        <f>quantInv[[#This Row],[UNIT
VALUE]]*quantInv[[#This Row],[Quantity]]</f>
        <v>0</v>
      </c>
      <c r="V728" s="33">
        <f>quantInv[[#This Row],[Total Cost GBP]]/EURtoGBP</f>
        <v>0</v>
      </c>
      <c r="W728" s="33">
        <f>quantInv[[#This Row],[Total Cost GBP]]/USDtoGBP</f>
        <v>0</v>
      </c>
      <c r="X728" s="33">
        <f>quantInv[[#This Row],[Total Cost GBP]]/CADtoGBP</f>
        <v>0</v>
      </c>
      <c r="Y728" s="33">
        <f>quantInv[[#This Row],[Quantity]]*quantInv[[#This Row],[UNIT
VALUE AUD]]</f>
        <v>0</v>
      </c>
      <c r="Z728" s="33"/>
    </row>
    <row r="729" spans="1:26" x14ac:dyDescent="0.25">
      <c r="A729" t="s">
        <v>1730</v>
      </c>
      <c r="B729" t="s">
        <v>1731</v>
      </c>
      <c r="C729" t="s">
        <v>114</v>
      </c>
      <c r="D729" t="s">
        <v>1732</v>
      </c>
      <c r="E729">
        <v>4.26</v>
      </c>
      <c r="F729" s="33">
        <v>5.0643000000000002</v>
      </c>
      <c r="G729" s="33" t="s">
        <v>117</v>
      </c>
      <c r="H729" t="s">
        <v>1426</v>
      </c>
      <c r="I729" t="str">
        <f>IF(quantInv[[#This Row],[Metal]] = "925 Silver",  "7113.11.00"," 7113.19.00")</f>
        <v>7113.11.00</v>
      </c>
      <c r="J729" t="str">
        <f>IF(quantInv[[#This Row],[Metal]] = "925 Silver", "7113.11.10.00"," 7113.19.10.00")</f>
        <v>7113.11.10.00</v>
      </c>
      <c r="K729" t="str">
        <f>IF(quantInv[[#This Row],[Metal]] = "925 Silver",  "7113.11.00"," 7113.19.00")</f>
        <v>7113.11.00</v>
      </c>
      <c r="L729" t="str">
        <f>IFERROR(VLOOKUP(quantInv[[#This Row],[Description for New Invoice]],Map!$G$12:$H$32,2,FALSE), IF(quantInv[[#This Row],[Metal]] = "925 Silver", "7113.11.10.00", "7113.19.29.00"))</f>
        <v>7113.11.10.00</v>
      </c>
      <c r="M729" t="str">
        <f>quantInv[[#This Row],[ASIN]] &amp; " " &amp; quantInv[[#This Row],[Short Description]]</f>
        <v>B08ZSYCJKR Adjustable Anklet with Coins</v>
      </c>
      <c r="N729" s="33">
        <f>quantInv[[#This Row],[UNIT
VALUE]] / EURtoGBP</f>
        <v>5.7485825203044394</v>
      </c>
      <c r="O729" s="33">
        <f>quantInv[[#This Row],[UNIT
VALUE]]/USDtoGBP</f>
        <v>6.9423139401466525</v>
      </c>
      <c r="P729" s="33">
        <f>quantInv[[#This Row],[UNIT
VALUE]] / CADtoGBP</f>
        <v>8.886560925663689</v>
      </c>
      <c r="Q729" s="33">
        <f>quantInv[[#This Row],[UNIT
VALUE]]/AUDtoGBP</f>
        <v>9.0960198290107055</v>
      </c>
      <c r="R729">
        <f>IFERROR(VLOOKUP(quantInv[[#This Row],[Assigned Item SKU]],skuQuantity[#All],2,FALSE),0)</f>
        <v>0</v>
      </c>
      <c r="S729" t="str">
        <f>PROPER(quantInv[[#This Row],[Metal]] &amp; " " &amp; quantInv[[#This Row],[Item Type]])</f>
        <v>925 Silver Anklet</v>
      </c>
      <c r="T729" s="33">
        <f>quantInv[[#This Row],[Quantity]]*quantInv[[#This Row],[WEIGHT]]</f>
        <v>0</v>
      </c>
      <c r="U729" s="33">
        <f>quantInv[[#This Row],[UNIT
VALUE]]*quantInv[[#This Row],[Quantity]]</f>
        <v>0</v>
      </c>
      <c r="V729" s="33">
        <f>quantInv[[#This Row],[Total Cost GBP]]/EURtoGBP</f>
        <v>0</v>
      </c>
      <c r="W729" s="33">
        <f>quantInv[[#This Row],[Total Cost GBP]]/USDtoGBP</f>
        <v>0</v>
      </c>
      <c r="X729" s="33">
        <f>quantInv[[#This Row],[Total Cost GBP]]/CADtoGBP</f>
        <v>0</v>
      </c>
      <c r="Y729" s="33">
        <f>quantInv[[#This Row],[Quantity]]*quantInv[[#This Row],[UNIT
VALUE AUD]]</f>
        <v>0</v>
      </c>
      <c r="Z729" s="33"/>
    </row>
    <row r="730" spans="1:26" x14ac:dyDescent="0.25">
      <c r="A730" t="s">
        <v>1733</v>
      </c>
      <c r="B730" t="s">
        <v>1734</v>
      </c>
      <c r="C730" t="s">
        <v>114</v>
      </c>
      <c r="D730" t="s">
        <v>1735</v>
      </c>
      <c r="E730">
        <v>3.77</v>
      </c>
      <c r="F730" s="33">
        <v>4.9263000000000003</v>
      </c>
      <c r="G730" s="33" t="s">
        <v>117</v>
      </c>
      <c r="H730" t="s">
        <v>1414</v>
      </c>
      <c r="I730" t="str">
        <f>IF(quantInv[[#This Row],[Metal]] = "925 Silver",  "7113.11.00"," 7113.19.00")</f>
        <v>7113.11.00</v>
      </c>
      <c r="J730" t="str">
        <f>IF(quantInv[[#This Row],[Metal]] = "925 Silver", "7113.11.10.00"," 7113.19.10.00")</f>
        <v>7113.11.10.00</v>
      </c>
      <c r="K730" t="str">
        <f>IF(quantInv[[#This Row],[Metal]] = "925 Silver",  "7113.11.00"," 7113.19.00")</f>
        <v>7113.11.00</v>
      </c>
      <c r="L730" t="str">
        <f>IFERROR(VLOOKUP(quantInv[[#This Row],[Description for New Invoice]],Map!$G$12:$H$32,2,FALSE), IF(quantInv[[#This Row],[Metal]] = "925 Silver", "7113.11.10.00", "7113.19.29.00"))</f>
        <v>7113.11.10.00</v>
      </c>
      <c r="M730" t="str">
        <f>quantInv[[#This Row],[ASIN]] &amp; " " &amp; quantInv[[#This Row],[Short Description]]</f>
        <v>B08ZSZ45Z4 Adjustable ROSE Gold Plated Bracelet with Coins</v>
      </c>
      <c r="N730" s="33">
        <f>quantInv[[#This Row],[UNIT
VALUE]] / EURtoGBP</f>
        <v>5.5919361155096974</v>
      </c>
      <c r="O730" s="33">
        <f>quantInv[[#This Row],[UNIT
VALUE]]/USDtoGBP</f>
        <v>6.7531388668413115</v>
      </c>
      <c r="P730" s="33">
        <f>quantInv[[#This Row],[UNIT
VALUE]] / CADtoGBP</f>
        <v>8.6444059570122285</v>
      </c>
      <c r="Q730" s="33">
        <f>quantInv[[#This Row],[UNIT
VALUE]]/AUDtoGBP</f>
        <v>8.8481571952008053</v>
      </c>
      <c r="R730">
        <f>IFERROR(VLOOKUP(quantInv[[#This Row],[Assigned Item SKU]],skuQuantity[#All],2,FALSE),0)</f>
        <v>0</v>
      </c>
      <c r="S730" t="str">
        <f>PROPER(quantInv[[#This Row],[Metal]] &amp; " " &amp; quantInv[[#This Row],[Item Type]])</f>
        <v>925 Silver Bracelet</v>
      </c>
      <c r="T730" s="33">
        <f>quantInv[[#This Row],[Quantity]]*quantInv[[#This Row],[WEIGHT]]</f>
        <v>0</v>
      </c>
      <c r="U730" s="33">
        <f>quantInv[[#This Row],[UNIT
VALUE]]*quantInv[[#This Row],[Quantity]]</f>
        <v>0</v>
      </c>
      <c r="V730" s="33">
        <f>quantInv[[#This Row],[Total Cost GBP]]/EURtoGBP</f>
        <v>0</v>
      </c>
      <c r="W730" s="33">
        <f>quantInv[[#This Row],[Total Cost GBP]]/USDtoGBP</f>
        <v>0</v>
      </c>
      <c r="X730" s="33">
        <f>quantInv[[#This Row],[Total Cost GBP]]/CADtoGBP</f>
        <v>0</v>
      </c>
      <c r="Y730" s="33">
        <f>quantInv[[#This Row],[Quantity]]*quantInv[[#This Row],[UNIT
VALUE AUD]]</f>
        <v>0</v>
      </c>
      <c r="Z730" s="33"/>
    </row>
    <row r="731" spans="1:26" x14ac:dyDescent="0.25">
      <c r="A731" t="s">
        <v>1736</v>
      </c>
      <c r="B731" t="s">
        <v>1737</v>
      </c>
      <c r="C731" t="s">
        <v>114</v>
      </c>
      <c r="D731" t="s">
        <v>1738</v>
      </c>
      <c r="E731">
        <v>7.26</v>
      </c>
      <c r="F731" s="33">
        <v>8.2971000000000004</v>
      </c>
      <c r="G731" s="33" t="s">
        <v>117</v>
      </c>
      <c r="H731" t="s">
        <v>103</v>
      </c>
      <c r="I731" t="str">
        <f>IF(quantInv[[#This Row],[Metal]] = "925 Silver",  "7113.11.00"," 7113.19.00")</f>
        <v>7113.11.00</v>
      </c>
      <c r="J731" t="str">
        <f>IF(quantInv[[#This Row],[Metal]] = "925 Silver", "7113.11.10.00"," 7113.19.10.00")</f>
        <v>7113.11.10.00</v>
      </c>
      <c r="K731" t="str">
        <f>IF(quantInv[[#This Row],[Metal]] = "925 Silver",  "7113.11.00"," 7113.19.00")</f>
        <v>7113.11.00</v>
      </c>
      <c r="L731" t="str">
        <f>IFERROR(VLOOKUP(quantInv[[#This Row],[Description for New Invoice]],Map!$G$12:$H$32,2,FALSE), IF(quantInv[[#This Row],[Metal]] = "925 Silver", "7113.11.10.00", "7113.19.29.00"))</f>
        <v>7113.11.10.00</v>
      </c>
      <c r="M731" t="str">
        <f>quantInv[[#This Row],[ASIN]] &amp; " " &amp; quantInv[[#This Row],[Short Description]]</f>
        <v>B08ZSZQCN7 Adjustable Necklace with Coins</v>
      </c>
      <c r="N731" s="33">
        <f>quantInv[[#This Row],[UNIT
VALUE]] / EURtoGBP</f>
        <v>9.4181948204525732</v>
      </c>
      <c r="O731" s="33">
        <f>quantInv[[#This Row],[UNIT
VALUE]]/USDtoGBP</f>
        <v>11.373945657403944</v>
      </c>
      <c r="P731" s="33">
        <f>quantInv[[#This Row],[UNIT
VALUE]] / CADtoGBP</f>
        <v>14.559304278246588</v>
      </c>
      <c r="Q731" s="33">
        <f>quantInv[[#This Row],[UNIT
VALUE]]/AUDtoGBP</f>
        <v>14.90247144191393</v>
      </c>
      <c r="R731">
        <f>IFERROR(VLOOKUP(quantInv[[#This Row],[Assigned Item SKU]],skuQuantity[#All],2,FALSE),0)</f>
        <v>0</v>
      </c>
      <c r="S731" t="str">
        <f>PROPER(quantInv[[#This Row],[Metal]] &amp; " " &amp; quantInv[[#This Row],[Item Type]])</f>
        <v>925 Silver Chain</v>
      </c>
      <c r="T731" s="33">
        <f>quantInv[[#This Row],[Quantity]]*quantInv[[#This Row],[WEIGHT]]</f>
        <v>0</v>
      </c>
      <c r="U731" s="33">
        <f>quantInv[[#This Row],[UNIT
VALUE]]*quantInv[[#This Row],[Quantity]]</f>
        <v>0</v>
      </c>
      <c r="V731" s="33">
        <f>quantInv[[#This Row],[Total Cost GBP]]/EURtoGBP</f>
        <v>0</v>
      </c>
      <c r="W731" s="33">
        <f>quantInv[[#This Row],[Total Cost GBP]]/USDtoGBP</f>
        <v>0</v>
      </c>
      <c r="X731" s="33">
        <f>quantInv[[#This Row],[Total Cost GBP]]/CADtoGBP</f>
        <v>0</v>
      </c>
      <c r="Y731" s="33">
        <f>quantInv[[#This Row],[Quantity]]*quantInv[[#This Row],[UNIT
VALUE AUD]]</f>
        <v>0</v>
      </c>
      <c r="Z731" s="33"/>
    </row>
    <row r="732" spans="1:26" x14ac:dyDescent="0.25">
      <c r="A732" t="s">
        <v>1739</v>
      </c>
      <c r="B732" t="s">
        <v>1740</v>
      </c>
      <c r="C732" t="s">
        <v>114</v>
      </c>
      <c r="D732" t="s">
        <v>1741</v>
      </c>
      <c r="E732">
        <v>2.14</v>
      </c>
      <c r="F732" s="33">
        <v>4.1638000000000002</v>
      </c>
      <c r="G732" s="33" t="s">
        <v>117</v>
      </c>
      <c r="H732" t="s">
        <v>1414</v>
      </c>
      <c r="I732" t="str">
        <f>IF(quantInv[[#This Row],[Metal]] = "925 Silver",  "7113.11.00"," 7113.19.00")</f>
        <v>7113.11.00</v>
      </c>
      <c r="J732" t="str">
        <f>IF(quantInv[[#This Row],[Metal]] = "925 Silver", "7113.11.10.00"," 7113.19.10.00")</f>
        <v>7113.11.10.00</v>
      </c>
      <c r="K732" t="str">
        <f>IF(quantInv[[#This Row],[Metal]] = "925 Silver",  "7113.11.00"," 7113.19.00")</f>
        <v>7113.11.00</v>
      </c>
      <c r="L732" t="str">
        <f>IFERROR(VLOOKUP(quantInv[[#This Row],[Description for New Invoice]],Map!$G$12:$H$32,2,FALSE), IF(quantInv[[#This Row],[Metal]] = "925 Silver", "7113.11.10.00", "7113.19.29.00"))</f>
        <v>7113.11.10.00</v>
      </c>
      <c r="M732" t="str">
        <f>quantInv[[#This Row],[ASIN]] &amp; " " &amp; quantInv[[#This Row],[Short Description]]</f>
        <v>B093QCKKBM Adjustable Rolo Chain Bracelet with BABY tag</v>
      </c>
      <c r="N732" s="33">
        <f>quantInv[[#This Row],[UNIT
VALUE]] / EURtoGBP</f>
        <v>4.7264079730749806</v>
      </c>
      <c r="O732" s="33">
        <f>quantInv[[#This Row],[UNIT
VALUE]]/USDtoGBP</f>
        <v>5.7078780451360762</v>
      </c>
      <c r="P732" s="33">
        <f>quantInv[[#This Row],[UNIT
VALUE]] / CADtoGBP</f>
        <v>7.3064120179054299</v>
      </c>
      <c r="Q732" s="33">
        <f>quantInv[[#This Row],[UNIT
VALUE]]/AUDtoGBP</f>
        <v>7.4786263380990015</v>
      </c>
      <c r="R732">
        <f>IFERROR(VLOOKUP(quantInv[[#This Row],[Assigned Item SKU]],skuQuantity[#All],2,FALSE),0)</f>
        <v>0</v>
      </c>
      <c r="S732" t="str">
        <f>PROPER(quantInv[[#This Row],[Metal]] &amp; " " &amp; quantInv[[#This Row],[Item Type]])</f>
        <v>925 Silver Bracelet</v>
      </c>
      <c r="T732" s="33">
        <f>quantInv[[#This Row],[Quantity]]*quantInv[[#This Row],[WEIGHT]]</f>
        <v>0</v>
      </c>
      <c r="U732" s="33">
        <f>quantInv[[#This Row],[UNIT
VALUE]]*quantInv[[#This Row],[Quantity]]</f>
        <v>0</v>
      </c>
      <c r="V732" s="33">
        <f>quantInv[[#This Row],[Total Cost GBP]]/EURtoGBP</f>
        <v>0</v>
      </c>
      <c r="W732" s="33">
        <f>quantInv[[#This Row],[Total Cost GBP]]/USDtoGBP</f>
        <v>0</v>
      </c>
      <c r="X732" s="33">
        <f>quantInv[[#This Row],[Total Cost GBP]]/CADtoGBP</f>
        <v>0</v>
      </c>
      <c r="Y732" s="33">
        <f>quantInv[[#This Row],[Quantity]]*quantInv[[#This Row],[UNIT
VALUE AUD]]</f>
        <v>0</v>
      </c>
      <c r="Z732" s="33"/>
    </row>
    <row r="733" spans="1:26" x14ac:dyDescent="0.25">
      <c r="A733" t="s">
        <v>1742</v>
      </c>
      <c r="B733" t="s">
        <v>1743</v>
      </c>
      <c r="C733" t="s">
        <v>114</v>
      </c>
      <c r="D733" t="s">
        <v>1744</v>
      </c>
      <c r="E733">
        <v>6.1</v>
      </c>
      <c r="F733" s="33">
        <v>9.5685000000000002</v>
      </c>
      <c r="G733" s="33" t="s">
        <v>117</v>
      </c>
      <c r="H733" t="s">
        <v>1414</v>
      </c>
      <c r="I733" t="str">
        <f>IF(quantInv[[#This Row],[Metal]] = "925 Silver",  "7113.11.00"," 7113.19.00")</f>
        <v>7113.11.00</v>
      </c>
      <c r="J733" t="str">
        <f>IF(quantInv[[#This Row],[Metal]] = "925 Silver", "7113.11.10.00"," 7113.19.10.00")</f>
        <v>7113.11.10.00</v>
      </c>
      <c r="K733" t="str">
        <f>IF(quantInv[[#This Row],[Metal]] = "925 Silver",  "7113.11.00"," 7113.19.00")</f>
        <v>7113.11.00</v>
      </c>
      <c r="L733" t="str">
        <f>IFERROR(VLOOKUP(quantInv[[#This Row],[Description for New Invoice]],Map!$G$12:$H$32,2,FALSE), IF(quantInv[[#This Row],[Metal]] = "925 Silver", "7113.11.10.00", "7113.19.29.00"))</f>
        <v>7113.11.10.00</v>
      </c>
      <c r="M733" t="str">
        <f>quantInv[[#This Row],[ASIN]] &amp; " " &amp; quantInv[[#This Row],[Short Description]]</f>
        <v>B08ZSZBC63 Adjustable Silver Bracelet with Coins</v>
      </c>
      <c r="N733" s="33">
        <f>quantInv[[#This Row],[UNIT
VALUE]] / EURtoGBP</f>
        <v>10.861384958539784</v>
      </c>
      <c r="O733" s="33">
        <f>quantInv[[#This Row],[UNIT
VALUE]]/USDtoGBP</f>
        <v>13.116823832769235</v>
      </c>
      <c r="P733" s="33">
        <f>quantInv[[#This Row],[UNIT
VALUE]] / CADtoGBP</f>
        <v>16.790288532909386</v>
      </c>
      <c r="Q733" s="33">
        <f>quantInv[[#This Row],[UNIT
VALUE]]/AUDtoGBP</f>
        <v>17.186040663840792</v>
      </c>
      <c r="R733">
        <f>IFERROR(VLOOKUP(quantInv[[#This Row],[Assigned Item SKU]],skuQuantity[#All],2,FALSE),0)</f>
        <v>0</v>
      </c>
      <c r="S733" t="str">
        <f>PROPER(quantInv[[#This Row],[Metal]] &amp; " " &amp; quantInv[[#This Row],[Item Type]])</f>
        <v>925 Silver Bracelet</v>
      </c>
      <c r="T733" s="33">
        <f>quantInv[[#This Row],[Quantity]]*quantInv[[#This Row],[WEIGHT]]</f>
        <v>0</v>
      </c>
      <c r="U733" s="33">
        <f>quantInv[[#This Row],[UNIT
VALUE]]*quantInv[[#This Row],[Quantity]]</f>
        <v>0</v>
      </c>
      <c r="V733" s="33">
        <f>quantInv[[#This Row],[Total Cost GBP]]/EURtoGBP</f>
        <v>0</v>
      </c>
      <c r="W733" s="33">
        <f>quantInv[[#This Row],[Total Cost GBP]]/USDtoGBP</f>
        <v>0</v>
      </c>
      <c r="X733" s="33">
        <f>quantInv[[#This Row],[Total Cost GBP]]/CADtoGBP</f>
        <v>0</v>
      </c>
      <c r="Y733" s="33">
        <f>quantInv[[#This Row],[Quantity]]*quantInv[[#This Row],[UNIT
VALUE AUD]]</f>
        <v>0</v>
      </c>
      <c r="Z733" s="33"/>
    </row>
    <row r="734" spans="1:26" x14ac:dyDescent="0.25">
      <c r="A734" t="s">
        <v>1745</v>
      </c>
      <c r="B734" t="s">
        <v>1746</v>
      </c>
      <c r="C734" t="s">
        <v>114</v>
      </c>
      <c r="D734" t="s">
        <v>1747</v>
      </c>
      <c r="E734">
        <v>18.440000000000001</v>
      </c>
      <c r="F734" s="33">
        <v>22.741199999999999</v>
      </c>
      <c r="G734" s="33" t="s">
        <v>117</v>
      </c>
      <c r="H734" t="s">
        <v>1414</v>
      </c>
      <c r="I734" t="str">
        <f>IF(quantInv[[#This Row],[Metal]] = "925 Silver",  "7113.11.00"," 7113.19.00")</f>
        <v>7113.11.00</v>
      </c>
      <c r="J734" t="str">
        <f>IF(quantInv[[#This Row],[Metal]] = "925 Silver", "7113.11.10.00"," 7113.19.10.00")</f>
        <v>7113.11.10.00</v>
      </c>
      <c r="K734" t="str">
        <f>IF(quantInv[[#This Row],[Metal]] = "925 Silver",  "7113.11.00"," 7113.19.00")</f>
        <v>7113.11.00</v>
      </c>
      <c r="L734" t="str">
        <f>IFERROR(VLOOKUP(quantInv[[#This Row],[Description for New Invoice]],Map!$G$12:$H$32,2,FALSE), IF(quantInv[[#This Row],[Metal]] = "925 Silver", "7113.11.10.00", "7113.19.29.00"))</f>
        <v>7113.11.10.00</v>
      </c>
      <c r="M734" t="str">
        <f>quantInv[[#This Row],[ASIN]] &amp; " " &amp; quantInv[[#This Row],[Short Description]]</f>
        <v>B08ZSXS83F Adjustable Bracelet with Small and Big Coins</v>
      </c>
      <c r="N734" s="33">
        <f>quantInv[[#This Row],[UNIT
VALUE]] / EURtoGBP</f>
        <v>25.813965367523114</v>
      </c>
      <c r="O734" s="33">
        <f>quantInv[[#This Row],[UNIT
VALUE]]/USDtoGBP</f>
        <v>31.174407080082744</v>
      </c>
      <c r="P734" s="33">
        <f>quantInv[[#This Row],[UNIT
VALUE]] / CADtoGBP</f>
        <v>39.905033138381036</v>
      </c>
      <c r="Q734" s="33">
        <f>quantInv[[#This Row],[UNIT
VALUE]]/AUDtoGBP</f>
        <v>40.845606724621021</v>
      </c>
      <c r="R734">
        <f>IFERROR(VLOOKUP(quantInv[[#This Row],[Assigned Item SKU]],skuQuantity[#All],2,FALSE),0)</f>
        <v>0</v>
      </c>
      <c r="S734" t="str">
        <f>PROPER(quantInv[[#This Row],[Metal]] &amp; " " &amp; quantInv[[#This Row],[Item Type]])</f>
        <v>925 Silver Bracelet</v>
      </c>
      <c r="T734" s="33">
        <f>quantInv[[#This Row],[Quantity]]*quantInv[[#This Row],[WEIGHT]]</f>
        <v>0</v>
      </c>
      <c r="U734" s="33">
        <f>quantInv[[#This Row],[UNIT
VALUE]]*quantInv[[#This Row],[Quantity]]</f>
        <v>0</v>
      </c>
      <c r="V734" s="33">
        <f>quantInv[[#This Row],[Total Cost GBP]]/EURtoGBP</f>
        <v>0</v>
      </c>
      <c r="W734" s="33">
        <f>quantInv[[#This Row],[Total Cost GBP]]/USDtoGBP</f>
        <v>0</v>
      </c>
      <c r="X734" s="33">
        <f>quantInv[[#This Row],[Total Cost GBP]]/CADtoGBP</f>
        <v>0</v>
      </c>
      <c r="Y734" s="33">
        <f>quantInv[[#This Row],[Quantity]]*quantInv[[#This Row],[UNIT
VALUE AUD]]</f>
        <v>0</v>
      </c>
      <c r="Z734" s="33"/>
    </row>
    <row r="735" spans="1:26" x14ac:dyDescent="0.25">
      <c r="A735" t="s">
        <v>1748</v>
      </c>
      <c r="B735" t="s">
        <v>1749</v>
      </c>
      <c r="C735" t="s">
        <v>114</v>
      </c>
      <c r="D735" t="s">
        <v>1750</v>
      </c>
      <c r="E735">
        <v>8.66</v>
      </c>
      <c r="F735" s="33">
        <v>11.338699999999999</v>
      </c>
      <c r="G735" s="33" t="s">
        <v>117</v>
      </c>
      <c r="H735" t="s">
        <v>1414</v>
      </c>
      <c r="I735" t="str">
        <f>IF(quantInv[[#This Row],[Metal]] = "925 Silver",  "7113.11.00"," 7113.19.00")</f>
        <v>7113.11.00</v>
      </c>
      <c r="J735" t="str">
        <f>IF(quantInv[[#This Row],[Metal]] = "925 Silver", "7113.11.10.00"," 7113.19.10.00")</f>
        <v>7113.11.10.00</v>
      </c>
      <c r="K735" t="str">
        <f>IF(quantInv[[#This Row],[Metal]] = "925 Silver",  "7113.11.00"," 7113.19.00")</f>
        <v>7113.11.00</v>
      </c>
      <c r="L735" t="str">
        <f>IFERROR(VLOOKUP(quantInv[[#This Row],[Description for New Invoice]],Map!$G$12:$H$32,2,FALSE), IF(quantInv[[#This Row],[Metal]] = "925 Silver", "7113.11.10.00", "7113.19.29.00"))</f>
        <v>7113.11.10.00</v>
      </c>
      <c r="M735" t="str">
        <f>quantInv[[#This Row],[ASIN]] &amp; " " &amp; quantInv[[#This Row],[Short Description]]</f>
        <v>B092975BJC Adjustable Unisex Bracelet with Cylinder Beads</v>
      </c>
      <c r="N735" s="33">
        <f>quantInv[[#This Row],[UNIT
VALUE]] / EURtoGBP</f>
        <v>12.870772391638713</v>
      </c>
      <c r="O735" s="33">
        <f>quantInv[[#This Row],[UNIT
VALUE]]/USDtoGBP</f>
        <v>15.543473939762817</v>
      </c>
      <c r="P735" s="33">
        <f>quantInv[[#This Row],[UNIT
VALUE]] / CADtoGBP</f>
        <v>19.896540167016738</v>
      </c>
      <c r="Q735" s="33">
        <f>quantInv[[#This Row],[UNIT
VALUE]]/AUDtoGBP</f>
        <v>20.365507579567495</v>
      </c>
      <c r="R735">
        <f>IFERROR(VLOOKUP(quantInv[[#This Row],[Assigned Item SKU]],skuQuantity[#All],2,FALSE),0)</f>
        <v>0</v>
      </c>
      <c r="S735" t="str">
        <f>PROPER(quantInv[[#This Row],[Metal]] &amp; " " &amp; quantInv[[#This Row],[Item Type]])</f>
        <v>925 Silver Bracelet</v>
      </c>
      <c r="T735" s="33">
        <f>quantInv[[#This Row],[Quantity]]*quantInv[[#This Row],[WEIGHT]]</f>
        <v>0</v>
      </c>
      <c r="U735" s="33">
        <f>quantInv[[#This Row],[UNIT
VALUE]]*quantInv[[#This Row],[Quantity]]</f>
        <v>0</v>
      </c>
      <c r="V735" s="33">
        <f>quantInv[[#This Row],[Total Cost GBP]]/EURtoGBP</f>
        <v>0</v>
      </c>
      <c r="W735" s="33">
        <f>quantInv[[#This Row],[Total Cost GBP]]/USDtoGBP</f>
        <v>0</v>
      </c>
      <c r="X735" s="33">
        <f>quantInv[[#This Row],[Total Cost GBP]]/CADtoGBP</f>
        <v>0</v>
      </c>
      <c r="Y735" s="33">
        <f>quantInv[[#This Row],[Quantity]]*quantInv[[#This Row],[UNIT
VALUE AUD]]</f>
        <v>0</v>
      </c>
      <c r="Z735" s="33"/>
    </row>
    <row r="736" spans="1:26" x14ac:dyDescent="0.25">
      <c r="A736" t="s">
        <v>1751</v>
      </c>
      <c r="B736" t="s">
        <v>1752</v>
      </c>
      <c r="C736" t="s">
        <v>114</v>
      </c>
      <c r="D736" t="s">
        <v>1753</v>
      </c>
      <c r="E736">
        <v>6.69</v>
      </c>
      <c r="F736" s="33">
        <v>8.2437000000000005</v>
      </c>
      <c r="G736" s="33" t="s">
        <v>117</v>
      </c>
      <c r="H736" t="s">
        <v>1414</v>
      </c>
      <c r="I736" t="str">
        <f>IF(quantInv[[#This Row],[Metal]] = "925 Silver",  "7113.11.00"," 7113.19.00")</f>
        <v>7113.11.00</v>
      </c>
      <c r="J736" t="str">
        <f>IF(quantInv[[#This Row],[Metal]] = "925 Silver", "7113.11.10.00"," 7113.19.10.00")</f>
        <v>7113.11.10.00</v>
      </c>
      <c r="K736" t="str">
        <f>IF(quantInv[[#This Row],[Metal]] = "925 Silver",  "7113.11.00"," 7113.19.00")</f>
        <v>7113.11.00</v>
      </c>
      <c r="L736" t="str">
        <f>IFERROR(VLOOKUP(quantInv[[#This Row],[Description for New Invoice]],Map!$G$12:$H$32,2,FALSE), IF(quantInv[[#This Row],[Metal]] = "925 Silver", "7113.11.10.00", "7113.19.29.00"))</f>
        <v>7113.11.10.00</v>
      </c>
      <c r="M736" t="str">
        <f>quantInv[[#This Row],[ASIN]] &amp; " " &amp; quantInv[[#This Row],[Short Description]]</f>
        <v>B0929C1L6F Adjustable Unisex Bracelet with Cylinder Beads and Balls</v>
      </c>
      <c r="N736" s="33">
        <f>quantInv[[#This Row],[UNIT
VALUE]] / EURtoGBP</f>
        <v>9.3575794725102597</v>
      </c>
      <c r="O736" s="33">
        <f>quantInv[[#This Row],[UNIT
VALUE]]/USDtoGBP</f>
        <v>11.300743129037963</v>
      </c>
      <c r="P736" s="33">
        <f>quantInv[[#This Row],[UNIT
VALUE]] / CADtoGBP</f>
        <v>14.465600833855371</v>
      </c>
      <c r="Q736" s="33">
        <f>quantInv[[#This Row],[UNIT
VALUE]]/AUDtoGBP</f>
        <v>14.806559379265751</v>
      </c>
      <c r="R736">
        <f>IFERROR(VLOOKUP(quantInv[[#This Row],[Assigned Item SKU]],skuQuantity[#All],2,FALSE),0)</f>
        <v>0</v>
      </c>
      <c r="S736" t="str">
        <f>PROPER(quantInv[[#This Row],[Metal]] &amp; " " &amp; quantInv[[#This Row],[Item Type]])</f>
        <v>925 Silver Bracelet</v>
      </c>
      <c r="T736" s="33">
        <f>quantInv[[#This Row],[Quantity]]*quantInv[[#This Row],[WEIGHT]]</f>
        <v>0</v>
      </c>
      <c r="U736" s="33">
        <f>quantInv[[#This Row],[UNIT
VALUE]]*quantInv[[#This Row],[Quantity]]</f>
        <v>0</v>
      </c>
      <c r="V736" s="33">
        <f>quantInv[[#This Row],[Total Cost GBP]]/EURtoGBP</f>
        <v>0</v>
      </c>
      <c r="W736" s="33">
        <f>quantInv[[#This Row],[Total Cost GBP]]/USDtoGBP</f>
        <v>0</v>
      </c>
      <c r="X736" s="33">
        <f>quantInv[[#This Row],[Total Cost GBP]]/CADtoGBP</f>
        <v>0</v>
      </c>
      <c r="Y736" s="33">
        <f>quantInv[[#This Row],[Quantity]]*quantInv[[#This Row],[UNIT
VALUE AUD]]</f>
        <v>0</v>
      </c>
      <c r="Z736" s="33"/>
    </row>
    <row r="737" spans="1:26" x14ac:dyDescent="0.25">
      <c r="A737" t="s">
        <v>1754</v>
      </c>
      <c r="B737" t="s">
        <v>1755</v>
      </c>
      <c r="C737" t="s">
        <v>114</v>
      </c>
      <c r="D737" t="s">
        <v>1756</v>
      </c>
      <c r="E737">
        <v>8.9</v>
      </c>
      <c r="F737" s="33">
        <v>11.7873</v>
      </c>
      <c r="G737" s="33" t="s">
        <v>117</v>
      </c>
      <c r="H737" t="s">
        <v>103</v>
      </c>
      <c r="I737" t="str">
        <f>IF(quantInv[[#This Row],[Metal]] = "925 Silver",  "7113.11.00"," 7113.19.00")</f>
        <v>7113.11.00</v>
      </c>
      <c r="J737" t="str">
        <f>IF(quantInv[[#This Row],[Metal]] = "925 Silver", "7113.11.10.00"," 7113.19.10.00")</f>
        <v>7113.11.10.00</v>
      </c>
      <c r="K737" t="str">
        <f>IF(quantInv[[#This Row],[Metal]] = "925 Silver",  "7113.11.00"," 7113.19.00")</f>
        <v>7113.11.00</v>
      </c>
      <c r="L737" t="str">
        <f>IFERROR(VLOOKUP(quantInv[[#This Row],[Description for New Invoice]],Map!$G$12:$H$32,2,FALSE), IF(quantInv[[#This Row],[Metal]] = "925 Silver", "7113.11.10.00", "7113.19.29.00"))</f>
        <v>7113.11.10.00</v>
      </c>
      <c r="M737" t="str">
        <f>quantInv[[#This Row],[ASIN]] &amp; " " &amp; quantInv[[#This Row],[Short Description]]</f>
        <v>B08ZSSLC47 Adjustable Cable Necklace with Coin</v>
      </c>
      <c r="N737" s="33">
        <f>quantInv[[#This Row],[UNIT
VALUE]] / EURtoGBP</f>
        <v>13.379986719109159</v>
      </c>
      <c r="O737" s="33">
        <f>quantInv[[#This Row],[UNIT
VALUE]]/USDtoGBP</f>
        <v>16.15843001139163</v>
      </c>
      <c r="P737" s="33">
        <f>quantInv[[#This Row],[UNIT
VALUE]] / CADtoGBP</f>
        <v>20.683719289748947</v>
      </c>
      <c r="Q737" s="33">
        <f>quantInv[[#This Row],[UNIT
VALUE]]/AUDtoGBP</f>
        <v>21.171240750053883</v>
      </c>
      <c r="R737">
        <f>IFERROR(VLOOKUP(quantInv[[#This Row],[Assigned Item SKU]],skuQuantity[#All],2,FALSE),0)</f>
        <v>0</v>
      </c>
      <c r="S737" t="str">
        <f>PROPER(quantInv[[#This Row],[Metal]] &amp; " " &amp; quantInv[[#This Row],[Item Type]])</f>
        <v>925 Silver Chain</v>
      </c>
      <c r="T737" s="33">
        <f>quantInv[[#This Row],[Quantity]]*quantInv[[#This Row],[WEIGHT]]</f>
        <v>0</v>
      </c>
      <c r="U737" s="33">
        <f>quantInv[[#This Row],[UNIT
VALUE]]*quantInv[[#This Row],[Quantity]]</f>
        <v>0</v>
      </c>
      <c r="V737" s="33">
        <f>quantInv[[#This Row],[Total Cost GBP]]/EURtoGBP</f>
        <v>0</v>
      </c>
      <c r="W737" s="33">
        <f>quantInv[[#This Row],[Total Cost GBP]]/USDtoGBP</f>
        <v>0</v>
      </c>
      <c r="X737" s="33">
        <f>quantInv[[#This Row],[Total Cost GBP]]/CADtoGBP</f>
        <v>0</v>
      </c>
      <c r="Y737" s="33">
        <f>quantInv[[#This Row],[Quantity]]*quantInv[[#This Row],[UNIT
VALUE AUD]]</f>
        <v>0</v>
      </c>
      <c r="Z737" s="33"/>
    </row>
    <row r="738" spans="1:26" x14ac:dyDescent="0.25">
      <c r="A738" t="s">
        <v>1757</v>
      </c>
      <c r="B738" t="s">
        <v>1758</v>
      </c>
      <c r="C738" t="s">
        <v>114</v>
      </c>
      <c r="D738" t="s">
        <v>1759</v>
      </c>
      <c r="E738">
        <v>4</v>
      </c>
      <c r="F738" s="33">
        <v>4.8677000000000001</v>
      </c>
      <c r="G738" s="33" t="s">
        <v>117</v>
      </c>
      <c r="H738" t="s">
        <v>103</v>
      </c>
      <c r="I738" t="str">
        <f>IF(quantInv[[#This Row],[Metal]] = "925 Silver",  "7113.11.00"," 7113.19.00")</f>
        <v>7113.11.00</v>
      </c>
      <c r="J738" t="str">
        <f>IF(quantInv[[#This Row],[Metal]] = "925 Silver", "7113.11.10.00"," 7113.19.10.00")</f>
        <v>7113.11.10.00</v>
      </c>
      <c r="K738" t="str">
        <f>IF(quantInv[[#This Row],[Metal]] = "925 Silver",  "7113.11.00"," 7113.19.00")</f>
        <v>7113.11.00</v>
      </c>
      <c r="L738" t="str">
        <f>IFERROR(VLOOKUP(quantInv[[#This Row],[Description for New Invoice]],Map!$G$12:$H$32,2,FALSE), IF(quantInv[[#This Row],[Metal]] = "925 Silver", "7113.11.10.00", "7113.19.29.00"))</f>
        <v>7113.11.10.00</v>
      </c>
      <c r="M738" t="str">
        <f>quantInv[[#This Row],[ASIN]] &amp; " " &amp; quantInv[[#This Row],[Short Description]]</f>
        <v>B08ZT1C8B6 Adjustable Rolo Chain with Coin and Beads</v>
      </c>
      <c r="N738" s="33">
        <f>quantInv[[#This Row],[UNIT
VALUE]] / EURtoGBP</f>
        <v>5.5254181494156978</v>
      </c>
      <c r="O738" s="33">
        <f>quantInv[[#This Row],[UNIT
VALUE]]/USDtoGBP</f>
        <v>6.6728080023797682</v>
      </c>
      <c r="P738" s="33">
        <f>quantInv[[#This Row],[UNIT
VALUE]] / CADtoGBP</f>
        <v>8.5415778326428402</v>
      </c>
      <c r="Q738" s="33">
        <f>quantInv[[#This Row],[UNIT
VALUE]]/AUDtoGBP</f>
        <v>8.7429053811337027</v>
      </c>
      <c r="R738">
        <f>IFERROR(VLOOKUP(quantInv[[#This Row],[Assigned Item SKU]],skuQuantity[#All],2,FALSE),0)</f>
        <v>0</v>
      </c>
      <c r="S738" t="str">
        <f>PROPER(quantInv[[#This Row],[Metal]] &amp; " " &amp; quantInv[[#This Row],[Item Type]])</f>
        <v>925 Silver Chain</v>
      </c>
      <c r="T738" s="33">
        <f>quantInv[[#This Row],[Quantity]]*quantInv[[#This Row],[WEIGHT]]</f>
        <v>0</v>
      </c>
      <c r="U738" s="33">
        <f>quantInv[[#This Row],[UNIT
VALUE]]*quantInv[[#This Row],[Quantity]]</f>
        <v>0</v>
      </c>
      <c r="V738" s="33">
        <f>quantInv[[#This Row],[Total Cost GBP]]/EURtoGBP</f>
        <v>0</v>
      </c>
      <c r="W738" s="33">
        <f>quantInv[[#This Row],[Total Cost GBP]]/USDtoGBP</f>
        <v>0</v>
      </c>
      <c r="X738" s="33">
        <f>quantInv[[#This Row],[Total Cost GBP]]/CADtoGBP</f>
        <v>0</v>
      </c>
      <c r="Y738" s="33">
        <f>quantInv[[#This Row],[Quantity]]*quantInv[[#This Row],[UNIT
VALUE AUD]]</f>
        <v>0</v>
      </c>
      <c r="Z738" s="33"/>
    </row>
    <row r="739" spans="1:26" x14ac:dyDescent="0.25">
      <c r="A739" t="s">
        <v>1760</v>
      </c>
      <c r="B739" t="s">
        <v>1761</v>
      </c>
      <c r="C739" t="s">
        <v>114</v>
      </c>
      <c r="D739" t="s">
        <v>1762</v>
      </c>
      <c r="E739">
        <v>22.18</v>
      </c>
      <c r="F739" s="33">
        <v>26.603000000000002</v>
      </c>
      <c r="G739" s="33" t="s">
        <v>117</v>
      </c>
      <c r="H739" t="s">
        <v>103</v>
      </c>
      <c r="I739" t="str">
        <f>IF(quantInv[[#This Row],[Metal]] = "925 Silver",  "7113.11.00"," 7113.19.00")</f>
        <v>7113.11.00</v>
      </c>
      <c r="J739" t="str">
        <f>IF(quantInv[[#This Row],[Metal]] = "925 Silver", "7113.11.10.00"," 7113.19.10.00")</f>
        <v>7113.11.10.00</v>
      </c>
      <c r="K739" t="str">
        <f>IF(quantInv[[#This Row],[Metal]] = "925 Silver",  "7113.11.00"," 7113.19.00")</f>
        <v>7113.11.00</v>
      </c>
      <c r="L739" t="str">
        <f>IFERROR(VLOOKUP(quantInv[[#This Row],[Description for New Invoice]],Map!$G$12:$H$32,2,FALSE), IF(quantInv[[#This Row],[Metal]] = "925 Silver", "7113.11.10.00", "7113.19.29.00"))</f>
        <v>7113.11.10.00</v>
      </c>
      <c r="M739" t="str">
        <f>quantInv[[#This Row],[ASIN]] &amp; " " &amp; quantInv[[#This Row],[Short Description]]</f>
        <v>B08ZSZR19N Adjustable Chain Necklace with Small and Big Coins</v>
      </c>
      <c r="N739" s="33">
        <f>quantInv[[#This Row],[UNIT
VALUE]] / EURtoGBP</f>
        <v>30.197567440250182</v>
      </c>
      <c r="O739" s="33">
        <f>quantInv[[#This Row],[UNIT
VALUE]]/USDtoGBP</f>
        <v>36.46829329813032</v>
      </c>
      <c r="P739" s="33">
        <f>quantInv[[#This Row],[UNIT
VALUE]] / CADtoGBP</f>
        <v>46.681511819092691</v>
      </c>
      <c r="Q739" s="33">
        <f>quantInv[[#This Row],[UNIT
VALUE]]/AUDtoGBP</f>
        <v>47.781809038005605</v>
      </c>
      <c r="R739">
        <f>IFERROR(VLOOKUP(quantInv[[#This Row],[Assigned Item SKU]],skuQuantity[#All],2,FALSE),0)</f>
        <v>0</v>
      </c>
      <c r="S739" t="str">
        <f>PROPER(quantInv[[#This Row],[Metal]] &amp; " " &amp; quantInv[[#This Row],[Item Type]])</f>
        <v>925 Silver Chain</v>
      </c>
      <c r="T739" s="33">
        <f>quantInv[[#This Row],[Quantity]]*quantInv[[#This Row],[WEIGHT]]</f>
        <v>0</v>
      </c>
      <c r="U739" s="33">
        <f>quantInv[[#This Row],[UNIT
VALUE]]*quantInv[[#This Row],[Quantity]]</f>
        <v>0</v>
      </c>
      <c r="V739" s="33">
        <f>quantInv[[#This Row],[Total Cost GBP]]/EURtoGBP</f>
        <v>0</v>
      </c>
      <c r="W739" s="33">
        <f>quantInv[[#This Row],[Total Cost GBP]]/USDtoGBP</f>
        <v>0</v>
      </c>
      <c r="X739" s="33">
        <f>quantInv[[#This Row],[Total Cost GBP]]/CADtoGBP</f>
        <v>0</v>
      </c>
      <c r="Y739" s="33">
        <f>quantInv[[#This Row],[Quantity]]*quantInv[[#This Row],[UNIT
VALUE AUD]]</f>
        <v>0</v>
      </c>
      <c r="Z739" s="33"/>
    </row>
    <row r="740" spans="1:26" x14ac:dyDescent="0.25">
      <c r="A740" t="s">
        <v>1763</v>
      </c>
      <c r="B740" t="s">
        <v>1764</v>
      </c>
      <c r="C740" t="s">
        <v>114</v>
      </c>
      <c r="D740" t="s">
        <v>1765</v>
      </c>
      <c r="E740">
        <v>14.13</v>
      </c>
      <c r="F740" s="33">
        <v>18.486699999999999</v>
      </c>
      <c r="G740" s="33" t="s">
        <v>117</v>
      </c>
      <c r="H740" t="s">
        <v>103</v>
      </c>
      <c r="I740" t="str">
        <f>IF(quantInv[[#This Row],[Metal]] = "925 Silver",  "7113.11.00"," 7113.19.00")</f>
        <v>7113.11.00</v>
      </c>
      <c r="J740" t="str">
        <f>IF(quantInv[[#This Row],[Metal]] = "925 Silver", "7113.11.10.00"," 7113.19.10.00")</f>
        <v>7113.11.10.00</v>
      </c>
      <c r="K740" t="str">
        <f>IF(quantInv[[#This Row],[Metal]] = "925 Silver",  "7113.11.00"," 7113.19.00")</f>
        <v>7113.11.00</v>
      </c>
      <c r="L740" t="str">
        <f>IFERROR(VLOOKUP(quantInv[[#This Row],[Description for New Invoice]],Map!$G$12:$H$32,2,FALSE), IF(quantInv[[#This Row],[Metal]] = "925 Silver", "7113.11.10.00", "7113.19.29.00"))</f>
        <v>7113.11.10.00</v>
      </c>
      <c r="M740" t="str">
        <f>quantInv[[#This Row],[ASIN]] &amp; " " &amp; quantInv[[#This Row],[Short Description]]</f>
        <v>B087D4XHNS Adjustable 3 Layered Chain. 2 Ball Chains and 1 Snake Chain with Beads</v>
      </c>
      <c r="N740" s="33">
        <f>quantInv[[#This Row],[UNIT
VALUE]] / EURtoGBP</f>
        <v>20.984602112456226</v>
      </c>
      <c r="O740" s="33">
        <f>quantInv[[#This Row],[UNIT
VALUE]]/USDtoGBP</f>
        <v>25.342194403433663</v>
      </c>
      <c r="P740" s="33">
        <f>quantInv[[#This Row],[UNIT
VALUE]] / CADtoGBP</f>
        <v>32.439465644702508</v>
      </c>
      <c r="Q740" s="33">
        <f>quantInv[[#This Row],[UNIT
VALUE]]/AUDtoGBP</f>
        <v>33.204073568503482</v>
      </c>
      <c r="R740">
        <f>IFERROR(VLOOKUP(quantInv[[#This Row],[Assigned Item SKU]],skuQuantity[#All],2,FALSE),0)</f>
        <v>0</v>
      </c>
      <c r="S740" t="str">
        <f>PROPER(quantInv[[#This Row],[Metal]] &amp; " " &amp; quantInv[[#This Row],[Item Type]])</f>
        <v>925 Silver Chain</v>
      </c>
      <c r="T740" s="33">
        <f>quantInv[[#This Row],[Quantity]]*quantInv[[#This Row],[WEIGHT]]</f>
        <v>0</v>
      </c>
      <c r="U740" s="33">
        <f>quantInv[[#This Row],[UNIT
VALUE]]*quantInv[[#This Row],[Quantity]]</f>
        <v>0</v>
      </c>
      <c r="V740" s="33">
        <f>quantInv[[#This Row],[Total Cost GBP]]/EURtoGBP</f>
        <v>0</v>
      </c>
      <c r="W740" s="33">
        <f>quantInv[[#This Row],[Total Cost GBP]]/USDtoGBP</f>
        <v>0</v>
      </c>
      <c r="X740" s="33">
        <f>quantInv[[#This Row],[Total Cost GBP]]/CADtoGBP</f>
        <v>0</v>
      </c>
      <c r="Y740" s="33">
        <f>quantInv[[#This Row],[Quantity]]*quantInv[[#This Row],[UNIT
VALUE AUD]]</f>
        <v>0</v>
      </c>
      <c r="Z740" s="33"/>
    </row>
    <row r="741" spans="1:26" x14ac:dyDescent="0.25">
      <c r="A741" t="s">
        <v>1766</v>
      </c>
      <c r="B741" t="s">
        <v>1767</v>
      </c>
      <c r="C741" t="s">
        <v>114</v>
      </c>
      <c r="D741" t="s">
        <v>1768</v>
      </c>
      <c r="E741">
        <v>3.77</v>
      </c>
      <c r="F741" s="33">
        <v>4.9263000000000003</v>
      </c>
      <c r="G741" s="33" t="s">
        <v>117</v>
      </c>
      <c r="H741" t="s">
        <v>1414</v>
      </c>
      <c r="I741" t="str">
        <f>IF(quantInv[[#This Row],[Metal]] = "925 Silver",  "7113.11.00"," 7113.19.00")</f>
        <v>7113.11.00</v>
      </c>
      <c r="J741" t="str">
        <f>IF(quantInv[[#This Row],[Metal]] = "925 Silver", "7113.11.10.00"," 7113.19.10.00")</f>
        <v>7113.11.10.00</v>
      </c>
      <c r="K741" t="str">
        <f>IF(quantInv[[#This Row],[Metal]] = "925 Silver",  "7113.11.00"," 7113.19.00")</f>
        <v>7113.11.00</v>
      </c>
      <c r="L741" t="str">
        <f>IFERROR(VLOOKUP(quantInv[[#This Row],[Description for New Invoice]],Map!$G$12:$H$32,2,FALSE), IF(quantInv[[#This Row],[Metal]] = "925 Silver", "7113.11.10.00", "7113.19.29.00"))</f>
        <v>7113.11.10.00</v>
      </c>
      <c r="M741" t="str">
        <f>quantInv[[#This Row],[ASIN]] &amp; " " &amp; quantInv[[#This Row],[Short Description]]</f>
        <v>B08ZT12JR3 Adjustable Gold Plated Bracelet with Coins</v>
      </c>
      <c r="N741" s="33">
        <f>quantInv[[#This Row],[UNIT
VALUE]] / EURtoGBP</f>
        <v>5.5919361155096974</v>
      </c>
      <c r="O741" s="33">
        <f>quantInv[[#This Row],[UNIT
VALUE]]/USDtoGBP</f>
        <v>6.7531388668413115</v>
      </c>
      <c r="P741" s="33">
        <f>quantInv[[#This Row],[UNIT
VALUE]] / CADtoGBP</f>
        <v>8.6444059570122285</v>
      </c>
      <c r="Q741" s="33">
        <f>quantInv[[#This Row],[UNIT
VALUE]]/AUDtoGBP</f>
        <v>8.8481571952008053</v>
      </c>
      <c r="R741">
        <f>IFERROR(VLOOKUP(quantInv[[#This Row],[Assigned Item SKU]],skuQuantity[#All],2,FALSE),0)</f>
        <v>0</v>
      </c>
      <c r="S741" t="str">
        <f>PROPER(quantInv[[#This Row],[Metal]] &amp; " " &amp; quantInv[[#This Row],[Item Type]])</f>
        <v>925 Silver Bracelet</v>
      </c>
      <c r="T741" s="33">
        <f>quantInv[[#This Row],[Quantity]]*quantInv[[#This Row],[WEIGHT]]</f>
        <v>0</v>
      </c>
      <c r="U741" s="33">
        <f>quantInv[[#This Row],[UNIT
VALUE]]*quantInv[[#This Row],[Quantity]]</f>
        <v>0</v>
      </c>
      <c r="V741" s="33">
        <f>quantInv[[#This Row],[Total Cost GBP]]/EURtoGBP</f>
        <v>0</v>
      </c>
      <c r="W741" s="33">
        <f>quantInv[[#This Row],[Total Cost GBP]]/USDtoGBP</f>
        <v>0</v>
      </c>
      <c r="X741" s="33">
        <f>quantInv[[#This Row],[Total Cost GBP]]/CADtoGBP</f>
        <v>0</v>
      </c>
      <c r="Y741" s="33">
        <f>quantInv[[#This Row],[Quantity]]*quantInv[[#This Row],[UNIT
VALUE AUD]]</f>
        <v>0</v>
      </c>
      <c r="Z741" s="33"/>
    </row>
    <row r="742" spans="1:26" x14ac:dyDescent="0.25">
      <c r="A742" t="s">
        <v>1769</v>
      </c>
      <c r="B742" t="s">
        <v>1770</v>
      </c>
      <c r="C742" t="s">
        <v>114</v>
      </c>
      <c r="D742" t="s">
        <v>1771</v>
      </c>
      <c r="E742">
        <v>0.7</v>
      </c>
      <c r="F742" s="33">
        <v>2.1419999999999999</v>
      </c>
      <c r="G742" s="33" t="s">
        <v>117</v>
      </c>
      <c r="H742" t="s">
        <v>1310</v>
      </c>
      <c r="I742" t="str">
        <f>IF(quantInv[[#This Row],[Metal]] = "925 Silver",  "7113.11.00"," 7113.19.00")</f>
        <v>7113.11.00</v>
      </c>
      <c r="J742" t="str">
        <f>IF(quantInv[[#This Row],[Metal]] = "925 Silver", "7113.11.10.00"," 7113.19.10.00")</f>
        <v>7113.11.10.00</v>
      </c>
      <c r="K742" t="str">
        <f>IF(quantInv[[#This Row],[Metal]] = "925 Silver",  "7113.11.00"," 7113.19.00")</f>
        <v>7113.11.00</v>
      </c>
      <c r="L742" t="str">
        <f>IFERROR(VLOOKUP(quantInv[[#This Row],[Description for New Invoice]],Map!$G$12:$H$32,2,FALSE), IF(quantInv[[#This Row],[Metal]] = "925 Silver", "7113.11.10.00", "7113.19.29.00"))</f>
        <v>7113.11.50.00</v>
      </c>
      <c r="M742" t="str">
        <f>quantInv[[#This Row],[ASIN]] &amp; " " &amp; quantInv[[#This Row],[Short Description]]</f>
        <v>B08CXV5JZK Stud Earrings with Swarovski. LIGHT SILK</v>
      </c>
      <c r="N742" s="33">
        <f>quantInv[[#This Row],[UNIT
VALUE]] / EURtoGBP</f>
        <v>2.4314246309444756</v>
      </c>
      <c r="O742" s="33">
        <f>quantInv[[#This Row],[UNIT
VALUE]]/USDtoGBP</f>
        <v>2.9363261378263785</v>
      </c>
      <c r="P742" s="33">
        <f>quantInv[[#This Row],[UNIT
VALUE]] / CADtoGBP</f>
        <v>3.758666252546575</v>
      </c>
      <c r="Q742" s="33">
        <f>quantInv[[#This Row],[UNIT
VALUE]]/AUDtoGBP</f>
        <v>3.847259142179754</v>
      </c>
      <c r="R742">
        <f>IFERROR(VLOOKUP(quantInv[[#This Row],[Assigned Item SKU]],skuQuantity[#All],2,FALSE),0)</f>
        <v>0</v>
      </c>
      <c r="S742" t="str">
        <f>PROPER(quantInv[[#This Row],[Metal]] &amp; " " &amp; quantInv[[#This Row],[Item Type]])</f>
        <v>925 Silver Earrings</v>
      </c>
      <c r="T742" s="33">
        <f>quantInv[[#This Row],[Quantity]]*quantInv[[#This Row],[WEIGHT]]</f>
        <v>0</v>
      </c>
      <c r="U742" s="33">
        <f>quantInv[[#This Row],[UNIT
VALUE]]*quantInv[[#This Row],[Quantity]]</f>
        <v>0</v>
      </c>
      <c r="V742" s="33">
        <f>quantInv[[#This Row],[Total Cost GBP]]/EURtoGBP</f>
        <v>0</v>
      </c>
      <c r="W742" s="33">
        <f>quantInv[[#This Row],[Total Cost GBP]]/USDtoGBP</f>
        <v>0</v>
      </c>
      <c r="X742" s="33">
        <f>quantInv[[#This Row],[Total Cost GBP]]/CADtoGBP</f>
        <v>0</v>
      </c>
      <c r="Y742" s="33">
        <f>quantInv[[#This Row],[Quantity]]*quantInv[[#This Row],[UNIT
VALUE AUD]]</f>
        <v>0</v>
      </c>
      <c r="Z742" s="33"/>
    </row>
    <row r="743" spans="1:26" x14ac:dyDescent="0.25">
      <c r="A743" t="s">
        <v>1772</v>
      </c>
      <c r="B743" t="s">
        <v>1773</v>
      </c>
      <c r="C743" t="s">
        <v>114</v>
      </c>
      <c r="D743" t="s">
        <v>1774</v>
      </c>
      <c r="E743">
        <v>0.7</v>
      </c>
      <c r="F743" s="33">
        <v>2.1419999999999999</v>
      </c>
      <c r="G743" s="33" t="s">
        <v>117</v>
      </c>
      <c r="H743" t="s">
        <v>1310</v>
      </c>
      <c r="I743" t="str">
        <f>IF(quantInv[[#This Row],[Metal]] = "925 Silver",  "7113.11.00"," 7113.19.00")</f>
        <v>7113.11.00</v>
      </c>
      <c r="J743" t="str">
        <f>IF(quantInv[[#This Row],[Metal]] = "925 Silver", "7113.11.10.00"," 7113.19.10.00")</f>
        <v>7113.11.10.00</v>
      </c>
      <c r="K743" t="str">
        <f>IF(quantInv[[#This Row],[Metal]] = "925 Silver",  "7113.11.00"," 7113.19.00")</f>
        <v>7113.11.00</v>
      </c>
      <c r="L743" t="str">
        <f>IFERROR(VLOOKUP(quantInv[[#This Row],[Description for New Invoice]],Map!$G$12:$H$32,2,FALSE), IF(quantInv[[#This Row],[Metal]] = "925 Silver", "7113.11.10.00", "7113.19.29.00"))</f>
        <v>7113.11.50.00</v>
      </c>
      <c r="M743" t="str">
        <f>quantInv[[#This Row],[ASIN]] &amp; " " &amp; quantInv[[#This Row],[Short Description]]</f>
        <v>B08CXLVPPF Stud Earrings with Swarovski. JET</v>
      </c>
      <c r="N743" s="33">
        <f>quantInv[[#This Row],[UNIT
VALUE]] / EURtoGBP</f>
        <v>2.4314246309444756</v>
      </c>
      <c r="O743" s="33">
        <f>quantInv[[#This Row],[UNIT
VALUE]]/USDtoGBP</f>
        <v>2.9363261378263785</v>
      </c>
      <c r="P743" s="33">
        <f>quantInv[[#This Row],[UNIT
VALUE]] / CADtoGBP</f>
        <v>3.758666252546575</v>
      </c>
      <c r="Q743" s="33">
        <f>quantInv[[#This Row],[UNIT
VALUE]]/AUDtoGBP</f>
        <v>3.847259142179754</v>
      </c>
      <c r="R743">
        <f>IFERROR(VLOOKUP(quantInv[[#This Row],[Assigned Item SKU]],skuQuantity[#All],2,FALSE),0)</f>
        <v>0</v>
      </c>
      <c r="S743" t="str">
        <f>PROPER(quantInv[[#This Row],[Metal]] &amp; " " &amp; quantInv[[#This Row],[Item Type]])</f>
        <v>925 Silver Earrings</v>
      </c>
      <c r="T743" s="33">
        <f>quantInv[[#This Row],[Quantity]]*quantInv[[#This Row],[WEIGHT]]</f>
        <v>0</v>
      </c>
      <c r="U743" s="33">
        <f>quantInv[[#This Row],[UNIT
VALUE]]*quantInv[[#This Row],[Quantity]]</f>
        <v>0</v>
      </c>
      <c r="V743" s="33">
        <f>quantInv[[#This Row],[Total Cost GBP]]/EURtoGBP</f>
        <v>0</v>
      </c>
      <c r="W743" s="33">
        <f>quantInv[[#This Row],[Total Cost GBP]]/USDtoGBP</f>
        <v>0</v>
      </c>
      <c r="X743" s="33">
        <f>quantInv[[#This Row],[Total Cost GBP]]/CADtoGBP</f>
        <v>0</v>
      </c>
      <c r="Y743" s="33">
        <f>quantInv[[#This Row],[Quantity]]*quantInv[[#This Row],[UNIT
VALUE AUD]]</f>
        <v>0</v>
      </c>
      <c r="Z743" s="33"/>
    </row>
    <row r="744" spans="1:26" x14ac:dyDescent="0.25">
      <c r="A744" t="s">
        <v>1775</v>
      </c>
      <c r="B744" t="s">
        <v>1776</v>
      </c>
      <c r="C744" t="s">
        <v>114</v>
      </c>
      <c r="D744" t="s">
        <v>1777</v>
      </c>
      <c r="E744">
        <v>0.7</v>
      </c>
      <c r="F744" s="33">
        <v>2.1419999999999999</v>
      </c>
      <c r="G744" s="33" t="s">
        <v>117</v>
      </c>
      <c r="H744" t="s">
        <v>1310</v>
      </c>
      <c r="I744" t="str">
        <f>IF(quantInv[[#This Row],[Metal]] = "925 Silver",  "7113.11.00"," 7113.19.00")</f>
        <v>7113.11.00</v>
      </c>
      <c r="J744" t="str">
        <f>IF(quantInv[[#This Row],[Metal]] = "925 Silver", "7113.11.10.00"," 7113.19.10.00")</f>
        <v>7113.11.10.00</v>
      </c>
      <c r="K744" t="str">
        <f>IF(quantInv[[#This Row],[Metal]] = "925 Silver",  "7113.11.00"," 7113.19.00")</f>
        <v>7113.11.00</v>
      </c>
      <c r="L744" t="str">
        <f>IFERROR(VLOOKUP(quantInv[[#This Row],[Description for New Invoice]],Map!$G$12:$H$32,2,FALSE), IF(quantInv[[#This Row],[Metal]] = "925 Silver", "7113.11.10.00", "7113.19.29.00"))</f>
        <v>7113.11.50.00</v>
      </c>
      <c r="M744" t="str">
        <f>quantInv[[#This Row],[ASIN]] &amp; " " &amp; quantInv[[#This Row],[Short Description]]</f>
        <v>B08CXHGKYR Stud Earrings with Swarovski. CRYSTAL</v>
      </c>
      <c r="N744" s="33">
        <f>quantInv[[#This Row],[UNIT
VALUE]] / EURtoGBP</f>
        <v>2.4314246309444756</v>
      </c>
      <c r="O744" s="33">
        <f>quantInv[[#This Row],[UNIT
VALUE]]/USDtoGBP</f>
        <v>2.9363261378263785</v>
      </c>
      <c r="P744" s="33">
        <f>quantInv[[#This Row],[UNIT
VALUE]] / CADtoGBP</f>
        <v>3.758666252546575</v>
      </c>
      <c r="Q744" s="33">
        <f>quantInv[[#This Row],[UNIT
VALUE]]/AUDtoGBP</f>
        <v>3.847259142179754</v>
      </c>
      <c r="R744">
        <f>IFERROR(VLOOKUP(quantInv[[#This Row],[Assigned Item SKU]],skuQuantity[#All],2,FALSE),0)</f>
        <v>0</v>
      </c>
      <c r="S744" t="str">
        <f>PROPER(quantInv[[#This Row],[Metal]] &amp; " " &amp; quantInv[[#This Row],[Item Type]])</f>
        <v>925 Silver Earrings</v>
      </c>
      <c r="T744" s="33">
        <f>quantInv[[#This Row],[Quantity]]*quantInv[[#This Row],[WEIGHT]]</f>
        <v>0</v>
      </c>
      <c r="U744" s="33">
        <f>quantInv[[#This Row],[UNIT
VALUE]]*quantInv[[#This Row],[Quantity]]</f>
        <v>0</v>
      </c>
      <c r="V744" s="33">
        <f>quantInv[[#This Row],[Total Cost GBP]]/EURtoGBP</f>
        <v>0</v>
      </c>
      <c r="W744" s="33">
        <f>quantInv[[#This Row],[Total Cost GBP]]/USDtoGBP</f>
        <v>0</v>
      </c>
      <c r="X744" s="33">
        <f>quantInv[[#This Row],[Total Cost GBP]]/CADtoGBP</f>
        <v>0</v>
      </c>
      <c r="Y744" s="33">
        <f>quantInv[[#This Row],[Quantity]]*quantInv[[#This Row],[UNIT
VALUE AUD]]</f>
        <v>0</v>
      </c>
      <c r="Z744" s="33"/>
    </row>
    <row r="745" spans="1:26" x14ac:dyDescent="0.25">
      <c r="A745" t="s">
        <v>1778</v>
      </c>
      <c r="B745" t="s">
        <v>1779</v>
      </c>
      <c r="C745" t="s">
        <v>114</v>
      </c>
      <c r="D745" t="s">
        <v>1780</v>
      </c>
      <c r="E745">
        <v>0.7</v>
      </c>
      <c r="F745" s="33">
        <v>2.1419999999999999</v>
      </c>
      <c r="G745" s="33" t="s">
        <v>117</v>
      </c>
      <c r="H745" t="s">
        <v>1310</v>
      </c>
      <c r="I745" t="str">
        <f>IF(quantInv[[#This Row],[Metal]] = "925 Silver",  "7113.11.00"," 7113.19.00")</f>
        <v>7113.11.00</v>
      </c>
      <c r="J745" t="str">
        <f>IF(quantInv[[#This Row],[Metal]] = "925 Silver", "7113.11.10.00"," 7113.19.10.00")</f>
        <v>7113.11.10.00</v>
      </c>
      <c r="K745" t="str">
        <f>IF(quantInv[[#This Row],[Metal]] = "925 Silver",  "7113.11.00"," 7113.19.00")</f>
        <v>7113.11.00</v>
      </c>
      <c r="L745" t="str">
        <f>IFERROR(VLOOKUP(quantInv[[#This Row],[Description for New Invoice]],Map!$G$12:$H$32,2,FALSE), IF(quantInv[[#This Row],[Metal]] = "925 Silver", "7113.11.10.00", "7113.19.29.00"))</f>
        <v>7113.11.50.00</v>
      </c>
      <c r="M745" t="str">
        <f>quantInv[[#This Row],[ASIN]] &amp; " " &amp; quantInv[[#This Row],[Short Description]]</f>
        <v>B08CXMXLDN Stud Earrings with Swarovski. AURORA BOREALE</v>
      </c>
      <c r="N745" s="33">
        <f>quantInv[[#This Row],[UNIT
VALUE]] / EURtoGBP</f>
        <v>2.4314246309444756</v>
      </c>
      <c r="O745" s="33">
        <f>quantInv[[#This Row],[UNIT
VALUE]]/USDtoGBP</f>
        <v>2.9363261378263785</v>
      </c>
      <c r="P745" s="33">
        <f>quantInv[[#This Row],[UNIT
VALUE]] / CADtoGBP</f>
        <v>3.758666252546575</v>
      </c>
      <c r="Q745" s="33">
        <f>quantInv[[#This Row],[UNIT
VALUE]]/AUDtoGBP</f>
        <v>3.847259142179754</v>
      </c>
      <c r="R745">
        <f>IFERROR(VLOOKUP(quantInv[[#This Row],[Assigned Item SKU]],skuQuantity[#All],2,FALSE),0)</f>
        <v>0</v>
      </c>
      <c r="S745" t="str">
        <f>PROPER(quantInv[[#This Row],[Metal]] &amp; " " &amp; quantInv[[#This Row],[Item Type]])</f>
        <v>925 Silver Earrings</v>
      </c>
      <c r="T745" s="33">
        <f>quantInv[[#This Row],[Quantity]]*quantInv[[#This Row],[WEIGHT]]</f>
        <v>0</v>
      </c>
      <c r="U745" s="33">
        <f>quantInv[[#This Row],[UNIT
VALUE]]*quantInv[[#This Row],[Quantity]]</f>
        <v>0</v>
      </c>
      <c r="V745" s="33">
        <f>quantInv[[#This Row],[Total Cost GBP]]/EURtoGBP</f>
        <v>0</v>
      </c>
      <c r="W745" s="33">
        <f>quantInv[[#This Row],[Total Cost GBP]]/USDtoGBP</f>
        <v>0</v>
      </c>
      <c r="X745" s="33">
        <f>quantInv[[#This Row],[Total Cost GBP]]/CADtoGBP</f>
        <v>0</v>
      </c>
      <c r="Y745" s="33">
        <f>quantInv[[#This Row],[Quantity]]*quantInv[[#This Row],[UNIT
VALUE AUD]]</f>
        <v>0</v>
      </c>
      <c r="Z745" s="33"/>
    </row>
    <row r="746" spans="1:26" x14ac:dyDescent="0.25">
      <c r="A746" t="s">
        <v>1781</v>
      </c>
      <c r="B746" t="s">
        <v>1782</v>
      </c>
      <c r="C746" t="s">
        <v>114</v>
      </c>
      <c r="D746" t="s">
        <v>1783</v>
      </c>
      <c r="E746">
        <v>0.7</v>
      </c>
      <c r="F746" s="33">
        <v>2.1419999999999999</v>
      </c>
      <c r="G746" s="33" t="s">
        <v>117</v>
      </c>
      <c r="H746" t="s">
        <v>1310</v>
      </c>
      <c r="I746" t="str">
        <f>IF(quantInv[[#This Row],[Metal]] = "925 Silver",  "7113.11.00"," 7113.19.00")</f>
        <v>7113.11.00</v>
      </c>
      <c r="J746" t="str">
        <f>IF(quantInv[[#This Row],[Metal]] = "925 Silver", "7113.11.10.00"," 7113.19.10.00")</f>
        <v>7113.11.10.00</v>
      </c>
      <c r="K746" t="str">
        <f>IF(quantInv[[#This Row],[Metal]] = "925 Silver",  "7113.11.00"," 7113.19.00")</f>
        <v>7113.11.00</v>
      </c>
      <c r="L746" t="str">
        <f>IFERROR(VLOOKUP(quantInv[[#This Row],[Description for New Invoice]],Map!$G$12:$H$32,2,FALSE), IF(quantInv[[#This Row],[Metal]] = "925 Silver", "7113.11.10.00", "7113.19.29.00"))</f>
        <v>7113.11.50.00</v>
      </c>
      <c r="M746" t="str">
        <f>quantInv[[#This Row],[ASIN]] &amp; " " &amp; quantInv[[#This Row],[Short Description]]</f>
        <v>B08CXQMDR1 Stud Earrings with Swarovski. EMERALD</v>
      </c>
      <c r="N746" s="33">
        <f>quantInv[[#This Row],[UNIT
VALUE]] / EURtoGBP</f>
        <v>2.4314246309444756</v>
      </c>
      <c r="O746" s="33">
        <f>quantInv[[#This Row],[UNIT
VALUE]]/USDtoGBP</f>
        <v>2.9363261378263785</v>
      </c>
      <c r="P746" s="33">
        <f>quantInv[[#This Row],[UNIT
VALUE]] / CADtoGBP</f>
        <v>3.758666252546575</v>
      </c>
      <c r="Q746" s="33">
        <f>quantInv[[#This Row],[UNIT
VALUE]]/AUDtoGBP</f>
        <v>3.847259142179754</v>
      </c>
      <c r="R746">
        <f>IFERROR(VLOOKUP(quantInv[[#This Row],[Assigned Item SKU]],skuQuantity[#All],2,FALSE),0)</f>
        <v>0</v>
      </c>
      <c r="S746" t="str">
        <f>PROPER(quantInv[[#This Row],[Metal]] &amp; " " &amp; quantInv[[#This Row],[Item Type]])</f>
        <v>925 Silver Earrings</v>
      </c>
      <c r="T746" s="33">
        <f>quantInv[[#This Row],[Quantity]]*quantInv[[#This Row],[WEIGHT]]</f>
        <v>0</v>
      </c>
      <c r="U746" s="33">
        <f>quantInv[[#This Row],[UNIT
VALUE]]*quantInv[[#This Row],[Quantity]]</f>
        <v>0</v>
      </c>
      <c r="V746" s="33">
        <f>quantInv[[#This Row],[Total Cost GBP]]/EURtoGBP</f>
        <v>0</v>
      </c>
      <c r="W746" s="33">
        <f>quantInv[[#This Row],[Total Cost GBP]]/USDtoGBP</f>
        <v>0</v>
      </c>
      <c r="X746" s="33">
        <f>quantInv[[#This Row],[Total Cost GBP]]/CADtoGBP</f>
        <v>0</v>
      </c>
      <c r="Y746" s="33">
        <f>quantInv[[#This Row],[Quantity]]*quantInv[[#This Row],[UNIT
VALUE AUD]]</f>
        <v>0</v>
      </c>
      <c r="Z746" s="33"/>
    </row>
    <row r="747" spans="1:26" x14ac:dyDescent="0.25">
      <c r="A747" t="s">
        <v>1784</v>
      </c>
      <c r="B747" t="s">
        <v>1785</v>
      </c>
      <c r="C747" t="s">
        <v>114</v>
      </c>
      <c r="D747" t="s">
        <v>1786</v>
      </c>
      <c r="E747">
        <v>0.7</v>
      </c>
      <c r="F747" s="33">
        <v>2.1419999999999999</v>
      </c>
      <c r="G747" s="33" t="s">
        <v>117</v>
      </c>
      <c r="H747" t="s">
        <v>1310</v>
      </c>
      <c r="I747" t="str">
        <f>IF(quantInv[[#This Row],[Metal]] = "925 Silver",  "7113.11.00"," 7113.19.00")</f>
        <v>7113.11.00</v>
      </c>
      <c r="J747" t="str">
        <f>IF(quantInv[[#This Row],[Metal]] = "925 Silver", "7113.11.10.00"," 7113.19.10.00")</f>
        <v>7113.11.10.00</v>
      </c>
      <c r="K747" t="str">
        <f>IF(quantInv[[#This Row],[Metal]] = "925 Silver",  "7113.11.00"," 7113.19.00")</f>
        <v>7113.11.00</v>
      </c>
      <c r="L747" t="str">
        <f>IFERROR(VLOOKUP(quantInv[[#This Row],[Description for New Invoice]],Map!$G$12:$H$32,2,FALSE), IF(quantInv[[#This Row],[Metal]] = "925 Silver", "7113.11.10.00", "7113.19.29.00"))</f>
        <v>7113.11.50.00</v>
      </c>
      <c r="M747" t="str">
        <f>quantInv[[#This Row],[ASIN]] &amp; " " &amp; quantInv[[#This Row],[Short Description]]</f>
        <v>B08CXKT94H Stud Earrings with Swarovski. SAPPHIRE</v>
      </c>
      <c r="N747" s="33">
        <f>quantInv[[#This Row],[UNIT
VALUE]] / EURtoGBP</f>
        <v>2.4314246309444756</v>
      </c>
      <c r="O747" s="33">
        <f>quantInv[[#This Row],[UNIT
VALUE]]/USDtoGBP</f>
        <v>2.9363261378263785</v>
      </c>
      <c r="P747" s="33">
        <f>quantInv[[#This Row],[UNIT
VALUE]] / CADtoGBP</f>
        <v>3.758666252546575</v>
      </c>
      <c r="Q747" s="33">
        <f>quantInv[[#This Row],[UNIT
VALUE]]/AUDtoGBP</f>
        <v>3.847259142179754</v>
      </c>
      <c r="R747">
        <f>IFERROR(VLOOKUP(quantInv[[#This Row],[Assigned Item SKU]],skuQuantity[#All],2,FALSE),0)</f>
        <v>0</v>
      </c>
      <c r="S747" t="str">
        <f>PROPER(quantInv[[#This Row],[Metal]] &amp; " " &amp; quantInv[[#This Row],[Item Type]])</f>
        <v>925 Silver Earrings</v>
      </c>
      <c r="T747" s="33">
        <f>quantInv[[#This Row],[Quantity]]*quantInv[[#This Row],[WEIGHT]]</f>
        <v>0</v>
      </c>
      <c r="U747" s="33">
        <f>quantInv[[#This Row],[UNIT
VALUE]]*quantInv[[#This Row],[Quantity]]</f>
        <v>0</v>
      </c>
      <c r="V747" s="33">
        <f>quantInv[[#This Row],[Total Cost GBP]]/EURtoGBP</f>
        <v>0</v>
      </c>
      <c r="W747" s="33">
        <f>quantInv[[#This Row],[Total Cost GBP]]/USDtoGBP</f>
        <v>0</v>
      </c>
      <c r="X747" s="33">
        <f>quantInv[[#This Row],[Total Cost GBP]]/CADtoGBP</f>
        <v>0</v>
      </c>
      <c r="Y747" s="33">
        <f>quantInv[[#This Row],[Quantity]]*quantInv[[#This Row],[UNIT
VALUE AUD]]</f>
        <v>0</v>
      </c>
      <c r="Z747" s="33"/>
    </row>
    <row r="748" spans="1:26" x14ac:dyDescent="0.25">
      <c r="A748" t="s">
        <v>1787</v>
      </c>
      <c r="B748" t="s">
        <v>1788</v>
      </c>
      <c r="C748" t="s">
        <v>114</v>
      </c>
      <c r="D748" t="s">
        <v>1789</v>
      </c>
      <c r="E748">
        <v>0.7</v>
      </c>
      <c r="F748" s="33">
        <v>2.1419999999999999</v>
      </c>
      <c r="G748" s="33" t="s">
        <v>117</v>
      </c>
      <c r="H748" t="s">
        <v>1310</v>
      </c>
      <c r="I748" t="str">
        <f>IF(quantInv[[#This Row],[Metal]] = "925 Silver",  "7113.11.00"," 7113.19.00")</f>
        <v>7113.11.00</v>
      </c>
      <c r="J748" t="str">
        <f>IF(quantInv[[#This Row],[Metal]] = "925 Silver", "7113.11.10.00"," 7113.19.10.00")</f>
        <v>7113.11.10.00</v>
      </c>
      <c r="K748" t="str">
        <f>IF(quantInv[[#This Row],[Metal]] = "925 Silver",  "7113.11.00"," 7113.19.00")</f>
        <v>7113.11.00</v>
      </c>
      <c r="L748" t="str">
        <f>IFERROR(VLOOKUP(quantInv[[#This Row],[Description for New Invoice]],Map!$G$12:$H$32,2,FALSE), IF(quantInv[[#This Row],[Metal]] = "925 Silver", "7113.11.10.00", "7113.19.29.00"))</f>
        <v>7113.11.50.00</v>
      </c>
      <c r="M748" t="str">
        <f>quantInv[[#This Row],[ASIN]] &amp; " " &amp; quantInv[[#This Row],[Short Description]]</f>
        <v>B08CXX352G Stud Earrings with Swarovski. ROSE</v>
      </c>
      <c r="N748" s="33">
        <f>quantInv[[#This Row],[UNIT
VALUE]] / EURtoGBP</f>
        <v>2.4314246309444756</v>
      </c>
      <c r="O748" s="33">
        <f>quantInv[[#This Row],[UNIT
VALUE]]/USDtoGBP</f>
        <v>2.9363261378263785</v>
      </c>
      <c r="P748" s="33">
        <f>quantInv[[#This Row],[UNIT
VALUE]] / CADtoGBP</f>
        <v>3.758666252546575</v>
      </c>
      <c r="Q748" s="33">
        <f>quantInv[[#This Row],[UNIT
VALUE]]/AUDtoGBP</f>
        <v>3.847259142179754</v>
      </c>
      <c r="R748">
        <f>IFERROR(VLOOKUP(quantInv[[#This Row],[Assigned Item SKU]],skuQuantity[#All],2,FALSE),0)</f>
        <v>0</v>
      </c>
      <c r="S748" t="str">
        <f>PROPER(quantInv[[#This Row],[Metal]] &amp; " " &amp; quantInv[[#This Row],[Item Type]])</f>
        <v>925 Silver Earrings</v>
      </c>
      <c r="T748" s="33">
        <f>quantInv[[#This Row],[Quantity]]*quantInv[[#This Row],[WEIGHT]]</f>
        <v>0</v>
      </c>
      <c r="U748" s="33">
        <f>quantInv[[#This Row],[UNIT
VALUE]]*quantInv[[#This Row],[Quantity]]</f>
        <v>0</v>
      </c>
      <c r="V748" s="33">
        <f>quantInv[[#This Row],[Total Cost GBP]]/EURtoGBP</f>
        <v>0</v>
      </c>
      <c r="W748" s="33">
        <f>quantInv[[#This Row],[Total Cost GBP]]/USDtoGBP</f>
        <v>0</v>
      </c>
      <c r="X748" s="33">
        <f>quantInv[[#This Row],[Total Cost GBP]]/CADtoGBP</f>
        <v>0</v>
      </c>
      <c r="Y748" s="33">
        <f>quantInv[[#This Row],[Quantity]]*quantInv[[#This Row],[UNIT
VALUE AUD]]</f>
        <v>0</v>
      </c>
      <c r="Z748" s="33"/>
    </row>
    <row r="749" spans="1:26" x14ac:dyDescent="0.25">
      <c r="A749" t="s">
        <v>1790</v>
      </c>
      <c r="B749" t="s">
        <v>1791</v>
      </c>
      <c r="C749" t="s">
        <v>114</v>
      </c>
      <c r="D749" t="s">
        <v>1792</v>
      </c>
      <c r="E749">
        <v>0.7</v>
      </c>
      <c r="F749" s="33">
        <v>2.1419999999999999</v>
      </c>
      <c r="G749" s="33" t="s">
        <v>117</v>
      </c>
      <c r="H749" t="s">
        <v>1310</v>
      </c>
      <c r="I749" t="str">
        <f>IF(quantInv[[#This Row],[Metal]] = "925 Silver",  "7113.11.00"," 7113.19.00")</f>
        <v>7113.11.00</v>
      </c>
      <c r="J749" t="str">
        <f>IF(quantInv[[#This Row],[Metal]] = "925 Silver", "7113.11.10.00"," 7113.19.10.00")</f>
        <v>7113.11.10.00</v>
      </c>
      <c r="K749" t="str">
        <f>IF(quantInv[[#This Row],[Metal]] = "925 Silver",  "7113.11.00"," 7113.19.00")</f>
        <v>7113.11.00</v>
      </c>
      <c r="L749" t="str">
        <f>IFERROR(VLOOKUP(quantInv[[#This Row],[Description for New Invoice]],Map!$G$12:$H$32,2,FALSE), IF(quantInv[[#This Row],[Metal]] = "925 Silver", "7113.11.10.00", "7113.19.29.00"))</f>
        <v>7113.11.50.00</v>
      </c>
      <c r="M749" t="str">
        <f>quantInv[[#This Row],[ASIN]] &amp; " " &amp; quantInv[[#This Row],[Short Description]]</f>
        <v>B08CXR1M6C Stud Earrings with Swarovski. BLACK DIAMOND</v>
      </c>
      <c r="N749" s="33">
        <f>quantInv[[#This Row],[UNIT
VALUE]] / EURtoGBP</f>
        <v>2.4314246309444756</v>
      </c>
      <c r="O749" s="33">
        <f>quantInv[[#This Row],[UNIT
VALUE]]/USDtoGBP</f>
        <v>2.9363261378263785</v>
      </c>
      <c r="P749" s="33">
        <f>quantInv[[#This Row],[UNIT
VALUE]] / CADtoGBP</f>
        <v>3.758666252546575</v>
      </c>
      <c r="Q749" s="33">
        <f>quantInv[[#This Row],[UNIT
VALUE]]/AUDtoGBP</f>
        <v>3.847259142179754</v>
      </c>
      <c r="R749">
        <f>IFERROR(VLOOKUP(quantInv[[#This Row],[Assigned Item SKU]],skuQuantity[#All],2,FALSE),0)</f>
        <v>0</v>
      </c>
      <c r="S749" t="str">
        <f>PROPER(quantInv[[#This Row],[Metal]] &amp; " " &amp; quantInv[[#This Row],[Item Type]])</f>
        <v>925 Silver Earrings</v>
      </c>
      <c r="T749" s="33">
        <f>quantInv[[#This Row],[Quantity]]*quantInv[[#This Row],[WEIGHT]]</f>
        <v>0</v>
      </c>
      <c r="U749" s="33">
        <f>quantInv[[#This Row],[UNIT
VALUE]]*quantInv[[#This Row],[Quantity]]</f>
        <v>0</v>
      </c>
      <c r="V749" s="33">
        <f>quantInv[[#This Row],[Total Cost GBP]]/EURtoGBP</f>
        <v>0</v>
      </c>
      <c r="W749" s="33">
        <f>quantInv[[#This Row],[Total Cost GBP]]/USDtoGBP</f>
        <v>0</v>
      </c>
      <c r="X749" s="33">
        <f>quantInv[[#This Row],[Total Cost GBP]]/CADtoGBP</f>
        <v>0</v>
      </c>
      <c r="Y749" s="33">
        <f>quantInv[[#This Row],[Quantity]]*quantInv[[#This Row],[UNIT
VALUE AUD]]</f>
        <v>0</v>
      </c>
      <c r="Z749" s="33"/>
    </row>
    <row r="750" spans="1:26" x14ac:dyDescent="0.25">
      <c r="A750" t="s">
        <v>1793</v>
      </c>
      <c r="B750" t="s">
        <v>1794</v>
      </c>
      <c r="C750" t="s">
        <v>114</v>
      </c>
      <c r="D750" t="s">
        <v>1795</v>
      </c>
      <c r="E750">
        <v>0.7</v>
      </c>
      <c r="F750" s="33">
        <v>2.1419999999999999</v>
      </c>
      <c r="G750" s="33" t="s">
        <v>117</v>
      </c>
      <c r="H750" t="s">
        <v>1310</v>
      </c>
      <c r="I750" t="str">
        <f>IF(quantInv[[#This Row],[Metal]] = "925 Silver",  "7113.11.00"," 7113.19.00")</f>
        <v>7113.11.00</v>
      </c>
      <c r="J750" t="str">
        <f>IF(quantInv[[#This Row],[Metal]] = "925 Silver", "7113.11.10.00"," 7113.19.10.00")</f>
        <v>7113.11.10.00</v>
      </c>
      <c r="K750" t="str">
        <f>IF(quantInv[[#This Row],[Metal]] = "925 Silver",  "7113.11.00"," 7113.19.00")</f>
        <v>7113.11.00</v>
      </c>
      <c r="L750" t="str">
        <f>IFERROR(VLOOKUP(quantInv[[#This Row],[Description for New Invoice]],Map!$G$12:$H$32,2,FALSE), IF(quantInv[[#This Row],[Metal]] = "925 Silver", "7113.11.10.00", "7113.19.29.00"))</f>
        <v>7113.11.50.00</v>
      </c>
      <c r="M750" t="str">
        <f>quantInv[[#This Row],[ASIN]] &amp; " " &amp; quantInv[[#This Row],[Short Description]]</f>
        <v>B08CXJD935 Stud Earrings with Swarovski. WHITE OPAL</v>
      </c>
      <c r="N750" s="33">
        <f>quantInv[[#This Row],[UNIT
VALUE]] / EURtoGBP</f>
        <v>2.4314246309444756</v>
      </c>
      <c r="O750" s="33">
        <f>quantInv[[#This Row],[UNIT
VALUE]]/USDtoGBP</f>
        <v>2.9363261378263785</v>
      </c>
      <c r="P750" s="33">
        <f>quantInv[[#This Row],[UNIT
VALUE]] / CADtoGBP</f>
        <v>3.758666252546575</v>
      </c>
      <c r="Q750" s="33">
        <f>quantInv[[#This Row],[UNIT
VALUE]]/AUDtoGBP</f>
        <v>3.847259142179754</v>
      </c>
      <c r="R750">
        <f>IFERROR(VLOOKUP(quantInv[[#This Row],[Assigned Item SKU]],skuQuantity[#All],2,FALSE),0)</f>
        <v>0</v>
      </c>
      <c r="S750" t="str">
        <f>PROPER(quantInv[[#This Row],[Metal]] &amp; " " &amp; quantInv[[#This Row],[Item Type]])</f>
        <v>925 Silver Earrings</v>
      </c>
      <c r="T750" s="33">
        <f>quantInv[[#This Row],[Quantity]]*quantInv[[#This Row],[WEIGHT]]</f>
        <v>0</v>
      </c>
      <c r="U750" s="33">
        <f>quantInv[[#This Row],[UNIT
VALUE]]*quantInv[[#This Row],[Quantity]]</f>
        <v>0</v>
      </c>
      <c r="V750" s="33">
        <f>quantInv[[#This Row],[Total Cost GBP]]/EURtoGBP</f>
        <v>0</v>
      </c>
      <c r="W750" s="33">
        <f>quantInv[[#This Row],[Total Cost GBP]]/USDtoGBP</f>
        <v>0</v>
      </c>
      <c r="X750" s="33">
        <f>quantInv[[#This Row],[Total Cost GBP]]/CADtoGBP</f>
        <v>0</v>
      </c>
      <c r="Y750" s="33">
        <f>quantInv[[#This Row],[Quantity]]*quantInv[[#This Row],[UNIT
VALUE AUD]]</f>
        <v>0</v>
      </c>
      <c r="Z750" s="33"/>
    </row>
    <row r="751" spans="1:26" x14ac:dyDescent="0.25">
      <c r="A751" t="s">
        <v>1796</v>
      </c>
      <c r="B751" t="s">
        <v>1797</v>
      </c>
      <c r="C751" t="s">
        <v>114</v>
      </c>
      <c r="D751" t="s">
        <v>1798</v>
      </c>
      <c r="E751">
        <v>0.7</v>
      </c>
      <c r="F751" s="33">
        <v>2.1419999999999999</v>
      </c>
      <c r="G751" s="33" t="s">
        <v>117</v>
      </c>
      <c r="H751" t="s">
        <v>1310</v>
      </c>
      <c r="I751" t="str">
        <f>IF(quantInv[[#This Row],[Metal]] = "925 Silver",  "7113.11.00"," 7113.19.00")</f>
        <v>7113.11.00</v>
      </c>
      <c r="J751" t="str">
        <f>IF(quantInv[[#This Row],[Metal]] = "925 Silver", "7113.11.10.00"," 7113.19.10.00")</f>
        <v>7113.11.10.00</v>
      </c>
      <c r="K751" t="str">
        <f>IF(quantInv[[#This Row],[Metal]] = "925 Silver",  "7113.11.00"," 7113.19.00")</f>
        <v>7113.11.00</v>
      </c>
      <c r="L751" t="str">
        <f>IFERROR(VLOOKUP(quantInv[[#This Row],[Description for New Invoice]],Map!$G$12:$H$32,2,FALSE), IF(quantInv[[#This Row],[Metal]] = "925 Silver", "7113.11.10.00", "7113.19.29.00"))</f>
        <v>7113.11.50.00</v>
      </c>
      <c r="M751" t="str">
        <f>quantInv[[#This Row],[ASIN]] &amp; " " &amp; quantInv[[#This Row],[Short Description]]</f>
        <v>B08CXLTJ2Q Stud Earrings with Swarovski. CHRYSOLITE</v>
      </c>
      <c r="N751" s="33">
        <f>quantInv[[#This Row],[UNIT
VALUE]] / EURtoGBP</f>
        <v>2.4314246309444756</v>
      </c>
      <c r="O751" s="33">
        <f>quantInv[[#This Row],[UNIT
VALUE]]/USDtoGBP</f>
        <v>2.9363261378263785</v>
      </c>
      <c r="P751" s="33">
        <f>quantInv[[#This Row],[UNIT
VALUE]] / CADtoGBP</f>
        <v>3.758666252546575</v>
      </c>
      <c r="Q751" s="33">
        <f>quantInv[[#This Row],[UNIT
VALUE]]/AUDtoGBP</f>
        <v>3.847259142179754</v>
      </c>
      <c r="R751">
        <f>IFERROR(VLOOKUP(quantInv[[#This Row],[Assigned Item SKU]],skuQuantity[#All],2,FALSE),0)</f>
        <v>0</v>
      </c>
      <c r="S751" t="str">
        <f>PROPER(quantInv[[#This Row],[Metal]] &amp; " " &amp; quantInv[[#This Row],[Item Type]])</f>
        <v>925 Silver Earrings</v>
      </c>
      <c r="T751" s="33">
        <f>quantInv[[#This Row],[Quantity]]*quantInv[[#This Row],[WEIGHT]]</f>
        <v>0</v>
      </c>
      <c r="U751" s="33">
        <f>quantInv[[#This Row],[UNIT
VALUE]]*quantInv[[#This Row],[Quantity]]</f>
        <v>0</v>
      </c>
      <c r="V751" s="33">
        <f>quantInv[[#This Row],[Total Cost GBP]]/EURtoGBP</f>
        <v>0</v>
      </c>
      <c r="W751" s="33">
        <f>quantInv[[#This Row],[Total Cost GBP]]/USDtoGBP</f>
        <v>0</v>
      </c>
      <c r="X751" s="33">
        <f>quantInv[[#This Row],[Total Cost GBP]]/CADtoGBP</f>
        <v>0</v>
      </c>
      <c r="Y751" s="33">
        <f>quantInv[[#This Row],[Quantity]]*quantInv[[#This Row],[UNIT
VALUE AUD]]</f>
        <v>0</v>
      </c>
      <c r="Z751" s="33"/>
    </row>
    <row r="752" spans="1:26" x14ac:dyDescent="0.25">
      <c r="A752" t="s">
        <v>1799</v>
      </c>
      <c r="B752" t="s">
        <v>1800</v>
      </c>
      <c r="C752" t="s">
        <v>114</v>
      </c>
      <c r="D752" t="s">
        <v>1801</v>
      </c>
      <c r="E752">
        <v>0.7</v>
      </c>
      <c r="F752" s="33">
        <v>2.1419999999999999</v>
      </c>
      <c r="G752" s="33" t="s">
        <v>117</v>
      </c>
      <c r="H752" t="s">
        <v>1310</v>
      </c>
      <c r="I752" t="str">
        <f>IF(quantInv[[#This Row],[Metal]] = "925 Silver",  "7113.11.00"," 7113.19.00")</f>
        <v>7113.11.00</v>
      </c>
      <c r="J752" t="str">
        <f>IF(quantInv[[#This Row],[Metal]] = "925 Silver", "7113.11.10.00"," 7113.19.10.00")</f>
        <v>7113.11.10.00</v>
      </c>
      <c r="K752" t="str">
        <f>IF(quantInv[[#This Row],[Metal]] = "925 Silver",  "7113.11.00"," 7113.19.00")</f>
        <v>7113.11.00</v>
      </c>
      <c r="L752" t="str">
        <f>IFERROR(VLOOKUP(quantInv[[#This Row],[Description for New Invoice]],Map!$G$12:$H$32,2,FALSE), IF(quantInv[[#This Row],[Metal]] = "925 Silver", "7113.11.10.00", "7113.19.29.00"))</f>
        <v>7113.11.50.00</v>
      </c>
      <c r="M752" t="str">
        <f>quantInv[[#This Row],[ASIN]] &amp; " " &amp; quantInv[[#This Row],[Short Description]]</f>
        <v>B08CXFTTTY Stud Earrings with Swarovski. LIGHT TURQUOISE</v>
      </c>
      <c r="N752" s="33">
        <f>quantInv[[#This Row],[UNIT
VALUE]] / EURtoGBP</f>
        <v>2.4314246309444756</v>
      </c>
      <c r="O752" s="33">
        <f>quantInv[[#This Row],[UNIT
VALUE]]/USDtoGBP</f>
        <v>2.9363261378263785</v>
      </c>
      <c r="P752" s="33">
        <f>quantInv[[#This Row],[UNIT
VALUE]] / CADtoGBP</f>
        <v>3.758666252546575</v>
      </c>
      <c r="Q752" s="33">
        <f>quantInv[[#This Row],[UNIT
VALUE]]/AUDtoGBP</f>
        <v>3.847259142179754</v>
      </c>
      <c r="R752">
        <f>IFERROR(VLOOKUP(quantInv[[#This Row],[Assigned Item SKU]],skuQuantity[#All],2,FALSE),0)</f>
        <v>0</v>
      </c>
      <c r="S752" t="str">
        <f>PROPER(quantInv[[#This Row],[Metal]] &amp; " " &amp; quantInv[[#This Row],[Item Type]])</f>
        <v>925 Silver Earrings</v>
      </c>
      <c r="T752" s="33">
        <f>quantInv[[#This Row],[Quantity]]*quantInv[[#This Row],[WEIGHT]]</f>
        <v>0</v>
      </c>
      <c r="U752" s="33">
        <f>quantInv[[#This Row],[UNIT
VALUE]]*quantInv[[#This Row],[Quantity]]</f>
        <v>0</v>
      </c>
      <c r="V752" s="33">
        <f>quantInv[[#This Row],[Total Cost GBP]]/EURtoGBP</f>
        <v>0</v>
      </c>
      <c r="W752" s="33">
        <f>quantInv[[#This Row],[Total Cost GBP]]/USDtoGBP</f>
        <v>0</v>
      </c>
      <c r="X752" s="33">
        <f>quantInv[[#This Row],[Total Cost GBP]]/CADtoGBP</f>
        <v>0</v>
      </c>
      <c r="Y752" s="33">
        <f>quantInv[[#This Row],[Quantity]]*quantInv[[#This Row],[UNIT
VALUE AUD]]</f>
        <v>0</v>
      </c>
      <c r="Z752" s="33"/>
    </row>
    <row r="753" spans="1:26" x14ac:dyDescent="0.25">
      <c r="A753" t="s">
        <v>1802</v>
      </c>
      <c r="B753" t="s">
        <v>1803</v>
      </c>
      <c r="C753" t="s">
        <v>114</v>
      </c>
      <c r="D753" t="s">
        <v>1804</v>
      </c>
      <c r="E753">
        <v>0.7</v>
      </c>
      <c r="F753" s="33">
        <v>2.1419999999999999</v>
      </c>
      <c r="G753" s="33" t="s">
        <v>117</v>
      </c>
      <c r="H753" t="s">
        <v>1310</v>
      </c>
      <c r="I753" t="str">
        <f>IF(quantInv[[#This Row],[Metal]] = "925 Silver",  "7113.11.00"," 7113.19.00")</f>
        <v>7113.11.00</v>
      </c>
      <c r="J753" t="str">
        <f>IF(quantInv[[#This Row],[Metal]] = "925 Silver", "7113.11.10.00"," 7113.19.10.00")</f>
        <v>7113.11.10.00</v>
      </c>
      <c r="K753" t="str">
        <f>IF(quantInv[[#This Row],[Metal]] = "925 Silver",  "7113.11.00"," 7113.19.00")</f>
        <v>7113.11.00</v>
      </c>
      <c r="L753" t="str">
        <f>IFERROR(VLOOKUP(quantInv[[#This Row],[Description for New Invoice]],Map!$G$12:$H$32,2,FALSE), IF(quantInv[[#This Row],[Metal]] = "925 Silver", "7113.11.10.00", "7113.19.29.00"))</f>
        <v>7113.11.50.00</v>
      </c>
      <c r="M753" t="str">
        <f>quantInv[[#This Row],[ASIN]] &amp; " " &amp; quantInv[[#This Row],[Short Description]]</f>
        <v>B08CXN1B8Y Stud Earrings with Swarovski. DENIM BLUE</v>
      </c>
      <c r="N753" s="33">
        <f>quantInv[[#This Row],[UNIT
VALUE]] / EURtoGBP</f>
        <v>2.4314246309444756</v>
      </c>
      <c r="O753" s="33">
        <f>quantInv[[#This Row],[UNIT
VALUE]]/USDtoGBP</f>
        <v>2.9363261378263785</v>
      </c>
      <c r="P753" s="33">
        <f>quantInv[[#This Row],[UNIT
VALUE]] / CADtoGBP</f>
        <v>3.758666252546575</v>
      </c>
      <c r="Q753" s="33">
        <f>quantInv[[#This Row],[UNIT
VALUE]]/AUDtoGBP</f>
        <v>3.847259142179754</v>
      </c>
      <c r="R753">
        <f>IFERROR(VLOOKUP(quantInv[[#This Row],[Assigned Item SKU]],skuQuantity[#All],2,FALSE),0)</f>
        <v>0</v>
      </c>
      <c r="S753" t="str">
        <f>PROPER(quantInv[[#This Row],[Metal]] &amp; " " &amp; quantInv[[#This Row],[Item Type]])</f>
        <v>925 Silver Earrings</v>
      </c>
      <c r="T753" s="33">
        <f>quantInv[[#This Row],[Quantity]]*quantInv[[#This Row],[WEIGHT]]</f>
        <v>0</v>
      </c>
      <c r="U753" s="33">
        <f>quantInv[[#This Row],[UNIT
VALUE]]*quantInv[[#This Row],[Quantity]]</f>
        <v>0</v>
      </c>
      <c r="V753" s="33">
        <f>quantInv[[#This Row],[Total Cost GBP]]/EURtoGBP</f>
        <v>0</v>
      </c>
      <c r="W753" s="33">
        <f>quantInv[[#This Row],[Total Cost GBP]]/USDtoGBP</f>
        <v>0</v>
      </c>
      <c r="X753" s="33">
        <f>quantInv[[#This Row],[Total Cost GBP]]/CADtoGBP</f>
        <v>0</v>
      </c>
      <c r="Y753" s="33">
        <f>quantInv[[#This Row],[Quantity]]*quantInv[[#This Row],[UNIT
VALUE AUD]]</f>
        <v>0</v>
      </c>
      <c r="Z753" s="33"/>
    </row>
    <row r="754" spans="1:26" x14ac:dyDescent="0.25">
      <c r="A754" t="s">
        <v>1805</v>
      </c>
      <c r="B754" t="s">
        <v>1806</v>
      </c>
      <c r="C754" t="s">
        <v>114</v>
      </c>
      <c r="D754" t="s">
        <v>1774</v>
      </c>
      <c r="E754">
        <v>0.7</v>
      </c>
      <c r="F754" s="33">
        <v>2.1419999999999999</v>
      </c>
      <c r="G754" s="33" t="s">
        <v>117</v>
      </c>
      <c r="H754" t="s">
        <v>1310</v>
      </c>
      <c r="I754" t="str">
        <f>IF(quantInv[[#This Row],[Metal]] = "925 Silver",  "7113.11.00"," 7113.19.00")</f>
        <v>7113.11.00</v>
      </c>
      <c r="J754" t="str">
        <f>IF(quantInv[[#This Row],[Metal]] = "925 Silver", "7113.11.10.00"," 7113.19.10.00")</f>
        <v>7113.11.10.00</v>
      </c>
      <c r="K754" t="str">
        <f>IF(quantInv[[#This Row],[Metal]] = "925 Silver",  "7113.11.00"," 7113.19.00")</f>
        <v>7113.11.00</v>
      </c>
      <c r="L754" t="str">
        <f>IFERROR(VLOOKUP(quantInv[[#This Row],[Description for New Invoice]],Map!$G$12:$H$32,2,FALSE), IF(quantInv[[#This Row],[Metal]] = "925 Silver", "7113.11.10.00", "7113.19.29.00"))</f>
        <v>7113.11.50.00</v>
      </c>
      <c r="M754" t="str">
        <f>quantInv[[#This Row],[ASIN]] &amp; " " &amp; quantInv[[#This Row],[Short Description]]</f>
        <v>B08CXKT7P2 Stud Earrings with Swarovski. JET</v>
      </c>
      <c r="N754" s="33">
        <f>quantInv[[#This Row],[UNIT
VALUE]] / EURtoGBP</f>
        <v>2.4314246309444756</v>
      </c>
      <c r="O754" s="33">
        <f>quantInv[[#This Row],[UNIT
VALUE]]/USDtoGBP</f>
        <v>2.9363261378263785</v>
      </c>
      <c r="P754" s="33">
        <f>quantInv[[#This Row],[UNIT
VALUE]] / CADtoGBP</f>
        <v>3.758666252546575</v>
      </c>
      <c r="Q754" s="33">
        <f>quantInv[[#This Row],[UNIT
VALUE]]/AUDtoGBP</f>
        <v>3.847259142179754</v>
      </c>
      <c r="R754">
        <f>IFERROR(VLOOKUP(quantInv[[#This Row],[Assigned Item SKU]],skuQuantity[#All],2,FALSE),0)</f>
        <v>0</v>
      </c>
      <c r="S754" t="str">
        <f>PROPER(quantInv[[#This Row],[Metal]] &amp; " " &amp; quantInv[[#This Row],[Item Type]])</f>
        <v>925 Silver Earrings</v>
      </c>
      <c r="T754" s="33">
        <f>quantInv[[#This Row],[Quantity]]*quantInv[[#This Row],[WEIGHT]]</f>
        <v>0</v>
      </c>
      <c r="U754" s="33">
        <f>quantInv[[#This Row],[UNIT
VALUE]]*quantInv[[#This Row],[Quantity]]</f>
        <v>0</v>
      </c>
      <c r="V754" s="33">
        <f>quantInv[[#This Row],[Total Cost GBP]]/EURtoGBP</f>
        <v>0</v>
      </c>
      <c r="W754" s="33">
        <f>quantInv[[#This Row],[Total Cost GBP]]/USDtoGBP</f>
        <v>0</v>
      </c>
      <c r="X754" s="33">
        <f>quantInv[[#This Row],[Total Cost GBP]]/CADtoGBP</f>
        <v>0</v>
      </c>
      <c r="Y754" s="33">
        <f>quantInv[[#This Row],[Quantity]]*quantInv[[#This Row],[UNIT
VALUE AUD]]</f>
        <v>0</v>
      </c>
      <c r="Z754" s="33"/>
    </row>
    <row r="755" spans="1:26" x14ac:dyDescent="0.25">
      <c r="A755" t="s">
        <v>1807</v>
      </c>
      <c r="B755" t="s">
        <v>1808</v>
      </c>
      <c r="C755" t="s">
        <v>114</v>
      </c>
      <c r="D755" t="s">
        <v>1809</v>
      </c>
      <c r="E755">
        <v>0.7</v>
      </c>
      <c r="F755" s="33">
        <v>2.1419999999999999</v>
      </c>
      <c r="G755" s="33" t="s">
        <v>117</v>
      </c>
      <c r="H755" t="s">
        <v>1310</v>
      </c>
      <c r="I755" t="str">
        <f>IF(quantInv[[#This Row],[Metal]] = "925 Silver",  "7113.11.00"," 7113.19.00")</f>
        <v>7113.11.00</v>
      </c>
      <c r="J755" t="str">
        <f>IF(quantInv[[#This Row],[Metal]] = "925 Silver", "7113.11.10.00"," 7113.19.10.00")</f>
        <v>7113.11.10.00</v>
      </c>
      <c r="K755" t="str">
        <f>IF(quantInv[[#This Row],[Metal]] = "925 Silver",  "7113.11.00"," 7113.19.00")</f>
        <v>7113.11.00</v>
      </c>
      <c r="L755" t="str">
        <f>IFERROR(VLOOKUP(quantInv[[#This Row],[Description for New Invoice]],Map!$G$12:$H$32,2,FALSE), IF(quantInv[[#This Row],[Metal]] = "925 Silver", "7113.11.10.00", "7113.19.29.00"))</f>
        <v>7113.11.50.00</v>
      </c>
      <c r="M755" t="str">
        <f>quantInv[[#This Row],[ASIN]] &amp; " " &amp; quantInv[[#This Row],[Short Description]]</f>
        <v>B08CXPY2RR Stud Earrings with Swarovski. MAJESTIC BLUE</v>
      </c>
      <c r="N755" s="33">
        <f>quantInv[[#This Row],[UNIT
VALUE]] / EURtoGBP</f>
        <v>2.4314246309444756</v>
      </c>
      <c r="O755" s="33">
        <f>quantInv[[#This Row],[UNIT
VALUE]]/USDtoGBP</f>
        <v>2.9363261378263785</v>
      </c>
      <c r="P755" s="33">
        <f>quantInv[[#This Row],[UNIT
VALUE]] / CADtoGBP</f>
        <v>3.758666252546575</v>
      </c>
      <c r="Q755" s="33">
        <f>quantInv[[#This Row],[UNIT
VALUE]]/AUDtoGBP</f>
        <v>3.847259142179754</v>
      </c>
      <c r="R755">
        <f>IFERROR(VLOOKUP(quantInv[[#This Row],[Assigned Item SKU]],skuQuantity[#All],2,FALSE),0)</f>
        <v>0</v>
      </c>
      <c r="S755" t="str">
        <f>PROPER(quantInv[[#This Row],[Metal]] &amp; " " &amp; quantInv[[#This Row],[Item Type]])</f>
        <v>925 Silver Earrings</v>
      </c>
      <c r="T755" s="33">
        <f>quantInv[[#This Row],[Quantity]]*quantInv[[#This Row],[WEIGHT]]</f>
        <v>0</v>
      </c>
      <c r="U755" s="33">
        <f>quantInv[[#This Row],[UNIT
VALUE]]*quantInv[[#This Row],[Quantity]]</f>
        <v>0</v>
      </c>
      <c r="V755" s="33">
        <f>quantInv[[#This Row],[Total Cost GBP]]/EURtoGBP</f>
        <v>0</v>
      </c>
      <c r="W755" s="33">
        <f>quantInv[[#This Row],[Total Cost GBP]]/USDtoGBP</f>
        <v>0</v>
      </c>
      <c r="X755" s="33">
        <f>quantInv[[#This Row],[Total Cost GBP]]/CADtoGBP</f>
        <v>0</v>
      </c>
      <c r="Y755" s="33">
        <f>quantInv[[#This Row],[Quantity]]*quantInv[[#This Row],[UNIT
VALUE AUD]]</f>
        <v>0</v>
      </c>
      <c r="Z755" s="33"/>
    </row>
    <row r="756" spans="1:26" x14ac:dyDescent="0.25">
      <c r="A756" t="s">
        <v>1810</v>
      </c>
      <c r="B756" t="s">
        <v>1811</v>
      </c>
      <c r="C756" t="s">
        <v>114</v>
      </c>
      <c r="D756" t="s">
        <v>1777</v>
      </c>
      <c r="E756">
        <v>0.7</v>
      </c>
      <c r="F756" s="33">
        <v>2.1419999999999999</v>
      </c>
      <c r="G756" s="33" t="s">
        <v>117</v>
      </c>
      <c r="H756" t="s">
        <v>1310</v>
      </c>
      <c r="I756" t="str">
        <f>IF(quantInv[[#This Row],[Metal]] = "925 Silver",  "7113.11.00"," 7113.19.00")</f>
        <v>7113.11.00</v>
      </c>
      <c r="J756" t="str">
        <f>IF(quantInv[[#This Row],[Metal]] = "925 Silver", "7113.11.10.00"," 7113.19.10.00")</f>
        <v>7113.11.10.00</v>
      </c>
      <c r="K756" t="str">
        <f>IF(quantInv[[#This Row],[Metal]] = "925 Silver",  "7113.11.00"," 7113.19.00")</f>
        <v>7113.11.00</v>
      </c>
      <c r="L756" t="str">
        <f>IFERROR(VLOOKUP(quantInv[[#This Row],[Description for New Invoice]],Map!$G$12:$H$32,2,FALSE), IF(quantInv[[#This Row],[Metal]] = "925 Silver", "7113.11.10.00", "7113.19.29.00"))</f>
        <v>7113.11.50.00</v>
      </c>
      <c r="M756" t="str">
        <f>quantInv[[#This Row],[ASIN]] &amp; " " &amp; quantInv[[#This Row],[Short Description]]</f>
        <v>B08CXL6KJH Stud Earrings with Swarovski. CRYSTAL</v>
      </c>
      <c r="N756" s="33">
        <f>quantInv[[#This Row],[UNIT
VALUE]] / EURtoGBP</f>
        <v>2.4314246309444756</v>
      </c>
      <c r="O756" s="33">
        <f>quantInv[[#This Row],[UNIT
VALUE]]/USDtoGBP</f>
        <v>2.9363261378263785</v>
      </c>
      <c r="P756" s="33">
        <f>quantInv[[#This Row],[UNIT
VALUE]] / CADtoGBP</f>
        <v>3.758666252546575</v>
      </c>
      <c r="Q756" s="33">
        <f>quantInv[[#This Row],[UNIT
VALUE]]/AUDtoGBP</f>
        <v>3.847259142179754</v>
      </c>
      <c r="R756">
        <f>IFERROR(VLOOKUP(quantInv[[#This Row],[Assigned Item SKU]],skuQuantity[#All],2,FALSE),0)</f>
        <v>0</v>
      </c>
      <c r="S756" t="str">
        <f>PROPER(quantInv[[#This Row],[Metal]] &amp; " " &amp; quantInv[[#This Row],[Item Type]])</f>
        <v>925 Silver Earrings</v>
      </c>
      <c r="T756" s="33">
        <f>quantInv[[#This Row],[Quantity]]*quantInv[[#This Row],[WEIGHT]]</f>
        <v>0</v>
      </c>
      <c r="U756" s="33">
        <f>quantInv[[#This Row],[UNIT
VALUE]]*quantInv[[#This Row],[Quantity]]</f>
        <v>0</v>
      </c>
      <c r="V756" s="33">
        <f>quantInv[[#This Row],[Total Cost GBP]]/EURtoGBP</f>
        <v>0</v>
      </c>
      <c r="W756" s="33">
        <f>quantInv[[#This Row],[Total Cost GBP]]/USDtoGBP</f>
        <v>0</v>
      </c>
      <c r="X756" s="33">
        <f>quantInv[[#This Row],[Total Cost GBP]]/CADtoGBP</f>
        <v>0</v>
      </c>
      <c r="Y756" s="33">
        <f>quantInv[[#This Row],[Quantity]]*quantInv[[#This Row],[UNIT
VALUE AUD]]</f>
        <v>0</v>
      </c>
      <c r="Z756" s="33"/>
    </row>
    <row r="757" spans="1:26" x14ac:dyDescent="0.25">
      <c r="A757" t="s">
        <v>1812</v>
      </c>
      <c r="B757" t="s">
        <v>1813</v>
      </c>
      <c r="C757" t="s">
        <v>115</v>
      </c>
      <c r="D757" t="s">
        <v>2957</v>
      </c>
      <c r="E757">
        <v>0.32</v>
      </c>
      <c r="F757" s="33">
        <v>0.86929999999999996</v>
      </c>
      <c r="G757" s="33" t="s">
        <v>117</v>
      </c>
      <c r="H757" t="s">
        <v>1310</v>
      </c>
      <c r="I757" t="str">
        <f>IF(quantInv[[#This Row],[Metal]] = "925 Silver",  "7113.11.00"," 7113.19.00")</f>
        <v>7113.11.00</v>
      </c>
      <c r="J757" t="str">
        <f>IF(quantInv[[#This Row],[Metal]] = "925 Silver", "7113.11.10.00"," 7113.19.10.00")</f>
        <v>7113.11.10.00</v>
      </c>
      <c r="K757" t="str">
        <f>IF(quantInv[[#This Row],[Metal]] = "925 Silver",  "7113.11.00"," 7113.19.00")</f>
        <v>7113.11.00</v>
      </c>
      <c r="L757" t="str">
        <f>IFERROR(VLOOKUP(quantInv[[#This Row],[Description for New Invoice]],Map!$G$12:$H$32,2,FALSE), IF(quantInv[[#This Row],[Metal]] = "925 Silver", "7113.11.10.00", "7113.19.29.00"))</f>
        <v>7113.11.50.00</v>
      </c>
      <c r="M757" t="str">
        <f>quantInv[[#This Row],[ASIN]] &amp; " " &amp; quantInv[[#This Row],[Short Description]]</f>
        <v>B08NQ4W888 Cuff Earrings  Celtic Design  Connected</v>
      </c>
      <c r="N757" s="33">
        <f>quantInv[[#This Row],[UNIT
VALUE]] / EURtoGBP</f>
        <v>0.98675883831934297</v>
      </c>
      <c r="O757" s="33">
        <f>quantInv[[#This Row],[UNIT
VALUE]]/USDtoGBP</f>
        <v>1.1916658784371945</v>
      </c>
      <c r="P757" s="33">
        <f>quantInv[[#This Row],[UNIT
VALUE]] / CADtoGBP</f>
        <v>1.5254008278892333</v>
      </c>
      <c r="Q757" s="33">
        <f>quantInv[[#This Row],[UNIT
VALUE]]/AUDtoGBP</f>
        <v>1.5613549823981607</v>
      </c>
      <c r="R757">
        <f>IFERROR(VLOOKUP(quantInv[[#This Row],[Assigned Item SKU]],skuQuantity[#All],2,FALSE),0)</f>
        <v>0</v>
      </c>
      <c r="S757" t="str">
        <f>PROPER(quantInv[[#This Row],[Metal]] &amp; " " &amp; quantInv[[#This Row],[Item Type]])</f>
        <v>925 Silver Earrings</v>
      </c>
      <c r="T757" s="33">
        <f>quantInv[[#This Row],[Quantity]]*quantInv[[#This Row],[WEIGHT]]</f>
        <v>0</v>
      </c>
      <c r="U757" s="33">
        <f>quantInv[[#This Row],[UNIT
VALUE]]*quantInv[[#This Row],[Quantity]]</f>
        <v>0</v>
      </c>
      <c r="V757" s="33">
        <f>quantInv[[#This Row],[Total Cost GBP]]/EURtoGBP</f>
        <v>0</v>
      </c>
      <c r="W757" s="33">
        <f>quantInv[[#This Row],[Total Cost GBP]]/USDtoGBP</f>
        <v>0</v>
      </c>
      <c r="X757" s="33">
        <f>quantInv[[#This Row],[Total Cost GBP]]/CADtoGBP</f>
        <v>0</v>
      </c>
      <c r="Y757" s="33">
        <f>quantInv[[#This Row],[Quantity]]*quantInv[[#This Row],[UNIT
VALUE AUD]]</f>
        <v>0</v>
      </c>
      <c r="Z757" s="33"/>
    </row>
    <row r="758" spans="1:26" x14ac:dyDescent="0.25">
      <c r="A758" t="s">
        <v>1814</v>
      </c>
      <c r="B758" t="s">
        <v>1815</v>
      </c>
      <c r="C758" t="s">
        <v>115</v>
      </c>
      <c r="D758" t="s">
        <v>2958</v>
      </c>
      <c r="E758">
        <v>0.28999999999999998</v>
      </c>
      <c r="F758" s="33">
        <v>0.86929999999999996</v>
      </c>
      <c r="G758" s="33" t="s">
        <v>117</v>
      </c>
      <c r="H758" t="s">
        <v>1310</v>
      </c>
      <c r="I758" t="str">
        <f>IF(quantInv[[#This Row],[Metal]] = "925 Silver",  "7113.11.00"," 7113.19.00")</f>
        <v>7113.11.00</v>
      </c>
      <c r="J758" t="str">
        <f>IF(quantInv[[#This Row],[Metal]] = "925 Silver", "7113.11.10.00"," 7113.19.10.00")</f>
        <v>7113.11.10.00</v>
      </c>
      <c r="K758" t="str">
        <f>IF(quantInv[[#This Row],[Metal]] = "925 Silver",  "7113.11.00"," 7113.19.00")</f>
        <v>7113.11.00</v>
      </c>
      <c r="L758" t="str">
        <f>IFERROR(VLOOKUP(quantInv[[#This Row],[Description for New Invoice]],Map!$G$12:$H$32,2,FALSE), IF(quantInv[[#This Row],[Metal]] = "925 Silver", "7113.11.10.00", "7113.19.29.00"))</f>
        <v>7113.11.50.00</v>
      </c>
      <c r="M758" t="str">
        <f>quantInv[[#This Row],[ASIN]] &amp; " " &amp; quantInv[[#This Row],[Short Description]]</f>
        <v>B08NQ42WC1 Cuff Earrings  Celtic Design  Parallel Lines</v>
      </c>
      <c r="N758" s="33">
        <f>quantInv[[#This Row],[UNIT
VALUE]] / EURtoGBP</f>
        <v>0.98675883831934297</v>
      </c>
      <c r="O758" s="33">
        <f>quantInv[[#This Row],[UNIT
VALUE]]/USDtoGBP</f>
        <v>1.1916658784371945</v>
      </c>
      <c r="P758" s="33">
        <f>quantInv[[#This Row],[UNIT
VALUE]] / CADtoGBP</f>
        <v>1.5254008278892333</v>
      </c>
      <c r="Q758" s="33">
        <f>quantInv[[#This Row],[UNIT
VALUE]]/AUDtoGBP</f>
        <v>1.5613549823981607</v>
      </c>
      <c r="R758">
        <f>IFERROR(VLOOKUP(quantInv[[#This Row],[Assigned Item SKU]],skuQuantity[#All],2,FALSE),0)</f>
        <v>0</v>
      </c>
      <c r="S758" t="str">
        <f>PROPER(quantInv[[#This Row],[Metal]] &amp; " " &amp; quantInv[[#This Row],[Item Type]])</f>
        <v>925 Silver Earrings</v>
      </c>
      <c r="T758" s="33">
        <f>quantInv[[#This Row],[Quantity]]*quantInv[[#This Row],[WEIGHT]]</f>
        <v>0</v>
      </c>
      <c r="U758" s="33">
        <f>quantInv[[#This Row],[UNIT
VALUE]]*quantInv[[#This Row],[Quantity]]</f>
        <v>0</v>
      </c>
      <c r="V758" s="33">
        <f>quantInv[[#This Row],[Total Cost GBP]]/EURtoGBP</f>
        <v>0</v>
      </c>
      <c r="W758" s="33">
        <f>quantInv[[#This Row],[Total Cost GBP]]/USDtoGBP</f>
        <v>0</v>
      </c>
      <c r="X758" s="33">
        <f>quantInv[[#This Row],[Total Cost GBP]]/CADtoGBP</f>
        <v>0</v>
      </c>
      <c r="Y758" s="33">
        <f>quantInv[[#This Row],[Quantity]]*quantInv[[#This Row],[UNIT
VALUE AUD]]</f>
        <v>0</v>
      </c>
      <c r="Z758" s="33"/>
    </row>
    <row r="759" spans="1:26" x14ac:dyDescent="0.25">
      <c r="A759" t="s">
        <v>26</v>
      </c>
      <c r="B759" t="s">
        <v>582</v>
      </c>
      <c r="C759" t="s">
        <v>114</v>
      </c>
      <c r="D759" t="s">
        <v>580</v>
      </c>
      <c r="E759">
        <v>4.4540540540540503</v>
      </c>
      <c r="F759" s="33">
        <v>4.6695000000000002</v>
      </c>
      <c r="G759" s="33" t="s">
        <v>117</v>
      </c>
      <c r="H759" t="s">
        <v>1414</v>
      </c>
      <c r="I759" t="str">
        <f>IF(quantInv[[#This Row],[Metal]] = "925 Silver",  "7113.11.00"," 7113.19.00")</f>
        <v>7113.11.00</v>
      </c>
      <c r="J759" t="str">
        <f>IF(quantInv[[#This Row],[Metal]] = "925 Silver", "7113.11.10.00"," 7113.19.10.00")</f>
        <v>7113.11.10.00</v>
      </c>
      <c r="K759" t="str">
        <f>IF(quantInv[[#This Row],[Metal]] = "925 Silver",  "7113.11.00"," 7113.19.00")</f>
        <v>7113.11.00</v>
      </c>
      <c r="L759" t="str">
        <f>IFERROR(VLOOKUP(quantInv[[#This Row],[Description for New Invoice]],Map!$G$12:$H$32,2,FALSE), IF(quantInv[[#This Row],[Metal]] = "925 Silver", "7113.11.10.00", "7113.19.29.00"))</f>
        <v>7113.11.10.00</v>
      </c>
      <c r="M759" t="str">
        <f>quantInv[[#This Row],[ASIN]] &amp; " " &amp; quantInv[[#This Row],[Short Description]]</f>
        <v>B0164MQB3C Herringbone Chain</v>
      </c>
      <c r="N759" s="33">
        <f>quantInv[[#This Row],[UNIT
VALUE]] / EURtoGBP</f>
        <v>5.3004375883264379</v>
      </c>
      <c r="O759" s="33">
        <f>quantInv[[#This Row],[UNIT
VALUE]]/USDtoGBP</f>
        <v>6.401108730429633</v>
      </c>
      <c r="P759" s="33">
        <f>quantInv[[#This Row],[UNIT
VALUE]] / CADtoGBP</f>
        <v>8.1937871457825562</v>
      </c>
      <c r="Q759" s="33">
        <f>quantInv[[#This Row],[UNIT
VALUE]]/AUDtoGBP</f>
        <v>8.386917163589338</v>
      </c>
      <c r="R759">
        <f>IFERROR(VLOOKUP(quantInv[[#This Row],[Assigned Item SKU]],skuQuantity[#All],2,FALSE),0)</f>
        <v>0</v>
      </c>
      <c r="S759" t="str">
        <f>PROPER(quantInv[[#This Row],[Metal]] &amp; " " &amp; quantInv[[#This Row],[Item Type]])</f>
        <v>925 Silver Bracelet</v>
      </c>
      <c r="T759" s="33">
        <f>quantInv[[#This Row],[Quantity]]*quantInv[[#This Row],[WEIGHT]]</f>
        <v>0</v>
      </c>
      <c r="U759" s="33">
        <f>quantInv[[#This Row],[UNIT
VALUE]]*quantInv[[#This Row],[Quantity]]</f>
        <v>0</v>
      </c>
      <c r="V759" s="33">
        <f>quantInv[[#This Row],[Total Cost GBP]]/EURtoGBP</f>
        <v>0</v>
      </c>
      <c r="W759" s="33">
        <f>quantInv[[#This Row],[Total Cost GBP]]/USDtoGBP</f>
        <v>0</v>
      </c>
      <c r="X759" s="33">
        <f>quantInv[[#This Row],[Total Cost GBP]]/CADtoGBP</f>
        <v>0</v>
      </c>
      <c r="Y759" s="33">
        <f>quantInv[[#This Row],[Quantity]]*quantInv[[#This Row],[UNIT
VALUE AUD]]</f>
        <v>0</v>
      </c>
      <c r="Z759" s="33"/>
    </row>
    <row r="760" spans="1:26" x14ac:dyDescent="0.25">
      <c r="A760" t="s">
        <v>1818</v>
      </c>
      <c r="B760" t="s">
        <v>1819</v>
      </c>
      <c r="C760" t="s">
        <v>115</v>
      </c>
      <c r="D760" t="s">
        <v>2960</v>
      </c>
      <c r="E760">
        <v>0.28999999999999998</v>
      </c>
      <c r="F760" s="33">
        <v>0.86929999999999996</v>
      </c>
      <c r="G760" s="33" t="s">
        <v>117</v>
      </c>
      <c r="H760" t="s">
        <v>1310</v>
      </c>
      <c r="I760" t="str">
        <f>IF(quantInv[[#This Row],[Metal]] = "925 Silver",  "7113.11.00"," 7113.19.00")</f>
        <v>7113.11.00</v>
      </c>
      <c r="J760" t="str">
        <f>IF(quantInv[[#This Row],[Metal]] = "925 Silver", "7113.11.10.00"," 7113.19.10.00")</f>
        <v>7113.11.10.00</v>
      </c>
      <c r="K760" t="str">
        <f>IF(quantInv[[#This Row],[Metal]] = "925 Silver",  "7113.11.00"," 7113.19.00")</f>
        <v>7113.11.00</v>
      </c>
      <c r="L760" t="str">
        <f>IFERROR(VLOOKUP(quantInv[[#This Row],[Description for New Invoice]],Map!$G$12:$H$32,2,FALSE), IF(quantInv[[#This Row],[Metal]] = "925 Silver", "7113.11.10.00", "7113.19.29.00"))</f>
        <v>7113.11.50.00</v>
      </c>
      <c r="M760" t="str">
        <f>quantInv[[#This Row],[ASIN]] &amp; " " &amp; quantInv[[#This Row],[Short Description]]</f>
        <v>B08NQ4VDR8 Cuff Earrings  Celtic Design  Parallel Lines  Big Gap</v>
      </c>
      <c r="N760" s="33">
        <f>quantInv[[#This Row],[UNIT
VALUE]] / EURtoGBP</f>
        <v>0.98675883831934297</v>
      </c>
      <c r="O760" s="33">
        <f>quantInv[[#This Row],[UNIT
VALUE]]/USDtoGBP</f>
        <v>1.1916658784371945</v>
      </c>
      <c r="P760" s="33">
        <f>quantInv[[#This Row],[UNIT
VALUE]] / CADtoGBP</f>
        <v>1.5254008278892333</v>
      </c>
      <c r="Q760" s="33">
        <f>quantInv[[#This Row],[UNIT
VALUE]]/AUDtoGBP</f>
        <v>1.5613549823981607</v>
      </c>
      <c r="R760">
        <f>IFERROR(VLOOKUP(quantInv[[#This Row],[Assigned Item SKU]],skuQuantity[#All],2,FALSE),0)</f>
        <v>0</v>
      </c>
      <c r="S760" t="str">
        <f>PROPER(quantInv[[#This Row],[Metal]] &amp; " " &amp; quantInv[[#This Row],[Item Type]])</f>
        <v>925 Silver Earrings</v>
      </c>
      <c r="T760" s="33">
        <f>quantInv[[#This Row],[Quantity]]*quantInv[[#This Row],[WEIGHT]]</f>
        <v>0</v>
      </c>
      <c r="U760" s="33">
        <f>quantInv[[#This Row],[UNIT
VALUE]]*quantInv[[#This Row],[Quantity]]</f>
        <v>0</v>
      </c>
      <c r="V760" s="33">
        <f>quantInv[[#This Row],[Total Cost GBP]]/EURtoGBP</f>
        <v>0</v>
      </c>
      <c r="W760" s="33">
        <f>quantInv[[#This Row],[Total Cost GBP]]/USDtoGBP</f>
        <v>0</v>
      </c>
      <c r="X760" s="33">
        <f>quantInv[[#This Row],[Total Cost GBP]]/CADtoGBP</f>
        <v>0</v>
      </c>
      <c r="Y760" s="33">
        <f>quantInv[[#This Row],[Quantity]]*quantInv[[#This Row],[UNIT
VALUE AUD]]</f>
        <v>0</v>
      </c>
      <c r="Z760" s="33"/>
    </row>
    <row r="761" spans="1:26" x14ac:dyDescent="0.25">
      <c r="A761" t="s">
        <v>1820</v>
      </c>
      <c r="B761" t="s">
        <v>1821</v>
      </c>
      <c r="C761" t="s">
        <v>115</v>
      </c>
      <c r="D761" t="s">
        <v>2961</v>
      </c>
      <c r="E761">
        <v>0.26</v>
      </c>
      <c r="F761" s="33">
        <v>0.86929999999999996</v>
      </c>
      <c r="G761" s="33" t="s">
        <v>117</v>
      </c>
      <c r="H761" t="s">
        <v>1310</v>
      </c>
      <c r="I761" t="str">
        <f>IF(quantInv[[#This Row],[Metal]] = "925 Silver",  "7113.11.00"," 7113.19.00")</f>
        <v>7113.11.00</v>
      </c>
      <c r="J761" t="str">
        <f>IF(quantInv[[#This Row],[Metal]] = "925 Silver", "7113.11.10.00"," 7113.19.10.00")</f>
        <v>7113.11.10.00</v>
      </c>
      <c r="K761" t="str">
        <f>IF(quantInv[[#This Row],[Metal]] = "925 Silver",  "7113.11.00"," 7113.19.00")</f>
        <v>7113.11.00</v>
      </c>
      <c r="L761" t="str">
        <f>IFERROR(VLOOKUP(quantInv[[#This Row],[Description for New Invoice]],Map!$G$12:$H$32,2,FALSE), IF(quantInv[[#This Row],[Metal]] = "925 Silver", "7113.11.10.00", "7113.19.29.00"))</f>
        <v>7113.11.50.00</v>
      </c>
      <c r="M761" t="str">
        <f>quantInv[[#This Row],[ASIN]] &amp; " " &amp; quantInv[[#This Row],[Short Description]]</f>
        <v>B08NQ4WCBL Cuff Earrings  Celtic Design  3 Parallel Lines  Big Gap</v>
      </c>
      <c r="N761" s="33">
        <f>quantInv[[#This Row],[UNIT
VALUE]] / EURtoGBP</f>
        <v>0.98675883831934297</v>
      </c>
      <c r="O761" s="33">
        <f>quantInv[[#This Row],[UNIT
VALUE]]/USDtoGBP</f>
        <v>1.1916658784371945</v>
      </c>
      <c r="P761" s="33">
        <f>quantInv[[#This Row],[UNIT
VALUE]] / CADtoGBP</f>
        <v>1.5254008278892333</v>
      </c>
      <c r="Q761" s="33">
        <f>quantInv[[#This Row],[UNIT
VALUE]]/AUDtoGBP</f>
        <v>1.5613549823981607</v>
      </c>
      <c r="R761">
        <f>IFERROR(VLOOKUP(quantInv[[#This Row],[Assigned Item SKU]],skuQuantity[#All],2,FALSE),0)</f>
        <v>0</v>
      </c>
      <c r="S761" t="str">
        <f>PROPER(quantInv[[#This Row],[Metal]] &amp; " " &amp; quantInv[[#This Row],[Item Type]])</f>
        <v>925 Silver Earrings</v>
      </c>
      <c r="T761" s="33">
        <f>quantInv[[#This Row],[Quantity]]*quantInv[[#This Row],[WEIGHT]]</f>
        <v>0</v>
      </c>
      <c r="U761" s="33">
        <f>quantInv[[#This Row],[UNIT
VALUE]]*quantInv[[#This Row],[Quantity]]</f>
        <v>0</v>
      </c>
      <c r="V761" s="33">
        <f>quantInv[[#This Row],[Total Cost GBP]]/EURtoGBP</f>
        <v>0</v>
      </c>
      <c r="W761" s="33">
        <f>quantInv[[#This Row],[Total Cost GBP]]/USDtoGBP</f>
        <v>0</v>
      </c>
      <c r="X761" s="33">
        <f>quantInv[[#This Row],[Total Cost GBP]]/CADtoGBP</f>
        <v>0</v>
      </c>
      <c r="Y761" s="33">
        <f>quantInv[[#This Row],[Quantity]]*quantInv[[#This Row],[UNIT
VALUE AUD]]</f>
        <v>0</v>
      </c>
      <c r="Z761" s="33"/>
    </row>
    <row r="762" spans="1:26" x14ac:dyDescent="0.25">
      <c r="A762" t="s">
        <v>1822</v>
      </c>
      <c r="B762" t="s">
        <v>1823</v>
      </c>
      <c r="C762" t="s">
        <v>115</v>
      </c>
      <c r="D762" t="s">
        <v>2962</v>
      </c>
      <c r="E762">
        <v>0.44</v>
      </c>
      <c r="F762" s="33">
        <v>0.65029999999999999</v>
      </c>
      <c r="G762" s="33" t="s">
        <v>117</v>
      </c>
      <c r="H762" t="s">
        <v>1310</v>
      </c>
      <c r="I762" t="str">
        <f>IF(quantInv[[#This Row],[Metal]] = "925 Silver",  "7113.11.00"," 7113.19.00")</f>
        <v>7113.11.00</v>
      </c>
      <c r="J762" t="str">
        <f>IF(quantInv[[#This Row],[Metal]] = "925 Silver", "7113.11.10.00"," 7113.19.10.00")</f>
        <v>7113.11.10.00</v>
      </c>
      <c r="K762" t="str">
        <f>IF(quantInv[[#This Row],[Metal]] = "925 Silver",  "7113.11.00"," 7113.19.00")</f>
        <v>7113.11.00</v>
      </c>
      <c r="L762" t="str">
        <f>IFERROR(VLOOKUP(quantInv[[#This Row],[Description for New Invoice]],Map!$G$12:$H$32,2,FALSE), IF(quantInv[[#This Row],[Metal]] = "925 Silver", "7113.11.10.00", "7113.19.29.00"))</f>
        <v>7113.11.50.00</v>
      </c>
      <c r="M762" t="str">
        <f>quantInv[[#This Row],[ASIN]] &amp; " " &amp; quantInv[[#This Row],[Short Description]]</f>
        <v>B08NQ35WQT Cuff Earrings  Parallel 5 Lines</v>
      </c>
      <c r="N762" s="33">
        <f>quantInv[[#This Row],[UNIT
VALUE]] / EURtoGBP</f>
        <v>0.7381678046233392</v>
      </c>
      <c r="O762" s="33">
        <f>quantInv[[#This Row],[UNIT
VALUE]]/USDtoGBP</f>
        <v>0.89145326210480569</v>
      </c>
      <c r="P762" s="33">
        <f>quantInv[[#This Row],[UNIT
VALUE]] / CADtoGBP</f>
        <v>1.1411114211162641</v>
      </c>
      <c r="Q762" s="33">
        <f>quantInv[[#This Row],[UNIT
VALUE]]/AUDtoGBP</f>
        <v>1.1680077591781017</v>
      </c>
      <c r="R762">
        <f>IFERROR(VLOOKUP(quantInv[[#This Row],[Assigned Item SKU]],skuQuantity[#All],2,FALSE),0)</f>
        <v>0</v>
      </c>
      <c r="S762" t="str">
        <f>PROPER(quantInv[[#This Row],[Metal]] &amp; " " &amp; quantInv[[#This Row],[Item Type]])</f>
        <v>925 Silver Earrings</v>
      </c>
      <c r="T762" s="33">
        <f>quantInv[[#This Row],[Quantity]]*quantInv[[#This Row],[WEIGHT]]</f>
        <v>0</v>
      </c>
      <c r="U762" s="33">
        <f>quantInv[[#This Row],[UNIT
VALUE]]*quantInv[[#This Row],[Quantity]]</f>
        <v>0</v>
      </c>
      <c r="V762" s="33">
        <f>quantInv[[#This Row],[Total Cost GBP]]/EURtoGBP</f>
        <v>0</v>
      </c>
      <c r="W762" s="33">
        <f>quantInv[[#This Row],[Total Cost GBP]]/USDtoGBP</f>
        <v>0</v>
      </c>
      <c r="X762" s="33">
        <f>quantInv[[#This Row],[Total Cost GBP]]/CADtoGBP</f>
        <v>0</v>
      </c>
      <c r="Y762" s="33">
        <f>quantInv[[#This Row],[Quantity]]*quantInv[[#This Row],[UNIT
VALUE AUD]]</f>
        <v>0</v>
      </c>
      <c r="Z762" s="33"/>
    </row>
    <row r="763" spans="1:26" x14ac:dyDescent="0.25">
      <c r="A763" t="s">
        <v>1824</v>
      </c>
      <c r="B763" t="s">
        <v>1825</v>
      </c>
      <c r="C763" t="s">
        <v>115</v>
      </c>
      <c r="D763" t="s">
        <v>2963</v>
      </c>
      <c r="E763">
        <v>0.39</v>
      </c>
      <c r="F763" s="33">
        <v>1.0478000000000001</v>
      </c>
      <c r="G763" s="33" t="s">
        <v>117</v>
      </c>
      <c r="H763" t="s">
        <v>1310</v>
      </c>
      <c r="I763" t="str">
        <f>IF(quantInv[[#This Row],[Metal]] = "925 Silver",  "7113.11.00"," 7113.19.00")</f>
        <v>7113.11.00</v>
      </c>
      <c r="J763" t="str">
        <f>IF(quantInv[[#This Row],[Metal]] = "925 Silver", "7113.11.10.00"," 7113.19.10.00")</f>
        <v>7113.11.10.00</v>
      </c>
      <c r="K763" t="str">
        <f>IF(quantInv[[#This Row],[Metal]] = "925 Silver",  "7113.11.00"," 7113.19.00")</f>
        <v>7113.11.00</v>
      </c>
      <c r="L763" t="str">
        <f>IFERROR(VLOOKUP(quantInv[[#This Row],[Description for New Invoice]],Map!$G$12:$H$32,2,FALSE), IF(quantInv[[#This Row],[Metal]] = "925 Silver", "7113.11.10.00", "7113.19.29.00"))</f>
        <v>7113.11.50.00</v>
      </c>
      <c r="M763" t="str">
        <f>quantInv[[#This Row],[ASIN]] &amp; " " &amp; quantInv[[#This Row],[Short Description]]</f>
        <v>B08NQ57V79 Cuff Earrings  Parallel 4 Lines</v>
      </c>
      <c r="N763" s="33">
        <f>quantInv[[#This Row],[UNIT
VALUE]] / EURtoGBP</f>
        <v>1.1893775575647161</v>
      </c>
      <c r="O763" s="33">
        <f>quantInv[[#This Row],[UNIT
VALUE]]/USDtoGBP</f>
        <v>1.4363597232560594</v>
      </c>
      <c r="P763" s="33">
        <f>quantInv[[#This Row],[UNIT
VALUE]] / CADtoGBP</f>
        <v>1.838623015601448</v>
      </c>
      <c r="Q763" s="33">
        <f>quantInv[[#This Row],[UNIT
VALUE]]/AUDtoGBP</f>
        <v>1.8819599109131404</v>
      </c>
      <c r="R763">
        <f>IFERROR(VLOOKUP(quantInv[[#This Row],[Assigned Item SKU]],skuQuantity[#All],2,FALSE),0)</f>
        <v>0</v>
      </c>
      <c r="S763" t="str">
        <f>PROPER(quantInv[[#This Row],[Metal]] &amp; " " &amp; quantInv[[#This Row],[Item Type]])</f>
        <v>925 Silver Earrings</v>
      </c>
      <c r="T763" s="33">
        <f>quantInv[[#This Row],[Quantity]]*quantInv[[#This Row],[WEIGHT]]</f>
        <v>0</v>
      </c>
      <c r="U763" s="33">
        <f>quantInv[[#This Row],[UNIT
VALUE]]*quantInv[[#This Row],[Quantity]]</f>
        <v>0</v>
      </c>
      <c r="V763" s="33">
        <f>quantInv[[#This Row],[Total Cost GBP]]/EURtoGBP</f>
        <v>0</v>
      </c>
      <c r="W763" s="33">
        <f>quantInv[[#This Row],[Total Cost GBP]]/USDtoGBP</f>
        <v>0</v>
      </c>
      <c r="X763" s="33">
        <f>quantInv[[#This Row],[Total Cost GBP]]/CADtoGBP</f>
        <v>0</v>
      </c>
      <c r="Y763" s="33">
        <f>quantInv[[#This Row],[Quantity]]*quantInv[[#This Row],[UNIT
VALUE AUD]]</f>
        <v>0</v>
      </c>
      <c r="Z763" s="33"/>
    </row>
    <row r="764" spans="1:26" x14ac:dyDescent="0.25">
      <c r="A764" t="s">
        <v>1826</v>
      </c>
      <c r="B764" t="s">
        <v>1827</v>
      </c>
      <c r="C764" t="s">
        <v>115</v>
      </c>
      <c r="D764" t="s">
        <v>1828</v>
      </c>
      <c r="E764">
        <v>1.67</v>
      </c>
      <c r="F764" s="33">
        <v>3.0354000000000001</v>
      </c>
      <c r="G764" s="33" t="s">
        <v>117</v>
      </c>
      <c r="H764" t="s">
        <v>3302</v>
      </c>
      <c r="I764" t="str">
        <f>IF(quantInv[[#This Row],[Metal]] = "925 Silver",  "7113.11.00"," 7113.19.00")</f>
        <v>7113.11.00</v>
      </c>
      <c r="J764" t="str">
        <f>IF(quantInv[[#This Row],[Metal]] = "925 Silver", "7113.11.10.00"," 7113.19.10.00")</f>
        <v>7113.11.10.00</v>
      </c>
      <c r="K764" t="str">
        <f>IF(quantInv[[#This Row],[Metal]] = "925 Silver",  "7113.11.00"," 7113.19.00")</f>
        <v>7113.11.00</v>
      </c>
      <c r="L764" t="str">
        <f>IFERROR(VLOOKUP(quantInv[[#This Row],[Description for New Invoice]],Map!$G$12:$H$32,2,FALSE), IF(quantInv[[#This Row],[Metal]] = "925 Silver", "7113.11.10.00", "7113.19.29.00"))</f>
        <v>7113.11.50.00</v>
      </c>
      <c r="M764" t="str">
        <f>quantInv[[#This Row],[ASIN]] &amp; " " &amp; quantInv[[#This Row],[Short Description]]</f>
        <v>B08C35MTZ6 Celtic Adjustable Braid Ring</v>
      </c>
      <c r="N764" s="33">
        <f>quantInv[[#This Row],[UNIT
VALUE]] / EURtoGBP</f>
        <v>3.4455398341591326</v>
      </c>
      <c r="O764" s="33">
        <f>quantInv[[#This Row],[UNIT
VALUE]]/USDtoGBP</f>
        <v>4.161029112398781</v>
      </c>
      <c r="P764" s="33">
        <f>quantInv[[#This Row],[UNIT
VALUE]] / CADtoGBP</f>
        <v>5.3263564626423321</v>
      </c>
      <c r="Q764" s="33">
        <f>quantInv[[#This Row],[UNIT
VALUE]]/AUDtoGBP</f>
        <v>5.4519002801925422</v>
      </c>
      <c r="R764">
        <f>IFERROR(VLOOKUP(quantInv[[#This Row],[Assigned Item SKU]],skuQuantity[#All],2,FALSE),0)</f>
        <v>0</v>
      </c>
      <c r="S764" t="str">
        <f>PROPER(quantInv[[#This Row],[Metal]] &amp; " " &amp; quantInv[[#This Row],[Item Type]])</f>
        <v>925 Silver Ring</v>
      </c>
      <c r="T764" s="33">
        <f>quantInv[[#This Row],[Quantity]]*quantInv[[#This Row],[WEIGHT]]</f>
        <v>0</v>
      </c>
      <c r="U764" s="33">
        <f>quantInv[[#This Row],[UNIT
VALUE]]*quantInv[[#This Row],[Quantity]]</f>
        <v>0</v>
      </c>
      <c r="V764" s="33">
        <f>quantInv[[#This Row],[Total Cost GBP]]/EURtoGBP</f>
        <v>0</v>
      </c>
      <c r="W764" s="33">
        <f>quantInv[[#This Row],[Total Cost GBP]]/USDtoGBP</f>
        <v>0</v>
      </c>
      <c r="X764" s="33">
        <f>quantInv[[#This Row],[Total Cost GBP]]/CADtoGBP</f>
        <v>0</v>
      </c>
      <c r="Y764" s="33">
        <f>quantInv[[#This Row],[Quantity]]*quantInv[[#This Row],[UNIT
VALUE AUD]]</f>
        <v>0</v>
      </c>
      <c r="Z764" s="33"/>
    </row>
    <row r="765" spans="1:26" x14ac:dyDescent="0.25">
      <c r="A765" t="s">
        <v>1829</v>
      </c>
      <c r="B765" t="s">
        <v>1830</v>
      </c>
      <c r="C765" t="s">
        <v>115</v>
      </c>
      <c r="D765" t="s">
        <v>1831</v>
      </c>
      <c r="E765">
        <v>3.44</v>
      </c>
      <c r="F765" s="33">
        <v>5.3879000000000001</v>
      </c>
      <c r="G765" s="33" t="s">
        <v>117</v>
      </c>
      <c r="H765" t="s">
        <v>3302</v>
      </c>
      <c r="I765" t="str">
        <f>IF(quantInv[[#This Row],[Metal]] = "925 Silver",  "7113.11.00"," 7113.19.00")</f>
        <v>7113.11.00</v>
      </c>
      <c r="J765" t="str">
        <f>IF(quantInv[[#This Row],[Metal]] = "925 Silver", "7113.11.10.00"," 7113.19.10.00")</f>
        <v>7113.11.10.00</v>
      </c>
      <c r="K765" t="str">
        <f>IF(quantInv[[#This Row],[Metal]] = "925 Silver",  "7113.11.00"," 7113.19.00")</f>
        <v>7113.11.00</v>
      </c>
      <c r="L765" t="str">
        <f>IFERROR(VLOOKUP(quantInv[[#This Row],[Description for New Invoice]],Map!$G$12:$H$32,2,FALSE), IF(quantInv[[#This Row],[Metal]] = "925 Silver", "7113.11.10.00", "7113.19.29.00"))</f>
        <v>7113.11.50.00</v>
      </c>
      <c r="M765" t="str">
        <f>quantInv[[#This Row],[ASIN]] &amp; " " &amp; quantInv[[#This Row],[Short Description]]</f>
        <v>B08C34BKFF Celtic Adjustable Feather Ring</v>
      </c>
      <c r="N765" s="33">
        <f>quantInv[[#This Row],[UNIT
VALUE]] / EURtoGBP</f>
        <v>6.115906988359356</v>
      </c>
      <c r="O765" s="33">
        <f>quantInv[[#This Row],[UNIT
VALUE]]/USDtoGBP</f>
        <v>7.3859157787090313</v>
      </c>
      <c r="P765" s="33">
        <f>quantInv[[#This Row],[UNIT
VALUE]] / CADtoGBP</f>
        <v>9.4543967796898656</v>
      </c>
      <c r="Q765" s="33">
        <f>quantInv[[#This Row],[UNIT
VALUE]]/AUDtoGBP</f>
        <v>9.6772397442345</v>
      </c>
      <c r="R765">
        <f>IFERROR(VLOOKUP(quantInv[[#This Row],[Assigned Item SKU]],skuQuantity[#All],2,FALSE),0)</f>
        <v>0</v>
      </c>
      <c r="S765" t="str">
        <f>PROPER(quantInv[[#This Row],[Metal]] &amp; " " &amp; quantInv[[#This Row],[Item Type]])</f>
        <v>925 Silver Ring</v>
      </c>
      <c r="T765" s="33">
        <f>quantInv[[#This Row],[Quantity]]*quantInv[[#This Row],[WEIGHT]]</f>
        <v>0</v>
      </c>
      <c r="U765" s="33">
        <f>quantInv[[#This Row],[UNIT
VALUE]]*quantInv[[#This Row],[Quantity]]</f>
        <v>0</v>
      </c>
      <c r="V765" s="33">
        <f>quantInv[[#This Row],[Total Cost GBP]]/EURtoGBP</f>
        <v>0</v>
      </c>
      <c r="W765" s="33">
        <f>quantInv[[#This Row],[Total Cost GBP]]/USDtoGBP</f>
        <v>0</v>
      </c>
      <c r="X765" s="33">
        <f>quantInv[[#This Row],[Total Cost GBP]]/CADtoGBP</f>
        <v>0</v>
      </c>
      <c r="Y765" s="33">
        <f>quantInv[[#This Row],[Quantity]]*quantInv[[#This Row],[UNIT
VALUE AUD]]</f>
        <v>0</v>
      </c>
      <c r="Z765" s="33"/>
    </row>
    <row r="766" spans="1:26" x14ac:dyDescent="0.25">
      <c r="A766" t="s">
        <v>596</v>
      </c>
      <c r="B766" t="s">
        <v>597</v>
      </c>
      <c r="C766" t="s">
        <v>114</v>
      </c>
      <c r="D766" t="s">
        <v>257</v>
      </c>
      <c r="E766">
        <v>2.5150000000000001</v>
      </c>
      <c r="F766" s="33">
        <v>2.9628000000000001</v>
      </c>
      <c r="G766" s="33" t="s">
        <v>117</v>
      </c>
      <c r="H766" t="s">
        <v>1414</v>
      </c>
      <c r="I766" t="str">
        <f>IF(quantInv[[#This Row],[Metal]] = "925 Silver",  "7113.11.00"," 7113.19.00")</f>
        <v>7113.11.00</v>
      </c>
      <c r="J766" t="str">
        <f>IF(quantInv[[#This Row],[Metal]] = "925 Silver", "7113.11.10.00"," 7113.19.10.00")</f>
        <v>7113.11.10.00</v>
      </c>
      <c r="K766" t="str">
        <f>IF(quantInv[[#This Row],[Metal]] = "925 Silver",  "7113.11.00"," 7113.19.00")</f>
        <v>7113.11.00</v>
      </c>
      <c r="L766" t="str">
        <f>IFERROR(VLOOKUP(quantInv[[#This Row],[Description for New Invoice]],Map!$G$12:$H$32,2,FALSE), IF(quantInv[[#This Row],[Metal]] = "925 Silver", "7113.11.10.00", "7113.19.29.00"))</f>
        <v>7113.11.10.00</v>
      </c>
      <c r="M766" t="str">
        <f>quantInv[[#This Row],[ASIN]] &amp; " " &amp; quantInv[[#This Row],[Short Description]]</f>
        <v>B01NBWM4C5 Cube and Oval Link Chain</v>
      </c>
      <c r="N766" s="33">
        <f>quantInv[[#This Row],[UNIT
VALUE]] / EURtoGBP</f>
        <v>3.3631302038105941</v>
      </c>
      <c r="O766" s="33">
        <f>quantInv[[#This Row],[UNIT
VALUE]]/USDtoGBP</f>
        <v>4.0615065738337979</v>
      </c>
      <c r="P766" s="33">
        <f>quantInv[[#This Row],[UNIT
VALUE]] / CADtoGBP</f>
        <v>5.1989618921778682</v>
      </c>
      <c r="Q766" s="33">
        <f>quantInv[[#This Row],[UNIT
VALUE]]/AUDtoGBP</f>
        <v>5.32150298153603</v>
      </c>
      <c r="R766">
        <f>IFERROR(VLOOKUP(quantInv[[#This Row],[Assigned Item SKU]],skuQuantity[#All],2,FALSE),0)</f>
        <v>0</v>
      </c>
      <c r="S766" t="str">
        <f>PROPER(quantInv[[#This Row],[Metal]] &amp; " " &amp; quantInv[[#This Row],[Item Type]])</f>
        <v>925 Silver Bracelet</v>
      </c>
      <c r="T766" s="33">
        <f>quantInv[[#This Row],[Quantity]]*quantInv[[#This Row],[WEIGHT]]</f>
        <v>0</v>
      </c>
      <c r="U766" s="33">
        <f>quantInv[[#This Row],[UNIT
VALUE]]*quantInv[[#This Row],[Quantity]]</f>
        <v>0</v>
      </c>
      <c r="V766" s="33">
        <f>quantInv[[#This Row],[Total Cost GBP]]/EURtoGBP</f>
        <v>0</v>
      </c>
      <c r="W766" s="33">
        <f>quantInv[[#This Row],[Total Cost GBP]]/USDtoGBP</f>
        <v>0</v>
      </c>
      <c r="X766" s="33">
        <f>quantInv[[#This Row],[Total Cost GBP]]/CADtoGBP</f>
        <v>0</v>
      </c>
      <c r="Y766" s="33">
        <f>quantInv[[#This Row],[Quantity]]*quantInv[[#This Row],[UNIT
VALUE AUD]]</f>
        <v>0</v>
      </c>
      <c r="Z766" s="33"/>
    </row>
    <row r="767" spans="1:26" x14ac:dyDescent="0.25">
      <c r="A767" t="s">
        <v>1835</v>
      </c>
      <c r="B767" t="s">
        <v>1836</v>
      </c>
      <c r="C767" t="s">
        <v>115</v>
      </c>
      <c r="D767" t="s">
        <v>1837</v>
      </c>
      <c r="E767">
        <v>3.78</v>
      </c>
      <c r="F767" s="33">
        <v>5.9558</v>
      </c>
      <c r="G767" s="33" t="s">
        <v>117</v>
      </c>
      <c r="H767" t="s">
        <v>3302</v>
      </c>
      <c r="I767" t="str">
        <f>IF(quantInv[[#This Row],[Metal]] = "925 Silver",  "7113.11.00"," 7113.19.00")</f>
        <v>7113.11.00</v>
      </c>
      <c r="J767" t="str">
        <f>IF(quantInv[[#This Row],[Metal]] = "925 Silver", "7113.11.10.00"," 7113.19.10.00")</f>
        <v>7113.11.10.00</v>
      </c>
      <c r="K767" t="str">
        <f>IF(quantInv[[#This Row],[Metal]] = "925 Silver",  "7113.11.00"," 7113.19.00")</f>
        <v>7113.11.00</v>
      </c>
      <c r="L767" t="str">
        <f>IFERROR(VLOOKUP(quantInv[[#This Row],[Description for New Invoice]],Map!$G$12:$H$32,2,FALSE), IF(quantInv[[#This Row],[Metal]] = "925 Silver", "7113.11.10.00", "7113.19.29.00"))</f>
        <v>7113.11.50.00</v>
      </c>
      <c r="M767" t="str">
        <f>quantInv[[#This Row],[ASIN]] &amp; " " &amp; quantInv[[#This Row],[Short Description]]</f>
        <v>B08C35FS73 Celtic Adjustable Knot Ring</v>
      </c>
      <c r="N767" s="33">
        <f>quantInv[[#This Row],[UNIT
VALUE]] / EURtoGBP</f>
        <v>6.7605409976559798</v>
      </c>
      <c r="O767" s="33">
        <f>quantInv[[#This Row],[UNIT
VALUE]]/USDtoGBP</f>
        <v>8.1644123303764449</v>
      </c>
      <c r="P767" s="33">
        <f>quantInv[[#This Row],[UNIT
VALUE]] / CADtoGBP</f>
        <v>10.450917118075113</v>
      </c>
      <c r="Q767" s="33">
        <f>quantInv[[#This Row],[UNIT
VALUE]]/AUDtoGBP</f>
        <v>10.697248365543501</v>
      </c>
      <c r="R767">
        <f>IFERROR(VLOOKUP(quantInv[[#This Row],[Assigned Item SKU]],skuQuantity[#All],2,FALSE),0)</f>
        <v>0</v>
      </c>
      <c r="S767" t="str">
        <f>PROPER(quantInv[[#This Row],[Metal]] &amp; " " &amp; quantInv[[#This Row],[Item Type]])</f>
        <v>925 Silver Ring</v>
      </c>
      <c r="T767" s="33">
        <f>quantInv[[#This Row],[Quantity]]*quantInv[[#This Row],[WEIGHT]]</f>
        <v>0</v>
      </c>
      <c r="U767" s="33">
        <f>quantInv[[#This Row],[UNIT
VALUE]]*quantInv[[#This Row],[Quantity]]</f>
        <v>0</v>
      </c>
      <c r="V767" s="33">
        <f>quantInv[[#This Row],[Total Cost GBP]]/EURtoGBP</f>
        <v>0</v>
      </c>
      <c r="W767" s="33">
        <f>quantInv[[#This Row],[Total Cost GBP]]/USDtoGBP</f>
        <v>0</v>
      </c>
      <c r="X767" s="33">
        <f>quantInv[[#This Row],[Total Cost GBP]]/CADtoGBP</f>
        <v>0</v>
      </c>
      <c r="Y767" s="33">
        <f>quantInv[[#This Row],[Quantity]]*quantInv[[#This Row],[UNIT
VALUE AUD]]</f>
        <v>0</v>
      </c>
      <c r="Z767" s="33"/>
    </row>
    <row r="768" spans="1:26" x14ac:dyDescent="0.25">
      <c r="A768" t="s">
        <v>1838</v>
      </c>
      <c r="B768" t="s">
        <v>1839</v>
      </c>
      <c r="C768" t="s">
        <v>115</v>
      </c>
      <c r="D768" t="s">
        <v>1840</v>
      </c>
      <c r="E768">
        <v>3.08</v>
      </c>
      <c r="F768" s="33">
        <v>3.5221</v>
      </c>
      <c r="G768" s="33" t="s">
        <v>117</v>
      </c>
      <c r="H768" t="s">
        <v>3302</v>
      </c>
      <c r="I768" t="str">
        <f>IF(quantInv[[#This Row],[Metal]] = "925 Silver",  "7113.11.00"," 7113.19.00")</f>
        <v>7113.11.00</v>
      </c>
      <c r="J768" t="str">
        <f>IF(quantInv[[#This Row],[Metal]] = "925 Silver", "7113.11.10.00"," 7113.19.10.00")</f>
        <v>7113.11.10.00</v>
      </c>
      <c r="K768" t="str">
        <f>IF(quantInv[[#This Row],[Metal]] = "925 Silver",  "7113.11.00"," 7113.19.00")</f>
        <v>7113.11.00</v>
      </c>
      <c r="L768" t="str">
        <f>IFERROR(VLOOKUP(quantInv[[#This Row],[Description for New Invoice]],Map!$G$12:$H$32,2,FALSE), IF(quantInv[[#This Row],[Metal]] = "925 Silver", "7113.11.10.00", "7113.19.29.00"))</f>
        <v>7113.11.50.00</v>
      </c>
      <c r="M768" t="str">
        <f>quantInv[[#This Row],[ASIN]] &amp; " " &amp; quantInv[[#This Row],[Short Description]]</f>
        <v>B08C34Z2NK Celtic Adjustable Shield Ring</v>
      </c>
      <c r="N768" s="33">
        <f>quantInv[[#This Row],[UNIT
VALUE]] / EURtoGBP</f>
        <v>3.9980021907794292</v>
      </c>
      <c r="O768" s="33">
        <f>quantInv[[#This Row],[UNIT
VALUE]]/USDtoGBP</f>
        <v>4.828213954266241</v>
      </c>
      <c r="P768" s="33">
        <f>quantInv[[#This Row],[UNIT
VALUE]] / CADtoGBP</f>
        <v>6.1803914136761406</v>
      </c>
      <c r="Q768" s="33">
        <f>quantInv[[#This Row],[UNIT
VALUE]]/AUDtoGBP</f>
        <v>6.326065090882965</v>
      </c>
      <c r="R768">
        <f>IFERROR(VLOOKUP(quantInv[[#This Row],[Assigned Item SKU]],skuQuantity[#All],2,FALSE),0)</f>
        <v>0</v>
      </c>
      <c r="S768" t="str">
        <f>PROPER(quantInv[[#This Row],[Metal]] &amp; " " &amp; quantInv[[#This Row],[Item Type]])</f>
        <v>925 Silver Ring</v>
      </c>
      <c r="T768" s="33">
        <f>quantInv[[#This Row],[Quantity]]*quantInv[[#This Row],[WEIGHT]]</f>
        <v>0</v>
      </c>
      <c r="U768" s="33">
        <f>quantInv[[#This Row],[UNIT
VALUE]]*quantInv[[#This Row],[Quantity]]</f>
        <v>0</v>
      </c>
      <c r="V768" s="33">
        <f>quantInv[[#This Row],[Total Cost GBP]]/EURtoGBP</f>
        <v>0</v>
      </c>
      <c r="W768" s="33">
        <f>quantInv[[#This Row],[Total Cost GBP]]/USDtoGBP</f>
        <v>0</v>
      </c>
      <c r="X768" s="33">
        <f>quantInv[[#This Row],[Total Cost GBP]]/CADtoGBP</f>
        <v>0</v>
      </c>
      <c r="Y768" s="33">
        <f>quantInv[[#This Row],[Quantity]]*quantInv[[#This Row],[UNIT
VALUE AUD]]</f>
        <v>0</v>
      </c>
      <c r="Z768" s="33"/>
    </row>
    <row r="769" spans="1:26" x14ac:dyDescent="0.25">
      <c r="A769" t="s">
        <v>1841</v>
      </c>
      <c r="B769" t="s">
        <v>1842</v>
      </c>
      <c r="C769" t="s">
        <v>115</v>
      </c>
      <c r="D769" t="s">
        <v>1843</v>
      </c>
      <c r="E769">
        <v>1.74</v>
      </c>
      <c r="F769" s="33">
        <v>3.8466</v>
      </c>
      <c r="G769" s="33" t="s">
        <v>117</v>
      </c>
      <c r="H769" t="s">
        <v>3302</v>
      </c>
      <c r="I769" t="str">
        <f>IF(quantInv[[#This Row],[Metal]] = "925 Silver",  "7113.11.00"," 7113.19.00")</f>
        <v>7113.11.00</v>
      </c>
      <c r="J769" t="str">
        <f>IF(quantInv[[#This Row],[Metal]] = "925 Silver", "7113.11.10.00"," 7113.19.10.00")</f>
        <v>7113.11.10.00</v>
      </c>
      <c r="K769" t="str">
        <f>IF(quantInv[[#This Row],[Metal]] = "925 Silver",  "7113.11.00"," 7113.19.00")</f>
        <v>7113.11.00</v>
      </c>
      <c r="L769" t="str">
        <f>IFERROR(VLOOKUP(quantInv[[#This Row],[Description for New Invoice]],Map!$G$12:$H$32,2,FALSE), IF(quantInv[[#This Row],[Metal]] = "925 Silver", "7113.11.10.00", "7113.19.29.00"))</f>
        <v>7113.11.50.00</v>
      </c>
      <c r="M769" t="str">
        <f>quantInv[[#This Row],[ASIN]] &amp; " " &amp; quantInv[[#This Row],[Short Description]]</f>
        <v>B08C34PJMC Celtic Braid Ring - J</v>
      </c>
      <c r="N769" s="33">
        <f>quantInv[[#This Row],[UNIT
VALUE]] / EURtoGBP</f>
        <v>4.366348265822138</v>
      </c>
      <c r="O769" s="33">
        <f>quantInv[[#This Row],[UNIT
VALUE]]/USDtoGBP</f>
        <v>5.2730495433066977</v>
      </c>
      <c r="P769" s="33">
        <f>quantInv[[#This Row],[UNIT
VALUE]] / CADtoGBP</f>
        <v>6.7498065392370012</v>
      </c>
      <c r="Q769" s="33">
        <f>quantInv[[#This Row],[UNIT
VALUE]]/AUDtoGBP</f>
        <v>6.9089015015446504</v>
      </c>
      <c r="R769">
        <f>IFERROR(VLOOKUP(quantInv[[#This Row],[Assigned Item SKU]],skuQuantity[#All],2,FALSE),0)</f>
        <v>0</v>
      </c>
      <c r="S769" t="str">
        <f>PROPER(quantInv[[#This Row],[Metal]] &amp; " " &amp; quantInv[[#This Row],[Item Type]])</f>
        <v>925 Silver Ring</v>
      </c>
      <c r="T769" s="33">
        <f>quantInv[[#This Row],[Quantity]]*quantInv[[#This Row],[WEIGHT]]</f>
        <v>0</v>
      </c>
      <c r="U769" s="33">
        <f>quantInv[[#This Row],[UNIT
VALUE]]*quantInv[[#This Row],[Quantity]]</f>
        <v>0</v>
      </c>
      <c r="V769" s="33">
        <f>quantInv[[#This Row],[Total Cost GBP]]/EURtoGBP</f>
        <v>0</v>
      </c>
      <c r="W769" s="33">
        <f>quantInv[[#This Row],[Total Cost GBP]]/USDtoGBP</f>
        <v>0</v>
      </c>
      <c r="X769" s="33">
        <f>quantInv[[#This Row],[Total Cost GBP]]/CADtoGBP</f>
        <v>0</v>
      </c>
      <c r="Y769" s="33">
        <f>quantInv[[#This Row],[Quantity]]*quantInv[[#This Row],[UNIT
VALUE AUD]]</f>
        <v>0</v>
      </c>
      <c r="Z769" s="33"/>
    </row>
    <row r="770" spans="1:26" x14ac:dyDescent="0.25">
      <c r="A770" t="s">
        <v>1844</v>
      </c>
      <c r="B770" t="s">
        <v>1845</v>
      </c>
      <c r="C770" t="s">
        <v>115</v>
      </c>
      <c r="D770" t="s">
        <v>1846</v>
      </c>
      <c r="E770">
        <v>1.79</v>
      </c>
      <c r="F770" s="33">
        <v>3.8466</v>
      </c>
      <c r="G770" s="33" t="s">
        <v>117</v>
      </c>
      <c r="H770" t="s">
        <v>3302</v>
      </c>
      <c r="I770" t="str">
        <f>IF(quantInv[[#This Row],[Metal]] = "925 Silver",  "7113.11.00"," 7113.19.00")</f>
        <v>7113.11.00</v>
      </c>
      <c r="J770" t="str">
        <f>IF(quantInv[[#This Row],[Metal]] = "925 Silver", "7113.11.10.00"," 7113.19.10.00")</f>
        <v>7113.11.10.00</v>
      </c>
      <c r="K770" t="str">
        <f>IF(quantInv[[#This Row],[Metal]] = "925 Silver",  "7113.11.00"," 7113.19.00")</f>
        <v>7113.11.00</v>
      </c>
      <c r="L770" t="str">
        <f>IFERROR(VLOOKUP(quantInv[[#This Row],[Description for New Invoice]],Map!$G$12:$H$32,2,FALSE), IF(quantInv[[#This Row],[Metal]] = "925 Silver", "7113.11.10.00", "7113.19.29.00"))</f>
        <v>7113.11.50.00</v>
      </c>
      <c r="M770" t="str">
        <f>quantInv[[#This Row],[ASIN]] &amp; " " &amp; quantInv[[#This Row],[Short Description]]</f>
        <v>B08C34DGJD Celtic Braid Ring - L</v>
      </c>
      <c r="N770" s="33">
        <f>quantInv[[#This Row],[UNIT
VALUE]] / EURtoGBP</f>
        <v>4.366348265822138</v>
      </c>
      <c r="O770" s="33">
        <f>quantInv[[#This Row],[UNIT
VALUE]]/USDtoGBP</f>
        <v>5.2730495433066977</v>
      </c>
      <c r="P770" s="33">
        <f>quantInv[[#This Row],[UNIT
VALUE]] / CADtoGBP</f>
        <v>6.7498065392370012</v>
      </c>
      <c r="Q770" s="33">
        <f>quantInv[[#This Row],[UNIT
VALUE]]/AUDtoGBP</f>
        <v>6.9089015015446504</v>
      </c>
      <c r="R770">
        <f>IFERROR(VLOOKUP(quantInv[[#This Row],[Assigned Item SKU]],skuQuantity[#All],2,FALSE),0)</f>
        <v>0</v>
      </c>
      <c r="S770" t="str">
        <f>PROPER(quantInv[[#This Row],[Metal]] &amp; " " &amp; quantInv[[#This Row],[Item Type]])</f>
        <v>925 Silver Ring</v>
      </c>
      <c r="T770" s="33">
        <f>quantInv[[#This Row],[Quantity]]*quantInv[[#This Row],[WEIGHT]]</f>
        <v>0</v>
      </c>
      <c r="U770" s="33">
        <f>quantInv[[#This Row],[UNIT
VALUE]]*quantInv[[#This Row],[Quantity]]</f>
        <v>0</v>
      </c>
      <c r="V770" s="33">
        <f>quantInv[[#This Row],[Total Cost GBP]]/EURtoGBP</f>
        <v>0</v>
      </c>
      <c r="W770" s="33">
        <f>quantInv[[#This Row],[Total Cost GBP]]/USDtoGBP</f>
        <v>0</v>
      </c>
      <c r="X770" s="33">
        <f>quantInv[[#This Row],[Total Cost GBP]]/CADtoGBP</f>
        <v>0</v>
      </c>
      <c r="Y770" s="33">
        <f>quantInv[[#This Row],[Quantity]]*quantInv[[#This Row],[UNIT
VALUE AUD]]</f>
        <v>0</v>
      </c>
      <c r="Z770" s="33"/>
    </row>
    <row r="771" spans="1:26" x14ac:dyDescent="0.25">
      <c r="A771" t="s">
        <v>1847</v>
      </c>
      <c r="B771" t="s">
        <v>1848</v>
      </c>
      <c r="C771" t="s">
        <v>115</v>
      </c>
      <c r="D771" t="s">
        <v>1849</v>
      </c>
      <c r="E771">
        <v>1.93</v>
      </c>
      <c r="F771" s="33">
        <v>3.8466</v>
      </c>
      <c r="G771" s="33" t="s">
        <v>117</v>
      </c>
      <c r="H771" t="s">
        <v>3302</v>
      </c>
      <c r="I771" t="str">
        <f>IF(quantInv[[#This Row],[Metal]] = "925 Silver",  "7113.11.00"," 7113.19.00")</f>
        <v>7113.11.00</v>
      </c>
      <c r="J771" t="str">
        <f>IF(quantInv[[#This Row],[Metal]] = "925 Silver", "7113.11.10.00"," 7113.19.10.00")</f>
        <v>7113.11.10.00</v>
      </c>
      <c r="K771" t="str">
        <f>IF(quantInv[[#This Row],[Metal]] = "925 Silver",  "7113.11.00"," 7113.19.00")</f>
        <v>7113.11.00</v>
      </c>
      <c r="L771" t="str">
        <f>IFERROR(VLOOKUP(quantInv[[#This Row],[Description for New Invoice]],Map!$G$12:$H$32,2,FALSE), IF(quantInv[[#This Row],[Metal]] = "925 Silver", "7113.11.10.00", "7113.19.29.00"))</f>
        <v>7113.11.50.00</v>
      </c>
      <c r="M771" t="str">
        <f>quantInv[[#This Row],[ASIN]] &amp; " " &amp; quantInv[[#This Row],[Short Description]]</f>
        <v>B08C35VZK9 Celtic Braid Ring - M</v>
      </c>
      <c r="N771" s="33">
        <f>quantInv[[#This Row],[UNIT
VALUE]] / EURtoGBP</f>
        <v>4.366348265822138</v>
      </c>
      <c r="O771" s="33">
        <f>quantInv[[#This Row],[UNIT
VALUE]]/USDtoGBP</f>
        <v>5.2730495433066977</v>
      </c>
      <c r="P771" s="33">
        <f>quantInv[[#This Row],[UNIT
VALUE]] / CADtoGBP</f>
        <v>6.7498065392370012</v>
      </c>
      <c r="Q771" s="33">
        <f>quantInv[[#This Row],[UNIT
VALUE]]/AUDtoGBP</f>
        <v>6.9089015015446504</v>
      </c>
      <c r="R771">
        <f>IFERROR(VLOOKUP(quantInv[[#This Row],[Assigned Item SKU]],skuQuantity[#All],2,FALSE),0)</f>
        <v>0</v>
      </c>
      <c r="S771" t="str">
        <f>PROPER(quantInv[[#This Row],[Metal]] &amp; " " &amp; quantInv[[#This Row],[Item Type]])</f>
        <v>925 Silver Ring</v>
      </c>
      <c r="T771" s="33">
        <f>quantInv[[#This Row],[Quantity]]*quantInv[[#This Row],[WEIGHT]]</f>
        <v>0</v>
      </c>
      <c r="U771" s="33">
        <f>quantInv[[#This Row],[UNIT
VALUE]]*quantInv[[#This Row],[Quantity]]</f>
        <v>0</v>
      </c>
      <c r="V771" s="33">
        <f>quantInv[[#This Row],[Total Cost GBP]]/EURtoGBP</f>
        <v>0</v>
      </c>
      <c r="W771" s="33">
        <f>quantInv[[#This Row],[Total Cost GBP]]/USDtoGBP</f>
        <v>0</v>
      </c>
      <c r="X771" s="33">
        <f>quantInv[[#This Row],[Total Cost GBP]]/CADtoGBP</f>
        <v>0</v>
      </c>
      <c r="Y771" s="33">
        <f>quantInv[[#This Row],[Quantity]]*quantInv[[#This Row],[UNIT
VALUE AUD]]</f>
        <v>0</v>
      </c>
      <c r="Z771" s="33"/>
    </row>
    <row r="772" spans="1:26" x14ac:dyDescent="0.25">
      <c r="A772" t="s">
        <v>1850</v>
      </c>
      <c r="B772" t="s">
        <v>1851</v>
      </c>
      <c r="C772" t="s">
        <v>115</v>
      </c>
      <c r="D772" t="s">
        <v>1852</v>
      </c>
      <c r="E772">
        <v>1.95</v>
      </c>
      <c r="F772" s="33">
        <v>3.8466</v>
      </c>
      <c r="G772" s="33" t="s">
        <v>117</v>
      </c>
      <c r="H772" t="s">
        <v>3302</v>
      </c>
      <c r="I772" t="str">
        <f>IF(quantInv[[#This Row],[Metal]] = "925 Silver",  "7113.11.00"," 7113.19.00")</f>
        <v>7113.11.00</v>
      </c>
      <c r="J772" t="str">
        <f>IF(quantInv[[#This Row],[Metal]] = "925 Silver", "7113.11.10.00"," 7113.19.10.00")</f>
        <v>7113.11.10.00</v>
      </c>
      <c r="K772" t="str">
        <f>IF(quantInv[[#This Row],[Metal]] = "925 Silver",  "7113.11.00"," 7113.19.00")</f>
        <v>7113.11.00</v>
      </c>
      <c r="L772" t="str">
        <f>IFERROR(VLOOKUP(quantInv[[#This Row],[Description for New Invoice]],Map!$G$12:$H$32,2,FALSE), IF(quantInv[[#This Row],[Metal]] = "925 Silver", "7113.11.10.00", "7113.19.29.00"))</f>
        <v>7113.11.50.00</v>
      </c>
      <c r="M772" t="str">
        <f>quantInv[[#This Row],[ASIN]] &amp; " " &amp; quantInv[[#This Row],[Short Description]]</f>
        <v>B08C34NJ4G Celtic Braid Ring - N</v>
      </c>
      <c r="N772" s="33">
        <f>quantInv[[#This Row],[UNIT
VALUE]] / EURtoGBP</f>
        <v>4.366348265822138</v>
      </c>
      <c r="O772" s="33">
        <f>quantInv[[#This Row],[UNIT
VALUE]]/USDtoGBP</f>
        <v>5.2730495433066977</v>
      </c>
      <c r="P772" s="33">
        <f>quantInv[[#This Row],[UNIT
VALUE]] / CADtoGBP</f>
        <v>6.7498065392370012</v>
      </c>
      <c r="Q772" s="33">
        <f>quantInv[[#This Row],[UNIT
VALUE]]/AUDtoGBP</f>
        <v>6.9089015015446504</v>
      </c>
      <c r="R772">
        <f>IFERROR(VLOOKUP(quantInv[[#This Row],[Assigned Item SKU]],skuQuantity[#All],2,FALSE),0)</f>
        <v>5</v>
      </c>
      <c r="S772" t="str">
        <f>PROPER(quantInv[[#This Row],[Metal]] &amp; " " &amp; quantInv[[#This Row],[Item Type]])</f>
        <v>925 Silver Ring</v>
      </c>
      <c r="T772" s="33">
        <f>quantInv[[#This Row],[Quantity]]*quantInv[[#This Row],[WEIGHT]]</f>
        <v>9.75</v>
      </c>
      <c r="U772" s="33">
        <f>quantInv[[#This Row],[UNIT
VALUE]]*quantInv[[#This Row],[Quantity]]</f>
        <v>19.233000000000001</v>
      </c>
      <c r="V772" s="33">
        <f>quantInv[[#This Row],[Total Cost GBP]]/EURtoGBP</f>
        <v>21.831741329110692</v>
      </c>
      <c r="W772" s="33">
        <f>quantInv[[#This Row],[Total Cost GBP]]/USDtoGBP</f>
        <v>26.365247716533492</v>
      </c>
      <c r="X772" s="33">
        <f>quantInv[[#This Row],[Total Cost GBP]]/CADtoGBP</f>
        <v>33.749032696185004</v>
      </c>
      <c r="Y772" s="33">
        <f>quantInv[[#This Row],[Quantity]]*quantInv[[#This Row],[UNIT
VALUE AUD]]</f>
        <v>34.544507507723253</v>
      </c>
      <c r="Z772" s="33"/>
    </row>
    <row r="773" spans="1:26" x14ac:dyDescent="0.25">
      <c r="A773" t="s">
        <v>1853</v>
      </c>
      <c r="B773" t="s">
        <v>1854</v>
      </c>
      <c r="C773" t="s">
        <v>115</v>
      </c>
      <c r="D773" t="s">
        <v>1855</v>
      </c>
      <c r="E773">
        <v>1.9</v>
      </c>
      <c r="F773" s="33">
        <v>3.8466</v>
      </c>
      <c r="G773" s="33" t="s">
        <v>117</v>
      </c>
      <c r="H773" t="s">
        <v>3302</v>
      </c>
      <c r="I773" t="str">
        <f>IF(quantInv[[#This Row],[Metal]] = "925 Silver",  "7113.11.00"," 7113.19.00")</f>
        <v>7113.11.00</v>
      </c>
      <c r="J773" t="str">
        <f>IF(quantInv[[#This Row],[Metal]] = "925 Silver", "7113.11.10.00"," 7113.19.10.00")</f>
        <v>7113.11.10.00</v>
      </c>
      <c r="K773" t="str">
        <f>IF(quantInv[[#This Row],[Metal]] = "925 Silver",  "7113.11.00"," 7113.19.00")</f>
        <v>7113.11.00</v>
      </c>
      <c r="L773" t="str">
        <f>IFERROR(VLOOKUP(quantInv[[#This Row],[Description for New Invoice]],Map!$G$12:$H$32,2,FALSE), IF(quantInv[[#This Row],[Metal]] = "925 Silver", "7113.11.10.00", "7113.19.29.00"))</f>
        <v>7113.11.50.00</v>
      </c>
      <c r="M773" t="str">
        <f>quantInv[[#This Row],[ASIN]] &amp; " " &amp; quantInv[[#This Row],[Short Description]]</f>
        <v>B08C35SP74 Celtic Braid Ring - O</v>
      </c>
      <c r="N773" s="33">
        <f>quantInv[[#This Row],[UNIT
VALUE]] / EURtoGBP</f>
        <v>4.366348265822138</v>
      </c>
      <c r="O773" s="33">
        <f>quantInv[[#This Row],[UNIT
VALUE]]/USDtoGBP</f>
        <v>5.2730495433066977</v>
      </c>
      <c r="P773" s="33">
        <f>quantInv[[#This Row],[UNIT
VALUE]] / CADtoGBP</f>
        <v>6.7498065392370012</v>
      </c>
      <c r="Q773" s="33">
        <f>quantInv[[#This Row],[UNIT
VALUE]]/AUDtoGBP</f>
        <v>6.9089015015446504</v>
      </c>
      <c r="R773">
        <f>IFERROR(VLOOKUP(quantInv[[#This Row],[Assigned Item SKU]],skuQuantity[#All],2,FALSE),0)</f>
        <v>0</v>
      </c>
      <c r="S773" t="str">
        <f>PROPER(quantInv[[#This Row],[Metal]] &amp; " " &amp; quantInv[[#This Row],[Item Type]])</f>
        <v>925 Silver Ring</v>
      </c>
      <c r="T773" s="33">
        <f>quantInv[[#This Row],[Quantity]]*quantInv[[#This Row],[WEIGHT]]</f>
        <v>0</v>
      </c>
      <c r="U773" s="33">
        <f>quantInv[[#This Row],[UNIT
VALUE]]*quantInv[[#This Row],[Quantity]]</f>
        <v>0</v>
      </c>
      <c r="V773" s="33">
        <f>quantInv[[#This Row],[Total Cost GBP]]/EURtoGBP</f>
        <v>0</v>
      </c>
      <c r="W773" s="33">
        <f>quantInv[[#This Row],[Total Cost GBP]]/USDtoGBP</f>
        <v>0</v>
      </c>
      <c r="X773" s="33">
        <f>quantInv[[#This Row],[Total Cost GBP]]/CADtoGBP</f>
        <v>0</v>
      </c>
      <c r="Y773" s="33">
        <f>quantInv[[#This Row],[Quantity]]*quantInv[[#This Row],[UNIT
VALUE AUD]]</f>
        <v>0</v>
      </c>
      <c r="Z773" s="33"/>
    </row>
    <row r="774" spans="1:26" x14ac:dyDescent="0.25">
      <c r="A774" t="s">
        <v>598</v>
      </c>
      <c r="B774" t="s">
        <v>599</v>
      </c>
      <c r="C774" t="s">
        <v>114</v>
      </c>
      <c r="D774" t="s">
        <v>257</v>
      </c>
      <c r="E774">
        <v>2.5894736842105299</v>
      </c>
      <c r="F774" s="33">
        <v>3.0402</v>
      </c>
      <c r="G774" s="33" t="s">
        <v>117</v>
      </c>
      <c r="H774" t="s">
        <v>1414</v>
      </c>
      <c r="I774" t="str">
        <f>IF(quantInv[[#This Row],[Metal]] = "925 Silver",  "7113.11.00"," 7113.19.00")</f>
        <v>7113.11.00</v>
      </c>
      <c r="J774" t="str">
        <f>IF(quantInv[[#This Row],[Metal]] = "925 Silver", "7113.11.10.00"," 7113.19.10.00")</f>
        <v>7113.11.10.00</v>
      </c>
      <c r="K774" t="str">
        <f>IF(quantInv[[#This Row],[Metal]] = "925 Silver",  "7113.11.00"," 7113.19.00")</f>
        <v>7113.11.00</v>
      </c>
      <c r="L774" t="str">
        <f>IFERROR(VLOOKUP(quantInv[[#This Row],[Description for New Invoice]],Map!$G$12:$H$32,2,FALSE), IF(quantInv[[#This Row],[Metal]] = "925 Silver", "7113.11.10.00", "7113.19.29.00"))</f>
        <v>7113.11.10.00</v>
      </c>
      <c r="M774" t="str">
        <f>quantInv[[#This Row],[ASIN]] &amp; " " &amp; quantInv[[#This Row],[Short Description]]</f>
        <v>B01MZC1R4W Cube and Oval Link Chain</v>
      </c>
      <c r="N774" s="33">
        <f>quantInv[[#This Row],[UNIT
VALUE]] / EURtoGBP</f>
        <v>3.4509884047606887</v>
      </c>
      <c r="O774" s="33">
        <f>quantInv[[#This Row],[UNIT
VALUE]]/USDtoGBP</f>
        <v>4.1676091149485321</v>
      </c>
      <c r="P774" s="33">
        <f>quantInv[[#This Row],[UNIT
VALUE]] / CADtoGBP</f>
        <v>5.334779244160643</v>
      </c>
      <c r="Q774" s="33">
        <f>quantInv[[#This Row],[UNIT
VALUE]]/AUDtoGBP</f>
        <v>5.4605215891946255</v>
      </c>
      <c r="R774">
        <f>IFERROR(VLOOKUP(quantInv[[#This Row],[Assigned Item SKU]],skuQuantity[#All],2,FALSE),0)</f>
        <v>0</v>
      </c>
      <c r="S774" t="str">
        <f>PROPER(quantInv[[#This Row],[Metal]] &amp; " " &amp; quantInv[[#This Row],[Item Type]])</f>
        <v>925 Silver Bracelet</v>
      </c>
      <c r="T774" s="33">
        <f>quantInv[[#This Row],[Quantity]]*quantInv[[#This Row],[WEIGHT]]</f>
        <v>0</v>
      </c>
      <c r="U774" s="33">
        <f>quantInv[[#This Row],[UNIT
VALUE]]*quantInv[[#This Row],[Quantity]]</f>
        <v>0</v>
      </c>
      <c r="V774" s="33">
        <f>quantInv[[#This Row],[Total Cost GBP]]/EURtoGBP</f>
        <v>0</v>
      </c>
      <c r="W774" s="33">
        <f>quantInv[[#This Row],[Total Cost GBP]]/USDtoGBP</f>
        <v>0</v>
      </c>
      <c r="X774" s="33">
        <f>quantInv[[#This Row],[Total Cost GBP]]/CADtoGBP</f>
        <v>0</v>
      </c>
      <c r="Y774" s="33">
        <f>quantInv[[#This Row],[Quantity]]*quantInv[[#This Row],[UNIT
VALUE AUD]]</f>
        <v>0</v>
      </c>
      <c r="Z774" s="33"/>
    </row>
    <row r="775" spans="1:26" x14ac:dyDescent="0.25">
      <c r="A775" t="s">
        <v>616</v>
      </c>
      <c r="B775" t="s">
        <v>617</v>
      </c>
      <c r="C775" t="s">
        <v>114</v>
      </c>
      <c r="D775" t="s">
        <v>611</v>
      </c>
      <c r="E775">
        <v>4.2807692307692298</v>
      </c>
      <c r="F775" s="33">
        <v>4.4966999999999997</v>
      </c>
      <c r="G775" s="33" t="s">
        <v>117</v>
      </c>
      <c r="H775" t="s">
        <v>103</v>
      </c>
      <c r="I775" t="str">
        <f>IF(quantInv[[#This Row],[Metal]] = "925 Silver",  "7113.11.00"," 7113.19.00")</f>
        <v>7113.11.00</v>
      </c>
      <c r="J775" t="str">
        <f>IF(quantInv[[#This Row],[Metal]] = "925 Silver", "7113.11.10.00"," 7113.19.10.00")</f>
        <v>7113.11.10.00</v>
      </c>
      <c r="K775" t="str">
        <f>IF(quantInv[[#This Row],[Metal]] = "925 Silver",  "7113.11.00"," 7113.19.00")</f>
        <v>7113.11.00</v>
      </c>
      <c r="L775" t="str">
        <f>IFERROR(VLOOKUP(quantInv[[#This Row],[Description for New Invoice]],Map!$G$12:$H$32,2,FALSE), IF(quantInv[[#This Row],[Metal]] = "925 Silver", "7113.11.10.00", "7113.19.29.00"))</f>
        <v>7113.11.10.00</v>
      </c>
      <c r="M775" t="str">
        <f>quantInv[[#This Row],[ASIN]] &amp; " " &amp; quantInv[[#This Row],[Short Description]]</f>
        <v>B0164MQFDI Bismark chain</v>
      </c>
      <c r="N775" s="33">
        <f>quantInv[[#This Row],[UNIT
VALUE]] / EURtoGBP</f>
        <v>5.1042890466704121</v>
      </c>
      <c r="O775" s="33">
        <f>quantInv[[#This Row],[UNIT
VALUE]]/USDtoGBP</f>
        <v>6.1642286386385967</v>
      </c>
      <c r="P775" s="33">
        <f>quantInv[[#This Row],[UNIT
VALUE]] / CADtoGBP</f>
        <v>7.890567011123335</v>
      </c>
      <c r="Q775" s="33">
        <f>quantInv[[#This Row],[UNIT
VALUE]]/AUDtoGBP</f>
        <v>8.0765500395143324</v>
      </c>
      <c r="R775">
        <f>IFERROR(VLOOKUP(quantInv[[#This Row],[Assigned Item SKU]],skuQuantity[#All],2,FALSE),0)</f>
        <v>5</v>
      </c>
      <c r="S775" t="str">
        <f>PROPER(quantInv[[#This Row],[Metal]] &amp; " " &amp; quantInv[[#This Row],[Item Type]])</f>
        <v>925 Silver Chain</v>
      </c>
      <c r="T775" s="33">
        <f>quantInv[[#This Row],[Quantity]]*quantInv[[#This Row],[WEIGHT]]</f>
        <v>21.40384615384615</v>
      </c>
      <c r="U775" s="33">
        <f>quantInv[[#This Row],[UNIT
VALUE]]*quantInv[[#This Row],[Quantity]]</f>
        <v>22.483499999999999</v>
      </c>
      <c r="V775" s="33">
        <f>quantInv[[#This Row],[Total Cost GBP]]/EURtoGBP</f>
        <v>25.521445233352061</v>
      </c>
      <c r="W775" s="33">
        <f>quantInv[[#This Row],[Total Cost GBP]]/USDtoGBP</f>
        <v>30.821143193192988</v>
      </c>
      <c r="X775" s="33">
        <f>quantInv[[#This Row],[Total Cost GBP]]/CADtoGBP</f>
        <v>39.452835055616674</v>
      </c>
      <c r="Y775" s="33">
        <f>quantInv[[#This Row],[Quantity]]*quantInv[[#This Row],[UNIT
VALUE AUD]]</f>
        <v>40.38275019757166</v>
      </c>
      <c r="Z775" s="33"/>
    </row>
    <row r="776" spans="1:26" x14ac:dyDescent="0.25">
      <c r="A776" t="s">
        <v>1862</v>
      </c>
      <c r="B776" t="s">
        <v>1863</v>
      </c>
      <c r="C776" t="s">
        <v>115</v>
      </c>
      <c r="D776" t="s">
        <v>1864</v>
      </c>
      <c r="E776">
        <v>1.65</v>
      </c>
      <c r="F776" s="33">
        <v>3.9683000000000002</v>
      </c>
      <c r="G776" s="33" t="s">
        <v>117</v>
      </c>
      <c r="H776" t="s">
        <v>3302</v>
      </c>
      <c r="I776" t="str">
        <f>IF(quantInv[[#This Row],[Metal]] = "925 Silver",  "7113.11.00"," 7113.19.00")</f>
        <v>7113.11.00</v>
      </c>
      <c r="J776" t="str">
        <f>IF(quantInv[[#This Row],[Metal]] = "925 Silver", "7113.11.10.00"," 7113.19.10.00")</f>
        <v>7113.11.10.00</v>
      </c>
      <c r="K776" t="str">
        <f>IF(quantInv[[#This Row],[Metal]] = "925 Silver",  "7113.11.00"," 7113.19.00")</f>
        <v>7113.11.00</v>
      </c>
      <c r="L776" t="str">
        <f>IFERROR(VLOOKUP(quantInv[[#This Row],[Description for New Invoice]],Map!$G$12:$H$32,2,FALSE), IF(quantInv[[#This Row],[Metal]] = "925 Silver", "7113.11.10.00", "7113.19.29.00"))</f>
        <v>7113.11.50.00</v>
      </c>
      <c r="M776" t="str">
        <f>quantInv[[#This Row],[ASIN]] &amp; " " &amp; quantInv[[#This Row],[Short Description]]</f>
        <v>B08C34MCWL Ring with CZ - L</v>
      </c>
      <c r="N776" s="33">
        <f>quantInv[[#This Row],[UNIT
VALUE]] / EURtoGBP</f>
        <v>4.5044922329490955</v>
      </c>
      <c r="O776" s="33">
        <f>quantInv[[#This Row],[UNIT
VALUE]]/USDtoGBP</f>
        <v>5.4398800246201766</v>
      </c>
      <c r="P776" s="33">
        <f>quantInv[[#This Row],[UNIT
VALUE]] / CADtoGBP</f>
        <v>6.9633591456491946</v>
      </c>
      <c r="Q776" s="33">
        <f>quantInv[[#This Row],[UNIT
VALUE]]/AUDtoGBP</f>
        <v>7.1274876068683097</v>
      </c>
      <c r="R776">
        <f>IFERROR(VLOOKUP(quantInv[[#This Row],[Assigned Item SKU]],skuQuantity[#All],2,FALSE),0)</f>
        <v>0</v>
      </c>
      <c r="S776" t="str">
        <f>PROPER(quantInv[[#This Row],[Metal]] &amp; " " &amp; quantInv[[#This Row],[Item Type]])</f>
        <v>925 Silver Ring</v>
      </c>
      <c r="T776" s="33">
        <f>quantInv[[#This Row],[Quantity]]*quantInv[[#This Row],[WEIGHT]]</f>
        <v>0</v>
      </c>
      <c r="U776" s="33">
        <f>quantInv[[#This Row],[UNIT
VALUE]]*quantInv[[#This Row],[Quantity]]</f>
        <v>0</v>
      </c>
      <c r="V776" s="33">
        <f>quantInv[[#This Row],[Total Cost GBP]]/EURtoGBP</f>
        <v>0</v>
      </c>
      <c r="W776" s="33">
        <f>quantInv[[#This Row],[Total Cost GBP]]/USDtoGBP</f>
        <v>0</v>
      </c>
      <c r="X776" s="33">
        <f>quantInv[[#This Row],[Total Cost GBP]]/CADtoGBP</f>
        <v>0</v>
      </c>
      <c r="Y776" s="33">
        <f>quantInv[[#This Row],[Quantity]]*quantInv[[#This Row],[UNIT
VALUE AUD]]</f>
        <v>0</v>
      </c>
      <c r="Z776" s="33"/>
    </row>
    <row r="777" spans="1:26" x14ac:dyDescent="0.25">
      <c r="A777" t="s">
        <v>14</v>
      </c>
      <c r="B777" t="s">
        <v>638</v>
      </c>
      <c r="C777" t="s">
        <v>114</v>
      </c>
      <c r="D777" t="s">
        <v>274</v>
      </c>
      <c r="E777">
        <v>1.9117647058823499</v>
      </c>
      <c r="F777" s="33">
        <v>2.2345999999999999</v>
      </c>
      <c r="G777" s="33" t="s">
        <v>117</v>
      </c>
      <c r="H777" t="s">
        <v>1414</v>
      </c>
      <c r="I777" t="str">
        <f>IF(quantInv[[#This Row],[Metal]] = "925 Silver",  "7113.11.00"," 7113.19.00")</f>
        <v>7113.11.00</v>
      </c>
      <c r="J777" t="str">
        <f>IF(quantInv[[#This Row],[Metal]] = "925 Silver", "7113.11.10.00"," 7113.19.10.00")</f>
        <v>7113.11.10.00</v>
      </c>
      <c r="K777" t="str">
        <f>IF(quantInv[[#This Row],[Metal]] = "925 Silver",  "7113.11.00"," 7113.19.00")</f>
        <v>7113.11.00</v>
      </c>
      <c r="L777" t="str">
        <f>IFERROR(VLOOKUP(quantInv[[#This Row],[Description for New Invoice]],Map!$G$12:$H$32,2,FALSE), IF(quantInv[[#This Row],[Metal]] = "925 Silver", "7113.11.10.00", "7113.19.29.00"))</f>
        <v>7113.11.10.00</v>
      </c>
      <c r="M777" t="str">
        <f>quantInv[[#This Row],[ASIN]] &amp; " " &amp; quantInv[[#This Row],[Short Description]]</f>
        <v>B01N5RK8OL Singapore with Beads Chain</v>
      </c>
      <c r="N777" s="33">
        <f>quantInv[[#This Row],[UNIT
VALUE]] / EURtoGBP</f>
        <v>2.5365366387994981</v>
      </c>
      <c r="O777" s="33">
        <f>quantInv[[#This Row],[UNIT
VALUE]]/USDtoGBP</f>
        <v>3.0632653536819912</v>
      </c>
      <c r="P777" s="33">
        <f>quantInv[[#This Row],[UNIT
VALUE]] / CADtoGBP</f>
        <v>3.9211557460040041</v>
      </c>
      <c r="Q777" s="33">
        <f>quantInv[[#This Row],[UNIT
VALUE]]/AUDtoGBP</f>
        <v>4.0135785616782815</v>
      </c>
      <c r="R777">
        <f>IFERROR(VLOOKUP(quantInv[[#This Row],[Assigned Item SKU]],skuQuantity[#All],2,FALSE),0)</f>
        <v>20</v>
      </c>
      <c r="S777" t="str">
        <f>PROPER(quantInv[[#This Row],[Metal]] &amp; " " &amp; quantInv[[#This Row],[Item Type]])</f>
        <v>925 Silver Bracelet</v>
      </c>
      <c r="T777" s="33">
        <f>quantInv[[#This Row],[Quantity]]*quantInv[[#This Row],[WEIGHT]]</f>
        <v>38.235294117647001</v>
      </c>
      <c r="U777" s="33">
        <f>quantInv[[#This Row],[UNIT
VALUE]]*quantInv[[#This Row],[Quantity]]</f>
        <v>44.692</v>
      </c>
      <c r="V777" s="33">
        <f>quantInv[[#This Row],[Total Cost GBP]]/EURtoGBP</f>
        <v>50.730732775989964</v>
      </c>
      <c r="W777" s="33">
        <f>quantInv[[#This Row],[Total Cost GBP]]/USDtoGBP</f>
        <v>61.265307073639825</v>
      </c>
      <c r="X777" s="33">
        <f>quantInv[[#This Row],[Total Cost GBP]]/CADtoGBP</f>
        <v>78.423114920080081</v>
      </c>
      <c r="Y777" s="33">
        <f>quantInv[[#This Row],[Quantity]]*quantInv[[#This Row],[UNIT
VALUE AUD]]</f>
        <v>80.271571233565624</v>
      </c>
      <c r="Z777" s="33"/>
    </row>
    <row r="778" spans="1:26" x14ac:dyDescent="0.25">
      <c r="A778" t="s">
        <v>671</v>
      </c>
      <c r="B778" t="s">
        <v>672</v>
      </c>
      <c r="C778" t="s">
        <v>114</v>
      </c>
      <c r="D778" t="s">
        <v>242</v>
      </c>
      <c r="E778">
        <v>3.35</v>
      </c>
      <c r="F778" s="33">
        <v>3.7902999999999998</v>
      </c>
      <c r="G778" s="33" t="s">
        <v>117</v>
      </c>
      <c r="H778" t="s">
        <v>103</v>
      </c>
      <c r="I778" t="str">
        <f>IF(quantInv[[#This Row],[Metal]] = "925 Silver",  "7113.11.00"," 7113.19.00")</f>
        <v>7113.11.00</v>
      </c>
      <c r="J778" t="str">
        <f>IF(quantInv[[#This Row],[Metal]] = "925 Silver", "7113.11.10.00"," 7113.19.10.00")</f>
        <v>7113.11.10.00</v>
      </c>
      <c r="K778" t="str">
        <f>IF(quantInv[[#This Row],[Metal]] = "925 Silver",  "7113.11.00"," 7113.19.00")</f>
        <v>7113.11.00</v>
      </c>
      <c r="L778" t="str">
        <f>IFERROR(VLOOKUP(quantInv[[#This Row],[Description for New Invoice]],Map!$G$12:$H$32,2,FALSE), IF(quantInv[[#This Row],[Metal]] = "925 Silver", "7113.11.10.00", "7113.19.29.00"))</f>
        <v>7113.11.10.00</v>
      </c>
      <c r="M778" t="str">
        <f>quantInv[[#This Row],[ASIN]] &amp; " " &amp; quantInv[[#This Row],[Short Description]]</f>
        <v>B01NAV4IYF Heart Chain</v>
      </c>
      <c r="N778" s="33">
        <f>quantInv[[#This Row],[UNIT
VALUE]] / EURtoGBP</f>
        <v>4.3024410731413845</v>
      </c>
      <c r="O778" s="33">
        <f>quantInv[[#This Row],[UNIT
VALUE]]/USDtoGBP</f>
        <v>5.1958715967335767</v>
      </c>
      <c r="P778" s="33">
        <f>quantInv[[#This Row],[UNIT
VALUE]] / CADtoGBP</f>
        <v>6.6510143310118037</v>
      </c>
      <c r="Q778" s="33">
        <f>quantInv[[#This Row],[UNIT
VALUE]]/AUDtoGBP</f>
        <v>6.8077807313743799</v>
      </c>
      <c r="R778">
        <f>IFERROR(VLOOKUP(quantInv[[#This Row],[Assigned Item SKU]],skuQuantity[#All],2,FALSE),0)</f>
        <v>10</v>
      </c>
      <c r="S778" t="str">
        <f>PROPER(quantInv[[#This Row],[Metal]] &amp; " " &amp; quantInv[[#This Row],[Item Type]])</f>
        <v>925 Silver Chain</v>
      </c>
      <c r="T778" s="33">
        <f>quantInv[[#This Row],[Quantity]]*quantInv[[#This Row],[WEIGHT]]</f>
        <v>33.5</v>
      </c>
      <c r="U778" s="33">
        <f>quantInv[[#This Row],[UNIT
VALUE]]*quantInv[[#This Row],[Quantity]]</f>
        <v>37.902999999999999</v>
      </c>
      <c r="V778" s="33">
        <f>quantInv[[#This Row],[Total Cost GBP]]/EURtoGBP</f>
        <v>43.024410731413845</v>
      </c>
      <c r="W778" s="33">
        <f>quantInv[[#This Row],[Total Cost GBP]]/USDtoGBP</f>
        <v>51.95871596733577</v>
      </c>
      <c r="X778" s="33">
        <f>quantInv[[#This Row],[Total Cost GBP]]/CADtoGBP</f>
        <v>66.510143310118039</v>
      </c>
      <c r="Y778" s="33">
        <f>quantInv[[#This Row],[Quantity]]*quantInv[[#This Row],[UNIT
VALUE AUD]]</f>
        <v>68.077807313743804</v>
      </c>
      <c r="Z778" s="33"/>
    </row>
    <row r="779" spans="1:26" x14ac:dyDescent="0.25">
      <c r="A779" t="s">
        <v>91</v>
      </c>
      <c r="B779" t="s">
        <v>708</v>
      </c>
      <c r="C779" t="s">
        <v>113</v>
      </c>
      <c r="D779" t="s">
        <v>707</v>
      </c>
      <c r="E779">
        <v>2.5</v>
      </c>
      <c r="F779" s="33">
        <v>3.9559000000000002</v>
      </c>
      <c r="G779" s="33" t="s">
        <v>117</v>
      </c>
      <c r="H779" t="s">
        <v>1310</v>
      </c>
      <c r="I779" t="str">
        <f>IF(quantInv[[#This Row],[Metal]] = "925 Silver",  "7113.11.00"," 7113.19.00")</f>
        <v>7113.11.00</v>
      </c>
      <c r="J779" t="str">
        <f>IF(quantInv[[#This Row],[Metal]] = "925 Silver", "7113.11.10.00"," 7113.19.10.00")</f>
        <v>7113.11.10.00</v>
      </c>
      <c r="K779" t="str">
        <f>IF(quantInv[[#This Row],[Metal]] = "925 Silver",  "7113.11.00"," 7113.19.00")</f>
        <v>7113.11.00</v>
      </c>
      <c r="L779" t="str">
        <f>IFERROR(VLOOKUP(quantInv[[#This Row],[Description for New Invoice]],Map!$G$12:$H$32,2,FALSE), IF(quantInv[[#This Row],[Metal]] = "925 Silver", "7113.11.10.00", "7113.19.29.00"))</f>
        <v>7113.11.50.00</v>
      </c>
      <c r="M779" t="str">
        <f>quantInv[[#This Row],[ASIN]] &amp; " " &amp; quantInv[[#This Row],[Short Description]]</f>
        <v>B077MH9DJB Hinged Hoop Earrings</v>
      </c>
      <c r="N779" s="33">
        <f>quantInv[[#This Row],[UNIT
VALUE]] / EURtoGBP</f>
        <v>4.4904167588950754</v>
      </c>
      <c r="O779" s="33">
        <f>quantInv[[#This Row],[UNIT
VALUE]]/USDtoGBP</f>
        <v>5.4228816846999868</v>
      </c>
      <c r="P779" s="33">
        <f>quantInv[[#This Row],[UNIT
VALUE]] / CADtoGBP</f>
        <v>6.9416002933935559</v>
      </c>
      <c r="Q779" s="33">
        <f>quantInv[[#This Row],[UNIT
VALUE]]/AUDtoGBP</f>
        <v>7.1052158919462602</v>
      </c>
      <c r="R779">
        <f>IFERROR(VLOOKUP(quantInv[[#This Row],[Assigned Item SKU]],skuQuantity[#All],2,FALSE),0)</f>
        <v>20</v>
      </c>
      <c r="S779" t="str">
        <f>PROPER(quantInv[[#This Row],[Metal]] &amp; " " &amp; quantInv[[#This Row],[Item Type]])</f>
        <v>925 Silver Earrings</v>
      </c>
      <c r="T779" s="33">
        <f>quantInv[[#This Row],[Quantity]]*quantInv[[#This Row],[WEIGHT]]</f>
        <v>50</v>
      </c>
      <c r="U779" s="33">
        <f>quantInv[[#This Row],[UNIT
VALUE]]*quantInv[[#This Row],[Quantity]]</f>
        <v>79.118000000000009</v>
      </c>
      <c r="V779" s="33">
        <f>quantInv[[#This Row],[Total Cost GBP]]/EURtoGBP</f>
        <v>89.808335177901512</v>
      </c>
      <c r="W779" s="33">
        <f>quantInv[[#This Row],[Total Cost GBP]]/USDtoGBP</f>
        <v>108.45763369399974</v>
      </c>
      <c r="X779" s="33">
        <f>quantInv[[#This Row],[Total Cost GBP]]/CADtoGBP</f>
        <v>138.83200586787115</v>
      </c>
      <c r="Y779" s="33">
        <f>quantInv[[#This Row],[Quantity]]*quantInv[[#This Row],[UNIT
VALUE AUD]]</f>
        <v>142.1043178389252</v>
      </c>
      <c r="Z779" s="33"/>
    </row>
    <row r="780" spans="1:26" x14ac:dyDescent="0.25">
      <c r="A780" t="s">
        <v>62</v>
      </c>
      <c r="B780" t="s">
        <v>890</v>
      </c>
      <c r="C780" t="s">
        <v>113</v>
      </c>
      <c r="D780" t="s">
        <v>886</v>
      </c>
      <c r="E780">
        <v>2</v>
      </c>
      <c r="F780" s="33">
        <v>3.1057999999999999</v>
      </c>
      <c r="G780" s="33" t="s">
        <v>117</v>
      </c>
      <c r="H780" t="s">
        <v>1451</v>
      </c>
      <c r="I780" t="str">
        <f>IF(quantInv[[#This Row],[Metal]] = "925 Silver",  "7113.11.00"," 7113.19.00")</f>
        <v>7113.11.00</v>
      </c>
      <c r="J780" t="str">
        <f>IF(quantInv[[#This Row],[Metal]] = "925 Silver", "7113.11.10.00"," 7113.19.10.00")</f>
        <v>7113.11.10.00</v>
      </c>
      <c r="K780" t="str">
        <f>IF(quantInv[[#This Row],[Metal]] = "925 Silver",  "7113.11.00"," 7113.19.00")</f>
        <v>7113.11.00</v>
      </c>
      <c r="L780" t="str">
        <f>IFERROR(VLOOKUP(quantInv[[#This Row],[Description for New Invoice]],Map!$G$12:$H$32,2,FALSE), IF(quantInv[[#This Row],[Metal]] = "925 Silver", "7113.11.10.00", "7113.19.29.00"))</f>
        <v>7113.11.50.00</v>
      </c>
      <c r="M780" t="str">
        <f>quantInv[[#This Row],[ASIN]] &amp; " " &amp; quantInv[[#This Row],[Short Description]]</f>
        <v>B06ZZV8L6T Pendant - SUN</v>
      </c>
      <c r="N780" s="33">
        <f>quantInv[[#This Row],[UNIT
VALUE]] / EURtoGBP</f>
        <v>3.5254522029819571</v>
      </c>
      <c r="O780" s="33">
        <f>quantInv[[#This Row],[UNIT
VALUE]]/USDtoGBP</f>
        <v>4.2575358164617958</v>
      </c>
      <c r="P780" s="33">
        <f>quantInv[[#This Row],[UNIT
VALUE]] / CADtoGBP</f>
        <v>5.4498905915775691</v>
      </c>
      <c r="Q780" s="33">
        <f>quantInv[[#This Row],[UNIT
VALUE]]/AUDtoGBP</f>
        <v>5.5783461455564334</v>
      </c>
      <c r="R780">
        <f>IFERROR(VLOOKUP(quantInv[[#This Row],[Assigned Item SKU]],skuQuantity[#All],2,FALSE),0)</f>
        <v>15</v>
      </c>
      <c r="S780" t="str">
        <f>PROPER(quantInv[[#This Row],[Metal]] &amp; " " &amp; quantInv[[#This Row],[Item Type]])</f>
        <v>925 Silver Pendant</v>
      </c>
      <c r="T780" s="33">
        <f>quantInv[[#This Row],[Quantity]]*quantInv[[#This Row],[WEIGHT]]</f>
        <v>30</v>
      </c>
      <c r="U780" s="33">
        <f>quantInv[[#This Row],[UNIT
VALUE]]*quantInv[[#This Row],[Quantity]]</f>
        <v>46.586999999999996</v>
      </c>
      <c r="V780" s="33">
        <f>quantInv[[#This Row],[Total Cost GBP]]/EURtoGBP</f>
        <v>52.881783044729353</v>
      </c>
      <c r="W780" s="33">
        <f>quantInv[[#This Row],[Total Cost GBP]]/USDtoGBP</f>
        <v>63.863037246926929</v>
      </c>
      <c r="X780" s="33">
        <f>quantInv[[#This Row],[Total Cost GBP]]/CADtoGBP</f>
        <v>81.748358873663534</v>
      </c>
      <c r="Y780" s="33">
        <f>quantInv[[#This Row],[Quantity]]*quantInv[[#This Row],[UNIT
VALUE AUD]]</f>
        <v>83.675192183346496</v>
      </c>
      <c r="Z780" s="33"/>
    </row>
    <row r="781" spans="1:26" x14ac:dyDescent="0.25">
      <c r="A781" t="s">
        <v>1877</v>
      </c>
      <c r="B781" t="s">
        <v>1878</v>
      </c>
      <c r="C781" t="s">
        <v>115</v>
      </c>
      <c r="D781" t="s">
        <v>1879</v>
      </c>
      <c r="E781">
        <v>0.72</v>
      </c>
      <c r="F781" s="33">
        <v>2.3052000000000001</v>
      </c>
      <c r="G781" s="33" t="s">
        <v>117</v>
      </c>
      <c r="H781" t="s">
        <v>1451</v>
      </c>
      <c r="I781" t="str">
        <f>IF(quantInv[[#This Row],[Metal]] = "925 Silver",  "7113.11.00"," 7113.19.00")</f>
        <v>7113.11.00</v>
      </c>
      <c r="J781" t="str">
        <f>IF(quantInv[[#This Row],[Metal]] = "925 Silver", "7113.11.10.00"," 7113.19.10.00")</f>
        <v>7113.11.10.00</v>
      </c>
      <c r="K781" t="str">
        <f>IF(quantInv[[#This Row],[Metal]] = "925 Silver",  "7113.11.00"," 7113.19.00")</f>
        <v>7113.11.00</v>
      </c>
      <c r="L781" t="str">
        <f>IFERROR(VLOOKUP(quantInv[[#This Row],[Description for New Invoice]],Map!$G$12:$H$32,2,FALSE), IF(quantInv[[#This Row],[Metal]] = "925 Silver", "7113.11.10.00", "7113.19.29.00"))</f>
        <v>7113.11.50.00</v>
      </c>
      <c r="M781" t="str">
        <f>quantInv[[#This Row],[ASIN]] &amp; " " &amp; quantInv[[#This Row],[Short Description]]</f>
        <v>B091FSR26S Pendant - Leaves - Flat Leaf</v>
      </c>
      <c r="N781" s="33">
        <f>quantInv[[#This Row],[UNIT
VALUE]] / EURtoGBP</f>
        <v>2.6166760313973882</v>
      </c>
      <c r="O781" s="33">
        <f>quantInv[[#This Row],[UNIT
VALUE]]/USDtoGBP</f>
        <v>3.1600462245179122</v>
      </c>
      <c r="P781" s="33">
        <f>quantInv[[#This Row],[UNIT
VALUE]] / CADtoGBP</f>
        <v>4.0450408241691713</v>
      </c>
      <c r="Q781" s="33">
        <f>quantInv[[#This Row],[UNIT
VALUE]]/AUDtoGBP</f>
        <v>4.1403836482505927</v>
      </c>
      <c r="R781">
        <f>IFERROR(VLOOKUP(quantInv[[#This Row],[Assigned Item SKU]],skuQuantity[#All],2,FALSE),0)</f>
        <v>0</v>
      </c>
      <c r="S781" t="str">
        <f>PROPER(quantInv[[#This Row],[Metal]] &amp; " " &amp; quantInv[[#This Row],[Item Type]])</f>
        <v>925 Silver Pendant</v>
      </c>
      <c r="T781" s="33">
        <f>quantInv[[#This Row],[Quantity]]*quantInv[[#This Row],[WEIGHT]]</f>
        <v>0</v>
      </c>
      <c r="U781" s="33">
        <f>quantInv[[#This Row],[UNIT
VALUE]]*quantInv[[#This Row],[Quantity]]</f>
        <v>0</v>
      </c>
      <c r="V781" s="33">
        <f>quantInv[[#This Row],[Total Cost GBP]]/EURtoGBP</f>
        <v>0</v>
      </c>
      <c r="W781" s="33">
        <f>quantInv[[#This Row],[Total Cost GBP]]/USDtoGBP</f>
        <v>0</v>
      </c>
      <c r="X781" s="33">
        <f>quantInv[[#This Row],[Total Cost GBP]]/CADtoGBP</f>
        <v>0</v>
      </c>
      <c r="Y781" s="33">
        <f>quantInv[[#This Row],[Quantity]]*quantInv[[#This Row],[UNIT
VALUE AUD]]</f>
        <v>0</v>
      </c>
      <c r="Z781" s="33"/>
    </row>
    <row r="782" spans="1:26" x14ac:dyDescent="0.25">
      <c r="A782" t="s">
        <v>1880</v>
      </c>
      <c r="B782" t="s">
        <v>1881</v>
      </c>
      <c r="C782" t="s">
        <v>115</v>
      </c>
      <c r="D782" t="s">
        <v>1882</v>
      </c>
      <c r="E782">
        <v>1.56</v>
      </c>
      <c r="F782" s="33">
        <v>1.9806999999999999</v>
      </c>
      <c r="G782" s="33" t="s">
        <v>117</v>
      </c>
      <c r="H782" t="s">
        <v>1451</v>
      </c>
      <c r="I782" t="str">
        <f>IF(quantInv[[#This Row],[Metal]] = "925 Silver",  "7113.11.00"," 7113.19.00")</f>
        <v>7113.11.00</v>
      </c>
      <c r="J782" t="str">
        <f>IF(quantInv[[#This Row],[Metal]] = "925 Silver", "7113.11.10.00"," 7113.19.10.00")</f>
        <v>7113.11.10.00</v>
      </c>
      <c r="K782" t="str">
        <f>IF(quantInv[[#This Row],[Metal]] = "925 Silver",  "7113.11.00"," 7113.19.00")</f>
        <v>7113.11.00</v>
      </c>
      <c r="L782" t="str">
        <f>IFERROR(VLOOKUP(quantInv[[#This Row],[Description for New Invoice]],Map!$G$12:$H$32,2,FALSE), IF(quantInv[[#This Row],[Metal]] = "925 Silver", "7113.11.10.00", "7113.19.29.00"))</f>
        <v>7113.11.50.00</v>
      </c>
      <c r="M782" t="str">
        <f>quantInv[[#This Row],[ASIN]] &amp; " " &amp; quantInv[[#This Row],[Short Description]]</f>
        <v>B091FRW8WS Pendant - Leaves - Curved Leaf</v>
      </c>
      <c r="N782" s="33">
        <f>quantInv[[#This Row],[UNIT
VALUE]] / EURtoGBP</f>
        <v>2.248329956354679</v>
      </c>
      <c r="O782" s="33">
        <f>quantInv[[#This Row],[UNIT
VALUE]]/USDtoGBP</f>
        <v>2.7152106354774546</v>
      </c>
      <c r="P782" s="33">
        <f>quantInv[[#This Row],[UNIT
VALUE]] / CADtoGBP</f>
        <v>3.4756256986083103</v>
      </c>
      <c r="Q782" s="33">
        <f>quantInv[[#This Row],[UNIT
VALUE]]/AUDtoGBP</f>
        <v>3.5575472375889068</v>
      </c>
      <c r="R782">
        <f>IFERROR(VLOOKUP(quantInv[[#This Row],[Assigned Item SKU]],skuQuantity[#All],2,FALSE),0)</f>
        <v>0</v>
      </c>
      <c r="S782" t="str">
        <f>PROPER(quantInv[[#This Row],[Metal]] &amp; " " &amp; quantInv[[#This Row],[Item Type]])</f>
        <v>925 Silver Pendant</v>
      </c>
      <c r="T782" s="33">
        <f>quantInv[[#This Row],[Quantity]]*quantInv[[#This Row],[WEIGHT]]</f>
        <v>0</v>
      </c>
      <c r="U782" s="33">
        <f>quantInv[[#This Row],[UNIT
VALUE]]*quantInv[[#This Row],[Quantity]]</f>
        <v>0</v>
      </c>
      <c r="V782" s="33">
        <f>quantInv[[#This Row],[Total Cost GBP]]/EURtoGBP</f>
        <v>0</v>
      </c>
      <c r="W782" s="33">
        <f>quantInv[[#This Row],[Total Cost GBP]]/USDtoGBP</f>
        <v>0</v>
      </c>
      <c r="X782" s="33">
        <f>quantInv[[#This Row],[Total Cost GBP]]/CADtoGBP</f>
        <v>0</v>
      </c>
      <c r="Y782" s="33">
        <f>quantInv[[#This Row],[Quantity]]*quantInv[[#This Row],[UNIT
VALUE AUD]]</f>
        <v>0</v>
      </c>
      <c r="Z782" s="33"/>
    </row>
    <row r="783" spans="1:26" x14ac:dyDescent="0.25">
      <c r="A783" t="s">
        <v>1883</v>
      </c>
      <c r="B783" t="s">
        <v>1884</v>
      </c>
      <c r="C783" t="s">
        <v>115</v>
      </c>
      <c r="D783" t="s">
        <v>1885</v>
      </c>
      <c r="E783">
        <v>2.0299999999999998</v>
      </c>
      <c r="F783" s="33">
        <v>2.4674999999999998</v>
      </c>
      <c r="G783" s="33" t="s">
        <v>117</v>
      </c>
      <c r="H783" t="s">
        <v>1451</v>
      </c>
      <c r="I783" t="str">
        <f>IF(quantInv[[#This Row],[Metal]] = "925 Silver",  "7113.11.00"," 7113.19.00")</f>
        <v>7113.11.00</v>
      </c>
      <c r="J783" t="str">
        <f>IF(quantInv[[#This Row],[Metal]] = "925 Silver", "7113.11.10.00"," 7113.19.10.00")</f>
        <v>7113.11.10.00</v>
      </c>
      <c r="K783" t="str">
        <f>IF(quantInv[[#This Row],[Metal]] = "925 Silver",  "7113.11.00"," 7113.19.00")</f>
        <v>7113.11.00</v>
      </c>
      <c r="L783" t="str">
        <f>IFERROR(VLOOKUP(quantInv[[#This Row],[Description for New Invoice]],Map!$G$12:$H$32,2,FALSE), IF(quantInv[[#This Row],[Metal]] = "925 Silver", "7113.11.10.00", "7113.19.29.00"))</f>
        <v>7113.11.50.00</v>
      </c>
      <c r="M783" t="str">
        <f>quantInv[[#This Row],[ASIN]] &amp; " " &amp; quantInv[[#This Row],[Short Description]]</f>
        <v>B091FSWXY3 Pendant - Leaves - Four-Leaf Clover</v>
      </c>
      <c r="N783" s="33">
        <f>quantInv[[#This Row],[UNIT
VALUE]] / EURtoGBP</f>
        <v>2.8009058248625087</v>
      </c>
      <c r="O783" s="33">
        <f>quantInv[[#This Row],[UNIT
VALUE]]/USDtoGBP</f>
        <v>3.382532560731367</v>
      </c>
      <c r="P783" s="33">
        <f>quantInv[[#This Row],[UNIT
VALUE]] / CADtoGBP</f>
        <v>4.329836124257084</v>
      </c>
      <c r="Q783" s="33">
        <f>quantInv[[#This Row],[UNIT
VALUE]]/AUDtoGBP</f>
        <v>4.43189165888354</v>
      </c>
      <c r="R783">
        <f>IFERROR(VLOOKUP(quantInv[[#This Row],[Assigned Item SKU]],skuQuantity[#All],2,FALSE),0)</f>
        <v>0</v>
      </c>
      <c r="S783" t="str">
        <f>PROPER(quantInv[[#This Row],[Metal]] &amp; " " &amp; quantInv[[#This Row],[Item Type]])</f>
        <v>925 Silver Pendant</v>
      </c>
      <c r="T783" s="33">
        <f>quantInv[[#This Row],[Quantity]]*quantInv[[#This Row],[WEIGHT]]</f>
        <v>0</v>
      </c>
      <c r="U783" s="33">
        <f>quantInv[[#This Row],[UNIT
VALUE]]*quantInv[[#This Row],[Quantity]]</f>
        <v>0</v>
      </c>
      <c r="V783" s="33">
        <f>quantInv[[#This Row],[Total Cost GBP]]/EURtoGBP</f>
        <v>0</v>
      </c>
      <c r="W783" s="33">
        <f>quantInv[[#This Row],[Total Cost GBP]]/USDtoGBP</f>
        <v>0</v>
      </c>
      <c r="X783" s="33">
        <f>quantInv[[#This Row],[Total Cost GBP]]/CADtoGBP</f>
        <v>0</v>
      </c>
      <c r="Y783" s="33">
        <f>quantInv[[#This Row],[Quantity]]*quantInv[[#This Row],[UNIT
VALUE AUD]]</f>
        <v>0</v>
      </c>
      <c r="Z783" s="33"/>
    </row>
    <row r="784" spans="1:26" x14ac:dyDescent="0.25">
      <c r="A784" t="s">
        <v>1886</v>
      </c>
      <c r="B784" t="s">
        <v>1887</v>
      </c>
      <c r="C784" t="s">
        <v>115</v>
      </c>
      <c r="D784" t="s">
        <v>1888</v>
      </c>
      <c r="E784">
        <v>2.09</v>
      </c>
      <c r="F784" s="33">
        <v>1.9806999999999999</v>
      </c>
      <c r="G784" s="33" t="s">
        <v>117</v>
      </c>
      <c r="H784" t="s">
        <v>1451</v>
      </c>
      <c r="I784" t="str">
        <f>IF(quantInv[[#This Row],[Metal]] = "925 Silver",  "7113.11.00"," 7113.19.00")</f>
        <v>7113.11.00</v>
      </c>
      <c r="J784" t="str">
        <f>IF(quantInv[[#This Row],[Metal]] = "925 Silver", "7113.11.10.00"," 7113.19.10.00")</f>
        <v>7113.11.10.00</v>
      </c>
      <c r="K784" t="str">
        <f>IF(quantInv[[#This Row],[Metal]] = "925 Silver",  "7113.11.00"," 7113.19.00")</f>
        <v>7113.11.00</v>
      </c>
      <c r="L784" t="str">
        <f>IFERROR(VLOOKUP(quantInv[[#This Row],[Description for New Invoice]],Map!$G$12:$H$32,2,FALSE), IF(quantInv[[#This Row],[Metal]] = "925 Silver", "7113.11.10.00", "7113.19.29.00"))</f>
        <v>7113.11.50.00</v>
      </c>
      <c r="M784" t="str">
        <f>quantInv[[#This Row],[ASIN]] &amp; " " &amp; quantInv[[#This Row],[Short Description]]</f>
        <v>B091FS5G8F Pendant - Ball - Moon</v>
      </c>
      <c r="N784" s="33">
        <f>quantInv[[#This Row],[UNIT
VALUE]] / EURtoGBP</f>
        <v>2.248329956354679</v>
      </c>
      <c r="O784" s="33">
        <f>quantInv[[#This Row],[UNIT
VALUE]]/USDtoGBP</f>
        <v>2.7152106354774546</v>
      </c>
      <c r="P784" s="33">
        <f>quantInv[[#This Row],[UNIT
VALUE]] / CADtoGBP</f>
        <v>3.4756256986083103</v>
      </c>
      <c r="Q784" s="33">
        <f>quantInv[[#This Row],[UNIT
VALUE]]/AUDtoGBP</f>
        <v>3.5575472375889068</v>
      </c>
      <c r="R784">
        <f>IFERROR(VLOOKUP(quantInv[[#This Row],[Assigned Item SKU]],skuQuantity[#All],2,FALSE),0)</f>
        <v>0</v>
      </c>
      <c r="S784" t="str">
        <f>PROPER(quantInv[[#This Row],[Metal]] &amp; " " &amp; quantInv[[#This Row],[Item Type]])</f>
        <v>925 Silver Pendant</v>
      </c>
      <c r="T784" s="33">
        <f>quantInv[[#This Row],[Quantity]]*quantInv[[#This Row],[WEIGHT]]</f>
        <v>0</v>
      </c>
      <c r="U784" s="33">
        <f>quantInv[[#This Row],[UNIT
VALUE]]*quantInv[[#This Row],[Quantity]]</f>
        <v>0</v>
      </c>
      <c r="V784" s="33">
        <f>quantInv[[#This Row],[Total Cost GBP]]/EURtoGBP</f>
        <v>0</v>
      </c>
      <c r="W784" s="33">
        <f>quantInv[[#This Row],[Total Cost GBP]]/USDtoGBP</f>
        <v>0</v>
      </c>
      <c r="X784" s="33">
        <f>quantInv[[#This Row],[Total Cost GBP]]/CADtoGBP</f>
        <v>0</v>
      </c>
      <c r="Y784" s="33">
        <f>quantInv[[#This Row],[Quantity]]*quantInv[[#This Row],[UNIT
VALUE AUD]]</f>
        <v>0</v>
      </c>
      <c r="Z784" s="33"/>
    </row>
    <row r="785" spans="1:26" x14ac:dyDescent="0.25">
      <c r="A785" t="s">
        <v>930</v>
      </c>
      <c r="B785" t="s">
        <v>931</v>
      </c>
      <c r="C785" t="s">
        <v>113</v>
      </c>
      <c r="D785" t="s">
        <v>932</v>
      </c>
      <c r="E785">
        <v>4</v>
      </c>
      <c r="F785" s="33">
        <v>6.101</v>
      </c>
      <c r="G785" s="33" t="s">
        <v>117</v>
      </c>
      <c r="H785" t="s">
        <v>3303</v>
      </c>
      <c r="I785" t="str">
        <f>IF(quantInv[[#This Row],[Metal]] = "925 Silver",  "7113.11.00"," 7113.19.00")</f>
        <v>7113.11.00</v>
      </c>
      <c r="J785" t="str">
        <f>IF(quantInv[[#This Row],[Metal]] = "925 Silver", "7113.11.10.00"," 7113.19.10.00")</f>
        <v>7113.11.10.00</v>
      </c>
      <c r="K785" t="str">
        <f>IF(quantInv[[#This Row],[Metal]] = "925 Silver",  "7113.11.00"," 7113.19.00")</f>
        <v>7113.11.00</v>
      </c>
      <c r="L785" t="str">
        <f>IFERROR(VLOOKUP(quantInv[[#This Row],[Description for New Invoice]],Map!$G$12:$H$32,2,FALSE), IF(quantInv[[#This Row],[Metal]] = "925 Silver", "7113.11.10.00", "7113.19.29.00"))</f>
        <v>7113.11.50.00</v>
      </c>
      <c r="M785" t="str">
        <f>quantInv[[#This Row],[ASIN]] &amp; " " &amp; quantInv[[#This Row],[Short Description]]</f>
        <v>B071D3WXKC Pin - Sunflower</v>
      </c>
      <c r="N785" s="33">
        <f>quantInv[[#This Row],[UNIT
VALUE]] / EURtoGBP</f>
        <v>6.9253602583530558</v>
      </c>
      <c r="O785" s="33">
        <f>quantInv[[#This Row],[UNIT
VALUE]]/USDtoGBP</f>
        <v>8.363457407506413</v>
      </c>
      <c r="P785" s="33">
        <f>quantInv[[#This Row],[UNIT
VALUE]] / CADtoGBP</f>
        <v>10.705706259004041</v>
      </c>
      <c r="Q785" s="33">
        <f>quantInv[[#This Row],[UNIT
VALUE]]/AUDtoGBP</f>
        <v>10.958042962856526</v>
      </c>
      <c r="R785">
        <f>IFERROR(VLOOKUP(quantInv[[#This Row],[Assigned Item SKU]],skuQuantity[#All],2,FALSE),0)</f>
        <v>5</v>
      </c>
      <c r="S785" t="str">
        <f>PROPER(quantInv[[#This Row],[Metal]] &amp; " " &amp; quantInv[[#This Row],[Item Type]])</f>
        <v>925 Silver Pin</v>
      </c>
      <c r="T785" s="33">
        <f>quantInv[[#This Row],[Quantity]]*quantInv[[#This Row],[WEIGHT]]</f>
        <v>20</v>
      </c>
      <c r="U785" s="33">
        <f>quantInv[[#This Row],[UNIT
VALUE]]*quantInv[[#This Row],[Quantity]]</f>
        <v>30.504999999999999</v>
      </c>
      <c r="V785" s="33">
        <f>quantInv[[#This Row],[Total Cost GBP]]/EURtoGBP</f>
        <v>34.626801291765283</v>
      </c>
      <c r="W785" s="33">
        <f>quantInv[[#This Row],[Total Cost GBP]]/USDtoGBP</f>
        <v>41.817287037532061</v>
      </c>
      <c r="X785" s="33">
        <f>quantInv[[#This Row],[Total Cost GBP]]/CADtoGBP</f>
        <v>53.528531295020201</v>
      </c>
      <c r="Y785" s="33">
        <f>quantInv[[#This Row],[Quantity]]*quantInv[[#This Row],[UNIT
VALUE AUD]]</f>
        <v>54.790214814282628</v>
      </c>
      <c r="Z785" s="33"/>
    </row>
    <row r="786" spans="1:26" x14ac:dyDescent="0.25">
      <c r="A786" t="s">
        <v>949</v>
      </c>
      <c r="B786" t="s">
        <v>950</v>
      </c>
      <c r="C786" t="s">
        <v>113</v>
      </c>
      <c r="D786" t="s">
        <v>944</v>
      </c>
      <c r="E786">
        <v>3</v>
      </c>
      <c r="F786" s="33">
        <v>3.9426999999999999</v>
      </c>
      <c r="G786" s="33" t="s">
        <v>117</v>
      </c>
      <c r="H786" t="s">
        <v>3303</v>
      </c>
      <c r="I786" t="str">
        <f>IF(quantInv[[#This Row],[Metal]] = "925 Silver",  "7113.11.00"," 7113.19.00")</f>
        <v>7113.11.00</v>
      </c>
      <c r="J786" t="str">
        <f>IF(quantInv[[#This Row],[Metal]] = "925 Silver", "7113.11.10.00"," 7113.19.10.00")</f>
        <v>7113.11.10.00</v>
      </c>
      <c r="K786" t="str">
        <f>IF(quantInv[[#This Row],[Metal]] = "925 Silver",  "7113.11.00"," 7113.19.00")</f>
        <v>7113.11.00</v>
      </c>
      <c r="L786" t="str">
        <f>IFERROR(VLOOKUP(quantInv[[#This Row],[Description for New Invoice]],Map!$G$12:$H$32,2,FALSE), IF(quantInv[[#This Row],[Metal]] = "925 Silver", "7113.11.10.00", "7113.19.29.00"))</f>
        <v>7113.11.50.00</v>
      </c>
      <c r="M786" t="str">
        <f>quantInv[[#This Row],[ASIN]] &amp; " " &amp; quantInv[[#This Row],[Short Description]]</f>
        <v>B071XSR69C Pin - Mouse</v>
      </c>
      <c r="N786" s="33">
        <f>quantInv[[#This Row],[UNIT
VALUE]] / EURtoGBP</f>
        <v>4.4754331897407953</v>
      </c>
      <c r="O786" s="33">
        <f>quantInv[[#This Row],[UNIT
VALUE]]/USDtoGBP</f>
        <v>5.404786677688171</v>
      </c>
      <c r="P786" s="33">
        <f>quantInv[[#This Row],[UNIT
VALUE]] / CADtoGBP</f>
        <v>6.9184376442181987</v>
      </c>
      <c r="Q786" s="33">
        <f>quantInv[[#This Row],[UNIT
VALUE]]/AUDtoGBP</f>
        <v>7.0815072921905307</v>
      </c>
      <c r="R786">
        <f>IFERROR(VLOOKUP(quantInv[[#This Row],[Assigned Item SKU]],skuQuantity[#All],2,FALSE),0)</f>
        <v>5</v>
      </c>
      <c r="S786" t="str">
        <f>PROPER(quantInv[[#This Row],[Metal]] &amp; " " &amp; quantInv[[#This Row],[Item Type]])</f>
        <v>925 Silver Pin</v>
      </c>
      <c r="T786" s="33">
        <f>quantInv[[#This Row],[Quantity]]*quantInv[[#This Row],[WEIGHT]]</f>
        <v>15</v>
      </c>
      <c r="U786" s="33">
        <f>quantInv[[#This Row],[UNIT
VALUE]]*quantInv[[#This Row],[Quantity]]</f>
        <v>19.7135</v>
      </c>
      <c r="V786" s="33">
        <f>quantInv[[#This Row],[Total Cost GBP]]/EURtoGBP</f>
        <v>22.377165948703979</v>
      </c>
      <c r="W786" s="33">
        <f>quantInv[[#This Row],[Total Cost GBP]]/USDtoGBP</f>
        <v>27.023933388440856</v>
      </c>
      <c r="X786" s="33">
        <f>quantInv[[#This Row],[Total Cost GBP]]/CADtoGBP</f>
        <v>34.592188221090993</v>
      </c>
      <c r="Y786" s="33">
        <f>quantInv[[#This Row],[Quantity]]*quantInv[[#This Row],[UNIT
VALUE AUD]]</f>
        <v>35.407536460952656</v>
      </c>
      <c r="Z786" s="33"/>
    </row>
    <row r="787" spans="1:26" x14ac:dyDescent="0.25">
      <c r="A787" t="s">
        <v>1895</v>
      </c>
      <c r="B787" t="s">
        <v>1896</v>
      </c>
      <c r="C787" t="s">
        <v>115</v>
      </c>
      <c r="D787" t="s">
        <v>1897</v>
      </c>
      <c r="E787">
        <v>1.56</v>
      </c>
      <c r="F787" s="33">
        <v>2.1429999999999998</v>
      </c>
      <c r="G787" s="33" t="s">
        <v>117</v>
      </c>
      <c r="H787" t="s">
        <v>1451</v>
      </c>
      <c r="I787" t="str">
        <f>IF(quantInv[[#This Row],[Metal]] = "925 Silver",  "7113.11.00"," 7113.19.00")</f>
        <v>7113.11.00</v>
      </c>
      <c r="J787" t="str">
        <f>IF(quantInv[[#This Row],[Metal]] = "925 Silver", "7113.11.10.00"," 7113.19.10.00")</f>
        <v>7113.11.10.00</v>
      </c>
      <c r="K787" t="str">
        <f>IF(quantInv[[#This Row],[Metal]] = "925 Silver",  "7113.11.00"," 7113.19.00")</f>
        <v>7113.11.00</v>
      </c>
      <c r="L787" t="str">
        <f>IFERROR(VLOOKUP(quantInv[[#This Row],[Description for New Invoice]],Map!$G$12:$H$32,2,FALSE), IF(quantInv[[#This Row],[Metal]] = "925 Silver", "7113.11.10.00", "7113.19.29.00"))</f>
        <v>7113.11.50.00</v>
      </c>
      <c r="M787" t="str">
        <f>quantInv[[#This Row],[ASIN]] &amp; " " &amp; quantInv[[#This Row],[Short Description]]</f>
        <v>B091FRRZGQ Pendant - Animals - Dolphin</v>
      </c>
      <c r="N787" s="33">
        <f>quantInv[[#This Row],[UNIT
VALUE]] / EURtoGBP</f>
        <v>2.4325597498197995</v>
      </c>
      <c r="O787" s="33">
        <f>quantInv[[#This Row],[UNIT
VALUE]]/USDtoGBP</f>
        <v>2.9376969716909098</v>
      </c>
      <c r="P787" s="33">
        <f>quantInv[[#This Row],[UNIT
VALUE]] / CADtoGBP</f>
        <v>3.7604209986962229</v>
      </c>
      <c r="Q787" s="33">
        <f>quantInv[[#This Row],[UNIT
VALUE]]/AUDtoGBP</f>
        <v>3.8490552482218545</v>
      </c>
      <c r="R787">
        <f>IFERROR(VLOOKUP(quantInv[[#This Row],[Assigned Item SKU]],skuQuantity[#All],2,FALSE),0)</f>
        <v>0</v>
      </c>
      <c r="S787" t="str">
        <f>PROPER(quantInv[[#This Row],[Metal]] &amp; " " &amp; quantInv[[#This Row],[Item Type]])</f>
        <v>925 Silver Pendant</v>
      </c>
      <c r="T787" s="33">
        <f>quantInv[[#This Row],[Quantity]]*quantInv[[#This Row],[WEIGHT]]</f>
        <v>0</v>
      </c>
      <c r="U787" s="33">
        <f>quantInv[[#This Row],[UNIT
VALUE]]*quantInv[[#This Row],[Quantity]]</f>
        <v>0</v>
      </c>
      <c r="V787" s="33">
        <f>quantInv[[#This Row],[Total Cost GBP]]/EURtoGBP</f>
        <v>0</v>
      </c>
      <c r="W787" s="33">
        <f>quantInv[[#This Row],[Total Cost GBP]]/USDtoGBP</f>
        <v>0</v>
      </c>
      <c r="X787" s="33">
        <f>quantInv[[#This Row],[Total Cost GBP]]/CADtoGBP</f>
        <v>0</v>
      </c>
      <c r="Y787" s="33">
        <f>quantInv[[#This Row],[Quantity]]*quantInv[[#This Row],[UNIT
VALUE AUD]]</f>
        <v>0</v>
      </c>
      <c r="Z787" s="33"/>
    </row>
    <row r="788" spans="1:26" x14ac:dyDescent="0.25">
      <c r="A788" t="s">
        <v>984</v>
      </c>
      <c r="B788" t="s">
        <v>985</v>
      </c>
      <c r="C788" t="s">
        <v>113</v>
      </c>
      <c r="D788" t="s">
        <v>2917</v>
      </c>
      <c r="E788">
        <v>1.8</v>
      </c>
      <c r="F788" s="33">
        <v>2.4098000000000002</v>
      </c>
      <c r="G788" s="33" t="s">
        <v>117</v>
      </c>
      <c r="H788" t="s">
        <v>1310</v>
      </c>
      <c r="I788" t="str">
        <f>IF(quantInv[[#This Row],[Metal]] = "925 Silver",  "7113.11.00"," 7113.19.00")</f>
        <v>7113.11.00</v>
      </c>
      <c r="J788" t="str">
        <f>IF(quantInv[[#This Row],[Metal]] = "925 Silver", "7113.11.10.00"," 7113.19.10.00")</f>
        <v>7113.11.10.00</v>
      </c>
      <c r="K788" t="str">
        <f>IF(quantInv[[#This Row],[Metal]] = "925 Silver",  "7113.11.00"," 7113.19.00")</f>
        <v>7113.11.00</v>
      </c>
      <c r="L788" t="str">
        <f>IFERROR(VLOOKUP(quantInv[[#This Row],[Description for New Invoice]],Map!$G$12:$H$32,2,FALSE), IF(quantInv[[#This Row],[Metal]] = "925 Silver", "7113.11.10.00", "7113.19.29.00"))</f>
        <v>7113.11.50.00</v>
      </c>
      <c r="M788" t="str">
        <f>quantInv[[#This Row],[ASIN]] &amp; " " &amp; quantInv[[#This Row],[Short Description]]</f>
        <v>B06ZZV4613 Earrings - Round Stud  petals</v>
      </c>
      <c r="N788" s="33">
        <f>quantInv[[#This Row],[UNIT
VALUE]] / EURtoGBP</f>
        <v>2.7354094657563017</v>
      </c>
      <c r="O788" s="33">
        <f>quantInv[[#This Row],[UNIT
VALUE]]/USDtoGBP</f>
        <v>3.3034354467479026</v>
      </c>
      <c r="P788" s="33">
        <f>quantInv[[#This Row],[UNIT
VALUE]] / CADtoGBP</f>
        <v>4.2285872714223798</v>
      </c>
      <c r="Q788" s="33">
        <f>quantInv[[#This Row],[UNIT
VALUE]]/AUDtoGBP</f>
        <v>4.3282563402543284</v>
      </c>
      <c r="R788" s="106">
        <f>IFERROR(VLOOKUP(quantInv[[#This Row],[Assigned Item SKU]],skuQuantity[#All],2,FALSE),0)</f>
        <v>0</v>
      </c>
      <c r="S788" t="str">
        <f>PROPER(quantInv[[#This Row],[Metal]] &amp; " " &amp; quantInv[[#This Row],[Item Type]])</f>
        <v>925 Silver Earrings</v>
      </c>
      <c r="T788" s="33">
        <f>quantInv[[#This Row],[Quantity]]*quantInv[[#This Row],[WEIGHT]]</f>
        <v>0</v>
      </c>
      <c r="U788" s="33">
        <f>quantInv[[#This Row],[UNIT
VALUE]]*quantInv[[#This Row],[Quantity]]</f>
        <v>0</v>
      </c>
      <c r="V788" s="33">
        <f>quantInv[[#This Row],[Total Cost GBP]]/EURtoGBP</f>
        <v>0</v>
      </c>
      <c r="W788" s="33">
        <f>quantInv[[#This Row],[Total Cost GBP]]/USDtoGBP</f>
        <v>0</v>
      </c>
      <c r="X788" s="33">
        <f>quantInv[[#This Row],[Total Cost GBP]]/CADtoGBP</f>
        <v>0</v>
      </c>
      <c r="Y788" s="33">
        <f>quantInv[[#This Row],[Quantity]]*quantInv[[#This Row],[UNIT
VALUE AUD]]</f>
        <v>0</v>
      </c>
      <c r="Z788" s="33"/>
    </row>
    <row r="789" spans="1:26" x14ac:dyDescent="0.25">
      <c r="A789" t="s">
        <v>1901</v>
      </c>
      <c r="B789" t="s">
        <v>1902</v>
      </c>
      <c r="C789" t="s">
        <v>115</v>
      </c>
      <c r="D789" t="s">
        <v>1903</v>
      </c>
      <c r="E789">
        <v>2.4900000000000002</v>
      </c>
      <c r="F789" s="33">
        <v>2.8325</v>
      </c>
      <c r="G789" s="33" t="s">
        <v>117</v>
      </c>
      <c r="H789" t="s">
        <v>1451</v>
      </c>
      <c r="I789" t="str">
        <f>IF(quantInv[[#This Row],[Metal]] = "925 Silver",  "7113.11.00"," 7113.19.00")</f>
        <v>7113.11.00</v>
      </c>
      <c r="J789" t="str">
        <f>IF(quantInv[[#This Row],[Metal]] = "925 Silver", "7113.11.10.00"," 7113.19.10.00")</f>
        <v>7113.11.10.00</v>
      </c>
      <c r="K789" t="str">
        <f>IF(quantInv[[#This Row],[Metal]] = "925 Silver",  "7113.11.00"," 7113.19.00")</f>
        <v>7113.11.00</v>
      </c>
      <c r="L789" t="str">
        <f>IFERROR(VLOOKUP(quantInv[[#This Row],[Description for New Invoice]],Map!$G$12:$H$32,2,FALSE), IF(quantInv[[#This Row],[Metal]] = "925 Silver", "7113.11.10.00", "7113.19.29.00"))</f>
        <v>7113.11.50.00</v>
      </c>
      <c r="M789" t="str">
        <f>quantInv[[#This Row],[ASIN]] &amp; " " &amp; quantInv[[#This Row],[Short Description]]</f>
        <v>B091FQPMZK Pendant - Music - Music Note</v>
      </c>
      <c r="N789" s="33">
        <f>quantInv[[#This Row],[UNIT
VALUE]] / EURtoGBP</f>
        <v>3.2152242143558483</v>
      </c>
      <c r="O789" s="33">
        <f>quantInv[[#This Row],[UNIT
VALUE]]/USDtoGBP</f>
        <v>3.8828869212853485</v>
      </c>
      <c r="P789" s="33">
        <f>quantInv[[#This Row],[UNIT
VALUE]] / CADtoGBP</f>
        <v>4.9703184688786992</v>
      </c>
      <c r="Q789" s="33">
        <f>quantInv[[#This Row],[UNIT
VALUE]]/AUDtoGBP</f>
        <v>5.0874703642503052</v>
      </c>
      <c r="R789">
        <f>IFERROR(VLOOKUP(quantInv[[#This Row],[Assigned Item SKU]],skuQuantity[#All],2,FALSE),0)</f>
        <v>0</v>
      </c>
      <c r="S789" t="str">
        <f>PROPER(quantInv[[#This Row],[Metal]] &amp; " " &amp; quantInv[[#This Row],[Item Type]])</f>
        <v>925 Silver Pendant</v>
      </c>
      <c r="T789" s="33">
        <f>quantInv[[#This Row],[Quantity]]*quantInv[[#This Row],[WEIGHT]]</f>
        <v>0</v>
      </c>
      <c r="U789" s="33">
        <f>quantInv[[#This Row],[UNIT
VALUE]]*quantInv[[#This Row],[Quantity]]</f>
        <v>0</v>
      </c>
      <c r="V789" s="33">
        <f>quantInv[[#This Row],[Total Cost GBP]]/EURtoGBP</f>
        <v>0</v>
      </c>
      <c r="W789" s="33">
        <f>quantInv[[#This Row],[Total Cost GBP]]/USDtoGBP</f>
        <v>0</v>
      </c>
      <c r="X789" s="33">
        <f>quantInv[[#This Row],[Total Cost GBP]]/CADtoGBP</f>
        <v>0</v>
      </c>
      <c r="Y789" s="33">
        <f>quantInv[[#This Row],[Quantity]]*quantInv[[#This Row],[UNIT
VALUE AUD]]</f>
        <v>0</v>
      </c>
      <c r="Z789" s="33"/>
    </row>
    <row r="790" spans="1:26" x14ac:dyDescent="0.25">
      <c r="A790" t="s">
        <v>1242</v>
      </c>
      <c r="B790" t="s">
        <v>1243</v>
      </c>
      <c r="C790" t="s">
        <v>114</v>
      </c>
      <c r="D790" t="s">
        <v>1239</v>
      </c>
      <c r="E790">
        <v>1</v>
      </c>
      <c r="F790" s="33">
        <v>20.637699999999999</v>
      </c>
      <c r="G790" s="33" t="s">
        <v>3304</v>
      </c>
      <c r="H790" t="s">
        <v>1310</v>
      </c>
      <c r="I790" t="str">
        <f>IF(quantInv[[#This Row],[Metal]] = "925 Silver",  "7113.11.00"," 7113.19.00")</f>
        <v xml:space="preserve"> 7113.19.00</v>
      </c>
      <c r="J790" t="str">
        <f>IF(quantInv[[#This Row],[Metal]] = "925 Silver", "7113.11.10.00"," 7113.19.10.00")</f>
        <v xml:space="preserve"> 7113.19.10.00</v>
      </c>
      <c r="K790" t="str">
        <f>IF(quantInv[[#This Row],[Metal]] = "925 Silver",  "7113.11.00"," 7113.19.00")</f>
        <v xml:space="preserve"> 7113.19.00</v>
      </c>
      <c r="L790" t="str">
        <f>IFERROR(VLOOKUP(quantInv[[#This Row],[Description for New Invoice]],Map!$G$12:$H$32,2,FALSE), IF(quantInv[[#This Row],[Metal]] = "925 Silver", "7113.11.10.00", "7113.19.29.00"))</f>
        <v>7113.19.29.00</v>
      </c>
      <c r="M790" t="str">
        <f>quantInv[[#This Row],[ASIN]] &amp; " " &amp; quantInv[[#This Row],[Short Description]]</f>
        <v>B07R4JXYTP 9K Circle Hoop Earrings</v>
      </c>
      <c r="N790" s="33">
        <f>quantInv[[#This Row],[UNIT
VALUE]] / EURtoGBP</f>
        <v>23.42624281327862</v>
      </c>
      <c r="O790" s="33">
        <f>quantInv[[#This Row],[UNIT
VALUE]]/USDtoGBP</f>
        <v>28.290858046040825</v>
      </c>
      <c r="P790" s="33">
        <f>quantInv[[#This Row],[UNIT
VALUE]] / CADtoGBP</f>
        <v>36.213924612595918</v>
      </c>
      <c r="Q790" s="33">
        <f>quantInv[[#This Row],[UNIT
VALUE]]/AUDtoGBP</f>
        <v>37.067497665062142</v>
      </c>
      <c r="R790">
        <f>IFERROR(VLOOKUP(quantInv[[#This Row],[Assigned Item SKU]],skuQuantity[#All],2,FALSE),0)</f>
        <v>5</v>
      </c>
      <c r="S790" t="str">
        <f>PROPER(quantInv[[#This Row],[Metal]] &amp; " " &amp; quantInv[[#This Row],[Item Type]])</f>
        <v>9K Gold Earrings</v>
      </c>
      <c r="T790" s="33">
        <f>quantInv[[#This Row],[Quantity]]*quantInv[[#This Row],[WEIGHT]]</f>
        <v>5</v>
      </c>
      <c r="U790" s="33">
        <f>quantInv[[#This Row],[UNIT
VALUE]]*quantInv[[#This Row],[Quantity]]</f>
        <v>103.18849999999999</v>
      </c>
      <c r="V790" s="33">
        <f>quantInv[[#This Row],[Total Cost GBP]]/EURtoGBP</f>
        <v>117.1312140663931</v>
      </c>
      <c r="W790" s="33">
        <f>quantInv[[#This Row],[Total Cost GBP]]/USDtoGBP</f>
        <v>141.45429023020412</v>
      </c>
      <c r="X790" s="33">
        <f>quantInv[[#This Row],[Total Cost GBP]]/CADtoGBP</f>
        <v>181.06962306297956</v>
      </c>
      <c r="Y790" s="33">
        <f>quantInv[[#This Row],[Quantity]]*quantInv[[#This Row],[UNIT
VALUE AUD]]</f>
        <v>185.33748832531072</v>
      </c>
      <c r="Z790" s="33"/>
    </row>
    <row r="791" spans="1:26" x14ac:dyDescent="0.25">
      <c r="A791" t="s">
        <v>1907</v>
      </c>
      <c r="B791" t="s">
        <v>1908</v>
      </c>
      <c r="C791" t="s">
        <v>115</v>
      </c>
      <c r="D791" t="s">
        <v>1909</v>
      </c>
      <c r="E791">
        <v>2.79</v>
      </c>
      <c r="F791" s="33">
        <v>2.9542000000000002</v>
      </c>
      <c r="G791" s="33" t="s">
        <v>117</v>
      </c>
      <c r="H791" t="s">
        <v>1451</v>
      </c>
      <c r="I791" t="str">
        <f>IF(quantInv[[#This Row],[Metal]] = "925 Silver",  "7113.11.00"," 7113.19.00")</f>
        <v>7113.11.00</v>
      </c>
      <c r="J791" t="str">
        <f>IF(quantInv[[#This Row],[Metal]] = "925 Silver", "7113.11.10.00"," 7113.19.10.00")</f>
        <v>7113.11.10.00</v>
      </c>
      <c r="K791" t="str">
        <f>IF(quantInv[[#This Row],[Metal]] = "925 Silver",  "7113.11.00"," 7113.19.00")</f>
        <v>7113.11.00</v>
      </c>
      <c r="L791" t="str">
        <f>IFERROR(VLOOKUP(quantInv[[#This Row],[Description for New Invoice]],Map!$G$12:$H$32,2,FALSE), IF(quantInv[[#This Row],[Metal]] = "925 Silver", "7113.11.10.00", "7113.19.29.00"))</f>
        <v>7113.11.50.00</v>
      </c>
      <c r="M791" t="str">
        <f>quantInv[[#This Row],[ASIN]] &amp; " " &amp; quantInv[[#This Row],[Short Description]]</f>
        <v>B091FRN6MN Pendant - Padlock</v>
      </c>
      <c r="N791" s="33">
        <f>quantInv[[#This Row],[UNIT
VALUE]] / EURtoGBP</f>
        <v>3.3533681814828058</v>
      </c>
      <c r="O791" s="33">
        <f>quantInv[[#This Row],[UNIT
VALUE]]/USDtoGBP</f>
        <v>4.0497174025988274</v>
      </c>
      <c r="P791" s="33">
        <f>quantInv[[#This Row],[UNIT
VALUE]] / CADtoGBP</f>
        <v>5.1838710752908934</v>
      </c>
      <c r="Q791" s="33">
        <f>quantInv[[#This Row],[UNIT
VALUE]]/AUDtoGBP</f>
        <v>5.3060564695739636</v>
      </c>
      <c r="R791">
        <f>IFERROR(VLOOKUP(quantInv[[#This Row],[Assigned Item SKU]],skuQuantity[#All],2,FALSE),0)</f>
        <v>0</v>
      </c>
      <c r="S791" t="str">
        <f>PROPER(quantInv[[#This Row],[Metal]] &amp; " " &amp; quantInv[[#This Row],[Item Type]])</f>
        <v>925 Silver Pendant</v>
      </c>
      <c r="T791" s="33">
        <f>quantInv[[#This Row],[Quantity]]*quantInv[[#This Row],[WEIGHT]]</f>
        <v>0</v>
      </c>
      <c r="U791" s="33">
        <f>quantInv[[#This Row],[UNIT
VALUE]]*quantInv[[#This Row],[Quantity]]</f>
        <v>0</v>
      </c>
      <c r="V791" s="33">
        <f>quantInv[[#This Row],[Total Cost GBP]]/EURtoGBP</f>
        <v>0</v>
      </c>
      <c r="W791" s="33">
        <f>quantInv[[#This Row],[Total Cost GBP]]/USDtoGBP</f>
        <v>0</v>
      </c>
      <c r="X791" s="33">
        <f>quantInv[[#This Row],[Total Cost GBP]]/CADtoGBP</f>
        <v>0</v>
      </c>
      <c r="Y791" s="33">
        <f>quantInv[[#This Row],[Quantity]]*quantInv[[#This Row],[UNIT
VALUE AUD]]</f>
        <v>0</v>
      </c>
      <c r="Z791" s="33"/>
    </row>
    <row r="792" spans="1:26" x14ac:dyDescent="0.25">
      <c r="A792" t="s">
        <v>1910</v>
      </c>
      <c r="B792" t="s">
        <v>1911</v>
      </c>
      <c r="C792" t="s">
        <v>115</v>
      </c>
      <c r="D792" t="s">
        <v>1912</v>
      </c>
      <c r="E792">
        <v>2.1</v>
      </c>
      <c r="F792" s="33">
        <v>2.4268999999999998</v>
      </c>
      <c r="G792" s="33" t="s">
        <v>117</v>
      </c>
      <c r="H792" t="s">
        <v>1310</v>
      </c>
      <c r="I792" t="str">
        <f>IF(quantInv[[#This Row],[Metal]] = "925 Silver",  "7113.11.00"," 7113.19.00")</f>
        <v>7113.11.00</v>
      </c>
      <c r="J792" t="str">
        <f>IF(quantInv[[#This Row],[Metal]] = "925 Silver", "7113.11.10.00"," 7113.19.10.00")</f>
        <v>7113.11.10.00</v>
      </c>
      <c r="K792" t="str">
        <f>IF(quantInv[[#This Row],[Metal]] = "925 Silver",  "7113.11.00"," 7113.19.00")</f>
        <v>7113.11.00</v>
      </c>
      <c r="L792" t="str">
        <f>IFERROR(VLOOKUP(quantInv[[#This Row],[Description for New Invoice]],Map!$G$12:$H$32,2,FALSE), IF(quantInv[[#This Row],[Metal]] = "925 Silver", "7113.11.10.00", "7113.19.29.00"))</f>
        <v>7113.11.50.00</v>
      </c>
      <c r="M792" t="str">
        <f>quantInv[[#This Row],[ASIN]] &amp; " " &amp; quantInv[[#This Row],[Short Description]]</f>
        <v>B08J89FDQR Stud Earrings - Shell</v>
      </c>
      <c r="N792" s="33">
        <f>quantInv[[#This Row],[UNIT
VALUE]] / EURtoGBP</f>
        <v>2.7548199985243453</v>
      </c>
      <c r="O792" s="33">
        <f>quantInv[[#This Row],[UNIT
VALUE]]/USDtoGBP</f>
        <v>3.3268767058313902</v>
      </c>
      <c r="P792" s="33">
        <f>quantInv[[#This Row],[UNIT
VALUE]] / CADtoGBP</f>
        <v>4.2585934305813646</v>
      </c>
      <c r="Q792" s="33">
        <f>quantInv[[#This Row],[UNIT
VALUE]]/AUDtoGBP</f>
        <v>4.3589697535742502</v>
      </c>
      <c r="R792">
        <f>IFERROR(VLOOKUP(quantInv[[#This Row],[Assigned Item SKU]],skuQuantity[#All],2,FALSE),0)</f>
        <v>0</v>
      </c>
      <c r="S792" t="str">
        <f>PROPER(quantInv[[#This Row],[Metal]] &amp; " " &amp; quantInv[[#This Row],[Item Type]])</f>
        <v>925 Silver Earrings</v>
      </c>
      <c r="T792" s="33">
        <f>quantInv[[#This Row],[Quantity]]*quantInv[[#This Row],[WEIGHT]]</f>
        <v>0</v>
      </c>
      <c r="U792" s="33">
        <f>quantInv[[#This Row],[UNIT
VALUE]]*quantInv[[#This Row],[Quantity]]</f>
        <v>0</v>
      </c>
      <c r="V792" s="33">
        <f>quantInv[[#This Row],[Total Cost GBP]]/EURtoGBP</f>
        <v>0</v>
      </c>
      <c r="W792" s="33">
        <f>quantInv[[#This Row],[Total Cost GBP]]/USDtoGBP</f>
        <v>0</v>
      </c>
      <c r="X792" s="33">
        <f>quantInv[[#This Row],[Total Cost GBP]]/CADtoGBP</f>
        <v>0</v>
      </c>
      <c r="Y792" s="33">
        <f>quantInv[[#This Row],[Quantity]]*quantInv[[#This Row],[UNIT
VALUE AUD]]</f>
        <v>0</v>
      </c>
      <c r="Z792" s="33"/>
    </row>
    <row r="793" spans="1:26" x14ac:dyDescent="0.25">
      <c r="A793" t="s">
        <v>1913</v>
      </c>
      <c r="B793" t="s">
        <v>1914</v>
      </c>
      <c r="C793" t="s">
        <v>115</v>
      </c>
      <c r="D793" t="s">
        <v>1915</v>
      </c>
      <c r="E793">
        <v>1.31</v>
      </c>
      <c r="F793" s="33">
        <v>2.7109000000000001</v>
      </c>
      <c r="G793" s="33" t="s">
        <v>117</v>
      </c>
      <c r="H793" t="s">
        <v>1310</v>
      </c>
      <c r="I793" t="str">
        <f>IF(quantInv[[#This Row],[Metal]] = "925 Silver",  "7113.11.00"," 7113.19.00")</f>
        <v>7113.11.00</v>
      </c>
      <c r="J793" t="str">
        <f>IF(quantInv[[#This Row],[Metal]] = "925 Silver", "7113.11.10.00"," 7113.19.10.00")</f>
        <v>7113.11.10.00</v>
      </c>
      <c r="K793" t="str">
        <f>IF(quantInv[[#This Row],[Metal]] = "925 Silver",  "7113.11.00"," 7113.19.00")</f>
        <v>7113.11.00</v>
      </c>
      <c r="L793" t="str">
        <f>IFERROR(VLOOKUP(quantInv[[#This Row],[Description for New Invoice]],Map!$G$12:$H$32,2,FALSE), IF(quantInv[[#This Row],[Metal]] = "925 Silver", "7113.11.10.00", "7113.19.29.00"))</f>
        <v>7113.11.50.00</v>
      </c>
      <c r="M793" t="str">
        <f>quantInv[[#This Row],[ASIN]] &amp; " " &amp; quantInv[[#This Row],[Short Description]]</f>
        <v>B08J87MT2X Stud Earrings - Turtle</v>
      </c>
      <c r="N793" s="33">
        <f>quantInv[[#This Row],[UNIT
VALUE]] / EURtoGBP</f>
        <v>3.0771937591164238</v>
      </c>
      <c r="O793" s="33">
        <f>quantInv[[#This Row],[UNIT
VALUE]]/USDtoGBP</f>
        <v>3.7161935233583239</v>
      </c>
      <c r="P793" s="33">
        <f>quantInv[[#This Row],[UNIT
VALUE]] / CADtoGBP</f>
        <v>4.7569413370814706</v>
      </c>
      <c r="Q793" s="33">
        <f>quantInv[[#This Row],[UNIT
VALUE]]/AUDtoGBP</f>
        <v>4.8690638695308568</v>
      </c>
      <c r="R793">
        <f>IFERROR(VLOOKUP(quantInv[[#This Row],[Assigned Item SKU]],skuQuantity[#All],2,FALSE),0)</f>
        <v>5</v>
      </c>
      <c r="S793" t="str">
        <f>PROPER(quantInv[[#This Row],[Metal]] &amp; " " &amp; quantInv[[#This Row],[Item Type]])</f>
        <v>925 Silver Earrings</v>
      </c>
      <c r="T793" s="33">
        <f>quantInv[[#This Row],[Quantity]]*quantInv[[#This Row],[WEIGHT]]</f>
        <v>6.5500000000000007</v>
      </c>
      <c r="U793" s="33">
        <f>quantInv[[#This Row],[UNIT
VALUE]]*quantInv[[#This Row],[Quantity]]</f>
        <v>13.554500000000001</v>
      </c>
      <c r="V793" s="33">
        <f>quantInv[[#This Row],[Total Cost GBP]]/EURtoGBP</f>
        <v>15.385968795582118</v>
      </c>
      <c r="W793" s="33">
        <f>quantInv[[#This Row],[Total Cost GBP]]/USDtoGBP</f>
        <v>18.580967616791618</v>
      </c>
      <c r="X793" s="33">
        <f>quantInv[[#This Row],[Total Cost GBP]]/CADtoGBP</f>
        <v>23.784706685407357</v>
      </c>
      <c r="Y793" s="33">
        <f>quantInv[[#This Row],[Quantity]]*quantInv[[#This Row],[UNIT
VALUE AUD]]</f>
        <v>24.345319347654282</v>
      </c>
      <c r="Z793" s="33"/>
    </row>
    <row r="794" spans="1:26" x14ac:dyDescent="0.25">
      <c r="A794" t="s">
        <v>1259</v>
      </c>
      <c r="B794" t="s">
        <v>1260</v>
      </c>
      <c r="C794" t="s">
        <v>114</v>
      </c>
      <c r="D794" t="s">
        <v>1261</v>
      </c>
      <c r="E794">
        <v>3.1</v>
      </c>
      <c r="F794" s="33">
        <v>6.1978999999999997</v>
      </c>
      <c r="G794" s="33" t="s">
        <v>117</v>
      </c>
      <c r="H794" t="s">
        <v>1414</v>
      </c>
      <c r="I794" t="str">
        <f>IF(quantInv[[#This Row],[Metal]] = "925 Silver",  "7113.11.00"," 7113.19.00")</f>
        <v>7113.11.00</v>
      </c>
      <c r="J794" t="str">
        <f>IF(quantInv[[#This Row],[Metal]] = "925 Silver", "7113.11.10.00"," 7113.19.10.00")</f>
        <v>7113.11.10.00</v>
      </c>
      <c r="K794" t="str">
        <f>IF(quantInv[[#This Row],[Metal]] = "925 Silver",  "7113.11.00"," 7113.19.00")</f>
        <v>7113.11.00</v>
      </c>
      <c r="L794" t="str">
        <f>IFERROR(VLOOKUP(quantInv[[#This Row],[Description for New Invoice]],Map!$G$12:$H$32,2,FALSE), IF(quantInv[[#This Row],[Metal]] = "925 Silver", "7113.11.10.00", "7113.19.29.00"))</f>
        <v>7113.11.10.00</v>
      </c>
      <c r="M794" t="str">
        <f>quantInv[[#This Row],[ASIN]] &amp; " " &amp; quantInv[[#This Row],[Short Description]]</f>
        <v>B07PRLLPQS Round Box Chain with Hearts and Donut Slider Bracelet</v>
      </c>
      <c r="N794" s="33">
        <f>quantInv[[#This Row],[UNIT
VALUE]] / EURtoGBP</f>
        <v>7.0353532773719722</v>
      </c>
      <c r="O794" s="33">
        <f>quantInv[[#This Row],[UNIT
VALUE]]/USDtoGBP</f>
        <v>8.4962912089795104</v>
      </c>
      <c r="P794" s="33">
        <f>quantInv[[#This Row],[UNIT
VALUE]] / CADtoGBP</f>
        <v>10.875741160904957</v>
      </c>
      <c r="Q794" s="33">
        <f>quantInv[[#This Row],[UNIT
VALUE]]/AUDtoGBP</f>
        <v>11.132085638336086</v>
      </c>
      <c r="R794">
        <f>IFERROR(VLOOKUP(quantInv[[#This Row],[Assigned Item SKU]],skuQuantity[#All],2,FALSE),0)</f>
        <v>0</v>
      </c>
      <c r="S794" t="str">
        <f>PROPER(quantInv[[#This Row],[Metal]] &amp; " " &amp; quantInv[[#This Row],[Item Type]])</f>
        <v>925 Silver Bracelet</v>
      </c>
      <c r="T794" s="33">
        <f>quantInv[[#This Row],[Quantity]]*quantInv[[#This Row],[WEIGHT]]</f>
        <v>0</v>
      </c>
      <c r="U794" s="33">
        <f>quantInv[[#This Row],[UNIT
VALUE]]*quantInv[[#This Row],[Quantity]]</f>
        <v>0</v>
      </c>
      <c r="V794" s="33">
        <f>quantInv[[#This Row],[Total Cost GBP]]/EURtoGBP</f>
        <v>0</v>
      </c>
      <c r="W794" s="33">
        <f>quantInv[[#This Row],[Total Cost GBP]]/USDtoGBP</f>
        <v>0</v>
      </c>
      <c r="X794" s="33">
        <f>quantInv[[#This Row],[Total Cost GBP]]/CADtoGBP</f>
        <v>0</v>
      </c>
      <c r="Y794" s="33">
        <f>quantInv[[#This Row],[Quantity]]*quantInv[[#This Row],[UNIT
VALUE AUD]]</f>
        <v>0</v>
      </c>
      <c r="Z794" s="33"/>
    </row>
    <row r="795" spans="1:26" x14ac:dyDescent="0.25">
      <c r="A795" t="s">
        <v>1919</v>
      </c>
      <c r="B795" t="s">
        <v>1920</v>
      </c>
      <c r="C795" t="s">
        <v>115</v>
      </c>
      <c r="D795" t="s">
        <v>1921</v>
      </c>
      <c r="E795">
        <v>1.9</v>
      </c>
      <c r="F795" s="33">
        <v>3.157</v>
      </c>
      <c r="G795" s="33" t="s">
        <v>117</v>
      </c>
      <c r="H795" t="s">
        <v>1310</v>
      </c>
      <c r="I795" t="str">
        <f>IF(quantInv[[#This Row],[Metal]] = "925 Silver",  "7113.11.00"," 7113.19.00")</f>
        <v>7113.11.00</v>
      </c>
      <c r="J795" t="str">
        <f>IF(quantInv[[#This Row],[Metal]] = "925 Silver", "7113.11.10.00"," 7113.19.10.00")</f>
        <v>7113.11.10.00</v>
      </c>
      <c r="K795" t="str">
        <f>IF(quantInv[[#This Row],[Metal]] = "925 Silver",  "7113.11.00"," 7113.19.00")</f>
        <v>7113.11.00</v>
      </c>
      <c r="L795" t="str">
        <f>IFERROR(VLOOKUP(quantInv[[#This Row],[Description for New Invoice]],Map!$G$12:$H$32,2,FALSE), IF(quantInv[[#This Row],[Metal]] = "925 Silver", "7113.11.10.00", "7113.19.29.00"))</f>
        <v>7113.11.50.00</v>
      </c>
      <c r="M795" t="str">
        <f>quantInv[[#This Row],[ASIN]] &amp; " " &amp; quantInv[[#This Row],[Short Description]]</f>
        <v>B08J8712Z4 Stud Earrings - Fish Bone</v>
      </c>
      <c r="N795" s="33">
        <f>quantInv[[#This Row],[UNIT
VALUE]] / EURtoGBP</f>
        <v>3.5835702893985575</v>
      </c>
      <c r="O795" s="33">
        <f>quantInv[[#This Row],[UNIT
VALUE]]/USDtoGBP</f>
        <v>4.3277225103258061</v>
      </c>
      <c r="P795" s="33">
        <f>quantInv[[#This Row],[UNIT
VALUE]] / CADtoGBP</f>
        <v>5.5397335944395598</v>
      </c>
      <c r="Q795" s="33">
        <f>quantInv[[#This Row],[UNIT
VALUE]]/AUDtoGBP</f>
        <v>5.6703067749119906</v>
      </c>
      <c r="R795">
        <f>IFERROR(VLOOKUP(quantInv[[#This Row],[Assigned Item SKU]],skuQuantity[#All],2,FALSE),0)</f>
        <v>5</v>
      </c>
      <c r="S795" t="str">
        <f>PROPER(quantInv[[#This Row],[Metal]] &amp; " " &amp; quantInv[[#This Row],[Item Type]])</f>
        <v>925 Silver Earrings</v>
      </c>
      <c r="T795" s="33">
        <f>quantInv[[#This Row],[Quantity]]*quantInv[[#This Row],[WEIGHT]]</f>
        <v>9.5</v>
      </c>
      <c r="U795" s="33">
        <f>quantInv[[#This Row],[UNIT
VALUE]]*quantInv[[#This Row],[Quantity]]</f>
        <v>15.785</v>
      </c>
      <c r="V795" s="33">
        <f>quantInv[[#This Row],[Total Cost GBP]]/EURtoGBP</f>
        <v>17.917851446992785</v>
      </c>
      <c r="W795" s="33">
        <f>quantInv[[#This Row],[Total Cost GBP]]/USDtoGBP</f>
        <v>21.638612551629031</v>
      </c>
      <c r="X795" s="33">
        <f>quantInv[[#This Row],[Total Cost GBP]]/CADtoGBP</f>
        <v>27.6986679721978</v>
      </c>
      <c r="Y795" s="33">
        <f>quantInv[[#This Row],[Quantity]]*quantInv[[#This Row],[UNIT
VALUE AUD]]</f>
        <v>28.351533874559955</v>
      </c>
      <c r="Z795" s="33"/>
    </row>
    <row r="796" spans="1:26" x14ac:dyDescent="0.25">
      <c r="A796" t="s">
        <v>1922</v>
      </c>
      <c r="B796" t="s">
        <v>1923</v>
      </c>
      <c r="C796" t="s">
        <v>115</v>
      </c>
      <c r="D796" t="s">
        <v>1924</v>
      </c>
      <c r="E796">
        <v>1.59</v>
      </c>
      <c r="F796" s="33">
        <v>2.9298999999999999</v>
      </c>
      <c r="G796" s="33" t="s">
        <v>117</v>
      </c>
      <c r="H796" t="s">
        <v>1310</v>
      </c>
      <c r="I796" t="str">
        <f>IF(quantInv[[#This Row],[Metal]] = "925 Silver",  "7113.11.00"," 7113.19.00")</f>
        <v>7113.11.00</v>
      </c>
      <c r="J796" t="str">
        <f>IF(quantInv[[#This Row],[Metal]] = "925 Silver", "7113.11.10.00"," 7113.19.10.00")</f>
        <v>7113.11.10.00</v>
      </c>
      <c r="K796" t="str">
        <f>IF(quantInv[[#This Row],[Metal]] = "925 Silver",  "7113.11.00"," 7113.19.00")</f>
        <v>7113.11.00</v>
      </c>
      <c r="L796" t="str">
        <f>IFERROR(VLOOKUP(quantInv[[#This Row],[Description for New Invoice]],Map!$G$12:$H$32,2,FALSE), IF(quantInv[[#This Row],[Metal]] = "925 Silver", "7113.11.10.00", "7113.19.29.00"))</f>
        <v>7113.11.50.00</v>
      </c>
      <c r="M796" t="str">
        <f>quantInv[[#This Row],[ASIN]] &amp; " " &amp; quantInv[[#This Row],[Short Description]]</f>
        <v>B08J87RYMD Stud Earrings - Leaf</v>
      </c>
      <c r="N796" s="33">
        <f>quantInv[[#This Row],[UNIT
VALUE]] / EURtoGBP</f>
        <v>3.3257847928124273</v>
      </c>
      <c r="O796" s="33">
        <f>quantInv[[#This Row],[UNIT
VALUE]]/USDtoGBP</f>
        <v>4.0164061396907123</v>
      </c>
      <c r="P796" s="33">
        <f>quantInv[[#This Row],[UNIT
VALUE]] / CADtoGBP</f>
        <v>5.1412307438544396</v>
      </c>
      <c r="Q796" s="33">
        <f>quantInv[[#This Row],[UNIT
VALUE]]/AUDtoGBP</f>
        <v>5.2624110927509156</v>
      </c>
      <c r="R796">
        <f>IFERROR(VLOOKUP(quantInv[[#This Row],[Assigned Item SKU]],skuQuantity[#All],2,FALSE),0)</f>
        <v>0</v>
      </c>
      <c r="S796" t="str">
        <f>PROPER(quantInv[[#This Row],[Metal]] &amp; " " &amp; quantInv[[#This Row],[Item Type]])</f>
        <v>925 Silver Earrings</v>
      </c>
      <c r="T796" s="33">
        <f>quantInv[[#This Row],[Quantity]]*quantInv[[#This Row],[WEIGHT]]</f>
        <v>0</v>
      </c>
      <c r="U796" s="33">
        <f>quantInv[[#This Row],[UNIT
VALUE]]*quantInv[[#This Row],[Quantity]]</f>
        <v>0</v>
      </c>
      <c r="V796" s="33">
        <f>quantInv[[#This Row],[Total Cost GBP]]/EURtoGBP</f>
        <v>0</v>
      </c>
      <c r="W796" s="33">
        <f>quantInv[[#This Row],[Total Cost GBP]]/USDtoGBP</f>
        <v>0</v>
      </c>
      <c r="X796" s="33">
        <f>quantInv[[#This Row],[Total Cost GBP]]/CADtoGBP</f>
        <v>0</v>
      </c>
      <c r="Y796" s="33">
        <f>quantInv[[#This Row],[Quantity]]*quantInv[[#This Row],[UNIT
VALUE AUD]]</f>
        <v>0</v>
      </c>
      <c r="Z796" s="33"/>
    </row>
    <row r="797" spans="1:26" x14ac:dyDescent="0.25">
      <c r="A797" t="s">
        <v>1265</v>
      </c>
      <c r="B797" t="s">
        <v>1266</v>
      </c>
      <c r="C797" t="s">
        <v>114</v>
      </c>
      <c r="D797" t="s">
        <v>1267</v>
      </c>
      <c r="E797">
        <v>2.8</v>
      </c>
      <c r="F797" s="33">
        <v>5.8632</v>
      </c>
      <c r="G797" s="33" t="s">
        <v>117</v>
      </c>
      <c r="H797" t="s">
        <v>1414</v>
      </c>
      <c r="I797" t="str">
        <f>IF(quantInv[[#This Row],[Metal]] = "925 Silver",  "7113.11.00"," 7113.19.00")</f>
        <v>7113.11.00</v>
      </c>
      <c r="J797" t="str">
        <f>IF(quantInv[[#This Row],[Metal]] = "925 Silver", "7113.11.10.00"," 7113.19.10.00")</f>
        <v>7113.11.10.00</v>
      </c>
      <c r="K797" t="str">
        <f>IF(quantInv[[#This Row],[Metal]] = "925 Silver",  "7113.11.00"," 7113.19.00")</f>
        <v>7113.11.00</v>
      </c>
      <c r="L797" t="str">
        <f>IFERROR(VLOOKUP(quantInv[[#This Row],[Description for New Invoice]],Map!$G$12:$H$32,2,FALSE), IF(quantInv[[#This Row],[Metal]] = "925 Silver", "7113.11.10.00", "7113.19.29.00"))</f>
        <v>7113.11.10.00</v>
      </c>
      <c r="M797" t="str">
        <f>quantInv[[#This Row],[ASIN]] &amp; " " &amp; quantInv[[#This Row],[Short Description]]</f>
        <v>B07PRM2XVB Wheat Chain with Arc and Donut Slider Bracelet</v>
      </c>
      <c r="N797" s="33">
        <f>quantInv[[#This Row],[UNIT
VALUE]] / EURtoGBP</f>
        <v>6.6554289898009573</v>
      </c>
      <c r="O797" s="33">
        <f>quantInv[[#This Row],[UNIT
VALUE]]/USDtoGBP</f>
        <v>8.0374731145208322</v>
      </c>
      <c r="P797" s="33">
        <f>quantInv[[#This Row],[UNIT
VALUE]] / CADtoGBP</f>
        <v>10.288427624617684</v>
      </c>
      <c r="Q797" s="33">
        <f>quantInv[[#This Row],[UNIT
VALUE]]/AUDtoGBP</f>
        <v>10.530928946044973</v>
      </c>
      <c r="R797">
        <f>IFERROR(VLOOKUP(quantInv[[#This Row],[Assigned Item SKU]],skuQuantity[#All],2,FALSE),0)</f>
        <v>0</v>
      </c>
      <c r="S797" t="str">
        <f>PROPER(quantInv[[#This Row],[Metal]] &amp; " " &amp; quantInv[[#This Row],[Item Type]])</f>
        <v>925 Silver Bracelet</v>
      </c>
      <c r="T797" s="33">
        <f>quantInv[[#This Row],[Quantity]]*quantInv[[#This Row],[WEIGHT]]</f>
        <v>0</v>
      </c>
      <c r="U797" s="33">
        <f>quantInv[[#This Row],[UNIT
VALUE]]*quantInv[[#This Row],[Quantity]]</f>
        <v>0</v>
      </c>
      <c r="V797" s="33">
        <f>quantInv[[#This Row],[Total Cost GBP]]/EURtoGBP</f>
        <v>0</v>
      </c>
      <c r="W797" s="33">
        <f>quantInv[[#This Row],[Total Cost GBP]]/USDtoGBP</f>
        <v>0</v>
      </c>
      <c r="X797" s="33">
        <f>quantInv[[#This Row],[Total Cost GBP]]/CADtoGBP</f>
        <v>0</v>
      </c>
      <c r="Y797" s="33">
        <f>quantInv[[#This Row],[Quantity]]*quantInv[[#This Row],[UNIT
VALUE AUD]]</f>
        <v>0</v>
      </c>
      <c r="Z797" s="33"/>
    </row>
    <row r="798" spans="1:26" x14ac:dyDescent="0.25">
      <c r="A798" t="s">
        <v>1928</v>
      </c>
      <c r="B798" t="s">
        <v>1929</v>
      </c>
      <c r="C798" t="s">
        <v>115</v>
      </c>
      <c r="D798" t="s">
        <v>1930</v>
      </c>
      <c r="E798">
        <v>1.2</v>
      </c>
      <c r="F798" s="33">
        <v>2.3052000000000001</v>
      </c>
      <c r="G798" s="33" t="s">
        <v>117</v>
      </c>
      <c r="H798" t="s">
        <v>1310</v>
      </c>
      <c r="I798" t="str">
        <f>IF(quantInv[[#This Row],[Metal]] = "925 Silver",  "7113.11.00"," 7113.19.00")</f>
        <v>7113.11.00</v>
      </c>
      <c r="J798" t="str">
        <f>IF(quantInv[[#This Row],[Metal]] = "925 Silver", "7113.11.10.00"," 7113.19.10.00")</f>
        <v>7113.11.10.00</v>
      </c>
      <c r="K798" t="str">
        <f>IF(quantInv[[#This Row],[Metal]] = "925 Silver",  "7113.11.00"," 7113.19.00")</f>
        <v>7113.11.00</v>
      </c>
      <c r="L798" t="str">
        <f>IFERROR(VLOOKUP(quantInv[[#This Row],[Description for New Invoice]],Map!$G$12:$H$32,2,FALSE), IF(quantInv[[#This Row],[Metal]] = "925 Silver", "7113.11.10.00", "7113.19.29.00"))</f>
        <v>7113.11.50.00</v>
      </c>
      <c r="M798" t="str">
        <f>quantInv[[#This Row],[ASIN]] &amp; " " &amp; quantInv[[#This Row],[Short Description]]</f>
        <v>B08J846JBG Stud Earrings - Owl</v>
      </c>
      <c r="N798" s="33">
        <f>quantInv[[#This Row],[UNIT
VALUE]] / EURtoGBP</f>
        <v>2.6166760313973882</v>
      </c>
      <c r="O798" s="33">
        <f>quantInv[[#This Row],[UNIT
VALUE]]/USDtoGBP</f>
        <v>3.1600462245179122</v>
      </c>
      <c r="P798" s="33">
        <f>quantInv[[#This Row],[UNIT
VALUE]] / CADtoGBP</f>
        <v>4.0450408241691713</v>
      </c>
      <c r="Q798" s="33">
        <f>quantInv[[#This Row],[UNIT
VALUE]]/AUDtoGBP</f>
        <v>4.1403836482505927</v>
      </c>
      <c r="R798">
        <f>IFERROR(VLOOKUP(quantInv[[#This Row],[Assigned Item SKU]],skuQuantity[#All],2,FALSE),0)</f>
        <v>0</v>
      </c>
      <c r="S798" t="str">
        <f>PROPER(quantInv[[#This Row],[Metal]] &amp; " " &amp; quantInv[[#This Row],[Item Type]])</f>
        <v>925 Silver Earrings</v>
      </c>
      <c r="T798" s="33">
        <f>quantInv[[#This Row],[Quantity]]*quantInv[[#This Row],[WEIGHT]]</f>
        <v>0</v>
      </c>
      <c r="U798" s="33">
        <f>quantInv[[#This Row],[UNIT
VALUE]]*quantInv[[#This Row],[Quantity]]</f>
        <v>0</v>
      </c>
      <c r="V798" s="33">
        <f>quantInv[[#This Row],[Total Cost GBP]]/EURtoGBP</f>
        <v>0</v>
      </c>
      <c r="W798" s="33">
        <f>quantInv[[#This Row],[Total Cost GBP]]/USDtoGBP</f>
        <v>0</v>
      </c>
      <c r="X798" s="33">
        <f>quantInv[[#This Row],[Total Cost GBP]]/CADtoGBP</f>
        <v>0</v>
      </c>
      <c r="Y798" s="33">
        <f>quantInv[[#This Row],[Quantity]]*quantInv[[#This Row],[UNIT
VALUE AUD]]</f>
        <v>0</v>
      </c>
      <c r="Z798" s="33"/>
    </row>
    <row r="799" spans="1:26" x14ac:dyDescent="0.25">
      <c r="A799" t="s">
        <v>1314</v>
      </c>
      <c r="B799" t="s">
        <v>1315</v>
      </c>
      <c r="C799" t="s">
        <v>114</v>
      </c>
      <c r="D799" t="s">
        <v>1313</v>
      </c>
      <c r="E799">
        <v>33.31</v>
      </c>
      <c r="F799" s="33">
        <v>33.0899</v>
      </c>
      <c r="G799" s="33" t="s">
        <v>117</v>
      </c>
      <c r="H799" t="s">
        <v>103</v>
      </c>
      <c r="I799" t="str">
        <f>IF(quantInv[[#This Row],[Metal]] = "925 Silver",  "7113.11.00"," 7113.19.00")</f>
        <v>7113.11.00</v>
      </c>
      <c r="J799" t="str">
        <f>IF(quantInv[[#This Row],[Metal]] = "925 Silver", "7113.11.10.00"," 7113.19.10.00")</f>
        <v>7113.11.10.00</v>
      </c>
      <c r="K799" t="str">
        <f>IF(quantInv[[#This Row],[Metal]] = "925 Silver",  "7113.11.00"," 7113.19.00")</f>
        <v>7113.11.00</v>
      </c>
      <c r="L799" t="str">
        <f>IFERROR(VLOOKUP(quantInv[[#This Row],[Description for New Invoice]],Map!$G$12:$H$32,2,FALSE), IF(quantInv[[#This Row],[Metal]] = "925 Silver", "7113.11.10.00", "7113.19.29.00"))</f>
        <v>7113.11.10.00</v>
      </c>
      <c r="M799" t="str">
        <f>quantInv[[#This Row],[ASIN]] &amp; " " &amp; quantInv[[#This Row],[Short Description]]</f>
        <v>B07RR1YS6P Chain - French Rope for men</v>
      </c>
      <c r="N799" s="33">
        <f>quantInv[[#This Row],[UNIT
VALUE]] / EURtoGBP</f>
        <v>37.560970072590855</v>
      </c>
      <c r="O799" s="33">
        <f>quantInv[[#This Row],[UNIT
VALUE]]/USDtoGBP</f>
        <v>45.360755493959424</v>
      </c>
      <c r="P799" s="33">
        <f>quantInv[[#This Row],[UNIT
VALUE]] / CADtoGBP</f>
        <v>58.064374617245996</v>
      </c>
      <c r="Q799" s="33">
        <f>quantInv[[#This Row],[UNIT
VALUE]]/AUDtoGBP</f>
        <v>59.432969322508796</v>
      </c>
      <c r="R799">
        <f>IFERROR(VLOOKUP(quantInv[[#This Row],[Assigned Item SKU]],skuQuantity[#All],2,FALSE),0)</f>
        <v>0</v>
      </c>
      <c r="S799" t="str">
        <f>PROPER(quantInv[[#This Row],[Metal]] &amp; " " &amp; quantInv[[#This Row],[Item Type]])</f>
        <v>925 Silver Chain</v>
      </c>
      <c r="T799" s="33">
        <f>quantInv[[#This Row],[Quantity]]*quantInv[[#This Row],[WEIGHT]]</f>
        <v>0</v>
      </c>
      <c r="U799" s="33">
        <f>quantInv[[#This Row],[UNIT
VALUE]]*quantInv[[#This Row],[Quantity]]</f>
        <v>0</v>
      </c>
      <c r="V799" s="33">
        <f>quantInv[[#This Row],[Total Cost GBP]]/EURtoGBP</f>
        <v>0</v>
      </c>
      <c r="W799" s="33">
        <f>quantInv[[#This Row],[Total Cost GBP]]/USDtoGBP</f>
        <v>0</v>
      </c>
      <c r="X799" s="33">
        <f>quantInv[[#This Row],[Total Cost GBP]]/CADtoGBP</f>
        <v>0</v>
      </c>
      <c r="Y799" s="33">
        <f>quantInv[[#This Row],[Quantity]]*quantInv[[#This Row],[UNIT
VALUE AUD]]</f>
        <v>0</v>
      </c>
      <c r="Z799" s="33"/>
    </row>
    <row r="800" spans="1:26" x14ac:dyDescent="0.25">
      <c r="A800" t="s">
        <v>1934</v>
      </c>
      <c r="B800" t="s">
        <v>1935</v>
      </c>
      <c r="C800" t="s">
        <v>115</v>
      </c>
      <c r="D800" t="s">
        <v>1936</v>
      </c>
      <c r="E800">
        <v>1.4</v>
      </c>
      <c r="F800" s="33">
        <v>2.9137</v>
      </c>
      <c r="G800" s="33" t="s">
        <v>117</v>
      </c>
      <c r="H800" t="s">
        <v>1310</v>
      </c>
      <c r="I800" t="str">
        <f>IF(quantInv[[#This Row],[Metal]] = "925 Silver",  "7113.11.00"," 7113.19.00")</f>
        <v>7113.11.00</v>
      </c>
      <c r="J800" t="str">
        <f>IF(quantInv[[#This Row],[Metal]] = "925 Silver", "7113.11.10.00"," 7113.19.10.00")</f>
        <v>7113.11.10.00</v>
      </c>
      <c r="K800" t="str">
        <f>IF(quantInv[[#This Row],[Metal]] = "925 Silver",  "7113.11.00"," 7113.19.00")</f>
        <v>7113.11.00</v>
      </c>
      <c r="L800" t="str">
        <f>IFERROR(VLOOKUP(quantInv[[#This Row],[Description for New Invoice]],Map!$G$12:$H$32,2,FALSE), IF(quantInv[[#This Row],[Metal]] = "925 Silver", "7113.11.10.00", "7113.19.29.00"))</f>
        <v>7113.11.50.00</v>
      </c>
      <c r="M800" t="str">
        <f>quantInv[[#This Row],[ASIN]] &amp; " " &amp; quantInv[[#This Row],[Short Description]]</f>
        <v xml:space="preserve">B08J884SGN Stud Earrings - Interlocking Circles </v>
      </c>
      <c r="N800" s="33">
        <f>quantInv[[#This Row],[UNIT
VALUE]] / EURtoGBP</f>
        <v>3.307395867032175</v>
      </c>
      <c r="O800" s="33">
        <f>quantInv[[#This Row],[UNIT
VALUE]]/USDtoGBP</f>
        <v>3.994198631085303</v>
      </c>
      <c r="P800" s="33">
        <f>quantInv[[#This Row],[UNIT
VALUE]] / CADtoGBP</f>
        <v>5.1128038562301379</v>
      </c>
      <c r="Q800" s="33">
        <f>quantInv[[#This Row],[UNIT
VALUE]]/AUDtoGBP</f>
        <v>5.2333141748688838</v>
      </c>
      <c r="R800">
        <f>IFERROR(VLOOKUP(quantInv[[#This Row],[Assigned Item SKU]],skuQuantity[#All],2,FALSE),0)</f>
        <v>0</v>
      </c>
      <c r="S800" t="str">
        <f>PROPER(quantInv[[#This Row],[Metal]] &amp; " " &amp; quantInv[[#This Row],[Item Type]])</f>
        <v>925 Silver Earrings</v>
      </c>
      <c r="T800" s="33">
        <f>quantInv[[#This Row],[Quantity]]*quantInv[[#This Row],[WEIGHT]]</f>
        <v>0</v>
      </c>
      <c r="U800" s="33">
        <f>quantInv[[#This Row],[UNIT
VALUE]]*quantInv[[#This Row],[Quantity]]</f>
        <v>0</v>
      </c>
      <c r="V800" s="33">
        <f>quantInv[[#This Row],[Total Cost GBP]]/EURtoGBP</f>
        <v>0</v>
      </c>
      <c r="W800" s="33">
        <f>quantInv[[#This Row],[Total Cost GBP]]/USDtoGBP</f>
        <v>0</v>
      </c>
      <c r="X800" s="33">
        <f>quantInv[[#This Row],[Total Cost GBP]]/CADtoGBP</f>
        <v>0</v>
      </c>
      <c r="Y800" s="33">
        <f>quantInv[[#This Row],[Quantity]]*quantInv[[#This Row],[UNIT
VALUE AUD]]</f>
        <v>0</v>
      </c>
      <c r="Z800" s="33"/>
    </row>
    <row r="801" spans="1:26" x14ac:dyDescent="0.25">
      <c r="A801" t="s">
        <v>1430</v>
      </c>
      <c r="B801" t="s">
        <v>1431</v>
      </c>
      <c r="C801" t="s">
        <v>114</v>
      </c>
      <c r="D801" t="s">
        <v>1432</v>
      </c>
      <c r="E801">
        <v>5.5</v>
      </c>
      <c r="F801" s="33">
        <v>9.6866000000000003</v>
      </c>
      <c r="G801" s="33" t="s">
        <v>117</v>
      </c>
      <c r="H801" t="s">
        <v>1414</v>
      </c>
      <c r="I801" t="str">
        <f>IF(quantInv[[#This Row],[Metal]] = "925 Silver",  "7113.11.00"," 7113.19.00")</f>
        <v>7113.11.00</v>
      </c>
      <c r="J801" t="str">
        <f>IF(quantInv[[#This Row],[Metal]] = "925 Silver", "7113.11.10.00"," 7113.19.10.00")</f>
        <v>7113.11.10.00</v>
      </c>
      <c r="K801" t="str">
        <f>IF(quantInv[[#This Row],[Metal]] = "925 Silver",  "7113.11.00"," 7113.19.00")</f>
        <v>7113.11.00</v>
      </c>
      <c r="L801" t="str">
        <f>IFERROR(VLOOKUP(quantInv[[#This Row],[Description for New Invoice]],Map!$G$12:$H$32,2,FALSE), IF(quantInv[[#This Row],[Metal]] = "925 Silver", "7113.11.10.00", "7113.19.29.00"))</f>
        <v>7113.11.10.00</v>
      </c>
      <c r="M801" t="str">
        <f>quantInv[[#This Row],[ASIN]] &amp; " " &amp; quantInv[[#This Row],[Short Description]]</f>
        <v>B07WS1LJGS Silver Bracelet - Hollow - Thick and Heavy - Rectangular Cable - 3 colour</v>
      </c>
      <c r="N801" s="33">
        <f>quantInv[[#This Row],[UNIT
VALUE]] / EURtoGBP</f>
        <v>10.995442497715574</v>
      </c>
      <c r="O801" s="33">
        <f>quantInv[[#This Row],[UNIT
VALUE]]/USDtoGBP</f>
        <v>13.2787193121704</v>
      </c>
      <c r="P801" s="33">
        <f>quantInv[[#This Row],[UNIT
VALUE]] / CADtoGBP</f>
        <v>16.997524053182847</v>
      </c>
      <c r="Q801" s="33">
        <f>quantInv[[#This Row],[UNIT
VALUE]]/AUDtoGBP</f>
        <v>17.398160787412888</v>
      </c>
      <c r="R801">
        <f>IFERROR(VLOOKUP(quantInv[[#This Row],[Assigned Item SKU]],skuQuantity[#All],2,FALSE),0)</f>
        <v>0</v>
      </c>
      <c r="S801" t="str">
        <f>PROPER(quantInv[[#This Row],[Metal]] &amp; " " &amp; quantInv[[#This Row],[Item Type]])</f>
        <v>925 Silver Bracelet</v>
      </c>
      <c r="T801" s="33">
        <f>quantInv[[#This Row],[Quantity]]*quantInv[[#This Row],[WEIGHT]]</f>
        <v>0</v>
      </c>
      <c r="U801" s="33">
        <f>quantInv[[#This Row],[UNIT
VALUE]]*quantInv[[#This Row],[Quantity]]</f>
        <v>0</v>
      </c>
      <c r="V801" s="33">
        <f>quantInv[[#This Row],[Total Cost GBP]]/EURtoGBP</f>
        <v>0</v>
      </c>
      <c r="W801" s="33">
        <f>quantInv[[#This Row],[Total Cost GBP]]/USDtoGBP</f>
        <v>0</v>
      </c>
      <c r="X801" s="33">
        <f>quantInv[[#This Row],[Total Cost GBP]]/CADtoGBP</f>
        <v>0</v>
      </c>
      <c r="Y801" s="33">
        <f>quantInv[[#This Row],[Quantity]]*quantInv[[#This Row],[UNIT
VALUE AUD]]</f>
        <v>0</v>
      </c>
      <c r="Z801" s="33"/>
    </row>
    <row r="802" spans="1:26" x14ac:dyDescent="0.25">
      <c r="A802" t="s">
        <v>1940</v>
      </c>
      <c r="B802" t="s">
        <v>1941</v>
      </c>
      <c r="C802" t="s">
        <v>115</v>
      </c>
      <c r="D802" t="s">
        <v>1942</v>
      </c>
      <c r="E802">
        <v>0.98</v>
      </c>
      <c r="F802" s="33">
        <v>2.0619000000000001</v>
      </c>
      <c r="G802" s="33" t="s">
        <v>117</v>
      </c>
      <c r="H802" t="s">
        <v>1310</v>
      </c>
      <c r="I802" t="str">
        <f>IF(quantInv[[#This Row],[Metal]] = "925 Silver",  "7113.11.00"," 7113.19.00")</f>
        <v>7113.11.00</v>
      </c>
      <c r="J802" t="str">
        <f>IF(quantInv[[#This Row],[Metal]] = "925 Silver", "7113.11.10.00"," 7113.19.10.00")</f>
        <v>7113.11.10.00</v>
      </c>
      <c r="K802" t="str">
        <f>IF(quantInv[[#This Row],[Metal]] = "925 Silver",  "7113.11.00"," 7113.19.00")</f>
        <v>7113.11.00</v>
      </c>
      <c r="L802" t="str">
        <f>IFERROR(VLOOKUP(quantInv[[#This Row],[Description for New Invoice]],Map!$G$12:$H$32,2,FALSE), IF(quantInv[[#This Row],[Metal]] = "925 Silver", "7113.11.10.00", "7113.19.29.00"))</f>
        <v>7113.11.50.00</v>
      </c>
      <c r="M802" t="str">
        <f>quantInv[[#This Row],[ASIN]] &amp; " " &amp; quantInv[[#This Row],[Short Description]]</f>
        <v>B08J8CB3KB Stud Earrings - Knot</v>
      </c>
      <c r="N802" s="33">
        <f>quantInv[[#This Row],[UNIT
VALUE]] / EURtoGBP</f>
        <v>2.3405016090310058</v>
      </c>
      <c r="O802" s="33">
        <f>quantInv[[#This Row],[UNIT
VALUE]]/USDtoGBP</f>
        <v>2.8265223452774091</v>
      </c>
      <c r="P802" s="33">
        <f>quantInv[[#This Row],[UNIT
VALUE]] / CADtoGBP</f>
        <v>3.6181110859597494</v>
      </c>
      <c r="Q802" s="33">
        <f>quantInv[[#This Row],[UNIT
VALUE]]/AUDtoGBP</f>
        <v>3.7033910482074859</v>
      </c>
      <c r="R802">
        <f>IFERROR(VLOOKUP(quantInv[[#This Row],[Assigned Item SKU]],skuQuantity[#All],2,FALSE),0)</f>
        <v>0</v>
      </c>
      <c r="S802" t="str">
        <f>PROPER(quantInv[[#This Row],[Metal]] &amp; " " &amp; quantInv[[#This Row],[Item Type]])</f>
        <v>925 Silver Earrings</v>
      </c>
      <c r="T802" s="33">
        <f>quantInv[[#This Row],[Quantity]]*quantInv[[#This Row],[WEIGHT]]</f>
        <v>0</v>
      </c>
      <c r="U802" s="33">
        <f>quantInv[[#This Row],[UNIT
VALUE]]*quantInv[[#This Row],[Quantity]]</f>
        <v>0</v>
      </c>
      <c r="V802" s="33">
        <f>quantInv[[#This Row],[Total Cost GBP]]/EURtoGBP</f>
        <v>0</v>
      </c>
      <c r="W802" s="33">
        <f>quantInv[[#This Row],[Total Cost GBP]]/USDtoGBP</f>
        <v>0</v>
      </c>
      <c r="X802" s="33">
        <f>quantInv[[#This Row],[Total Cost GBP]]/CADtoGBP</f>
        <v>0</v>
      </c>
      <c r="Y802" s="33">
        <f>quantInv[[#This Row],[Quantity]]*quantInv[[#This Row],[UNIT
VALUE AUD]]</f>
        <v>0</v>
      </c>
      <c r="Z802" s="33"/>
    </row>
    <row r="803" spans="1:26" x14ac:dyDescent="0.25">
      <c r="A803" t="s">
        <v>1943</v>
      </c>
      <c r="B803" t="s">
        <v>1944</v>
      </c>
      <c r="C803" t="s">
        <v>115</v>
      </c>
      <c r="D803" t="s">
        <v>1945</v>
      </c>
      <c r="E803">
        <v>1.1100000000000001</v>
      </c>
      <c r="F803" s="33">
        <v>2.1187</v>
      </c>
      <c r="G803" s="33" t="s">
        <v>117</v>
      </c>
      <c r="H803" t="s">
        <v>1310</v>
      </c>
      <c r="I803" t="str">
        <f>IF(quantInv[[#This Row],[Metal]] = "925 Silver",  "7113.11.00"," 7113.19.00")</f>
        <v>7113.11.00</v>
      </c>
      <c r="J803" t="str">
        <f>IF(quantInv[[#This Row],[Metal]] = "925 Silver", "7113.11.10.00"," 7113.19.10.00")</f>
        <v>7113.11.10.00</v>
      </c>
      <c r="K803" t="str">
        <f>IF(quantInv[[#This Row],[Metal]] = "925 Silver",  "7113.11.00"," 7113.19.00")</f>
        <v>7113.11.00</v>
      </c>
      <c r="L803" t="str">
        <f>IFERROR(VLOOKUP(quantInv[[#This Row],[Description for New Invoice]],Map!$G$12:$H$32,2,FALSE), IF(quantInv[[#This Row],[Metal]] = "925 Silver", "7113.11.10.00", "7113.19.29.00"))</f>
        <v>7113.11.50.00</v>
      </c>
      <c r="M803" t="str">
        <f>quantInv[[#This Row],[ASIN]] &amp; " " &amp; quantInv[[#This Row],[Short Description]]</f>
        <v>B08J89S5PD Stud Earrings - Unicorn</v>
      </c>
      <c r="N803" s="33">
        <f>quantInv[[#This Row],[UNIT
VALUE]] / EURtoGBP</f>
        <v>2.4049763611494215</v>
      </c>
      <c r="O803" s="33">
        <f>quantInv[[#This Row],[UNIT
VALUE]]/USDtoGBP</f>
        <v>2.9043857087827956</v>
      </c>
      <c r="P803" s="33">
        <f>quantInv[[#This Row],[UNIT
VALUE]] / CADtoGBP</f>
        <v>3.7177806672597709</v>
      </c>
      <c r="Q803" s="33">
        <f>quantInv[[#This Row],[UNIT
VALUE]]/AUDtoGBP</f>
        <v>3.8054098713988074</v>
      </c>
      <c r="R803">
        <f>IFERROR(VLOOKUP(quantInv[[#This Row],[Assigned Item SKU]],skuQuantity[#All],2,FALSE),0)</f>
        <v>0</v>
      </c>
      <c r="S803" t="str">
        <f>PROPER(quantInv[[#This Row],[Metal]] &amp; " " &amp; quantInv[[#This Row],[Item Type]])</f>
        <v>925 Silver Earrings</v>
      </c>
      <c r="T803" s="33">
        <f>quantInv[[#This Row],[Quantity]]*quantInv[[#This Row],[WEIGHT]]</f>
        <v>0</v>
      </c>
      <c r="U803" s="33">
        <f>quantInv[[#This Row],[UNIT
VALUE]]*quantInv[[#This Row],[Quantity]]</f>
        <v>0</v>
      </c>
      <c r="V803" s="33">
        <f>quantInv[[#This Row],[Total Cost GBP]]/EURtoGBP</f>
        <v>0</v>
      </c>
      <c r="W803" s="33">
        <f>quantInv[[#This Row],[Total Cost GBP]]/USDtoGBP</f>
        <v>0</v>
      </c>
      <c r="X803" s="33">
        <f>quantInv[[#This Row],[Total Cost GBP]]/CADtoGBP</f>
        <v>0</v>
      </c>
      <c r="Y803" s="33">
        <f>quantInv[[#This Row],[Quantity]]*quantInv[[#This Row],[UNIT
VALUE AUD]]</f>
        <v>0</v>
      </c>
      <c r="Z803" s="33"/>
    </row>
    <row r="804" spans="1:26" x14ac:dyDescent="0.25">
      <c r="A804" t="s">
        <v>1946</v>
      </c>
      <c r="B804" t="s">
        <v>1947</v>
      </c>
      <c r="C804" t="s">
        <v>115</v>
      </c>
      <c r="D804" t="s">
        <v>1948</v>
      </c>
      <c r="E804">
        <v>0.97</v>
      </c>
      <c r="F804" s="33">
        <v>2.2646999999999999</v>
      </c>
      <c r="G804" s="33" t="s">
        <v>117</v>
      </c>
      <c r="H804" t="s">
        <v>1285</v>
      </c>
      <c r="I804" t="str">
        <f>IF(quantInv[[#This Row],[Metal]] = "925 Silver",  "7113.11.00"," 7113.19.00")</f>
        <v>7113.11.00</v>
      </c>
      <c r="J804" t="str">
        <f>IF(quantInv[[#This Row],[Metal]] = "925 Silver", "7113.11.10.00"," 7113.19.10.00")</f>
        <v>7113.11.10.00</v>
      </c>
      <c r="K804" t="str">
        <f>IF(quantInv[[#This Row],[Metal]] = "925 Silver",  "7113.11.00"," 7113.19.00")</f>
        <v>7113.11.00</v>
      </c>
      <c r="L804" t="str">
        <f>IFERROR(VLOOKUP(quantInv[[#This Row],[Description for New Invoice]],Map!$G$12:$H$32,2,FALSE), IF(quantInv[[#This Row],[Metal]] = "925 Silver", "7113.11.10.00", "7113.19.29.00"))</f>
        <v>7113.11.50.00</v>
      </c>
      <c r="M804" t="str">
        <f>quantInv[[#This Row],[ASIN]] &amp; " " &amp; quantInv[[#This Row],[Short Description]]</f>
        <v>B08C34DY3Z Toe Ring - Leaf/Feather</v>
      </c>
      <c r="N804" s="33">
        <f>quantInv[[#This Row],[UNIT
VALUE]] / EURtoGBP</f>
        <v>2.570703716946757</v>
      </c>
      <c r="O804" s="33">
        <f>quantInv[[#This Row],[UNIT
VALUE]]/USDtoGBP</f>
        <v>3.1045274530043878</v>
      </c>
      <c r="P804" s="33">
        <f>quantInv[[#This Row],[UNIT
VALUE]] / CADtoGBP</f>
        <v>3.9739736051084167</v>
      </c>
      <c r="Q804" s="33">
        <f>quantInv[[#This Row],[UNIT
VALUE]]/AUDtoGBP</f>
        <v>4.0676413535455129</v>
      </c>
      <c r="R804">
        <f>IFERROR(VLOOKUP(quantInv[[#This Row],[Assigned Item SKU]],skuQuantity[#All],2,FALSE),0)</f>
        <v>5</v>
      </c>
      <c r="S804" t="str">
        <f>PROPER(quantInv[[#This Row],[Metal]] &amp; " " &amp; quantInv[[#This Row],[Item Type]])</f>
        <v>925 Silver Toe Ring</v>
      </c>
      <c r="T804" s="33">
        <f>quantInv[[#This Row],[Quantity]]*quantInv[[#This Row],[WEIGHT]]</f>
        <v>4.8499999999999996</v>
      </c>
      <c r="U804" s="33">
        <f>quantInv[[#This Row],[UNIT
VALUE]]*quantInv[[#This Row],[Quantity]]</f>
        <v>11.323499999999999</v>
      </c>
      <c r="V804" s="33">
        <f>quantInv[[#This Row],[Total Cost GBP]]/EURtoGBP</f>
        <v>12.853518584733786</v>
      </c>
      <c r="W804" s="33">
        <f>quantInv[[#This Row],[Total Cost GBP]]/USDtoGBP</f>
        <v>15.52263726502194</v>
      </c>
      <c r="X804" s="33">
        <f>quantInv[[#This Row],[Total Cost GBP]]/CADtoGBP</f>
        <v>19.869868025542083</v>
      </c>
      <c r="Y804" s="33">
        <f>quantInv[[#This Row],[Quantity]]*quantInv[[#This Row],[UNIT
VALUE AUD]]</f>
        <v>20.338206767727563</v>
      </c>
      <c r="Z804" s="33"/>
    </row>
    <row r="805" spans="1:26" x14ac:dyDescent="0.25">
      <c r="A805" t="s">
        <v>1949</v>
      </c>
      <c r="B805" t="s">
        <v>1950</v>
      </c>
      <c r="C805" t="s">
        <v>115</v>
      </c>
      <c r="D805" t="s">
        <v>1951</v>
      </c>
      <c r="E805">
        <v>4.3499999999999996</v>
      </c>
      <c r="F805" s="33">
        <v>7.3754999999999997</v>
      </c>
      <c r="G805" s="33" t="s">
        <v>117</v>
      </c>
      <c r="H805" t="s">
        <v>1295</v>
      </c>
      <c r="I805" t="str">
        <f>IF(quantInv[[#This Row],[Metal]] = "925 Silver",  "7113.11.00"," 7113.19.00")</f>
        <v>7113.11.00</v>
      </c>
      <c r="J805" t="str">
        <f>IF(quantInv[[#This Row],[Metal]] = "925 Silver", "7113.11.10.00"," 7113.19.10.00")</f>
        <v>7113.11.10.00</v>
      </c>
      <c r="K805" t="str">
        <f>IF(quantInv[[#This Row],[Metal]] = "925 Silver",  "7113.11.00"," 7113.19.00")</f>
        <v>7113.11.00</v>
      </c>
      <c r="L805" t="str">
        <f>IFERROR(VLOOKUP(quantInv[[#This Row],[Description for New Invoice]],Map!$G$12:$H$32,2,FALSE), IF(quantInv[[#This Row],[Metal]] = "925 Silver", "7113.11.10.00", "7113.19.29.00"))</f>
        <v>7113.11.10.00</v>
      </c>
      <c r="M805" t="str">
        <f>quantInv[[#This Row],[ASIN]] &amp; " " &amp; quantInv[[#This Row],[Short Description]]</f>
        <v>B08Z4869H6 Pendant - Locket with a Plant</v>
      </c>
      <c r="N805" s="33">
        <f>quantInv[[#This Row],[UNIT
VALUE]] / EURtoGBP</f>
        <v>8.3720692649537725</v>
      </c>
      <c r="O805" s="33">
        <f>quantInv[[#This Row],[UNIT
VALUE]]/USDtoGBP</f>
        <v>10.110585167851752</v>
      </c>
      <c r="P805" s="33">
        <f>quantInv[[#This Row],[UNIT
VALUE]] / CADtoGBP</f>
        <v>12.942130226730749</v>
      </c>
      <c r="Q805" s="33">
        <f>quantInv[[#This Row],[UNIT
VALUE]]/AUDtoGBP</f>
        <v>13.247180113513901</v>
      </c>
      <c r="R805">
        <f>IFERROR(VLOOKUP(quantInv[[#This Row],[Assigned Item SKU]],skuQuantity[#All],2,FALSE),0)</f>
        <v>0</v>
      </c>
      <c r="S805" t="str">
        <f>PROPER(quantInv[[#This Row],[Metal]] &amp; " " &amp; quantInv[[#This Row],[Item Type]])</f>
        <v>925 Silver Locket</v>
      </c>
      <c r="T805" s="33">
        <f>quantInv[[#This Row],[Quantity]]*quantInv[[#This Row],[WEIGHT]]</f>
        <v>0</v>
      </c>
      <c r="U805" s="33">
        <f>quantInv[[#This Row],[UNIT
VALUE]]*quantInv[[#This Row],[Quantity]]</f>
        <v>0</v>
      </c>
      <c r="V805" s="33">
        <f>quantInv[[#This Row],[Total Cost GBP]]/EURtoGBP</f>
        <v>0</v>
      </c>
      <c r="W805" s="33">
        <f>quantInv[[#This Row],[Total Cost GBP]]/USDtoGBP</f>
        <v>0</v>
      </c>
      <c r="X805" s="33">
        <f>quantInv[[#This Row],[Total Cost GBP]]/CADtoGBP</f>
        <v>0</v>
      </c>
      <c r="Y805" s="33">
        <f>quantInv[[#This Row],[Quantity]]*quantInv[[#This Row],[UNIT
VALUE AUD]]</f>
        <v>0</v>
      </c>
      <c r="Z805" s="33"/>
    </row>
    <row r="806" spans="1:26" x14ac:dyDescent="0.25">
      <c r="A806" t="s">
        <v>1952</v>
      </c>
      <c r="B806" t="s">
        <v>1953</v>
      </c>
      <c r="C806" t="s">
        <v>115</v>
      </c>
      <c r="D806" t="s">
        <v>1954</v>
      </c>
      <c r="E806">
        <v>0.93</v>
      </c>
      <c r="F806" s="33">
        <v>2.5486</v>
      </c>
      <c r="G806" s="33" t="s">
        <v>117</v>
      </c>
      <c r="H806" t="s">
        <v>1310</v>
      </c>
      <c r="I806" t="str">
        <f>IF(quantInv[[#This Row],[Metal]] = "925 Silver",  "7113.11.00"," 7113.19.00")</f>
        <v>7113.11.00</v>
      </c>
      <c r="J806" t="str">
        <f>IF(quantInv[[#This Row],[Metal]] = "925 Silver", "7113.11.10.00"," 7113.19.10.00")</f>
        <v>7113.11.10.00</v>
      </c>
      <c r="K806" t="str">
        <f>IF(quantInv[[#This Row],[Metal]] = "925 Silver",  "7113.11.00"," 7113.19.00")</f>
        <v>7113.11.00</v>
      </c>
      <c r="L806" t="str">
        <f>IFERROR(VLOOKUP(quantInv[[#This Row],[Description for New Invoice]],Map!$G$12:$H$32,2,FALSE), IF(quantInv[[#This Row],[Metal]] = "925 Silver", "7113.11.10.00", "7113.19.29.00"))</f>
        <v>7113.11.50.00</v>
      </c>
      <c r="M806" t="str">
        <f>quantInv[[#This Row],[ASIN]] &amp; " " &amp; quantInv[[#This Row],[Short Description]]</f>
        <v>B08NQZ8G92 Crawler Earrings with Hearts</v>
      </c>
      <c r="N806" s="33">
        <f>quantInv[[#This Row],[UNIT
VALUE]] / EURtoGBP</f>
        <v>2.8929639656513029</v>
      </c>
      <c r="O806" s="33">
        <f>quantInv[[#This Row],[UNIT
VALUE]]/USDtoGBP</f>
        <v>3.4937071871448682</v>
      </c>
      <c r="P806" s="33">
        <f>quantInv[[#This Row],[UNIT
VALUE]] / CADtoGBP</f>
        <v>4.4721460369935579</v>
      </c>
      <c r="Q806" s="33">
        <f>quantInv[[#This Row],[UNIT
VALUE]]/AUDtoGBP</f>
        <v>4.5775558588979086</v>
      </c>
      <c r="R806">
        <f>IFERROR(VLOOKUP(quantInv[[#This Row],[Assigned Item SKU]],skuQuantity[#All],2,FALSE),0)</f>
        <v>0</v>
      </c>
      <c r="S806" t="str">
        <f>PROPER(quantInv[[#This Row],[Metal]] &amp; " " &amp; quantInv[[#This Row],[Item Type]])</f>
        <v>925 Silver Earrings</v>
      </c>
      <c r="T806" s="33">
        <f>quantInv[[#This Row],[Quantity]]*quantInv[[#This Row],[WEIGHT]]</f>
        <v>0</v>
      </c>
      <c r="U806" s="33">
        <f>quantInv[[#This Row],[UNIT
VALUE]]*quantInv[[#This Row],[Quantity]]</f>
        <v>0</v>
      </c>
      <c r="V806" s="33">
        <f>quantInv[[#This Row],[Total Cost GBP]]/EURtoGBP</f>
        <v>0</v>
      </c>
      <c r="W806" s="33">
        <f>quantInv[[#This Row],[Total Cost GBP]]/USDtoGBP</f>
        <v>0</v>
      </c>
      <c r="X806" s="33">
        <f>quantInv[[#This Row],[Total Cost GBP]]/CADtoGBP</f>
        <v>0</v>
      </c>
      <c r="Y806" s="33">
        <f>quantInv[[#This Row],[Quantity]]*quantInv[[#This Row],[UNIT
VALUE AUD]]</f>
        <v>0</v>
      </c>
      <c r="Z806" s="33"/>
    </row>
    <row r="807" spans="1:26" x14ac:dyDescent="0.25">
      <c r="A807" t="s">
        <v>1955</v>
      </c>
      <c r="B807" t="s">
        <v>1956</v>
      </c>
      <c r="C807" t="s">
        <v>115</v>
      </c>
      <c r="D807" t="s">
        <v>1957</v>
      </c>
      <c r="E807">
        <v>1.33</v>
      </c>
      <c r="F807" s="33">
        <v>2.8731</v>
      </c>
      <c r="G807" s="33" t="s">
        <v>117</v>
      </c>
      <c r="H807" t="s">
        <v>1310</v>
      </c>
      <c r="I807" t="str">
        <f>IF(quantInv[[#This Row],[Metal]] = "925 Silver",  "7113.11.00"," 7113.19.00")</f>
        <v>7113.11.00</v>
      </c>
      <c r="J807" t="str">
        <f>IF(quantInv[[#This Row],[Metal]] = "925 Silver", "7113.11.10.00"," 7113.19.10.00")</f>
        <v>7113.11.10.00</v>
      </c>
      <c r="K807" t="str">
        <f>IF(quantInv[[#This Row],[Metal]] = "925 Silver",  "7113.11.00"," 7113.19.00")</f>
        <v>7113.11.00</v>
      </c>
      <c r="L807" t="str">
        <f>IFERROR(VLOOKUP(quantInv[[#This Row],[Description for New Invoice]],Map!$G$12:$H$32,2,FALSE), IF(quantInv[[#This Row],[Metal]] = "925 Silver", "7113.11.10.00", "7113.19.29.00"))</f>
        <v>7113.11.50.00</v>
      </c>
      <c r="M807" t="str">
        <f>quantInv[[#This Row],[ASIN]] &amp; " " &amp; quantInv[[#This Row],[Short Description]]</f>
        <v>B08NQZ8SNT Crawler Earrings with White CZ</v>
      </c>
      <c r="N807" s="33">
        <f>quantInv[[#This Row],[UNIT
VALUE]] / EURtoGBP</f>
        <v>3.2613100406940116</v>
      </c>
      <c r="O807" s="33">
        <f>quantInv[[#This Row],[UNIT
VALUE]]/USDtoGBP</f>
        <v>3.9385427761853258</v>
      </c>
      <c r="P807" s="33">
        <f>quantInv[[#This Row],[UNIT
VALUE]] / CADtoGBP</f>
        <v>5.0415611625544186</v>
      </c>
      <c r="Q807" s="33">
        <f>quantInv[[#This Row],[UNIT
VALUE]]/AUDtoGBP</f>
        <v>5.1603922695595941</v>
      </c>
      <c r="R807">
        <f>IFERROR(VLOOKUP(quantInv[[#This Row],[Assigned Item SKU]],skuQuantity[#All],2,FALSE),0)</f>
        <v>5</v>
      </c>
      <c r="S807" t="str">
        <f>PROPER(quantInv[[#This Row],[Metal]] &amp; " " &amp; quantInv[[#This Row],[Item Type]])</f>
        <v>925 Silver Earrings</v>
      </c>
      <c r="T807" s="33">
        <f>quantInv[[#This Row],[Quantity]]*quantInv[[#This Row],[WEIGHT]]</f>
        <v>6.65</v>
      </c>
      <c r="U807" s="33">
        <f>quantInv[[#This Row],[UNIT
VALUE]]*quantInv[[#This Row],[Quantity]]</f>
        <v>14.365500000000001</v>
      </c>
      <c r="V807" s="33">
        <f>quantInv[[#This Row],[Total Cost GBP]]/EURtoGBP</f>
        <v>16.30655020347006</v>
      </c>
      <c r="W807" s="33">
        <f>quantInv[[#This Row],[Total Cost GBP]]/USDtoGBP</f>
        <v>19.692713880926629</v>
      </c>
      <c r="X807" s="33">
        <f>quantInv[[#This Row],[Total Cost GBP]]/CADtoGBP</f>
        <v>25.207805812772097</v>
      </c>
      <c r="Y807" s="33">
        <f>quantInv[[#This Row],[Quantity]]*quantInv[[#This Row],[UNIT
VALUE AUD]]</f>
        <v>25.80196134779797</v>
      </c>
      <c r="Z807" s="33"/>
    </row>
    <row r="808" spans="1:26" x14ac:dyDescent="0.25">
      <c r="A808" t="s">
        <v>1958</v>
      </c>
      <c r="B808" t="s">
        <v>1959</v>
      </c>
      <c r="C808" t="s">
        <v>115</v>
      </c>
      <c r="D808" t="s">
        <v>1960</v>
      </c>
      <c r="E808">
        <v>1.22</v>
      </c>
      <c r="F808" s="33">
        <v>5.3879000000000001</v>
      </c>
      <c r="G808" s="33" t="s">
        <v>117</v>
      </c>
      <c r="H808" t="s">
        <v>1310</v>
      </c>
      <c r="I808" t="str">
        <f>IF(quantInv[[#This Row],[Metal]] = "925 Silver",  "7113.11.00"," 7113.19.00")</f>
        <v>7113.11.00</v>
      </c>
      <c r="J808" t="str">
        <f>IF(quantInv[[#This Row],[Metal]] = "925 Silver", "7113.11.10.00"," 7113.19.10.00")</f>
        <v>7113.11.10.00</v>
      </c>
      <c r="K808" t="str">
        <f>IF(quantInv[[#This Row],[Metal]] = "925 Silver",  "7113.11.00"," 7113.19.00")</f>
        <v>7113.11.00</v>
      </c>
      <c r="L808" t="str">
        <f>IFERROR(VLOOKUP(quantInv[[#This Row],[Description for New Invoice]],Map!$G$12:$H$32,2,FALSE), IF(quantInv[[#This Row],[Metal]] = "925 Silver", "7113.11.10.00", "7113.19.29.00"))</f>
        <v>7113.11.50.00</v>
      </c>
      <c r="M808" t="str">
        <f>quantInv[[#This Row],[ASIN]] &amp; " " &amp; quantInv[[#This Row],[Short Description]]</f>
        <v>B08NQ37246 Crawler Earrings with Pink CZ</v>
      </c>
      <c r="N808" s="33">
        <f>quantInv[[#This Row],[UNIT
VALUE]] / EURtoGBP</f>
        <v>6.115906988359356</v>
      </c>
      <c r="O808" s="33">
        <f>quantInv[[#This Row],[UNIT
VALUE]]/USDtoGBP</f>
        <v>7.3859157787090313</v>
      </c>
      <c r="P808" s="33">
        <f>quantInv[[#This Row],[UNIT
VALUE]] / CADtoGBP</f>
        <v>9.4543967796898656</v>
      </c>
      <c r="Q808" s="33">
        <f>quantInv[[#This Row],[UNIT
VALUE]]/AUDtoGBP</f>
        <v>9.6772397442345</v>
      </c>
      <c r="R808">
        <f>IFERROR(VLOOKUP(quantInv[[#This Row],[Assigned Item SKU]],skuQuantity[#All],2,FALSE),0)</f>
        <v>0</v>
      </c>
      <c r="S808" t="str">
        <f>PROPER(quantInv[[#This Row],[Metal]] &amp; " " &amp; quantInv[[#This Row],[Item Type]])</f>
        <v>925 Silver Earrings</v>
      </c>
      <c r="T808" s="33">
        <f>quantInv[[#This Row],[Quantity]]*quantInv[[#This Row],[WEIGHT]]</f>
        <v>0</v>
      </c>
      <c r="U808" s="33">
        <f>quantInv[[#This Row],[UNIT
VALUE]]*quantInv[[#This Row],[Quantity]]</f>
        <v>0</v>
      </c>
      <c r="V808" s="33">
        <f>quantInv[[#This Row],[Total Cost GBP]]/EURtoGBP</f>
        <v>0</v>
      </c>
      <c r="W808" s="33">
        <f>quantInv[[#This Row],[Total Cost GBP]]/USDtoGBP</f>
        <v>0</v>
      </c>
      <c r="X808" s="33">
        <f>quantInv[[#This Row],[Total Cost GBP]]/CADtoGBP</f>
        <v>0</v>
      </c>
      <c r="Y808" s="33">
        <f>quantInv[[#This Row],[Quantity]]*quantInv[[#This Row],[UNIT
VALUE AUD]]</f>
        <v>0</v>
      </c>
      <c r="Z808" s="33"/>
    </row>
    <row r="809" spans="1:26" x14ac:dyDescent="0.25">
      <c r="A809" t="s">
        <v>1961</v>
      </c>
      <c r="B809" t="s">
        <v>1962</v>
      </c>
      <c r="C809" t="s">
        <v>115</v>
      </c>
      <c r="D809" t="s">
        <v>1963</v>
      </c>
      <c r="E809">
        <v>2.15</v>
      </c>
      <c r="F809" s="33">
        <v>4.1711</v>
      </c>
      <c r="G809" s="33" t="s">
        <v>117</v>
      </c>
      <c r="H809" t="s">
        <v>1310</v>
      </c>
      <c r="I809" t="str">
        <f>IF(quantInv[[#This Row],[Metal]] = "925 Silver",  "7113.11.00"," 7113.19.00")</f>
        <v>7113.11.00</v>
      </c>
      <c r="J809" t="str">
        <f>IF(quantInv[[#This Row],[Metal]] = "925 Silver", "7113.11.10.00"," 7113.19.10.00")</f>
        <v>7113.11.10.00</v>
      </c>
      <c r="K809" t="str">
        <f>IF(quantInv[[#This Row],[Metal]] = "925 Silver",  "7113.11.00"," 7113.19.00")</f>
        <v>7113.11.00</v>
      </c>
      <c r="L809" t="str">
        <f>IFERROR(VLOOKUP(quantInv[[#This Row],[Description for New Invoice]],Map!$G$12:$H$32,2,FALSE), IF(quantInv[[#This Row],[Metal]] = "925 Silver", "7113.11.10.00", "7113.19.29.00"))</f>
        <v>7113.11.50.00</v>
      </c>
      <c r="M809" t="str">
        <f>quantInv[[#This Row],[ASIN]] &amp; " " &amp; quantInv[[#This Row],[Short Description]]</f>
        <v>B08PC5RJC8 Drop Earrings - Asymmetrical Cubes</v>
      </c>
      <c r="N809" s="33">
        <f>quantInv[[#This Row],[UNIT
VALUE]] / EURtoGBP</f>
        <v>4.7346943408648468</v>
      </c>
      <c r="O809" s="33">
        <f>quantInv[[#This Row],[UNIT
VALUE]]/USDtoGBP</f>
        <v>5.7178851323471553</v>
      </c>
      <c r="P809" s="33">
        <f>quantInv[[#This Row],[UNIT
VALUE]] / CADtoGBP</f>
        <v>7.3192216647978618</v>
      </c>
      <c r="Q809" s="33">
        <f>quantInv[[#This Row],[UNIT
VALUE]]/AUDtoGBP</f>
        <v>7.4917379122063359</v>
      </c>
      <c r="R809">
        <f>IFERROR(VLOOKUP(quantInv[[#This Row],[Assigned Item SKU]],skuQuantity[#All],2,FALSE),0)</f>
        <v>0</v>
      </c>
      <c r="S809" t="str">
        <f>PROPER(quantInv[[#This Row],[Metal]] &amp; " " &amp; quantInv[[#This Row],[Item Type]])</f>
        <v>925 Silver Earrings</v>
      </c>
      <c r="T809" s="33">
        <f>quantInv[[#This Row],[Quantity]]*quantInv[[#This Row],[WEIGHT]]</f>
        <v>0</v>
      </c>
      <c r="U809" s="33">
        <f>quantInv[[#This Row],[UNIT
VALUE]]*quantInv[[#This Row],[Quantity]]</f>
        <v>0</v>
      </c>
      <c r="V809" s="33">
        <f>quantInv[[#This Row],[Total Cost GBP]]/EURtoGBP</f>
        <v>0</v>
      </c>
      <c r="W809" s="33">
        <f>quantInv[[#This Row],[Total Cost GBP]]/USDtoGBP</f>
        <v>0</v>
      </c>
      <c r="X809" s="33">
        <f>quantInv[[#This Row],[Total Cost GBP]]/CADtoGBP</f>
        <v>0</v>
      </c>
      <c r="Y809" s="33">
        <f>quantInv[[#This Row],[Quantity]]*quantInv[[#This Row],[UNIT
VALUE AUD]]</f>
        <v>0</v>
      </c>
      <c r="Z809" s="33"/>
    </row>
    <row r="810" spans="1:26" x14ac:dyDescent="0.25">
      <c r="A810" t="s">
        <v>1490</v>
      </c>
      <c r="B810" t="s">
        <v>1491</v>
      </c>
      <c r="C810" t="s">
        <v>115</v>
      </c>
      <c r="D810" t="s">
        <v>1492</v>
      </c>
      <c r="E810">
        <v>1.65</v>
      </c>
      <c r="F810" s="33">
        <v>2.2241</v>
      </c>
      <c r="G810" s="33" t="s">
        <v>117</v>
      </c>
      <c r="H810" t="s">
        <v>1451</v>
      </c>
      <c r="I810" t="str">
        <f>IF(quantInv[[#This Row],[Metal]] = "925 Silver",  "7113.11.00"," 7113.19.00")</f>
        <v>7113.11.00</v>
      </c>
      <c r="J810" t="str">
        <f>IF(quantInv[[#This Row],[Metal]] = "925 Silver", "7113.11.10.00"," 7113.19.10.00")</f>
        <v>7113.11.10.00</v>
      </c>
      <c r="K810" t="str">
        <f>IF(quantInv[[#This Row],[Metal]] = "925 Silver",  "7113.11.00"," 7113.19.00")</f>
        <v>7113.11.00</v>
      </c>
      <c r="L810" t="str">
        <f>IFERROR(VLOOKUP(quantInv[[#This Row],[Description for New Invoice]],Map!$G$12:$H$32,2,FALSE), IF(quantInv[[#This Row],[Metal]] = "925 Silver", "7113.11.10.00", "7113.19.29.00"))</f>
        <v>7113.11.50.00</v>
      </c>
      <c r="M810" t="str">
        <f>quantInv[[#This Row],[ASIN]] &amp; " " &amp; quantInv[[#This Row],[Short Description]]</f>
        <v>B084SX25L1 Tree of Life Pendant - with Giraffe</v>
      </c>
      <c r="N810" s="33">
        <f>quantInv[[#This Row],[UNIT
VALUE]] / EURtoGBP</f>
        <v>2.5246178906085941</v>
      </c>
      <c r="O810" s="33">
        <f>quantInv[[#This Row],[UNIT
VALUE]]/USDtoGBP</f>
        <v>3.048871598104411</v>
      </c>
      <c r="P810" s="33">
        <f>quantInv[[#This Row],[UNIT
VALUE]] / CADtoGBP</f>
        <v>3.9027309114326973</v>
      </c>
      <c r="Q810" s="33">
        <f>quantInv[[#This Row],[UNIT
VALUE]]/AUDtoGBP</f>
        <v>3.9947194482362236</v>
      </c>
      <c r="R810">
        <f>IFERROR(VLOOKUP(quantInv[[#This Row],[Assigned Item SKU]],skuQuantity[#All],2,FALSE),0)</f>
        <v>0</v>
      </c>
      <c r="S810" t="str">
        <f>PROPER(quantInv[[#This Row],[Metal]] &amp; " " &amp; quantInv[[#This Row],[Item Type]])</f>
        <v>925 Silver Pendant</v>
      </c>
      <c r="T810" s="33">
        <f>quantInv[[#This Row],[Quantity]]*quantInv[[#This Row],[WEIGHT]]</f>
        <v>0</v>
      </c>
      <c r="U810" s="33">
        <f>quantInv[[#This Row],[UNIT
VALUE]]*quantInv[[#This Row],[Quantity]]</f>
        <v>0</v>
      </c>
      <c r="V810" s="33">
        <f>quantInv[[#This Row],[Total Cost GBP]]/EURtoGBP</f>
        <v>0</v>
      </c>
      <c r="W810" s="33">
        <f>quantInv[[#This Row],[Total Cost GBP]]/USDtoGBP</f>
        <v>0</v>
      </c>
      <c r="X810" s="33">
        <f>quantInv[[#This Row],[Total Cost GBP]]/CADtoGBP</f>
        <v>0</v>
      </c>
      <c r="Y810" s="33">
        <f>quantInv[[#This Row],[Quantity]]*quantInv[[#This Row],[UNIT
VALUE AUD]]</f>
        <v>0</v>
      </c>
      <c r="Z810" s="33"/>
    </row>
    <row r="811" spans="1:26" x14ac:dyDescent="0.25">
      <c r="A811" t="s">
        <v>1967</v>
      </c>
      <c r="B811" t="s">
        <v>1968</v>
      </c>
      <c r="C811" t="s">
        <v>115</v>
      </c>
      <c r="D811" t="s">
        <v>1969</v>
      </c>
      <c r="E811">
        <v>1.94</v>
      </c>
      <c r="F811" s="33">
        <v>2.0619000000000001</v>
      </c>
      <c r="G811" s="33" t="s">
        <v>117</v>
      </c>
      <c r="H811" t="s">
        <v>1310</v>
      </c>
      <c r="I811" t="str">
        <f>IF(quantInv[[#This Row],[Metal]] = "925 Silver",  "7113.11.00"," 7113.19.00")</f>
        <v>7113.11.00</v>
      </c>
      <c r="J811" t="str">
        <f>IF(quantInv[[#This Row],[Metal]] = "925 Silver", "7113.11.10.00"," 7113.19.10.00")</f>
        <v>7113.11.10.00</v>
      </c>
      <c r="K811" t="str">
        <f>IF(quantInv[[#This Row],[Metal]] = "925 Silver",  "7113.11.00"," 7113.19.00")</f>
        <v>7113.11.00</v>
      </c>
      <c r="L811" t="str">
        <f>IFERROR(VLOOKUP(quantInv[[#This Row],[Description for New Invoice]],Map!$G$12:$H$32,2,FALSE), IF(quantInv[[#This Row],[Metal]] = "925 Silver", "7113.11.10.00", "7113.19.29.00"))</f>
        <v>7113.11.50.00</v>
      </c>
      <c r="M811" t="str">
        <f>quantInv[[#This Row],[ASIN]] &amp; " " &amp; quantInv[[#This Row],[Short Description]]</f>
        <v>B08PC6F2G3 Drop Earrings - Keys</v>
      </c>
      <c r="N811" s="33">
        <f>quantInv[[#This Row],[UNIT
VALUE]] / EURtoGBP</f>
        <v>2.3405016090310058</v>
      </c>
      <c r="O811" s="33">
        <f>quantInv[[#This Row],[UNIT
VALUE]]/USDtoGBP</f>
        <v>2.8265223452774091</v>
      </c>
      <c r="P811" s="33">
        <f>quantInv[[#This Row],[UNIT
VALUE]] / CADtoGBP</f>
        <v>3.6181110859597494</v>
      </c>
      <c r="Q811" s="33">
        <f>quantInv[[#This Row],[UNIT
VALUE]]/AUDtoGBP</f>
        <v>3.7033910482074859</v>
      </c>
      <c r="R811">
        <f>IFERROR(VLOOKUP(quantInv[[#This Row],[Assigned Item SKU]],skuQuantity[#All],2,FALSE),0)</f>
        <v>0</v>
      </c>
      <c r="S811" t="str">
        <f>PROPER(quantInv[[#This Row],[Metal]] &amp; " " &amp; quantInv[[#This Row],[Item Type]])</f>
        <v>925 Silver Earrings</v>
      </c>
      <c r="T811" s="33">
        <f>quantInv[[#This Row],[Quantity]]*quantInv[[#This Row],[WEIGHT]]</f>
        <v>0</v>
      </c>
      <c r="U811" s="33">
        <f>quantInv[[#This Row],[UNIT
VALUE]]*quantInv[[#This Row],[Quantity]]</f>
        <v>0</v>
      </c>
      <c r="V811" s="33">
        <f>quantInv[[#This Row],[Total Cost GBP]]/EURtoGBP</f>
        <v>0</v>
      </c>
      <c r="W811" s="33">
        <f>quantInv[[#This Row],[Total Cost GBP]]/USDtoGBP</f>
        <v>0</v>
      </c>
      <c r="X811" s="33">
        <f>quantInv[[#This Row],[Total Cost GBP]]/CADtoGBP</f>
        <v>0</v>
      </c>
      <c r="Y811" s="33">
        <f>quantInv[[#This Row],[Quantity]]*quantInv[[#This Row],[UNIT
VALUE AUD]]</f>
        <v>0</v>
      </c>
      <c r="Z811" s="33"/>
    </row>
    <row r="812" spans="1:26" x14ac:dyDescent="0.25">
      <c r="A812" t="s">
        <v>1970</v>
      </c>
      <c r="B812" t="s">
        <v>1971</v>
      </c>
      <c r="C812" t="s">
        <v>115</v>
      </c>
      <c r="D812" t="s">
        <v>1972</v>
      </c>
      <c r="E812">
        <v>1.76</v>
      </c>
      <c r="F812" s="33">
        <v>3.2787000000000002</v>
      </c>
      <c r="G812" s="33" t="s">
        <v>117</v>
      </c>
      <c r="H812" t="s">
        <v>1310</v>
      </c>
      <c r="I812" t="str">
        <f>IF(quantInv[[#This Row],[Metal]] = "925 Silver",  "7113.11.00"," 7113.19.00")</f>
        <v>7113.11.00</v>
      </c>
      <c r="J812" t="str">
        <f>IF(quantInv[[#This Row],[Metal]] = "925 Silver", "7113.11.10.00"," 7113.19.10.00")</f>
        <v>7113.11.10.00</v>
      </c>
      <c r="K812" t="str">
        <f>IF(quantInv[[#This Row],[Metal]] = "925 Silver",  "7113.11.00"," 7113.19.00")</f>
        <v>7113.11.00</v>
      </c>
      <c r="L812" t="str">
        <f>IFERROR(VLOOKUP(quantInv[[#This Row],[Description for New Invoice]],Map!$G$12:$H$32,2,FALSE), IF(quantInv[[#This Row],[Metal]] = "925 Silver", "7113.11.10.00", "7113.19.29.00"))</f>
        <v>7113.11.50.00</v>
      </c>
      <c r="M812" t="str">
        <f>quantInv[[#This Row],[ASIN]] &amp; " " &amp; quantInv[[#This Row],[Short Description]]</f>
        <v>B08PC8RXQN Drop Earrings - Music Note</v>
      </c>
      <c r="N812" s="33">
        <f>quantInv[[#This Row],[UNIT
VALUE]] / EURtoGBP</f>
        <v>3.721714256525515</v>
      </c>
      <c r="O812" s="33">
        <f>quantInv[[#This Row],[UNIT
VALUE]]/USDtoGBP</f>
        <v>4.4945529916392841</v>
      </c>
      <c r="P812" s="33">
        <f>quantInv[[#This Row],[UNIT
VALUE]] / CADtoGBP</f>
        <v>5.753286200851754</v>
      </c>
      <c r="Q812" s="33">
        <f>quantInv[[#This Row],[UNIT
VALUE]]/AUDtoGBP</f>
        <v>5.8888928802356491</v>
      </c>
      <c r="R812">
        <f>IFERROR(VLOOKUP(quantInv[[#This Row],[Assigned Item SKU]],skuQuantity[#All],2,FALSE),0)</f>
        <v>0</v>
      </c>
      <c r="S812" t="str">
        <f>PROPER(quantInv[[#This Row],[Metal]] &amp; " " &amp; quantInv[[#This Row],[Item Type]])</f>
        <v>925 Silver Earrings</v>
      </c>
      <c r="T812" s="33">
        <f>quantInv[[#This Row],[Quantity]]*quantInv[[#This Row],[WEIGHT]]</f>
        <v>0</v>
      </c>
      <c r="U812" s="33">
        <f>quantInv[[#This Row],[UNIT
VALUE]]*quantInv[[#This Row],[Quantity]]</f>
        <v>0</v>
      </c>
      <c r="V812" s="33">
        <f>quantInv[[#This Row],[Total Cost GBP]]/EURtoGBP</f>
        <v>0</v>
      </c>
      <c r="W812" s="33">
        <f>quantInv[[#This Row],[Total Cost GBP]]/USDtoGBP</f>
        <v>0</v>
      </c>
      <c r="X812" s="33">
        <f>quantInv[[#This Row],[Total Cost GBP]]/CADtoGBP</f>
        <v>0</v>
      </c>
      <c r="Y812" s="33">
        <f>quantInv[[#This Row],[Quantity]]*quantInv[[#This Row],[UNIT
VALUE AUD]]</f>
        <v>0</v>
      </c>
      <c r="Z812" s="33"/>
    </row>
    <row r="813" spans="1:26" x14ac:dyDescent="0.25">
      <c r="A813" t="s">
        <v>1973</v>
      </c>
      <c r="B813" t="s">
        <v>1974</v>
      </c>
      <c r="C813" t="s">
        <v>115</v>
      </c>
      <c r="D813" t="s">
        <v>1975</v>
      </c>
      <c r="E813">
        <v>1.08</v>
      </c>
      <c r="F813" s="33">
        <v>1.8185</v>
      </c>
      <c r="G813" s="33" t="s">
        <v>117</v>
      </c>
      <c r="H813" t="s">
        <v>1310</v>
      </c>
      <c r="I813" t="str">
        <f>IF(quantInv[[#This Row],[Metal]] = "925 Silver",  "7113.11.00"," 7113.19.00")</f>
        <v>7113.11.00</v>
      </c>
      <c r="J813" t="str">
        <f>IF(quantInv[[#This Row],[Metal]] = "925 Silver", "7113.11.10.00"," 7113.19.10.00")</f>
        <v>7113.11.10.00</v>
      </c>
      <c r="K813" t="str">
        <f>IF(quantInv[[#This Row],[Metal]] = "925 Silver",  "7113.11.00"," 7113.19.00")</f>
        <v>7113.11.00</v>
      </c>
      <c r="L813" t="str">
        <f>IFERROR(VLOOKUP(quantInv[[#This Row],[Description for New Invoice]],Map!$G$12:$H$32,2,FALSE), IF(quantInv[[#This Row],[Metal]] = "925 Silver", "7113.11.10.00", "7113.19.29.00"))</f>
        <v>7113.11.50.00</v>
      </c>
      <c r="M813" t="str">
        <f>quantInv[[#This Row],[ASIN]] &amp; " " &amp; quantInv[[#This Row],[Short Description]]</f>
        <v>B08PC7P4DG Drop Earrings - Flower Countour</v>
      </c>
      <c r="N813" s="33">
        <f>quantInv[[#This Row],[UNIT
VALUE]] / EURtoGBP</f>
        <v>2.0642136747770912</v>
      </c>
      <c r="O813" s="33">
        <f>quantInv[[#This Row],[UNIT
VALUE]]/USDtoGBP</f>
        <v>2.4928613826504527</v>
      </c>
      <c r="P813" s="33">
        <f>quantInv[[#This Row],[UNIT
VALUE]] / CADtoGBP</f>
        <v>3.1910058731353628</v>
      </c>
      <c r="Q813" s="33">
        <f>quantInv[[#This Row],[UNIT
VALUE]]/AUDtoGBP</f>
        <v>3.2662188375601695</v>
      </c>
      <c r="R813">
        <f>IFERROR(VLOOKUP(quantInv[[#This Row],[Assigned Item SKU]],skuQuantity[#All],2,FALSE),0)</f>
        <v>0</v>
      </c>
      <c r="S813" t="str">
        <f>PROPER(quantInv[[#This Row],[Metal]] &amp; " " &amp; quantInv[[#This Row],[Item Type]])</f>
        <v>925 Silver Earrings</v>
      </c>
      <c r="T813" s="33">
        <f>quantInv[[#This Row],[Quantity]]*quantInv[[#This Row],[WEIGHT]]</f>
        <v>0</v>
      </c>
      <c r="U813" s="33">
        <f>quantInv[[#This Row],[UNIT
VALUE]]*quantInv[[#This Row],[Quantity]]</f>
        <v>0</v>
      </c>
      <c r="V813" s="33">
        <f>quantInv[[#This Row],[Total Cost GBP]]/EURtoGBP</f>
        <v>0</v>
      </c>
      <c r="W813" s="33">
        <f>quantInv[[#This Row],[Total Cost GBP]]/USDtoGBP</f>
        <v>0</v>
      </c>
      <c r="X813" s="33">
        <f>quantInv[[#This Row],[Total Cost GBP]]/CADtoGBP</f>
        <v>0</v>
      </c>
      <c r="Y813" s="33">
        <f>quantInv[[#This Row],[Quantity]]*quantInv[[#This Row],[UNIT
VALUE AUD]]</f>
        <v>0</v>
      </c>
      <c r="Z813" s="33"/>
    </row>
    <row r="814" spans="1:26" x14ac:dyDescent="0.25">
      <c r="A814" t="s">
        <v>1976</v>
      </c>
      <c r="B814" t="s">
        <v>1977</v>
      </c>
      <c r="C814" t="s">
        <v>115</v>
      </c>
      <c r="D814" t="s">
        <v>1978</v>
      </c>
      <c r="E814">
        <v>1.4</v>
      </c>
      <c r="F814" s="33">
        <v>2.8731</v>
      </c>
      <c r="G814" s="33" t="s">
        <v>117</v>
      </c>
      <c r="H814" t="s">
        <v>1310</v>
      </c>
      <c r="I814" t="str">
        <f>IF(quantInv[[#This Row],[Metal]] = "925 Silver",  "7113.11.00"," 7113.19.00")</f>
        <v>7113.11.00</v>
      </c>
      <c r="J814" t="str">
        <f>IF(quantInv[[#This Row],[Metal]] = "925 Silver", "7113.11.10.00"," 7113.19.10.00")</f>
        <v>7113.11.10.00</v>
      </c>
      <c r="K814" t="str">
        <f>IF(quantInv[[#This Row],[Metal]] = "925 Silver",  "7113.11.00"," 7113.19.00")</f>
        <v>7113.11.00</v>
      </c>
      <c r="L814" t="str">
        <f>IFERROR(VLOOKUP(quantInv[[#This Row],[Description for New Invoice]],Map!$G$12:$H$32,2,FALSE), IF(quantInv[[#This Row],[Metal]] = "925 Silver", "7113.11.10.00", "7113.19.29.00"))</f>
        <v>7113.11.50.00</v>
      </c>
      <c r="M814" t="str">
        <f>quantInv[[#This Row],[ASIN]] &amp; " " &amp; quantInv[[#This Row],[Short Description]]</f>
        <v>B08PC6PM4R Drop Earrings - Celtic Shield</v>
      </c>
      <c r="N814" s="33">
        <f>quantInv[[#This Row],[UNIT
VALUE]] / EURtoGBP</f>
        <v>3.2613100406940116</v>
      </c>
      <c r="O814" s="33">
        <f>quantInv[[#This Row],[UNIT
VALUE]]/USDtoGBP</f>
        <v>3.9385427761853258</v>
      </c>
      <c r="P814" s="33">
        <f>quantInv[[#This Row],[UNIT
VALUE]] / CADtoGBP</f>
        <v>5.0415611625544186</v>
      </c>
      <c r="Q814" s="33">
        <f>quantInv[[#This Row],[UNIT
VALUE]]/AUDtoGBP</f>
        <v>5.1603922695595941</v>
      </c>
      <c r="R814">
        <f>IFERROR(VLOOKUP(quantInv[[#This Row],[Assigned Item SKU]],skuQuantity[#All],2,FALSE),0)</f>
        <v>5</v>
      </c>
      <c r="S814" t="str">
        <f>PROPER(quantInv[[#This Row],[Metal]] &amp; " " &amp; quantInv[[#This Row],[Item Type]])</f>
        <v>925 Silver Earrings</v>
      </c>
      <c r="T814" s="33">
        <f>quantInv[[#This Row],[Quantity]]*quantInv[[#This Row],[WEIGHT]]</f>
        <v>7</v>
      </c>
      <c r="U814" s="33">
        <f>quantInv[[#This Row],[UNIT
VALUE]]*quantInv[[#This Row],[Quantity]]</f>
        <v>14.365500000000001</v>
      </c>
      <c r="V814" s="33">
        <f>quantInv[[#This Row],[Total Cost GBP]]/EURtoGBP</f>
        <v>16.30655020347006</v>
      </c>
      <c r="W814" s="33">
        <f>quantInv[[#This Row],[Total Cost GBP]]/USDtoGBP</f>
        <v>19.692713880926629</v>
      </c>
      <c r="X814" s="33">
        <f>quantInv[[#This Row],[Total Cost GBP]]/CADtoGBP</f>
        <v>25.207805812772097</v>
      </c>
      <c r="Y814" s="33">
        <f>quantInv[[#This Row],[Quantity]]*quantInv[[#This Row],[UNIT
VALUE AUD]]</f>
        <v>25.80196134779797</v>
      </c>
      <c r="Z814" s="33"/>
    </row>
    <row r="815" spans="1:26" x14ac:dyDescent="0.25">
      <c r="A815" t="s">
        <v>1527</v>
      </c>
      <c r="B815" t="s">
        <v>1528</v>
      </c>
      <c r="C815" t="s">
        <v>114</v>
      </c>
      <c r="D815" t="s">
        <v>1529</v>
      </c>
      <c r="E815">
        <v>2.12</v>
      </c>
      <c r="F815" s="33">
        <v>4.4852999999999996</v>
      </c>
      <c r="G815" s="33" t="s">
        <v>117</v>
      </c>
      <c r="H815" t="s">
        <v>1451</v>
      </c>
      <c r="I815" t="str">
        <f>IF(quantInv[[#This Row],[Metal]] = "925 Silver",  "7113.11.00"," 7113.19.00")</f>
        <v>7113.11.00</v>
      </c>
      <c r="J815" t="str">
        <f>IF(quantInv[[#This Row],[Metal]] = "925 Silver", "7113.11.10.00"," 7113.19.10.00")</f>
        <v>7113.11.10.00</v>
      </c>
      <c r="K815" t="str">
        <f>IF(quantInv[[#This Row],[Metal]] = "925 Silver",  "7113.11.00"," 7113.19.00")</f>
        <v>7113.11.00</v>
      </c>
      <c r="L815" t="str">
        <f>IFERROR(VLOOKUP(quantInv[[#This Row],[Description for New Invoice]],Map!$G$12:$H$32,2,FALSE), IF(quantInv[[#This Row],[Metal]] = "925 Silver", "7113.11.10.00", "7113.19.29.00"))</f>
        <v>7113.11.50.00</v>
      </c>
      <c r="M815" t="str">
        <f>quantInv[[#This Row],[ASIN]] &amp; " " &amp; quantInv[[#This Row],[Short Description]]</f>
        <v>B082BC8HVH Pendant - Letter - F</v>
      </c>
      <c r="N815" s="33">
        <f>quantInv[[#This Row],[UNIT
VALUE]] / EURtoGBP</f>
        <v>5.0913486914917163</v>
      </c>
      <c r="O815" s="33">
        <f>quantInv[[#This Row],[UNIT
VALUE]]/USDtoGBP</f>
        <v>6.1486011325829386</v>
      </c>
      <c r="P815" s="33">
        <f>quantInv[[#This Row],[UNIT
VALUE]] / CADtoGBP</f>
        <v>7.8705629050173442</v>
      </c>
      <c r="Q815" s="33">
        <f>quantInv[[#This Row],[UNIT
VALUE]]/AUDtoGBP</f>
        <v>8.0560744306343839</v>
      </c>
      <c r="R815">
        <f>IFERROR(VLOOKUP(quantInv[[#This Row],[Assigned Item SKU]],skuQuantity[#All],2,FALSE),0)</f>
        <v>5</v>
      </c>
      <c r="S815" t="str">
        <f>PROPER(quantInv[[#This Row],[Metal]] &amp; " " &amp; quantInv[[#This Row],[Item Type]])</f>
        <v>925 Silver Pendant</v>
      </c>
      <c r="T815" s="33">
        <f>quantInv[[#This Row],[Quantity]]*quantInv[[#This Row],[WEIGHT]]</f>
        <v>10.600000000000001</v>
      </c>
      <c r="U815" s="33">
        <f>quantInv[[#This Row],[UNIT
VALUE]]*quantInv[[#This Row],[Quantity]]</f>
        <v>22.426499999999997</v>
      </c>
      <c r="V815" s="33">
        <f>quantInv[[#This Row],[Total Cost GBP]]/EURtoGBP</f>
        <v>25.456743457458579</v>
      </c>
      <c r="W815" s="33">
        <f>quantInv[[#This Row],[Total Cost GBP]]/USDtoGBP</f>
        <v>30.74300566291469</v>
      </c>
      <c r="X815" s="33">
        <f>quantInv[[#This Row],[Total Cost GBP]]/CADtoGBP</f>
        <v>39.352814525086721</v>
      </c>
      <c r="Y815" s="33">
        <f>quantInv[[#This Row],[Quantity]]*quantInv[[#This Row],[UNIT
VALUE AUD]]</f>
        <v>40.280372153171918</v>
      </c>
      <c r="Z815" s="33"/>
    </row>
    <row r="816" spans="1:26" x14ac:dyDescent="0.25">
      <c r="A816" t="s">
        <v>1982</v>
      </c>
      <c r="B816" t="s">
        <v>1983</v>
      </c>
      <c r="C816" t="s">
        <v>115</v>
      </c>
      <c r="D816" t="s">
        <v>1984</v>
      </c>
      <c r="E816">
        <v>1.84</v>
      </c>
      <c r="F816" s="33">
        <v>3.1976</v>
      </c>
      <c r="G816" s="33" t="s">
        <v>117</v>
      </c>
      <c r="H816" t="s">
        <v>1310</v>
      </c>
      <c r="I816" t="str">
        <f>IF(quantInv[[#This Row],[Metal]] = "925 Silver",  "7113.11.00"," 7113.19.00")</f>
        <v>7113.11.00</v>
      </c>
      <c r="J816" t="str">
        <f>IF(quantInv[[#This Row],[Metal]] = "925 Silver", "7113.11.10.00"," 7113.19.10.00")</f>
        <v>7113.11.10.00</v>
      </c>
      <c r="K816" t="str">
        <f>IF(quantInv[[#This Row],[Metal]] = "925 Silver",  "7113.11.00"," 7113.19.00")</f>
        <v>7113.11.00</v>
      </c>
      <c r="L816" t="str">
        <f>IFERROR(VLOOKUP(quantInv[[#This Row],[Description for New Invoice]],Map!$G$12:$H$32,2,FALSE), IF(quantInv[[#This Row],[Metal]] = "925 Silver", "7113.11.10.00", "7113.19.29.00"))</f>
        <v>7113.11.50.00</v>
      </c>
      <c r="M816" t="str">
        <f>quantInv[[#This Row],[ASIN]] &amp; " " &amp; quantInv[[#This Row],[Short Description]]</f>
        <v>B08PC7RRS5 Drop Earrings - Padlock and Key</v>
      </c>
      <c r="N816" s="33">
        <f>quantInv[[#This Row],[UNIT
VALUE]] / EURtoGBP</f>
        <v>3.6296561157367204</v>
      </c>
      <c r="O816" s="33">
        <f>quantInv[[#This Row],[UNIT
VALUE]]/USDtoGBP</f>
        <v>4.3833783652257834</v>
      </c>
      <c r="P816" s="33">
        <f>quantInv[[#This Row],[UNIT
VALUE]] / CADtoGBP</f>
        <v>5.6109762881152792</v>
      </c>
      <c r="Q816" s="33">
        <f>quantInv[[#This Row],[UNIT
VALUE]]/AUDtoGBP</f>
        <v>5.7432286802212795</v>
      </c>
      <c r="R816">
        <f>IFERROR(VLOOKUP(quantInv[[#This Row],[Assigned Item SKU]],skuQuantity[#All],2,FALSE),0)</f>
        <v>5</v>
      </c>
      <c r="S816" t="str">
        <f>PROPER(quantInv[[#This Row],[Metal]] &amp; " " &amp; quantInv[[#This Row],[Item Type]])</f>
        <v>925 Silver Earrings</v>
      </c>
      <c r="T816" s="33">
        <f>quantInv[[#This Row],[Quantity]]*quantInv[[#This Row],[WEIGHT]]</f>
        <v>9.2000000000000011</v>
      </c>
      <c r="U816" s="33">
        <f>quantInv[[#This Row],[UNIT
VALUE]]*quantInv[[#This Row],[Quantity]]</f>
        <v>15.988</v>
      </c>
      <c r="V816" s="33">
        <f>quantInv[[#This Row],[Total Cost GBP]]/EURtoGBP</f>
        <v>18.148280578683604</v>
      </c>
      <c r="W816" s="33">
        <f>quantInv[[#This Row],[Total Cost GBP]]/USDtoGBP</f>
        <v>21.916891826128914</v>
      </c>
      <c r="X816" s="33">
        <f>quantInv[[#This Row],[Total Cost GBP]]/CADtoGBP</f>
        <v>28.054881440576398</v>
      </c>
      <c r="Y816" s="33">
        <f>quantInv[[#This Row],[Quantity]]*quantInv[[#This Row],[UNIT
VALUE AUD]]</f>
        <v>28.716143401106397</v>
      </c>
      <c r="Z816" s="33"/>
    </row>
    <row r="817" spans="1:26" x14ac:dyDescent="0.25">
      <c r="A817" t="s">
        <v>1985</v>
      </c>
      <c r="B817" t="s">
        <v>1986</v>
      </c>
      <c r="C817" t="s">
        <v>115</v>
      </c>
      <c r="D817" t="s">
        <v>1987</v>
      </c>
      <c r="E817">
        <v>4.28</v>
      </c>
      <c r="F817" s="33">
        <v>3.6032000000000002</v>
      </c>
      <c r="G817" s="33" t="s">
        <v>117</v>
      </c>
      <c r="H817" t="s">
        <v>1310</v>
      </c>
      <c r="I817" t="str">
        <f>IF(quantInv[[#This Row],[Metal]] = "925 Silver",  "7113.11.00"," 7113.19.00")</f>
        <v>7113.11.00</v>
      </c>
      <c r="J817" t="str">
        <f>IF(quantInv[[#This Row],[Metal]] = "925 Silver", "7113.11.10.00"," 7113.19.10.00")</f>
        <v>7113.11.10.00</v>
      </c>
      <c r="K817" t="str">
        <f>IF(quantInv[[#This Row],[Metal]] = "925 Silver",  "7113.11.00"," 7113.19.00")</f>
        <v>7113.11.00</v>
      </c>
      <c r="L817" t="str">
        <f>IFERROR(VLOOKUP(quantInv[[#This Row],[Description for New Invoice]],Map!$G$12:$H$32,2,FALSE), IF(quantInv[[#This Row],[Metal]] = "925 Silver", "7113.11.10.00", "7113.19.29.00"))</f>
        <v>7113.11.50.00</v>
      </c>
      <c r="M817" t="str">
        <f>quantInv[[#This Row],[ASIN]] &amp; " " &amp; quantInv[[#This Row],[Short Description]]</f>
        <v>B08PC7HL1K Drop Earrings - Celtic Square</v>
      </c>
      <c r="N817" s="33">
        <f>quantInv[[#This Row],[UNIT
VALUE]] / EURtoGBP</f>
        <v>4.0900603315682238</v>
      </c>
      <c r="O817" s="33">
        <f>quantInv[[#This Row],[UNIT
VALUE]]/USDtoGBP</f>
        <v>4.9393885806797417</v>
      </c>
      <c r="P817" s="33">
        <f>quantInv[[#This Row],[UNIT
VALUE]] / CADtoGBP</f>
        <v>6.3227013264126146</v>
      </c>
      <c r="Q817" s="33">
        <f>quantInv[[#This Row],[UNIT
VALUE]]/AUDtoGBP</f>
        <v>6.4717292908973345</v>
      </c>
      <c r="R817">
        <f>IFERROR(VLOOKUP(quantInv[[#This Row],[Assigned Item SKU]],skuQuantity[#All],2,FALSE),0)</f>
        <v>0</v>
      </c>
      <c r="S817" t="str">
        <f>PROPER(quantInv[[#This Row],[Metal]] &amp; " " &amp; quantInv[[#This Row],[Item Type]])</f>
        <v>925 Silver Earrings</v>
      </c>
      <c r="T817" s="33">
        <f>quantInv[[#This Row],[Quantity]]*quantInv[[#This Row],[WEIGHT]]</f>
        <v>0</v>
      </c>
      <c r="U817" s="33">
        <f>quantInv[[#This Row],[UNIT
VALUE]]*quantInv[[#This Row],[Quantity]]</f>
        <v>0</v>
      </c>
      <c r="V817" s="33">
        <f>quantInv[[#This Row],[Total Cost GBP]]/EURtoGBP</f>
        <v>0</v>
      </c>
      <c r="W817" s="33">
        <f>quantInv[[#This Row],[Total Cost GBP]]/USDtoGBP</f>
        <v>0</v>
      </c>
      <c r="X817" s="33">
        <f>quantInv[[#This Row],[Total Cost GBP]]/CADtoGBP</f>
        <v>0</v>
      </c>
      <c r="Y817" s="33">
        <f>quantInv[[#This Row],[Quantity]]*quantInv[[#This Row],[UNIT
VALUE AUD]]</f>
        <v>0</v>
      </c>
      <c r="Z817" s="33"/>
    </row>
    <row r="818" spans="1:26" x14ac:dyDescent="0.25">
      <c r="A818" t="s">
        <v>1542</v>
      </c>
      <c r="B818" t="s">
        <v>1543</v>
      </c>
      <c r="C818" t="s">
        <v>114</v>
      </c>
      <c r="D818" t="s">
        <v>1544</v>
      </c>
      <c r="E818">
        <v>2.1800000000000002</v>
      </c>
      <c r="F818" s="33">
        <v>4.6069000000000004</v>
      </c>
      <c r="G818" s="33" t="s">
        <v>117</v>
      </c>
      <c r="H818" t="s">
        <v>1451</v>
      </c>
      <c r="I818" t="str">
        <f>IF(quantInv[[#This Row],[Metal]] = "925 Silver",  "7113.11.00"," 7113.19.00")</f>
        <v>7113.11.00</v>
      </c>
      <c r="J818" t="str">
        <f>IF(quantInv[[#This Row],[Metal]] = "925 Silver", "7113.11.10.00"," 7113.19.10.00")</f>
        <v>7113.11.10.00</v>
      </c>
      <c r="K818" t="str">
        <f>IF(quantInv[[#This Row],[Metal]] = "925 Silver",  "7113.11.00"," 7113.19.00")</f>
        <v>7113.11.00</v>
      </c>
      <c r="L818" t="str">
        <f>IFERROR(VLOOKUP(quantInv[[#This Row],[Description for New Invoice]],Map!$G$12:$H$32,2,FALSE), IF(quantInv[[#This Row],[Metal]] = "925 Silver", "7113.11.10.00", "7113.19.29.00"))</f>
        <v>7113.11.50.00</v>
      </c>
      <c r="M818" t="str">
        <f>quantInv[[#This Row],[ASIN]] &amp; " " &amp; quantInv[[#This Row],[Short Description]]</f>
        <v>B082BCPQGS Pendant - Letter - K</v>
      </c>
      <c r="N818" s="33">
        <f>quantInv[[#This Row],[UNIT
VALUE]] / EURtoGBP</f>
        <v>5.2293791467311417</v>
      </c>
      <c r="O818" s="33">
        <f>quantInv[[#This Row],[UNIT
VALUE]]/USDtoGBP</f>
        <v>6.3152945305099646</v>
      </c>
      <c r="P818" s="33">
        <f>quantInv[[#This Row],[UNIT
VALUE]] / CADtoGBP</f>
        <v>8.0839400368145746</v>
      </c>
      <c r="Q818" s="33">
        <f>quantInv[[#This Row],[UNIT
VALUE]]/AUDtoGBP</f>
        <v>8.2744809253538332</v>
      </c>
      <c r="R818">
        <f>IFERROR(VLOOKUP(quantInv[[#This Row],[Assigned Item SKU]],skuQuantity[#All],2,FALSE),0)</f>
        <v>5</v>
      </c>
      <c r="S818" t="str">
        <f>PROPER(quantInv[[#This Row],[Metal]] &amp; " " &amp; quantInv[[#This Row],[Item Type]])</f>
        <v>925 Silver Pendant</v>
      </c>
      <c r="T818" s="33">
        <f>quantInv[[#This Row],[Quantity]]*quantInv[[#This Row],[WEIGHT]]</f>
        <v>10.9</v>
      </c>
      <c r="U818" s="33">
        <f>quantInv[[#This Row],[UNIT
VALUE]]*quantInv[[#This Row],[Quantity]]</f>
        <v>23.034500000000001</v>
      </c>
      <c r="V818" s="33">
        <f>quantInv[[#This Row],[Total Cost GBP]]/EURtoGBP</f>
        <v>26.146895733655708</v>
      </c>
      <c r="W818" s="33">
        <f>quantInv[[#This Row],[Total Cost GBP]]/USDtoGBP</f>
        <v>31.576472652549821</v>
      </c>
      <c r="X818" s="33">
        <f>quantInv[[#This Row],[Total Cost GBP]]/CADtoGBP</f>
        <v>40.419700184072873</v>
      </c>
      <c r="Y818" s="33">
        <f>quantInv[[#This Row],[Quantity]]*quantInv[[#This Row],[UNIT
VALUE AUD]]</f>
        <v>41.372404626769168</v>
      </c>
      <c r="Z818" s="33"/>
    </row>
    <row r="819" spans="1:26" x14ac:dyDescent="0.25">
      <c r="A819" t="s">
        <v>1991</v>
      </c>
      <c r="B819" t="s">
        <v>1992</v>
      </c>
      <c r="C819" t="s">
        <v>115</v>
      </c>
      <c r="D819" t="s">
        <v>1993</v>
      </c>
      <c r="E819">
        <v>3.04</v>
      </c>
      <c r="F819" s="33">
        <v>3.7654999999999998</v>
      </c>
      <c r="G819" s="33" t="s">
        <v>117</v>
      </c>
      <c r="H819" t="s">
        <v>1310</v>
      </c>
      <c r="I819" t="str">
        <f>IF(quantInv[[#This Row],[Metal]] = "925 Silver",  "7113.11.00"," 7113.19.00")</f>
        <v>7113.11.00</v>
      </c>
      <c r="J819" t="str">
        <f>IF(quantInv[[#This Row],[Metal]] = "925 Silver", "7113.11.10.00"," 7113.19.10.00")</f>
        <v>7113.11.10.00</v>
      </c>
      <c r="K819" t="str">
        <f>IF(quantInv[[#This Row],[Metal]] = "925 Silver",  "7113.11.00"," 7113.19.00")</f>
        <v>7113.11.00</v>
      </c>
      <c r="L819" t="str">
        <f>IFERROR(VLOOKUP(quantInv[[#This Row],[Description for New Invoice]],Map!$G$12:$H$32,2,FALSE), IF(quantInv[[#This Row],[Metal]] = "925 Silver", "7113.11.10.00", "7113.19.29.00"))</f>
        <v>7113.11.50.00</v>
      </c>
      <c r="M819" t="str">
        <f>quantInv[[#This Row],[ASIN]] &amp; " " &amp; quantInv[[#This Row],[Short Description]]</f>
        <v>B08PC8YPWJ Drop Earrings - Small and Big White CZ</v>
      </c>
      <c r="N819" s="33">
        <f>quantInv[[#This Row],[UNIT
VALUE]] / EURtoGBP</f>
        <v>4.2742901250333443</v>
      </c>
      <c r="O819" s="33">
        <f>quantInv[[#This Row],[UNIT
VALUE]]/USDtoGBP</f>
        <v>5.161874916893197</v>
      </c>
      <c r="P819" s="33">
        <f>quantInv[[#This Row],[UNIT
VALUE]] / CADtoGBP</f>
        <v>6.6074966265005264</v>
      </c>
      <c r="Q819" s="33">
        <f>quantInv[[#This Row],[UNIT
VALUE]]/AUDtoGBP</f>
        <v>6.7632373015302818</v>
      </c>
      <c r="R819">
        <f>IFERROR(VLOOKUP(quantInv[[#This Row],[Assigned Item SKU]],skuQuantity[#All],2,FALSE),0)</f>
        <v>0</v>
      </c>
      <c r="S819" t="str">
        <f>PROPER(quantInv[[#This Row],[Metal]] &amp; " " &amp; quantInv[[#This Row],[Item Type]])</f>
        <v>925 Silver Earrings</v>
      </c>
      <c r="T819" s="33">
        <f>quantInv[[#This Row],[Quantity]]*quantInv[[#This Row],[WEIGHT]]</f>
        <v>0</v>
      </c>
      <c r="U819" s="33">
        <f>quantInv[[#This Row],[UNIT
VALUE]]*quantInv[[#This Row],[Quantity]]</f>
        <v>0</v>
      </c>
      <c r="V819" s="33">
        <f>quantInv[[#This Row],[Total Cost GBP]]/EURtoGBP</f>
        <v>0</v>
      </c>
      <c r="W819" s="33">
        <f>quantInv[[#This Row],[Total Cost GBP]]/USDtoGBP</f>
        <v>0</v>
      </c>
      <c r="X819" s="33">
        <f>quantInv[[#This Row],[Total Cost GBP]]/CADtoGBP</f>
        <v>0</v>
      </c>
      <c r="Y819" s="33">
        <f>quantInv[[#This Row],[Quantity]]*quantInv[[#This Row],[UNIT
VALUE AUD]]</f>
        <v>0</v>
      </c>
      <c r="Z819" s="33"/>
    </row>
    <row r="820" spans="1:26" x14ac:dyDescent="0.25">
      <c r="A820" t="s">
        <v>1994</v>
      </c>
      <c r="B820" t="s">
        <v>1995</v>
      </c>
      <c r="C820" t="s">
        <v>113</v>
      </c>
      <c r="D820" t="s">
        <v>1996</v>
      </c>
      <c r="E820">
        <v>1.79</v>
      </c>
      <c r="F820" s="33">
        <v>2.3195000000000001</v>
      </c>
      <c r="G820" s="33" t="s">
        <v>117</v>
      </c>
      <c r="H820" t="s">
        <v>2875</v>
      </c>
      <c r="I820" t="str">
        <f>IF(quantInv[[#This Row],[Metal]] = "925 Silver",  "7113.11.00"," 7113.19.00")</f>
        <v>7113.11.00</v>
      </c>
      <c r="J820" t="str">
        <f>IF(quantInv[[#This Row],[Metal]] = "925 Silver", "7113.11.10.00"," 7113.19.10.00")</f>
        <v>7113.11.10.00</v>
      </c>
      <c r="K820" t="str">
        <f>IF(quantInv[[#This Row],[Metal]] = "925 Silver",  "7113.11.00"," 7113.19.00")</f>
        <v>7113.11.00</v>
      </c>
      <c r="L820" t="str">
        <f>IFERROR(VLOOKUP(quantInv[[#This Row],[Description for New Invoice]],Map!$G$12:$H$32,2,FALSE), IF(quantInv[[#This Row],[Metal]] = "925 Silver", "7113.11.10.00", "7113.19.29.00"))</f>
        <v>7113.11.10.00</v>
      </c>
      <c r="M820" t="str">
        <f>quantInv[[#This Row],[ASIN]] &amp; " " &amp; quantInv[[#This Row],[Short Description]]</f>
        <v>B08F7XK7MR Singapore chain bracelet - gold plated</v>
      </c>
      <c r="N820" s="33">
        <f>quantInv[[#This Row],[UNIT
VALUE]] / EURtoGBP</f>
        <v>2.6329082313145244</v>
      </c>
      <c r="O820" s="33">
        <f>quantInv[[#This Row],[UNIT
VALUE]]/USDtoGBP</f>
        <v>3.1796491487807121</v>
      </c>
      <c r="P820" s="33">
        <f>quantInv[[#This Row],[UNIT
VALUE]] / CADtoGBP</f>
        <v>4.0701336941091419</v>
      </c>
      <c r="Q820" s="33">
        <f>quantInv[[#This Row],[UNIT
VALUE]]/AUDtoGBP</f>
        <v>4.1660679646526333</v>
      </c>
      <c r="R820">
        <f>IFERROR(VLOOKUP(quantInv[[#This Row],[Assigned Item SKU]],skuQuantity[#All],2,FALSE),0)</f>
        <v>0</v>
      </c>
      <c r="S820" t="str">
        <f>PROPER(quantInv[[#This Row],[Metal]] &amp; " " &amp; quantInv[[#This Row],[Item Type]])</f>
        <v xml:space="preserve">925 Silver </v>
      </c>
      <c r="T820" s="33">
        <f>quantInv[[#This Row],[Quantity]]*quantInv[[#This Row],[WEIGHT]]</f>
        <v>0</v>
      </c>
      <c r="U820" s="33">
        <f>quantInv[[#This Row],[UNIT
VALUE]]*quantInv[[#This Row],[Quantity]]</f>
        <v>0</v>
      </c>
      <c r="V820" s="33">
        <f>quantInv[[#This Row],[Total Cost GBP]]/EURtoGBP</f>
        <v>0</v>
      </c>
      <c r="W820" s="33">
        <f>quantInv[[#This Row],[Total Cost GBP]]/USDtoGBP</f>
        <v>0</v>
      </c>
      <c r="X820" s="33">
        <f>quantInv[[#This Row],[Total Cost GBP]]/CADtoGBP</f>
        <v>0</v>
      </c>
      <c r="Y820" s="33">
        <f>quantInv[[#This Row],[Quantity]]*quantInv[[#This Row],[UNIT
VALUE AUD]]</f>
        <v>0</v>
      </c>
      <c r="Z820" s="33"/>
    </row>
    <row r="821" spans="1:26" x14ac:dyDescent="0.25">
      <c r="A821" t="s">
        <v>1563</v>
      </c>
      <c r="B821" t="s">
        <v>1564</v>
      </c>
      <c r="C821" t="s">
        <v>114</v>
      </c>
      <c r="D821" t="s">
        <v>1565</v>
      </c>
      <c r="E821">
        <v>2.68</v>
      </c>
      <c r="F821" s="33">
        <v>5.62</v>
      </c>
      <c r="G821" s="33" t="s">
        <v>117</v>
      </c>
      <c r="H821" t="s">
        <v>1451</v>
      </c>
      <c r="I821" t="str">
        <f>IF(quantInv[[#This Row],[Metal]] = "925 Silver",  "7113.11.00"," 7113.19.00")</f>
        <v>7113.11.00</v>
      </c>
      <c r="J821" t="str">
        <f>IF(quantInv[[#This Row],[Metal]] = "925 Silver", "7113.11.10.00"," 7113.19.10.00")</f>
        <v>7113.11.10.00</v>
      </c>
      <c r="K821" t="str">
        <f>IF(quantInv[[#This Row],[Metal]] = "925 Silver",  "7113.11.00"," 7113.19.00")</f>
        <v>7113.11.00</v>
      </c>
      <c r="L821" t="str">
        <f>IFERROR(VLOOKUP(quantInv[[#This Row],[Description for New Invoice]],Map!$G$12:$H$32,2,FALSE), IF(quantInv[[#This Row],[Metal]] = "925 Silver", "7113.11.10.00", "7113.19.29.00"))</f>
        <v>7113.11.50.00</v>
      </c>
      <c r="M821" t="str">
        <f>quantInv[[#This Row],[ASIN]] &amp; " " &amp; quantInv[[#This Row],[Short Description]]</f>
        <v>B082BBPN73 Pendant - Letter - R</v>
      </c>
      <c r="N821" s="33">
        <f>quantInv[[#This Row],[UNIT
VALUE]] / EURtoGBP</f>
        <v>6.3793680793221075</v>
      </c>
      <c r="O821" s="33">
        <f>quantInv[[#This Row],[UNIT
VALUE]]/USDtoGBP</f>
        <v>7.7040863186667821</v>
      </c>
      <c r="P821" s="33">
        <f>quantInv[[#This Row],[UNIT
VALUE]] / CADtoGBP</f>
        <v>9.861673361023227</v>
      </c>
      <c r="Q821" s="33">
        <f>quantInv[[#This Row],[UNIT
VALUE]]/AUDtoGBP</f>
        <v>10.094115956606078</v>
      </c>
      <c r="R821">
        <f>IFERROR(VLOOKUP(quantInv[[#This Row],[Assigned Item SKU]],skuQuantity[#All],2,FALSE),0)</f>
        <v>0</v>
      </c>
      <c r="S821" t="str">
        <f>PROPER(quantInv[[#This Row],[Metal]] &amp; " " &amp; quantInv[[#This Row],[Item Type]])</f>
        <v>925 Silver Pendant</v>
      </c>
      <c r="T821" s="33">
        <f>quantInv[[#This Row],[Quantity]]*quantInv[[#This Row],[WEIGHT]]</f>
        <v>0</v>
      </c>
      <c r="U821" s="33">
        <f>quantInv[[#This Row],[UNIT
VALUE]]*quantInv[[#This Row],[Quantity]]</f>
        <v>0</v>
      </c>
      <c r="V821" s="33">
        <f>quantInv[[#This Row],[Total Cost GBP]]/EURtoGBP</f>
        <v>0</v>
      </c>
      <c r="W821" s="33">
        <f>quantInv[[#This Row],[Total Cost GBP]]/USDtoGBP</f>
        <v>0</v>
      </c>
      <c r="X821" s="33">
        <f>quantInv[[#This Row],[Total Cost GBP]]/CADtoGBP</f>
        <v>0</v>
      </c>
      <c r="Y821" s="33">
        <f>quantInv[[#This Row],[Quantity]]*quantInv[[#This Row],[UNIT
VALUE AUD]]</f>
        <v>0</v>
      </c>
      <c r="Z821" s="33"/>
    </row>
    <row r="822" spans="1:26" x14ac:dyDescent="0.25">
      <c r="A822" t="s">
        <v>1593</v>
      </c>
      <c r="B822" t="s">
        <v>1594</v>
      </c>
      <c r="C822" t="s">
        <v>115</v>
      </c>
      <c r="D822" t="s">
        <v>1595</v>
      </c>
      <c r="E822">
        <v>2.93</v>
      </c>
      <c r="F822" s="33">
        <v>4.7389999999999999</v>
      </c>
      <c r="G822" s="33" t="s">
        <v>117</v>
      </c>
      <c r="H822" t="s">
        <v>1310</v>
      </c>
      <c r="I822" t="str">
        <f>IF(quantInv[[#This Row],[Metal]] = "925 Silver",  "7113.11.00"," 7113.19.00")</f>
        <v>7113.11.00</v>
      </c>
      <c r="J822" t="str">
        <f>IF(quantInv[[#This Row],[Metal]] = "925 Silver", "7113.11.10.00"," 7113.19.10.00")</f>
        <v>7113.11.10.00</v>
      </c>
      <c r="K822" t="str">
        <f>IF(quantInv[[#This Row],[Metal]] = "925 Silver",  "7113.11.00"," 7113.19.00")</f>
        <v>7113.11.00</v>
      </c>
      <c r="L822" t="str">
        <f>IFERROR(VLOOKUP(quantInv[[#This Row],[Description for New Invoice]],Map!$G$12:$H$32,2,FALSE), IF(quantInv[[#This Row],[Metal]] = "925 Silver", "7113.11.10.00", "7113.19.29.00"))</f>
        <v>7113.11.50.00</v>
      </c>
      <c r="M822" t="str">
        <f>quantInv[[#This Row],[ASIN]] &amp; " " &amp; quantInv[[#This Row],[Short Description]]</f>
        <v>B083KMSZX9 Silver Earrings - Celtic Design- Drop/Hooks/Dangle - Irish Knot</v>
      </c>
      <c r="N822" s="33">
        <f>quantInv[[#This Row],[UNIT
VALUE]] / EURtoGBP</f>
        <v>5.3793283501614706</v>
      </c>
      <c r="O822" s="33">
        <f>quantInv[[#This Row],[UNIT
VALUE]]/USDtoGBP</f>
        <v>6.4963816840145689</v>
      </c>
      <c r="P822" s="33">
        <f>quantInv[[#This Row],[UNIT
VALUE]] / CADtoGBP</f>
        <v>8.3157420031831091</v>
      </c>
      <c r="Q822" s="33">
        <f>quantInv[[#This Row],[UNIT
VALUE]]/AUDtoGBP</f>
        <v>8.5117465335153373</v>
      </c>
      <c r="R822">
        <f>IFERROR(VLOOKUP(quantInv[[#This Row],[Assigned Item SKU]],skuQuantity[#All],2,FALSE),0)</f>
        <v>0</v>
      </c>
      <c r="S822" t="str">
        <f>PROPER(quantInv[[#This Row],[Metal]] &amp; " " &amp; quantInv[[#This Row],[Item Type]])</f>
        <v>925 Silver Earrings</v>
      </c>
      <c r="T822" s="33">
        <f>quantInv[[#This Row],[Quantity]]*quantInv[[#This Row],[WEIGHT]]</f>
        <v>0</v>
      </c>
      <c r="U822" s="33">
        <f>quantInv[[#This Row],[UNIT
VALUE]]*quantInv[[#This Row],[Quantity]]</f>
        <v>0</v>
      </c>
      <c r="V822" s="33">
        <f>quantInv[[#This Row],[Total Cost GBP]]/EURtoGBP</f>
        <v>0</v>
      </c>
      <c r="W822" s="33">
        <f>quantInv[[#This Row],[Total Cost GBP]]/USDtoGBP</f>
        <v>0</v>
      </c>
      <c r="X822" s="33">
        <f>quantInv[[#This Row],[Total Cost GBP]]/CADtoGBP</f>
        <v>0</v>
      </c>
      <c r="Y822" s="33">
        <f>quantInv[[#This Row],[Quantity]]*quantInv[[#This Row],[UNIT
VALUE AUD]]</f>
        <v>0</v>
      </c>
      <c r="Z822" s="33"/>
    </row>
    <row r="823" spans="1:26" x14ac:dyDescent="0.25">
      <c r="A823" t="s">
        <v>2002</v>
      </c>
      <c r="B823" t="s">
        <v>2003</v>
      </c>
      <c r="C823" t="s">
        <v>113</v>
      </c>
      <c r="D823" t="s">
        <v>2001</v>
      </c>
      <c r="E823">
        <v>1.82</v>
      </c>
      <c r="F823" s="33">
        <v>2.3685999999999998</v>
      </c>
      <c r="G823" s="33" t="s">
        <v>117</v>
      </c>
      <c r="H823" t="s">
        <v>2875</v>
      </c>
      <c r="I823" t="str">
        <f>IF(quantInv[[#This Row],[Metal]] = "925 Silver",  "7113.11.00"," 7113.19.00")</f>
        <v>7113.11.00</v>
      </c>
      <c r="J823" t="str">
        <f>IF(quantInv[[#This Row],[Metal]] = "925 Silver", "7113.11.10.00"," 7113.19.10.00")</f>
        <v>7113.11.10.00</v>
      </c>
      <c r="K823" t="str">
        <f>IF(quantInv[[#This Row],[Metal]] = "925 Silver",  "7113.11.00"," 7113.19.00")</f>
        <v>7113.11.00</v>
      </c>
      <c r="L823" t="str">
        <f>IFERROR(VLOOKUP(quantInv[[#This Row],[Description for New Invoice]],Map!$G$12:$H$32,2,FALSE), IF(quantInv[[#This Row],[Metal]] = "925 Silver", "7113.11.10.00", "7113.19.29.00"))</f>
        <v>7113.11.10.00</v>
      </c>
      <c r="M823" t="str">
        <f>quantInv[[#This Row],[ASIN]] &amp; " " &amp; quantInv[[#This Row],[Short Description]]</f>
        <v>B08FTJP1RV Singapore chain bracelet - rose plated</v>
      </c>
      <c r="N823" s="33">
        <f>quantInv[[#This Row],[UNIT
VALUE]] / EURtoGBP</f>
        <v>2.6886425680929436</v>
      </c>
      <c r="O823" s="33">
        <f>quantInv[[#This Row],[UNIT
VALUE]]/USDtoGBP</f>
        <v>3.2469570915292061</v>
      </c>
      <c r="P823" s="33">
        <f>quantInv[[#This Row],[UNIT
VALUE]] / CADtoGBP</f>
        <v>4.1562917300568705</v>
      </c>
      <c r="Q823" s="33">
        <f>quantInv[[#This Row],[UNIT
VALUE]]/AUDtoGBP</f>
        <v>4.2542567713197785</v>
      </c>
      <c r="R823">
        <f>IFERROR(VLOOKUP(quantInv[[#This Row],[Assigned Item SKU]],skuQuantity[#All],2,FALSE),0)</f>
        <v>0</v>
      </c>
      <c r="S823" t="str">
        <f>PROPER(quantInv[[#This Row],[Metal]] &amp; " " &amp; quantInv[[#This Row],[Item Type]])</f>
        <v xml:space="preserve">925 Silver </v>
      </c>
      <c r="T823" s="33">
        <f>quantInv[[#This Row],[Quantity]]*quantInv[[#This Row],[WEIGHT]]</f>
        <v>0</v>
      </c>
      <c r="U823" s="33">
        <f>quantInv[[#This Row],[UNIT
VALUE]]*quantInv[[#This Row],[Quantity]]</f>
        <v>0</v>
      </c>
      <c r="V823" s="33">
        <f>quantInv[[#This Row],[Total Cost GBP]]/EURtoGBP</f>
        <v>0</v>
      </c>
      <c r="W823" s="33">
        <f>quantInv[[#This Row],[Total Cost GBP]]/USDtoGBP</f>
        <v>0</v>
      </c>
      <c r="X823" s="33">
        <f>quantInv[[#This Row],[Total Cost GBP]]/CADtoGBP</f>
        <v>0</v>
      </c>
      <c r="Y823" s="33">
        <f>quantInv[[#This Row],[Quantity]]*quantInv[[#This Row],[UNIT
VALUE AUD]]</f>
        <v>0</v>
      </c>
      <c r="Z823" s="33"/>
    </row>
    <row r="824" spans="1:26" x14ac:dyDescent="0.25">
      <c r="A824" t="s">
        <v>2004</v>
      </c>
      <c r="B824" t="s">
        <v>2005</v>
      </c>
      <c r="C824" t="s">
        <v>113</v>
      </c>
      <c r="D824" t="s">
        <v>2006</v>
      </c>
      <c r="E824">
        <v>3</v>
      </c>
      <c r="F824" s="33">
        <v>3.6520000000000001</v>
      </c>
      <c r="G824" s="33" t="s">
        <v>117</v>
      </c>
      <c r="H824" t="s">
        <v>2875</v>
      </c>
      <c r="I824" t="str">
        <f>IF(quantInv[[#This Row],[Metal]] = "925 Silver",  "7113.11.00"," 7113.19.00")</f>
        <v>7113.11.00</v>
      </c>
      <c r="J824" t="str">
        <f>IF(quantInv[[#This Row],[Metal]] = "925 Silver", "7113.11.10.00"," 7113.19.10.00")</f>
        <v>7113.11.10.00</v>
      </c>
      <c r="K824" t="str">
        <f>IF(quantInv[[#This Row],[Metal]] = "925 Silver",  "7113.11.00"," 7113.19.00")</f>
        <v>7113.11.00</v>
      </c>
      <c r="L824" t="str">
        <f>IFERROR(VLOOKUP(quantInv[[#This Row],[Description for New Invoice]],Map!$G$12:$H$32,2,FALSE), IF(quantInv[[#This Row],[Metal]] = "925 Silver", "7113.11.10.00", "7113.19.29.00"))</f>
        <v>7113.11.10.00</v>
      </c>
      <c r="M824" t="str">
        <f>quantInv[[#This Row],[ASIN]] &amp; " " &amp; quantInv[[#This Row],[Short Description]]</f>
        <v>B08KRSQX81 Link chain - Charm Bracelet</v>
      </c>
      <c r="N824" s="33">
        <f>quantInv[[#This Row],[UNIT
VALUE]] / EURtoGBP</f>
        <v>4.1454541326840451</v>
      </c>
      <c r="O824" s="33">
        <f>quantInv[[#This Row],[UNIT
VALUE]]/USDtoGBP</f>
        <v>5.006285273268877</v>
      </c>
      <c r="P824" s="33">
        <f>quantInv[[#This Row],[UNIT
VALUE]] / CADtoGBP</f>
        <v>6.4083329385154499</v>
      </c>
      <c r="Q824" s="33">
        <f>quantInv[[#This Row],[UNIT
VALUE]]/AUDtoGBP</f>
        <v>6.5593792657518497</v>
      </c>
      <c r="R824">
        <f>IFERROR(VLOOKUP(quantInv[[#This Row],[Assigned Item SKU]],skuQuantity[#All],2,FALSE),0)</f>
        <v>0</v>
      </c>
      <c r="S824" t="str">
        <f>PROPER(quantInv[[#This Row],[Metal]] &amp; " " &amp; quantInv[[#This Row],[Item Type]])</f>
        <v xml:space="preserve">925 Silver </v>
      </c>
      <c r="T824" s="33">
        <f>quantInv[[#This Row],[Quantity]]*quantInv[[#This Row],[WEIGHT]]</f>
        <v>0</v>
      </c>
      <c r="U824" s="33">
        <f>quantInv[[#This Row],[UNIT
VALUE]]*quantInv[[#This Row],[Quantity]]</f>
        <v>0</v>
      </c>
      <c r="V824" s="33">
        <f>quantInv[[#This Row],[Total Cost GBP]]/EURtoGBP</f>
        <v>0</v>
      </c>
      <c r="W824" s="33">
        <f>quantInv[[#This Row],[Total Cost GBP]]/USDtoGBP</f>
        <v>0</v>
      </c>
      <c r="X824" s="33">
        <f>quantInv[[#This Row],[Total Cost GBP]]/CADtoGBP</f>
        <v>0</v>
      </c>
      <c r="Y824" s="33">
        <f>quantInv[[#This Row],[Quantity]]*quantInv[[#This Row],[UNIT
VALUE AUD]]</f>
        <v>0</v>
      </c>
      <c r="Z824" s="33"/>
    </row>
    <row r="825" spans="1:26" x14ac:dyDescent="0.25">
      <c r="A825" t="s">
        <v>2007</v>
      </c>
      <c r="B825" t="s">
        <v>2008</v>
      </c>
      <c r="C825" t="s">
        <v>113</v>
      </c>
      <c r="D825" t="s">
        <v>2006</v>
      </c>
      <c r="E825">
        <v>3</v>
      </c>
      <c r="F825" s="33">
        <v>3.6783999999999999</v>
      </c>
      <c r="G825" s="33" t="s">
        <v>117</v>
      </c>
      <c r="H825" t="s">
        <v>2875</v>
      </c>
      <c r="I825" t="str">
        <f>IF(quantInv[[#This Row],[Metal]] = "925 Silver",  "7113.11.00"," 7113.19.00")</f>
        <v>7113.11.00</v>
      </c>
      <c r="J825" t="str">
        <f>IF(quantInv[[#This Row],[Metal]] = "925 Silver", "7113.11.10.00"," 7113.19.10.00")</f>
        <v>7113.11.10.00</v>
      </c>
      <c r="K825" t="str">
        <f>IF(quantInv[[#This Row],[Metal]] = "925 Silver",  "7113.11.00"," 7113.19.00")</f>
        <v>7113.11.00</v>
      </c>
      <c r="L825" t="str">
        <f>IFERROR(VLOOKUP(quantInv[[#This Row],[Description for New Invoice]],Map!$G$12:$H$32,2,FALSE), IF(quantInv[[#This Row],[Metal]] = "925 Silver", "7113.11.10.00", "7113.19.29.00"))</f>
        <v>7113.11.10.00</v>
      </c>
      <c r="M825" t="str">
        <f>quantInv[[#This Row],[ASIN]] &amp; " " &amp; quantInv[[#This Row],[Short Description]]</f>
        <v>B08KRSV2FM Link chain - Charm Bracelet</v>
      </c>
      <c r="N825" s="33">
        <f>quantInv[[#This Row],[UNIT
VALUE]] / EURtoGBP</f>
        <v>4.1754212709926044</v>
      </c>
      <c r="O825" s="33">
        <f>quantInv[[#This Row],[UNIT
VALUE]]/USDtoGBP</f>
        <v>5.0424752872925067</v>
      </c>
      <c r="P825" s="33">
        <f>quantInv[[#This Row],[UNIT
VALUE]] / CADtoGBP</f>
        <v>6.4546582368661634</v>
      </c>
      <c r="Q825" s="33">
        <f>quantInv[[#This Row],[UNIT
VALUE]]/AUDtoGBP</f>
        <v>6.6067964652633089</v>
      </c>
      <c r="R825">
        <f>IFERROR(VLOOKUP(quantInv[[#This Row],[Assigned Item SKU]],skuQuantity[#All],2,FALSE),0)</f>
        <v>0</v>
      </c>
      <c r="S825" t="str">
        <f>PROPER(quantInv[[#This Row],[Metal]] &amp; " " &amp; quantInv[[#This Row],[Item Type]])</f>
        <v xml:space="preserve">925 Silver </v>
      </c>
      <c r="T825" s="33">
        <f>quantInv[[#This Row],[Quantity]]*quantInv[[#This Row],[WEIGHT]]</f>
        <v>0</v>
      </c>
      <c r="U825" s="33">
        <f>quantInv[[#This Row],[UNIT
VALUE]]*quantInv[[#This Row],[Quantity]]</f>
        <v>0</v>
      </c>
      <c r="V825" s="33">
        <f>quantInv[[#This Row],[Total Cost GBP]]/EURtoGBP</f>
        <v>0</v>
      </c>
      <c r="W825" s="33">
        <f>quantInv[[#This Row],[Total Cost GBP]]/USDtoGBP</f>
        <v>0</v>
      </c>
      <c r="X825" s="33">
        <f>quantInv[[#This Row],[Total Cost GBP]]/CADtoGBP</f>
        <v>0</v>
      </c>
      <c r="Y825" s="33">
        <f>quantInv[[#This Row],[Quantity]]*quantInv[[#This Row],[UNIT
VALUE AUD]]</f>
        <v>0</v>
      </c>
      <c r="Z825" s="33"/>
    </row>
    <row r="826" spans="1:26" x14ac:dyDescent="0.25">
      <c r="A826" t="s">
        <v>2009</v>
      </c>
      <c r="B826" t="s">
        <v>2010</v>
      </c>
      <c r="C826" t="s">
        <v>113</v>
      </c>
      <c r="D826" t="s">
        <v>2011</v>
      </c>
      <c r="E826">
        <v>0</v>
      </c>
      <c r="F826" s="33">
        <v>0.3483</v>
      </c>
      <c r="G826" s="33" t="s">
        <v>117</v>
      </c>
      <c r="H826" t="s">
        <v>2875</v>
      </c>
      <c r="I826" t="str">
        <f>IF(quantInv[[#This Row],[Metal]] = "925 Silver",  "7113.11.00"," 7113.19.00")</f>
        <v>7113.11.00</v>
      </c>
      <c r="J826" t="str">
        <f>IF(quantInv[[#This Row],[Metal]] = "925 Silver", "7113.11.10.00"," 7113.19.10.00")</f>
        <v>7113.11.10.00</v>
      </c>
      <c r="K826" t="str">
        <f>IF(quantInv[[#This Row],[Metal]] = "925 Silver",  "7113.11.00"," 7113.19.00")</f>
        <v>7113.11.00</v>
      </c>
      <c r="L826" t="str">
        <f>IFERROR(VLOOKUP(quantInv[[#This Row],[Description for New Invoice]],Map!$G$12:$H$32,2,FALSE), IF(quantInv[[#This Row],[Metal]] = "925 Silver", "7113.11.10.00", "7113.19.29.00"))</f>
        <v>7113.11.10.00</v>
      </c>
      <c r="M826" t="str">
        <f>quantInv[[#This Row],[ASIN]] &amp; " " &amp; quantInv[[#This Row],[Short Description]]</f>
        <v>B00D94C26O Curb Chain 1.1 mm thick</v>
      </c>
      <c r="N826" s="33">
        <f>quantInv[[#This Row],[UNIT
VALUE]] / EURtoGBP</f>
        <v>0.39536190427542522</v>
      </c>
      <c r="O826" s="33">
        <f>quantInv[[#This Row],[UNIT
VALUE]]/USDtoGBP</f>
        <v>0.47746143501630606</v>
      </c>
      <c r="P826" s="33">
        <f>quantInv[[#This Row],[UNIT
VALUE]] / CADtoGBP</f>
        <v>0.61117808392248929</v>
      </c>
      <c r="Q826" s="33">
        <f>quantInv[[#This Row],[UNIT
VALUE]]/AUDtoGBP</f>
        <v>0.62558373446368265</v>
      </c>
      <c r="R826">
        <f>IFERROR(VLOOKUP(quantInv[[#This Row],[Assigned Item SKU]],skuQuantity[#All],2,FALSE),0)</f>
        <v>0</v>
      </c>
      <c r="S826" t="str">
        <f>PROPER(quantInv[[#This Row],[Metal]] &amp; " " &amp; quantInv[[#This Row],[Item Type]])</f>
        <v xml:space="preserve">925 Silver </v>
      </c>
      <c r="T826" s="33">
        <f>quantInv[[#This Row],[Quantity]]*quantInv[[#This Row],[WEIGHT]]</f>
        <v>0</v>
      </c>
      <c r="U826" s="33">
        <f>quantInv[[#This Row],[UNIT
VALUE]]*quantInv[[#This Row],[Quantity]]</f>
        <v>0</v>
      </c>
      <c r="V826" s="33">
        <f>quantInv[[#This Row],[Total Cost GBP]]/EURtoGBP</f>
        <v>0</v>
      </c>
      <c r="W826" s="33">
        <f>quantInv[[#This Row],[Total Cost GBP]]/USDtoGBP</f>
        <v>0</v>
      </c>
      <c r="X826" s="33">
        <f>quantInv[[#This Row],[Total Cost GBP]]/CADtoGBP</f>
        <v>0</v>
      </c>
      <c r="Y826" s="33">
        <f>quantInv[[#This Row],[Quantity]]*quantInv[[#This Row],[UNIT
VALUE AUD]]</f>
        <v>0</v>
      </c>
      <c r="Z826" s="33"/>
    </row>
    <row r="827" spans="1:26" x14ac:dyDescent="0.25">
      <c r="A827" t="s">
        <v>2012</v>
      </c>
      <c r="B827" t="s">
        <v>2013</v>
      </c>
      <c r="C827" t="s">
        <v>114</v>
      </c>
      <c r="D827" t="s">
        <v>2014</v>
      </c>
      <c r="E827">
        <v>1.54</v>
      </c>
      <c r="F827" s="33">
        <v>32.904600000000002</v>
      </c>
      <c r="G827" s="33" t="s">
        <v>3304</v>
      </c>
      <c r="H827" t="s">
        <v>2875</v>
      </c>
      <c r="I827" t="str">
        <f>IF(quantInv[[#This Row],[Metal]] = "925 Silver",  "7113.11.00"," 7113.19.00")</f>
        <v xml:space="preserve"> 7113.19.00</v>
      </c>
      <c r="J827" t="str">
        <f>IF(quantInv[[#This Row],[Metal]] = "925 Silver", "7113.11.10.00"," 7113.19.10.00")</f>
        <v xml:space="preserve"> 7113.19.10.00</v>
      </c>
      <c r="K827" t="str">
        <f>IF(quantInv[[#This Row],[Metal]] = "925 Silver",  "7113.11.00"," 7113.19.00")</f>
        <v xml:space="preserve"> 7113.19.00</v>
      </c>
      <c r="L827" t="str">
        <f>IFERROR(VLOOKUP(quantInv[[#This Row],[Description for New Invoice]],Map!$G$12:$H$32,2,FALSE), IF(quantInv[[#This Row],[Metal]] = "925 Silver", "7113.11.10.00", "7113.19.29.00"))</f>
        <v>7113.19.29.00</v>
      </c>
      <c r="M827" t="str">
        <f>quantInv[[#This Row],[ASIN]] &amp; " " &amp; quantInv[[#This Row],[Short Description]]</f>
        <v>B08MFPYD6Y St Christopher Octogonal Coin Pendant</v>
      </c>
      <c r="N827" s="33">
        <f>quantInv[[#This Row],[UNIT
VALUE]] / EURtoGBP</f>
        <v>37.350632544993275</v>
      </c>
      <c r="O827" s="33">
        <f>quantInv[[#This Row],[UNIT
VALUE]]/USDtoGBP</f>
        <v>45.106739978861746</v>
      </c>
      <c r="P827" s="33">
        <f>quantInv[[#This Row],[UNIT
VALUE]] / CADtoGBP</f>
        <v>57.739220155716175</v>
      </c>
      <c r="Q827" s="33">
        <f>quantInv[[#This Row],[UNIT
VALUE]]/AUDtoGBP</f>
        <v>59.100150872907534</v>
      </c>
      <c r="R827">
        <f>IFERROR(VLOOKUP(quantInv[[#This Row],[Assigned Item SKU]],skuQuantity[#All],2,FALSE),0)</f>
        <v>0</v>
      </c>
      <c r="S827" t="str">
        <f>PROPER(quantInv[[#This Row],[Metal]] &amp; " " &amp; quantInv[[#This Row],[Item Type]])</f>
        <v xml:space="preserve">9K Gold </v>
      </c>
      <c r="T827" s="33">
        <f>quantInv[[#This Row],[Quantity]]*quantInv[[#This Row],[WEIGHT]]</f>
        <v>0</v>
      </c>
      <c r="U827" s="33">
        <f>quantInv[[#This Row],[UNIT
VALUE]]*quantInv[[#This Row],[Quantity]]</f>
        <v>0</v>
      </c>
      <c r="V827" s="33">
        <f>quantInv[[#This Row],[Total Cost GBP]]/EURtoGBP</f>
        <v>0</v>
      </c>
      <c r="W827" s="33">
        <f>quantInv[[#This Row],[Total Cost GBP]]/USDtoGBP</f>
        <v>0</v>
      </c>
      <c r="X827" s="33">
        <f>quantInv[[#This Row],[Total Cost GBP]]/CADtoGBP</f>
        <v>0</v>
      </c>
      <c r="Y827" s="33">
        <f>quantInv[[#This Row],[Quantity]]*quantInv[[#This Row],[UNIT
VALUE AUD]]</f>
        <v>0</v>
      </c>
      <c r="Z827" s="33"/>
    </row>
    <row r="828" spans="1:26" x14ac:dyDescent="0.25">
      <c r="A828" t="s">
        <v>2015</v>
      </c>
      <c r="B828" t="s">
        <v>2016</v>
      </c>
      <c r="C828" t="s">
        <v>114</v>
      </c>
      <c r="D828" t="s">
        <v>2017</v>
      </c>
      <c r="E828">
        <v>2.02</v>
      </c>
      <c r="F828" s="33">
        <v>42.907899999999998</v>
      </c>
      <c r="G828" s="33" t="s">
        <v>3304</v>
      </c>
      <c r="H828" t="s">
        <v>2875</v>
      </c>
      <c r="I828" t="str">
        <f>IF(quantInv[[#This Row],[Metal]] = "925 Silver",  "7113.11.00"," 7113.19.00")</f>
        <v xml:space="preserve"> 7113.19.00</v>
      </c>
      <c r="J828" t="str">
        <f>IF(quantInv[[#This Row],[Metal]] = "925 Silver", "7113.11.10.00"," 7113.19.10.00")</f>
        <v xml:space="preserve"> 7113.19.10.00</v>
      </c>
      <c r="K828" t="str">
        <f>IF(quantInv[[#This Row],[Metal]] = "925 Silver",  "7113.11.00"," 7113.19.00")</f>
        <v xml:space="preserve"> 7113.19.00</v>
      </c>
      <c r="L828" t="str">
        <f>IFERROR(VLOOKUP(quantInv[[#This Row],[Description for New Invoice]],Map!$G$12:$H$32,2,FALSE), IF(quantInv[[#This Row],[Metal]] = "925 Silver", "7113.11.10.00", "7113.19.29.00"))</f>
        <v>7113.19.29.00</v>
      </c>
      <c r="M828" t="str">
        <f>quantInv[[#This Row],[ASIN]] &amp; " " &amp; quantInv[[#This Row],[Short Description]]</f>
        <v>B08MFP6S9X O'Maria Virgin Mary Oval Coin Pendant</v>
      </c>
      <c r="N828" s="33">
        <f>quantInv[[#This Row],[UNIT
VALUE]] / EURtoGBP</f>
        <v>48.705567190524029</v>
      </c>
      <c r="O828" s="33">
        <f>quantInv[[#This Row],[UNIT
VALUE]]/USDtoGBP</f>
        <v>58.81960237592925</v>
      </c>
      <c r="P828" s="33">
        <f>quantInv[[#This Row],[UNIT
VALUE]] / CADtoGBP</f>
        <v>75.292472314492613</v>
      </c>
      <c r="Q828" s="33">
        <f>quantInv[[#This Row],[UNIT
VALUE]]/AUDtoGBP</f>
        <v>77.067138443853722</v>
      </c>
      <c r="R828">
        <f>IFERROR(VLOOKUP(quantInv[[#This Row],[Assigned Item SKU]],skuQuantity[#All],2,FALSE),0)</f>
        <v>0</v>
      </c>
      <c r="S828" t="str">
        <f>PROPER(quantInv[[#This Row],[Metal]] &amp; " " &amp; quantInv[[#This Row],[Item Type]])</f>
        <v xml:space="preserve">9K Gold </v>
      </c>
      <c r="T828" s="33">
        <f>quantInv[[#This Row],[Quantity]]*quantInv[[#This Row],[WEIGHT]]</f>
        <v>0</v>
      </c>
      <c r="U828" s="33">
        <f>quantInv[[#This Row],[UNIT
VALUE]]*quantInv[[#This Row],[Quantity]]</f>
        <v>0</v>
      </c>
      <c r="V828" s="33">
        <f>quantInv[[#This Row],[Total Cost GBP]]/EURtoGBP</f>
        <v>0</v>
      </c>
      <c r="W828" s="33">
        <f>quantInv[[#This Row],[Total Cost GBP]]/USDtoGBP</f>
        <v>0</v>
      </c>
      <c r="X828" s="33">
        <f>quantInv[[#This Row],[Total Cost GBP]]/CADtoGBP</f>
        <v>0</v>
      </c>
      <c r="Y828" s="33">
        <f>quantInv[[#This Row],[Quantity]]*quantInv[[#This Row],[UNIT
VALUE AUD]]</f>
        <v>0</v>
      </c>
      <c r="Z828" s="33"/>
    </row>
    <row r="829" spans="1:26" x14ac:dyDescent="0.25">
      <c r="A829" t="s">
        <v>2018</v>
      </c>
      <c r="B829" t="s">
        <v>2019</v>
      </c>
      <c r="C829" t="s">
        <v>114</v>
      </c>
      <c r="D829" t="s">
        <v>2020</v>
      </c>
      <c r="E829">
        <v>0.53</v>
      </c>
      <c r="F829" s="33">
        <v>11.155900000000001</v>
      </c>
      <c r="G829" s="33" t="s">
        <v>3304</v>
      </c>
      <c r="H829" t="s">
        <v>1451</v>
      </c>
      <c r="I829" t="str">
        <f>IF(quantInv[[#This Row],[Metal]] = "925 Silver",  "7113.11.00"," 7113.19.00")</f>
        <v xml:space="preserve"> 7113.19.00</v>
      </c>
      <c r="J829" t="str">
        <f>IF(quantInv[[#This Row],[Metal]] = "925 Silver", "7113.11.10.00"," 7113.19.10.00")</f>
        <v xml:space="preserve"> 7113.19.10.00</v>
      </c>
      <c r="K829" t="str">
        <f>IF(quantInv[[#This Row],[Metal]] = "925 Silver",  "7113.11.00"," 7113.19.00")</f>
        <v xml:space="preserve"> 7113.19.00</v>
      </c>
      <c r="L829" t="str">
        <f>IFERROR(VLOOKUP(quantInv[[#This Row],[Description for New Invoice]],Map!$G$12:$H$32,2,FALSE), IF(quantInv[[#This Row],[Metal]] = "925 Silver", "7113.11.10.00", "7113.19.29.00"))</f>
        <v>7113.19.50.90</v>
      </c>
      <c r="M829" t="str">
        <f>quantInv[[#This Row],[ASIN]] &amp; " " &amp; quantInv[[#This Row],[Short Description]]</f>
        <v>B08MFQ9GX5 Small Cross Pendant</v>
      </c>
      <c r="N829" s="33">
        <f>quantInv[[#This Row],[UNIT
VALUE]] / EURtoGBP</f>
        <v>12.663272661229449</v>
      </c>
      <c r="O829" s="33">
        <f>quantInv[[#This Row],[UNIT
VALUE]]/USDtoGBP</f>
        <v>15.292885509326469</v>
      </c>
      <c r="P829" s="33">
        <f>quantInv[[#This Row],[UNIT
VALUE]] / CADtoGBP</f>
        <v>19.575772570861037</v>
      </c>
      <c r="Q829" s="33">
        <f>quantInv[[#This Row],[UNIT
VALUE]]/AUDtoGBP</f>
        <v>20.037179395071487</v>
      </c>
      <c r="R829">
        <f>IFERROR(VLOOKUP(quantInv[[#This Row],[Assigned Item SKU]],skuQuantity[#All],2,FALSE),0)</f>
        <v>0</v>
      </c>
      <c r="S829" t="str">
        <f>PROPER(quantInv[[#This Row],[Metal]] &amp; " " &amp; quantInv[[#This Row],[Item Type]])</f>
        <v>9K Gold Pendant</v>
      </c>
      <c r="T829" s="33">
        <f>quantInv[[#This Row],[Quantity]]*quantInv[[#This Row],[WEIGHT]]</f>
        <v>0</v>
      </c>
      <c r="U829" s="33">
        <f>quantInv[[#This Row],[UNIT
VALUE]]*quantInv[[#This Row],[Quantity]]</f>
        <v>0</v>
      </c>
      <c r="V829" s="33">
        <f>quantInv[[#This Row],[Total Cost GBP]]/EURtoGBP</f>
        <v>0</v>
      </c>
      <c r="W829" s="33">
        <f>quantInv[[#This Row],[Total Cost GBP]]/USDtoGBP</f>
        <v>0</v>
      </c>
      <c r="X829" s="33">
        <f>quantInv[[#This Row],[Total Cost GBP]]/CADtoGBP</f>
        <v>0</v>
      </c>
      <c r="Y829" s="33">
        <f>quantInv[[#This Row],[Quantity]]*quantInv[[#This Row],[UNIT
VALUE AUD]]</f>
        <v>0</v>
      </c>
      <c r="Z829" s="33"/>
    </row>
    <row r="830" spans="1:26" x14ac:dyDescent="0.25">
      <c r="A830" t="s">
        <v>2021</v>
      </c>
      <c r="B830" t="s">
        <v>2022</v>
      </c>
      <c r="C830" t="s">
        <v>114</v>
      </c>
      <c r="D830" t="s">
        <v>2023</v>
      </c>
      <c r="E830">
        <v>0.97</v>
      </c>
      <c r="F830" s="33">
        <v>21.025600000000001</v>
      </c>
      <c r="G830" s="33" t="s">
        <v>3304</v>
      </c>
      <c r="H830" t="s">
        <v>2875</v>
      </c>
      <c r="I830" t="str">
        <f>IF(quantInv[[#This Row],[Metal]] = "925 Silver",  "7113.11.00"," 7113.19.00")</f>
        <v xml:space="preserve"> 7113.19.00</v>
      </c>
      <c r="J830" t="str">
        <f>IF(quantInv[[#This Row],[Metal]] = "925 Silver", "7113.11.10.00"," 7113.19.10.00")</f>
        <v xml:space="preserve"> 7113.19.10.00</v>
      </c>
      <c r="K830" t="str">
        <f>IF(quantInv[[#This Row],[Metal]] = "925 Silver",  "7113.11.00"," 7113.19.00")</f>
        <v xml:space="preserve"> 7113.19.00</v>
      </c>
      <c r="L830" t="str">
        <f>IFERROR(VLOOKUP(quantInv[[#This Row],[Description for New Invoice]],Map!$G$12:$H$32,2,FALSE), IF(quantInv[[#This Row],[Metal]] = "925 Silver", "7113.11.10.00", "7113.19.29.00"))</f>
        <v>7113.19.29.00</v>
      </c>
      <c r="M830" t="str">
        <f>quantInv[[#This Row],[ASIN]] &amp; " " &amp; quantInv[[#This Row],[Short Description]]</f>
        <v>B08MFRFP67 Medium Cross Pendant</v>
      </c>
      <c r="N830" s="33">
        <f>quantInv[[#This Row],[UNIT
VALUE]] / EURtoGBP</f>
        <v>23.866555425016887</v>
      </c>
      <c r="O830" s="33">
        <f>quantInv[[#This Row],[UNIT
VALUE]]/USDtoGBP</f>
        <v>28.822604502092581</v>
      </c>
      <c r="P830" s="33">
        <f>quantInv[[#This Row],[UNIT
VALUE]] / CADtoGBP</f>
        <v>36.894590644044477</v>
      </c>
      <c r="Q830" s="33">
        <f>quantInv[[#This Row],[UNIT
VALUE]]/AUDtoGBP</f>
        <v>37.764207198793017</v>
      </c>
      <c r="R830">
        <f>IFERROR(VLOOKUP(quantInv[[#This Row],[Assigned Item SKU]],skuQuantity[#All],2,FALSE),0)</f>
        <v>0</v>
      </c>
      <c r="S830" t="str">
        <f>PROPER(quantInv[[#This Row],[Metal]] &amp; " " &amp; quantInv[[#This Row],[Item Type]])</f>
        <v xml:space="preserve">9K Gold </v>
      </c>
      <c r="T830" s="33">
        <f>quantInv[[#This Row],[Quantity]]*quantInv[[#This Row],[WEIGHT]]</f>
        <v>0</v>
      </c>
      <c r="U830" s="33">
        <f>quantInv[[#This Row],[UNIT
VALUE]]*quantInv[[#This Row],[Quantity]]</f>
        <v>0</v>
      </c>
      <c r="V830" s="33">
        <f>quantInv[[#This Row],[Total Cost GBP]]/EURtoGBP</f>
        <v>0</v>
      </c>
      <c r="W830" s="33">
        <f>quantInv[[#This Row],[Total Cost GBP]]/USDtoGBP</f>
        <v>0</v>
      </c>
      <c r="X830" s="33">
        <f>quantInv[[#This Row],[Total Cost GBP]]/CADtoGBP</f>
        <v>0</v>
      </c>
      <c r="Y830" s="33">
        <f>quantInv[[#This Row],[Quantity]]*quantInv[[#This Row],[UNIT
VALUE AUD]]</f>
        <v>0</v>
      </c>
      <c r="Z830" s="33"/>
    </row>
    <row r="831" spans="1:26" x14ac:dyDescent="0.25">
      <c r="A831" t="s">
        <v>2024</v>
      </c>
      <c r="B831" t="s">
        <v>2025</v>
      </c>
      <c r="C831" t="s">
        <v>114</v>
      </c>
      <c r="D831" t="s">
        <v>2026</v>
      </c>
      <c r="E831">
        <v>0.97</v>
      </c>
      <c r="F831" s="33">
        <v>21.025600000000001</v>
      </c>
      <c r="G831" s="33" t="s">
        <v>3304</v>
      </c>
      <c r="H831" t="s">
        <v>1451</v>
      </c>
      <c r="I831" t="str">
        <f>IF(quantInv[[#This Row],[Metal]] = "925 Silver",  "7113.11.00"," 7113.19.00")</f>
        <v xml:space="preserve"> 7113.19.00</v>
      </c>
      <c r="J831" t="str">
        <f>IF(quantInv[[#This Row],[Metal]] = "925 Silver", "7113.11.10.00"," 7113.19.10.00")</f>
        <v xml:space="preserve"> 7113.19.10.00</v>
      </c>
      <c r="K831" t="str">
        <f>IF(quantInv[[#This Row],[Metal]] = "925 Silver",  "7113.11.00"," 7113.19.00")</f>
        <v xml:space="preserve"> 7113.19.00</v>
      </c>
      <c r="L831" t="str">
        <f>IFERROR(VLOOKUP(quantInv[[#This Row],[Description for New Invoice]],Map!$G$12:$H$32,2,FALSE), IF(quantInv[[#This Row],[Metal]] = "925 Silver", "7113.11.10.00", "7113.19.29.00"))</f>
        <v>7113.19.50.90</v>
      </c>
      <c r="M831" t="str">
        <f>quantInv[[#This Row],[ASIN]] &amp; " " &amp; quantInv[[#This Row],[Short Description]]</f>
        <v>B08MFPM4MT Flat Cross Pendant</v>
      </c>
      <c r="N831" s="33">
        <f>quantInv[[#This Row],[UNIT
VALUE]] / EURtoGBP</f>
        <v>23.866555425016887</v>
      </c>
      <c r="O831" s="33">
        <f>quantInv[[#This Row],[UNIT
VALUE]]/USDtoGBP</f>
        <v>28.822604502092581</v>
      </c>
      <c r="P831" s="33">
        <f>quantInv[[#This Row],[UNIT
VALUE]] / CADtoGBP</f>
        <v>36.894590644044477</v>
      </c>
      <c r="Q831" s="33">
        <f>quantInv[[#This Row],[UNIT
VALUE]]/AUDtoGBP</f>
        <v>37.764207198793017</v>
      </c>
      <c r="R831">
        <f>IFERROR(VLOOKUP(quantInv[[#This Row],[Assigned Item SKU]],skuQuantity[#All],2,FALSE),0)</f>
        <v>5</v>
      </c>
      <c r="S831" t="str">
        <f>PROPER(quantInv[[#This Row],[Metal]] &amp; " " &amp; quantInv[[#This Row],[Item Type]])</f>
        <v>9K Gold Pendant</v>
      </c>
      <c r="T831" s="33">
        <f>quantInv[[#This Row],[Quantity]]*quantInv[[#This Row],[WEIGHT]]</f>
        <v>4.8499999999999996</v>
      </c>
      <c r="U831" s="33">
        <f>quantInv[[#This Row],[UNIT
VALUE]]*quantInv[[#This Row],[Quantity]]</f>
        <v>105.128</v>
      </c>
      <c r="V831" s="33">
        <f>quantInv[[#This Row],[Total Cost GBP]]/EURtoGBP</f>
        <v>119.33277712508442</v>
      </c>
      <c r="W831" s="33">
        <f>quantInv[[#This Row],[Total Cost GBP]]/USDtoGBP</f>
        <v>144.11302251046288</v>
      </c>
      <c r="X831" s="33">
        <f>quantInv[[#This Row],[Total Cost GBP]]/CADtoGBP</f>
        <v>184.47295322022239</v>
      </c>
      <c r="Y831" s="33">
        <f>quantInv[[#This Row],[Quantity]]*quantInv[[#This Row],[UNIT
VALUE AUD]]</f>
        <v>188.8210359939651</v>
      </c>
      <c r="Z831" s="33"/>
    </row>
    <row r="832" spans="1:26" x14ac:dyDescent="0.25">
      <c r="A832" t="s">
        <v>2027</v>
      </c>
      <c r="B832" t="s">
        <v>2028</v>
      </c>
      <c r="C832" t="s">
        <v>114</v>
      </c>
      <c r="D832" t="s">
        <v>2029</v>
      </c>
      <c r="E832">
        <v>1.1399999999999999</v>
      </c>
      <c r="F832" s="33">
        <v>24.5685</v>
      </c>
      <c r="G832" s="33" t="s">
        <v>3304</v>
      </c>
      <c r="H832" t="s">
        <v>1451</v>
      </c>
      <c r="I832" t="str">
        <f>IF(quantInv[[#This Row],[Metal]] = "925 Silver",  "7113.11.00"," 7113.19.00")</f>
        <v xml:space="preserve"> 7113.19.00</v>
      </c>
      <c r="J832" t="str">
        <f>IF(quantInv[[#This Row],[Metal]] = "925 Silver", "7113.11.10.00"," 7113.19.10.00")</f>
        <v xml:space="preserve"> 7113.19.10.00</v>
      </c>
      <c r="K832" t="str">
        <f>IF(quantInv[[#This Row],[Metal]] = "925 Silver",  "7113.11.00"," 7113.19.00")</f>
        <v xml:space="preserve"> 7113.19.00</v>
      </c>
      <c r="L832" t="str">
        <f>IFERROR(VLOOKUP(quantInv[[#This Row],[Description for New Invoice]],Map!$G$12:$H$32,2,FALSE), IF(quantInv[[#This Row],[Metal]] = "925 Silver", "7113.11.10.00", "7113.19.29.00"))</f>
        <v>7113.19.50.90</v>
      </c>
      <c r="M832" t="str">
        <f>quantInv[[#This Row],[ASIN]] &amp; " " &amp; quantInv[[#This Row],[Short Description]]</f>
        <v>B08MFPD6T2 Cross with Jesus Christ Pendant</v>
      </c>
      <c r="N832" s="33">
        <f>quantInv[[#This Row],[UNIT
VALUE]] / EURtoGBP</f>
        <v>27.888168088403059</v>
      </c>
      <c r="O832" s="33">
        <f>quantInv[[#This Row],[UNIT
VALUE]]/USDtoGBP</f>
        <v>33.679331800741075</v>
      </c>
      <c r="P832" s="33">
        <f>quantInv[[#This Row],[UNIT
VALUE]] / CADtoGBP</f>
        <v>43.111480777633304</v>
      </c>
      <c r="Q832" s="33">
        <f>quantInv[[#This Row],[UNIT
VALUE]]/AUDtoGBP</f>
        <v>44.127631295351676</v>
      </c>
      <c r="R832">
        <f>IFERROR(VLOOKUP(quantInv[[#This Row],[Assigned Item SKU]],skuQuantity[#All],2,FALSE),0)</f>
        <v>5</v>
      </c>
      <c r="S832" t="str">
        <f>PROPER(quantInv[[#This Row],[Metal]] &amp; " " &amp; quantInv[[#This Row],[Item Type]])</f>
        <v>9K Gold Pendant</v>
      </c>
      <c r="T832" s="33">
        <f>quantInv[[#This Row],[Quantity]]*quantInv[[#This Row],[WEIGHT]]</f>
        <v>5.6999999999999993</v>
      </c>
      <c r="U832" s="33">
        <f>quantInv[[#This Row],[UNIT
VALUE]]*quantInv[[#This Row],[Quantity]]</f>
        <v>122.8425</v>
      </c>
      <c r="V832" s="33">
        <f>quantInv[[#This Row],[Total Cost GBP]]/EURtoGBP</f>
        <v>139.44084044201529</v>
      </c>
      <c r="W832" s="33">
        <f>quantInv[[#This Row],[Total Cost GBP]]/USDtoGBP</f>
        <v>168.39665900370537</v>
      </c>
      <c r="X832" s="33">
        <f>quantInv[[#This Row],[Total Cost GBP]]/CADtoGBP</f>
        <v>215.5574038881665</v>
      </c>
      <c r="Y832" s="33">
        <f>quantInv[[#This Row],[Quantity]]*quantInv[[#This Row],[UNIT
VALUE AUD]]</f>
        <v>220.63815647675838</v>
      </c>
      <c r="Z832" s="33"/>
    </row>
    <row r="833" spans="1:26" x14ac:dyDescent="0.25">
      <c r="A833" t="s">
        <v>2030</v>
      </c>
      <c r="B833" t="s">
        <v>2031</v>
      </c>
      <c r="C833" t="s">
        <v>114</v>
      </c>
      <c r="D833" t="s">
        <v>2032</v>
      </c>
      <c r="E833">
        <v>1.61</v>
      </c>
      <c r="F833" s="33">
        <v>34.363399999999999</v>
      </c>
      <c r="G833" s="33" t="s">
        <v>3304</v>
      </c>
      <c r="H833" t="s">
        <v>2875</v>
      </c>
      <c r="I833" t="str">
        <f>IF(quantInv[[#This Row],[Metal]] = "925 Silver",  "7113.11.00"," 7113.19.00")</f>
        <v xml:space="preserve"> 7113.19.00</v>
      </c>
      <c r="J833" t="str">
        <f>IF(quantInv[[#This Row],[Metal]] = "925 Silver", "7113.11.10.00"," 7113.19.10.00")</f>
        <v xml:space="preserve"> 7113.19.10.00</v>
      </c>
      <c r="K833" t="str">
        <f>IF(quantInv[[#This Row],[Metal]] = "925 Silver",  "7113.11.00"," 7113.19.00")</f>
        <v xml:space="preserve"> 7113.19.00</v>
      </c>
      <c r="L833" t="str">
        <f>IFERROR(VLOOKUP(quantInv[[#This Row],[Description for New Invoice]],Map!$G$12:$H$32,2,FALSE), IF(quantInv[[#This Row],[Metal]] = "925 Silver", "7113.11.10.00", "7113.19.29.00"))</f>
        <v>7113.19.29.00</v>
      </c>
      <c r="M833" t="str">
        <f>quantInv[[#This Row],[ASIN]] &amp; " " &amp; quantInv[[#This Row],[Short Description]]</f>
        <v>B08MFPCLM5 Celtic Cross Pendant</v>
      </c>
      <c r="N833" s="33">
        <f>quantInv[[#This Row],[UNIT
VALUE]] / EURtoGBP</f>
        <v>39.006543960316243</v>
      </c>
      <c r="O833" s="33">
        <f>quantInv[[#This Row],[UNIT
VALUE]]/USDtoGBP</f>
        <v>47.106512420440225</v>
      </c>
      <c r="P833" s="33">
        <f>quantInv[[#This Row],[UNIT
VALUE]] / CADtoGBP</f>
        <v>60.299043838823053</v>
      </c>
      <c r="Q833" s="33">
        <f>quantInv[[#This Row],[UNIT
VALUE]]/AUDtoGBP</f>
        <v>61.720310367124071</v>
      </c>
      <c r="R833">
        <f>IFERROR(VLOOKUP(quantInv[[#This Row],[Assigned Item SKU]],skuQuantity[#All],2,FALSE),0)</f>
        <v>0</v>
      </c>
      <c r="S833" t="str">
        <f>PROPER(quantInv[[#This Row],[Metal]] &amp; " " &amp; quantInv[[#This Row],[Item Type]])</f>
        <v xml:space="preserve">9K Gold </v>
      </c>
      <c r="T833" s="33">
        <f>quantInv[[#This Row],[Quantity]]*quantInv[[#This Row],[WEIGHT]]</f>
        <v>0</v>
      </c>
      <c r="U833" s="33">
        <f>quantInv[[#This Row],[UNIT
VALUE]]*quantInv[[#This Row],[Quantity]]</f>
        <v>0</v>
      </c>
      <c r="V833" s="33">
        <f>quantInv[[#This Row],[Total Cost GBP]]/EURtoGBP</f>
        <v>0</v>
      </c>
      <c r="W833" s="33">
        <f>quantInv[[#This Row],[Total Cost GBP]]/USDtoGBP</f>
        <v>0</v>
      </c>
      <c r="X833" s="33">
        <f>quantInv[[#This Row],[Total Cost GBP]]/CADtoGBP</f>
        <v>0</v>
      </c>
      <c r="Y833" s="33">
        <f>quantInv[[#This Row],[Quantity]]*quantInv[[#This Row],[UNIT
VALUE AUD]]</f>
        <v>0</v>
      </c>
      <c r="Z833" s="33"/>
    </row>
    <row r="834" spans="1:26" x14ac:dyDescent="0.25">
      <c r="A834" t="s">
        <v>2033</v>
      </c>
      <c r="B834" t="s">
        <v>2034</v>
      </c>
      <c r="C834" t="s">
        <v>114</v>
      </c>
      <c r="D834" t="s">
        <v>2035</v>
      </c>
      <c r="E834">
        <v>1</v>
      </c>
      <c r="F834" s="33">
        <v>21.6508</v>
      </c>
      <c r="G834" s="33" t="s">
        <v>3304</v>
      </c>
      <c r="H834" t="s">
        <v>1451</v>
      </c>
      <c r="I834" t="str">
        <f>IF(quantInv[[#This Row],[Metal]] = "925 Silver",  "7113.11.00"," 7113.19.00")</f>
        <v xml:space="preserve"> 7113.19.00</v>
      </c>
      <c r="J834" t="str">
        <f>IF(quantInv[[#This Row],[Metal]] = "925 Silver", "7113.11.10.00"," 7113.19.10.00")</f>
        <v xml:space="preserve"> 7113.19.10.00</v>
      </c>
      <c r="K834" t="str">
        <f>IF(quantInv[[#This Row],[Metal]] = "925 Silver",  "7113.11.00"," 7113.19.00")</f>
        <v xml:space="preserve"> 7113.19.00</v>
      </c>
      <c r="L834" t="str">
        <f>IFERROR(VLOOKUP(quantInv[[#This Row],[Description for New Invoice]],Map!$G$12:$H$32,2,FALSE), IF(quantInv[[#This Row],[Metal]] = "925 Silver", "7113.11.10.00", "7113.19.29.00"))</f>
        <v>7113.19.50.90</v>
      </c>
      <c r="M834" t="str">
        <f>quantInv[[#This Row],[ASIN]] &amp; " " &amp; quantInv[[#This Row],[Short Description]]</f>
        <v>B08WPDB9G5 Heart Shape Pendant</v>
      </c>
      <c r="N834" s="33">
        <f>quantInv[[#This Row],[UNIT
VALUE]] / EURtoGBP</f>
        <v>24.576231745869588</v>
      </c>
      <c r="O834" s="33">
        <f>quantInv[[#This Row],[UNIT
VALUE]]/USDtoGBP</f>
        <v>29.679649834197644</v>
      </c>
      <c r="P834" s="33">
        <f>quantInv[[#This Row],[UNIT
VALUE]] / CADtoGBP</f>
        <v>37.991657936804572</v>
      </c>
      <c r="Q834" s="33">
        <f>quantInv[[#This Row],[UNIT
VALUE]]/AUDtoGBP</f>
        <v>38.887132696314389</v>
      </c>
      <c r="R834">
        <f>IFERROR(VLOOKUP(quantInv[[#This Row],[Assigned Item SKU]],skuQuantity[#All],2,FALSE),0)</f>
        <v>5</v>
      </c>
      <c r="S834" t="str">
        <f>PROPER(quantInv[[#This Row],[Metal]] &amp; " " &amp; quantInv[[#This Row],[Item Type]])</f>
        <v>9K Gold Pendant</v>
      </c>
      <c r="T834" s="33">
        <f>quantInv[[#This Row],[Quantity]]*quantInv[[#This Row],[WEIGHT]]</f>
        <v>5</v>
      </c>
      <c r="U834" s="33">
        <f>quantInv[[#This Row],[UNIT
VALUE]]*quantInv[[#This Row],[Quantity]]</f>
        <v>108.254</v>
      </c>
      <c r="V834" s="33">
        <f>quantInv[[#This Row],[Total Cost GBP]]/EURtoGBP</f>
        <v>122.88115872934793</v>
      </c>
      <c r="W834" s="33">
        <f>quantInv[[#This Row],[Total Cost GBP]]/USDtoGBP</f>
        <v>148.39824917098824</v>
      </c>
      <c r="X834" s="33">
        <f>quantInv[[#This Row],[Total Cost GBP]]/CADtoGBP</f>
        <v>189.95828968402287</v>
      </c>
      <c r="Y834" s="33">
        <f>quantInv[[#This Row],[Quantity]]*quantInv[[#This Row],[UNIT
VALUE AUD]]</f>
        <v>194.43566348157194</v>
      </c>
      <c r="Z834" s="33"/>
    </row>
    <row r="835" spans="1:26" x14ac:dyDescent="0.25">
      <c r="A835" t="s">
        <v>2036</v>
      </c>
      <c r="B835" t="s">
        <v>2037</v>
      </c>
      <c r="C835" t="s">
        <v>114</v>
      </c>
      <c r="D835" t="s">
        <v>2038</v>
      </c>
      <c r="E835">
        <v>0.62</v>
      </c>
      <c r="F835" s="33">
        <v>13.031499999999999</v>
      </c>
      <c r="G835" s="33" t="s">
        <v>3304</v>
      </c>
      <c r="H835" t="s">
        <v>2875</v>
      </c>
      <c r="I835" t="str">
        <f>IF(quantInv[[#This Row],[Metal]] = "925 Silver",  "7113.11.00"," 7113.19.00")</f>
        <v xml:space="preserve"> 7113.19.00</v>
      </c>
      <c r="J835" t="str">
        <f>IF(quantInv[[#This Row],[Metal]] = "925 Silver", "7113.11.10.00"," 7113.19.10.00")</f>
        <v xml:space="preserve"> 7113.19.10.00</v>
      </c>
      <c r="K835" t="str">
        <f>IF(quantInv[[#This Row],[Metal]] = "925 Silver",  "7113.11.00"," 7113.19.00")</f>
        <v xml:space="preserve"> 7113.19.00</v>
      </c>
      <c r="L835" t="str">
        <f>IFERROR(VLOOKUP(quantInv[[#This Row],[Description for New Invoice]],Map!$G$12:$H$32,2,FALSE), IF(quantInv[[#This Row],[Metal]] = "925 Silver", "7113.11.10.00", "7113.19.29.00"))</f>
        <v>7113.19.29.00</v>
      </c>
      <c r="M835" t="str">
        <f>quantInv[[#This Row],[ASIN]] &amp; " " &amp; quantInv[[#This Row],[Short Description]]</f>
        <v>B08WPD6WV5 Key Pendant</v>
      </c>
      <c r="N835" s="33">
        <f>quantInv[[#This Row],[UNIT
VALUE]] / EURtoGBP</f>
        <v>14.79230162378755</v>
      </c>
      <c r="O835" s="33">
        <f>quantInv[[#This Row],[UNIT
VALUE]]/USDtoGBP</f>
        <v>17.864021505641666</v>
      </c>
      <c r="P835" s="33">
        <f>quantInv[[#This Row],[UNIT
VALUE]] / CADtoGBP</f>
        <v>22.866974449141313</v>
      </c>
      <c r="Q835" s="33">
        <f>quantInv[[#This Row],[UNIT
VALUE]]/AUDtoGBP</f>
        <v>23.405955887635603</v>
      </c>
      <c r="R835">
        <f>IFERROR(VLOOKUP(quantInv[[#This Row],[Assigned Item SKU]],skuQuantity[#All],2,FALSE),0)</f>
        <v>0</v>
      </c>
      <c r="S835" t="str">
        <f>PROPER(quantInv[[#This Row],[Metal]] &amp; " " &amp; quantInv[[#This Row],[Item Type]])</f>
        <v xml:space="preserve">9K Gold </v>
      </c>
      <c r="T835" s="33">
        <f>quantInv[[#This Row],[Quantity]]*quantInv[[#This Row],[WEIGHT]]</f>
        <v>0</v>
      </c>
      <c r="U835" s="33">
        <f>quantInv[[#This Row],[UNIT
VALUE]]*quantInv[[#This Row],[Quantity]]</f>
        <v>0</v>
      </c>
      <c r="V835" s="33">
        <f>quantInv[[#This Row],[Total Cost GBP]]/EURtoGBP</f>
        <v>0</v>
      </c>
      <c r="W835" s="33">
        <f>quantInv[[#This Row],[Total Cost GBP]]/USDtoGBP</f>
        <v>0</v>
      </c>
      <c r="X835" s="33">
        <f>quantInv[[#This Row],[Total Cost GBP]]/CADtoGBP</f>
        <v>0</v>
      </c>
      <c r="Y835" s="33">
        <f>quantInv[[#This Row],[Quantity]]*quantInv[[#This Row],[UNIT
VALUE AUD]]</f>
        <v>0</v>
      </c>
      <c r="Z835" s="33"/>
    </row>
    <row r="836" spans="1:26" x14ac:dyDescent="0.25">
      <c r="A836" t="s">
        <v>1609</v>
      </c>
      <c r="B836" t="s">
        <v>1610</v>
      </c>
      <c r="C836" t="s">
        <v>114</v>
      </c>
      <c r="D836" t="s">
        <v>160</v>
      </c>
      <c r="E836">
        <v>1</v>
      </c>
      <c r="F836" s="33">
        <v>1.1940999999999999</v>
      </c>
      <c r="G836" s="33" t="s">
        <v>117</v>
      </c>
      <c r="H836" t="s">
        <v>103</v>
      </c>
      <c r="I836" t="str">
        <f>IF(quantInv[[#This Row],[Metal]] = "925 Silver",  "7113.11.00"," 7113.19.00")</f>
        <v>7113.11.00</v>
      </c>
      <c r="J836" t="str">
        <f>IF(quantInv[[#This Row],[Metal]] = "925 Silver", "7113.11.10.00"," 7113.19.10.00")</f>
        <v>7113.11.10.00</v>
      </c>
      <c r="K836" t="str">
        <f>IF(quantInv[[#This Row],[Metal]] = "925 Silver",  "7113.11.00"," 7113.19.00")</f>
        <v>7113.11.00</v>
      </c>
      <c r="L836" t="str">
        <f>IFERROR(VLOOKUP(quantInv[[#This Row],[Description for New Invoice]],Map!$G$12:$H$32,2,FALSE), IF(quantInv[[#This Row],[Metal]] = "925 Silver", "7113.11.10.00", "7113.19.29.00"))</f>
        <v>7113.11.10.00</v>
      </c>
      <c r="M836" t="str">
        <f>quantInv[[#This Row],[ASIN]] &amp; " " &amp; quantInv[[#This Row],[Short Description]]</f>
        <v>B0848DGCL7 Curb Chain</v>
      </c>
      <c r="N836" s="33">
        <f>quantInv[[#This Row],[UNIT
VALUE]] / EURtoGBP</f>
        <v>1.355445449024649</v>
      </c>
      <c r="O836" s="33">
        <f>quantInv[[#This Row],[UNIT
VALUE]]/USDtoGBP</f>
        <v>1.6369127176370113</v>
      </c>
      <c r="P836" s="33">
        <f>quantInv[[#This Row],[UNIT
VALUE]] / CADtoGBP</f>
        <v>2.0953423772949886</v>
      </c>
      <c r="Q836" s="33">
        <f>quantInv[[#This Row],[UNIT
VALUE]]/AUDtoGBP</f>
        <v>2.1447302248724762</v>
      </c>
      <c r="R836">
        <f>IFERROR(VLOOKUP(quantInv[[#This Row],[Assigned Item SKU]],skuQuantity[#All],2,FALSE),0)</f>
        <v>0</v>
      </c>
      <c r="S836" t="str">
        <f>PROPER(quantInv[[#This Row],[Metal]] &amp; " " &amp; quantInv[[#This Row],[Item Type]])</f>
        <v>925 Silver Chain</v>
      </c>
      <c r="T836" s="33">
        <f>quantInv[[#This Row],[Quantity]]*quantInv[[#This Row],[WEIGHT]]</f>
        <v>0</v>
      </c>
      <c r="U836" s="33">
        <f>quantInv[[#This Row],[UNIT
VALUE]]*quantInv[[#This Row],[Quantity]]</f>
        <v>0</v>
      </c>
      <c r="V836" s="33">
        <f>quantInv[[#This Row],[Total Cost GBP]]/EURtoGBP</f>
        <v>0</v>
      </c>
      <c r="W836" s="33">
        <f>quantInv[[#This Row],[Total Cost GBP]]/USDtoGBP</f>
        <v>0</v>
      </c>
      <c r="X836" s="33">
        <f>quantInv[[#This Row],[Total Cost GBP]]/CADtoGBP</f>
        <v>0</v>
      </c>
      <c r="Y836" s="33">
        <f>quantInv[[#This Row],[Quantity]]*quantInv[[#This Row],[UNIT
VALUE AUD]]</f>
        <v>0</v>
      </c>
      <c r="Z836" s="33"/>
    </row>
    <row r="837" spans="1:26" x14ac:dyDescent="0.25">
      <c r="A837" t="s">
        <v>2042</v>
      </c>
      <c r="B837" t="s">
        <v>2043</v>
      </c>
      <c r="C837" t="s">
        <v>114</v>
      </c>
      <c r="D837" t="s">
        <v>2044</v>
      </c>
      <c r="E837">
        <v>1.81</v>
      </c>
      <c r="F837" s="33">
        <v>2.7414999999999998</v>
      </c>
      <c r="G837" s="33" t="s">
        <v>117</v>
      </c>
      <c r="H837" t="s">
        <v>2875</v>
      </c>
      <c r="I837" t="str">
        <f>IF(quantInv[[#This Row],[Metal]] = "925 Silver",  "7113.11.00"," 7113.19.00")</f>
        <v>7113.11.00</v>
      </c>
      <c r="J837" t="str">
        <f>IF(quantInv[[#This Row],[Metal]] = "925 Silver", "7113.11.10.00"," 7113.19.10.00")</f>
        <v>7113.11.10.00</v>
      </c>
      <c r="K837" t="str">
        <f>IF(quantInv[[#This Row],[Metal]] = "925 Silver",  "7113.11.00"," 7113.19.00")</f>
        <v>7113.11.00</v>
      </c>
      <c r="L837" t="str">
        <f>IFERROR(VLOOKUP(quantInv[[#This Row],[Description for New Invoice]],Map!$G$12:$H$32,2,FALSE), IF(quantInv[[#This Row],[Metal]] = "925 Silver", "7113.11.10.00", "7113.19.29.00"))</f>
        <v>7113.11.10.00</v>
      </c>
      <c r="M837" t="str">
        <f>quantInv[[#This Row],[ASIN]] &amp; " " &amp; quantInv[[#This Row],[Short Description]]</f>
        <v>B08P3KDVBZ Textured Hoops with post notch</v>
      </c>
      <c r="N837" s="33">
        <f>quantInv[[#This Row],[UNIT
VALUE]] / EURtoGBP</f>
        <v>3.1119283967013445</v>
      </c>
      <c r="O837" s="33">
        <f>quantInv[[#This Row],[UNIT
VALUE]]/USDtoGBP</f>
        <v>3.758141039612986</v>
      </c>
      <c r="P837" s="33">
        <f>quantInv[[#This Row],[UNIT
VALUE]] / CADtoGBP</f>
        <v>4.8106365692607076</v>
      </c>
      <c r="Q837" s="33">
        <f>quantInv[[#This Row],[UNIT
VALUE]]/AUDtoGBP</f>
        <v>4.9240247144191391</v>
      </c>
      <c r="R837">
        <f>IFERROR(VLOOKUP(quantInv[[#This Row],[Assigned Item SKU]],skuQuantity[#All],2,FALSE),0)</f>
        <v>0</v>
      </c>
      <c r="S837" t="str">
        <f>PROPER(quantInv[[#This Row],[Metal]] &amp; " " &amp; quantInv[[#This Row],[Item Type]])</f>
        <v xml:space="preserve">925 Silver </v>
      </c>
      <c r="T837" s="33">
        <f>quantInv[[#This Row],[Quantity]]*quantInv[[#This Row],[WEIGHT]]</f>
        <v>0</v>
      </c>
      <c r="U837" s="33">
        <f>quantInv[[#This Row],[UNIT
VALUE]]*quantInv[[#This Row],[Quantity]]</f>
        <v>0</v>
      </c>
      <c r="V837" s="33">
        <f>quantInv[[#This Row],[Total Cost GBP]]/EURtoGBP</f>
        <v>0</v>
      </c>
      <c r="W837" s="33">
        <f>quantInv[[#This Row],[Total Cost GBP]]/USDtoGBP</f>
        <v>0</v>
      </c>
      <c r="X837" s="33">
        <f>quantInv[[#This Row],[Total Cost GBP]]/CADtoGBP</f>
        <v>0</v>
      </c>
      <c r="Y837" s="33">
        <f>quantInv[[#This Row],[Quantity]]*quantInv[[#This Row],[UNIT
VALUE AUD]]</f>
        <v>0</v>
      </c>
      <c r="Z837" s="33"/>
    </row>
    <row r="838" spans="1:26" x14ac:dyDescent="0.25">
      <c r="A838" t="s">
        <v>2045</v>
      </c>
      <c r="B838" t="s">
        <v>2046</v>
      </c>
      <c r="C838" t="s">
        <v>114</v>
      </c>
      <c r="D838" t="s">
        <v>2047</v>
      </c>
      <c r="E838">
        <v>2.5099999999999998</v>
      </c>
      <c r="F838" s="33">
        <v>3.4272999999999998</v>
      </c>
      <c r="G838" s="33" t="s">
        <v>117</v>
      </c>
      <c r="H838" t="s">
        <v>1310</v>
      </c>
      <c r="I838" t="str">
        <f>IF(quantInv[[#This Row],[Metal]] = "925 Silver",  "7113.11.00"," 7113.19.00")</f>
        <v>7113.11.00</v>
      </c>
      <c r="J838" t="str">
        <f>IF(quantInv[[#This Row],[Metal]] = "925 Silver", "7113.11.10.00"," 7113.19.10.00")</f>
        <v>7113.11.10.00</v>
      </c>
      <c r="K838" t="str">
        <f>IF(quantInv[[#This Row],[Metal]] = "925 Silver",  "7113.11.00"," 7113.19.00")</f>
        <v>7113.11.00</v>
      </c>
      <c r="L838" t="str">
        <f>IFERROR(VLOOKUP(quantInv[[#This Row],[Description for New Invoice]],Map!$G$12:$H$32,2,FALSE), IF(quantInv[[#This Row],[Metal]] = "925 Silver", "7113.11.10.00", "7113.19.29.00"))</f>
        <v>7113.11.50.00</v>
      </c>
      <c r="M838" t="str">
        <f>quantInv[[#This Row],[ASIN]] &amp; " " &amp; quantInv[[#This Row],[Short Description]]</f>
        <v>B08P3HR1R4 Twisted Hoops with two textures and post notch</v>
      </c>
      <c r="N838" s="33">
        <f>quantInv[[#This Row],[UNIT
VALUE]] / EURtoGBP</f>
        <v>3.8903929213986932</v>
      </c>
      <c r="O838" s="33">
        <f>quantInv[[#This Row],[UNIT
VALUE]]/USDtoGBP</f>
        <v>4.6982589039086582</v>
      </c>
      <c r="P838" s="33">
        <f>quantInv[[#This Row],[UNIT
VALUE]] / CADtoGBP</f>
        <v>6.0140414786894851</v>
      </c>
      <c r="Q838" s="33">
        <f>quantInv[[#This Row],[UNIT
VALUE]]/AUDtoGBP</f>
        <v>6.1557942380918158</v>
      </c>
      <c r="R838">
        <f>IFERROR(VLOOKUP(quantInv[[#This Row],[Assigned Item SKU]],skuQuantity[#All],2,FALSE),0)</f>
        <v>0</v>
      </c>
      <c r="S838" t="str">
        <f>PROPER(quantInv[[#This Row],[Metal]] &amp; " " &amp; quantInv[[#This Row],[Item Type]])</f>
        <v>925 Silver Earrings</v>
      </c>
      <c r="T838" s="33">
        <f>quantInv[[#This Row],[Quantity]]*quantInv[[#This Row],[WEIGHT]]</f>
        <v>0</v>
      </c>
      <c r="U838" s="33">
        <f>quantInv[[#This Row],[UNIT
VALUE]]*quantInv[[#This Row],[Quantity]]</f>
        <v>0</v>
      </c>
      <c r="V838" s="33">
        <f>quantInv[[#This Row],[Total Cost GBP]]/EURtoGBP</f>
        <v>0</v>
      </c>
      <c r="W838" s="33">
        <f>quantInv[[#This Row],[Total Cost GBP]]/USDtoGBP</f>
        <v>0</v>
      </c>
      <c r="X838" s="33">
        <f>quantInv[[#This Row],[Total Cost GBP]]/CADtoGBP</f>
        <v>0</v>
      </c>
      <c r="Y838" s="33">
        <f>quantInv[[#This Row],[Quantity]]*quantInv[[#This Row],[UNIT
VALUE AUD]]</f>
        <v>0</v>
      </c>
      <c r="Z838" s="33"/>
    </row>
    <row r="839" spans="1:26" x14ac:dyDescent="0.25">
      <c r="A839" t="s">
        <v>1613</v>
      </c>
      <c r="B839" t="s">
        <v>1614</v>
      </c>
      <c r="C839" t="s">
        <v>114</v>
      </c>
      <c r="D839" t="s">
        <v>160</v>
      </c>
      <c r="E839">
        <v>1.9</v>
      </c>
      <c r="F839" s="33">
        <v>2.1692999999999998</v>
      </c>
      <c r="G839" s="33" t="s">
        <v>117</v>
      </c>
      <c r="H839" t="s">
        <v>103</v>
      </c>
      <c r="I839" t="str">
        <f>IF(quantInv[[#This Row],[Metal]] = "925 Silver",  "7113.11.00"," 7113.19.00")</f>
        <v>7113.11.00</v>
      </c>
      <c r="J839" t="str">
        <f>IF(quantInv[[#This Row],[Metal]] = "925 Silver", "7113.11.10.00"," 7113.19.10.00")</f>
        <v>7113.11.10.00</v>
      </c>
      <c r="K839" t="str">
        <f>IF(quantInv[[#This Row],[Metal]] = "925 Silver",  "7113.11.00"," 7113.19.00")</f>
        <v>7113.11.00</v>
      </c>
      <c r="L839" t="str">
        <f>IFERROR(VLOOKUP(quantInv[[#This Row],[Description for New Invoice]],Map!$G$12:$H$32,2,FALSE), IF(quantInv[[#This Row],[Metal]] = "925 Silver", "7113.11.10.00", "7113.19.29.00"))</f>
        <v>7113.11.10.00</v>
      </c>
      <c r="M839" t="str">
        <f>quantInv[[#This Row],[ASIN]] &amp; " " &amp; quantInv[[#This Row],[Short Description]]</f>
        <v>B0848XD3PT Curb Chain</v>
      </c>
      <c r="N839" s="33">
        <f>quantInv[[#This Row],[UNIT
VALUE]] / EURtoGBP</f>
        <v>2.4624133762408267</v>
      </c>
      <c r="O839" s="33">
        <f>quantInv[[#This Row],[UNIT
VALUE]]/USDtoGBP</f>
        <v>2.9737499023280867</v>
      </c>
      <c r="P839" s="33">
        <f>quantInv[[#This Row],[UNIT
VALUE]] / CADtoGBP</f>
        <v>3.8065708224319721</v>
      </c>
      <c r="Q839" s="33">
        <f>quantInv[[#This Row],[UNIT
VALUE]]/AUDtoGBP</f>
        <v>3.8962928371291037</v>
      </c>
      <c r="R839">
        <f>IFERROR(VLOOKUP(quantInv[[#This Row],[Assigned Item SKU]],skuQuantity[#All],2,FALSE),0)</f>
        <v>5</v>
      </c>
      <c r="S839" t="str">
        <f>PROPER(quantInv[[#This Row],[Metal]] &amp; " " &amp; quantInv[[#This Row],[Item Type]])</f>
        <v>925 Silver Chain</v>
      </c>
      <c r="T839" s="33">
        <f>quantInv[[#This Row],[Quantity]]*quantInv[[#This Row],[WEIGHT]]</f>
        <v>9.5</v>
      </c>
      <c r="U839" s="33">
        <f>quantInv[[#This Row],[UNIT
VALUE]]*quantInv[[#This Row],[Quantity]]</f>
        <v>10.846499999999999</v>
      </c>
      <c r="V839" s="33">
        <f>quantInv[[#This Row],[Total Cost GBP]]/EURtoGBP</f>
        <v>12.312066881204133</v>
      </c>
      <c r="W839" s="33">
        <f>quantInv[[#This Row],[Total Cost GBP]]/USDtoGBP</f>
        <v>14.868749511640434</v>
      </c>
      <c r="X839" s="33">
        <f>quantInv[[#This Row],[Total Cost GBP]]/CADtoGBP</f>
        <v>19.03285411215986</v>
      </c>
      <c r="Y839" s="33">
        <f>quantInv[[#This Row],[Quantity]]*quantInv[[#This Row],[UNIT
VALUE AUD]]</f>
        <v>19.481464185645518</v>
      </c>
      <c r="Z839" s="33"/>
    </row>
    <row r="840" spans="1:26" x14ac:dyDescent="0.25">
      <c r="A840" t="s">
        <v>2051</v>
      </c>
      <c r="B840" t="s">
        <v>2052</v>
      </c>
      <c r="C840" t="s">
        <v>114</v>
      </c>
      <c r="D840" t="s">
        <v>2053</v>
      </c>
      <c r="E840">
        <v>2.31</v>
      </c>
      <c r="F840" s="33">
        <v>2.9594999999999998</v>
      </c>
      <c r="G840" s="33" t="s">
        <v>117</v>
      </c>
      <c r="H840" t="s">
        <v>2875</v>
      </c>
      <c r="I840" t="str">
        <f>IF(quantInv[[#This Row],[Metal]] = "925 Silver",  "7113.11.00"," 7113.19.00")</f>
        <v>7113.11.00</v>
      </c>
      <c r="J840" t="str">
        <f>IF(quantInv[[#This Row],[Metal]] = "925 Silver", "7113.11.10.00"," 7113.19.10.00")</f>
        <v>7113.11.10.00</v>
      </c>
      <c r="K840" t="str">
        <f>IF(quantInv[[#This Row],[Metal]] = "925 Silver",  "7113.11.00"," 7113.19.00")</f>
        <v>7113.11.00</v>
      </c>
      <c r="L840" t="str">
        <f>IFERROR(VLOOKUP(quantInv[[#This Row],[Description for New Invoice]],Map!$G$12:$H$32,2,FALSE), IF(quantInv[[#This Row],[Metal]] = "925 Silver", "7113.11.10.00", "7113.19.29.00"))</f>
        <v>7113.11.10.00</v>
      </c>
      <c r="M840" t="str">
        <f>quantInv[[#This Row],[ASIN]] &amp; " " &amp; quantInv[[#This Row],[Short Description]]</f>
        <v>B08P3JRT26 Polished Curb Open Hoops with butterfly back</v>
      </c>
      <c r="N840" s="33">
        <f>quantInv[[#This Row],[UNIT
VALUE]] / EURtoGBP</f>
        <v>3.3593843115220241</v>
      </c>
      <c r="O840" s="33">
        <f>quantInv[[#This Row],[UNIT
VALUE]]/USDtoGBP</f>
        <v>4.056982822080843</v>
      </c>
      <c r="P840" s="33">
        <f>quantInv[[#This Row],[UNIT
VALUE]] / CADtoGBP</f>
        <v>5.1931712298840278</v>
      </c>
      <c r="Q840" s="33">
        <f>quantInv[[#This Row],[UNIT
VALUE]]/AUDtoGBP</f>
        <v>5.3155758315970969</v>
      </c>
      <c r="R840">
        <f>IFERROR(VLOOKUP(quantInv[[#This Row],[Assigned Item SKU]],skuQuantity[#All],2,FALSE),0)</f>
        <v>0</v>
      </c>
      <c r="S840" t="str">
        <f>PROPER(quantInv[[#This Row],[Metal]] &amp; " " &amp; quantInv[[#This Row],[Item Type]])</f>
        <v xml:space="preserve">925 Silver </v>
      </c>
      <c r="T840" s="33">
        <f>quantInv[[#This Row],[Quantity]]*quantInv[[#This Row],[WEIGHT]]</f>
        <v>0</v>
      </c>
      <c r="U840" s="33">
        <f>quantInv[[#This Row],[UNIT
VALUE]]*quantInv[[#This Row],[Quantity]]</f>
        <v>0</v>
      </c>
      <c r="V840" s="33">
        <f>quantInv[[#This Row],[Total Cost GBP]]/EURtoGBP</f>
        <v>0</v>
      </c>
      <c r="W840" s="33">
        <f>quantInv[[#This Row],[Total Cost GBP]]/USDtoGBP</f>
        <v>0</v>
      </c>
      <c r="X840" s="33">
        <f>quantInv[[#This Row],[Total Cost GBP]]/CADtoGBP</f>
        <v>0</v>
      </c>
      <c r="Y840" s="33">
        <f>quantInv[[#This Row],[Quantity]]*quantInv[[#This Row],[UNIT
VALUE AUD]]</f>
        <v>0</v>
      </c>
      <c r="Z840" s="33"/>
    </row>
    <row r="841" spans="1:26" x14ac:dyDescent="0.25">
      <c r="A841" t="s">
        <v>1615</v>
      </c>
      <c r="B841" t="s">
        <v>1616</v>
      </c>
      <c r="C841" t="s">
        <v>114</v>
      </c>
      <c r="D841" t="s">
        <v>160</v>
      </c>
      <c r="E841">
        <v>2.8</v>
      </c>
      <c r="F841" s="33">
        <v>3.1444999999999999</v>
      </c>
      <c r="G841" s="33" t="s">
        <v>117</v>
      </c>
      <c r="H841" t="s">
        <v>103</v>
      </c>
      <c r="I841" t="str">
        <f>IF(quantInv[[#This Row],[Metal]] = "925 Silver",  "7113.11.00"," 7113.19.00")</f>
        <v>7113.11.00</v>
      </c>
      <c r="J841" t="str">
        <f>IF(quantInv[[#This Row],[Metal]] = "925 Silver", "7113.11.10.00"," 7113.19.10.00")</f>
        <v>7113.11.10.00</v>
      </c>
      <c r="K841" t="str">
        <f>IF(quantInv[[#This Row],[Metal]] = "925 Silver",  "7113.11.00"," 7113.19.00")</f>
        <v>7113.11.00</v>
      </c>
      <c r="L841" t="str">
        <f>IFERROR(VLOOKUP(quantInv[[#This Row],[Description for New Invoice]],Map!$G$12:$H$32,2,FALSE), IF(quantInv[[#This Row],[Metal]] = "925 Silver", "7113.11.10.00", "7113.19.29.00"))</f>
        <v>7113.11.10.00</v>
      </c>
      <c r="M841" t="str">
        <f>quantInv[[#This Row],[ASIN]] &amp; " " &amp; quantInv[[#This Row],[Short Description]]</f>
        <v>B0848PBC87 Curb Chain</v>
      </c>
      <c r="N841" s="33">
        <f>quantInv[[#This Row],[UNIT
VALUE]] / EURtoGBP</f>
        <v>3.5693813034570043</v>
      </c>
      <c r="O841" s="33">
        <f>quantInv[[#This Row],[UNIT
VALUE]]/USDtoGBP</f>
        <v>4.3105870870191625</v>
      </c>
      <c r="P841" s="33">
        <f>quantInv[[#This Row],[UNIT
VALUE]] / CADtoGBP</f>
        <v>5.5177992675689564</v>
      </c>
      <c r="Q841" s="33">
        <f>quantInv[[#This Row],[UNIT
VALUE]]/AUDtoGBP</f>
        <v>5.6478554493857311</v>
      </c>
      <c r="R841">
        <f>IFERROR(VLOOKUP(quantInv[[#This Row],[Assigned Item SKU]],skuQuantity[#All],2,FALSE),0)</f>
        <v>0</v>
      </c>
      <c r="S841" t="str">
        <f>PROPER(quantInv[[#This Row],[Metal]] &amp; " " &amp; quantInv[[#This Row],[Item Type]])</f>
        <v>925 Silver Chain</v>
      </c>
      <c r="T841" s="33">
        <f>quantInv[[#This Row],[Quantity]]*quantInv[[#This Row],[WEIGHT]]</f>
        <v>0</v>
      </c>
      <c r="U841" s="33">
        <f>quantInv[[#This Row],[UNIT
VALUE]]*quantInv[[#This Row],[Quantity]]</f>
        <v>0</v>
      </c>
      <c r="V841" s="33">
        <f>quantInv[[#This Row],[Total Cost GBP]]/EURtoGBP</f>
        <v>0</v>
      </c>
      <c r="W841" s="33">
        <f>quantInv[[#This Row],[Total Cost GBP]]/USDtoGBP</f>
        <v>0</v>
      </c>
      <c r="X841" s="33">
        <f>quantInv[[#This Row],[Total Cost GBP]]/CADtoGBP</f>
        <v>0</v>
      </c>
      <c r="Y841" s="33">
        <f>quantInv[[#This Row],[Quantity]]*quantInv[[#This Row],[UNIT
VALUE AUD]]</f>
        <v>0</v>
      </c>
      <c r="Z841" s="33"/>
    </row>
    <row r="842" spans="1:26" x14ac:dyDescent="0.25">
      <c r="A842" t="s">
        <v>1623</v>
      </c>
      <c r="B842" t="s">
        <v>1624</v>
      </c>
      <c r="C842" t="s">
        <v>114</v>
      </c>
      <c r="D842" t="s">
        <v>1625</v>
      </c>
      <c r="E842">
        <v>2.1</v>
      </c>
      <c r="F842" s="33">
        <v>2.3304999999999998</v>
      </c>
      <c r="G842" s="33" t="s">
        <v>117</v>
      </c>
      <c r="H842" t="s">
        <v>103</v>
      </c>
      <c r="I842" t="str">
        <f>IF(quantInv[[#This Row],[Metal]] = "925 Silver",  "7113.11.00"," 7113.19.00")</f>
        <v>7113.11.00</v>
      </c>
      <c r="J842" t="str">
        <f>IF(quantInv[[#This Row],[Metal]] = "925 Silver", "7113.11.10.00"," 7113.19.10.00")</f>
        <v>7113.11.10.00</v>
      </c>
      <c r="K842" t="str">
        <f>IF(quantInv[[#This Row],[Metal]] = "925 Silver",  "7113.11.00"," 7113.19.00")</f>
        <v>7113.11.00</v>
      </c>
      <c r="L842" t="str">
        <f>IFERROR(VLOOKUP(quantInv[[#This Row],[Description for New Invoice]],Map!$G$12:$H$32,2,FALSE), IF(quantInv[[#This Row],[Metal]] = "925 Silver", "7113.11.10.00", "7113.19.29.00"))</f>
        <v>7113.11.10.00</v>
      </c>
      <c r="M842" t="str">
        <f>quantInv[[#This Row],[ASIN]] &amp; " " &amp; quantInv[[#This Row],[Short Description]]</f>
        <v>B0848HKWN9 Belcher/Trace Chain</v>
      </c>
      <c r="N842" s="33">
        <f>quantInv[[#This Row],[UNIT
VALUE]] / EURtoGBP</f>
        <v>2.6453945389430906</v>
      </c>
      <c r="O842" s="33">
        <f>quantInv[[#This Row],[UNIT
VALUE]]/USDtoGBP</f>
        <v>3.1947283212905577</v>
      </c>
      <c r="P842" s="33">
        <f>quantInv[[#This Row],[UNIT
VALUE]] / CADtoGBP</f>
        <v>4.0894359017552722</v>
      </c>
      <c r="Q842" s="33">
        <f>quantInv[[#This Row],[UNIT
VALUE]]/AUDtoGBP</f>
        <v>4.1858251311157408</v>
      </c>
      <c r="R842">
        <f>IFERROR(VLOOKUP(quantInv[[#This Row],[Assigned Item SKU]],skuQuantity[#All],2,FALSE),0)</f>
        <v>5</v>
      </c>
      <c r="S842" t="str">
        <f>PROPER(quantInv[[#This Row],[Metal]] &amp; " " &amp; quantInv[[#This Row],[Item Type]])</f>
        <v>925 Silver Chain</v>
      </c>
      <c r="T842" s="33">
        <f>quantInv[[#This Row],[Quantity]]*quantInv[[#This Row],[WEIGHT]]</f>
        <v>10.5</v>
      </c>
      <c r="U842" s="33">
        <f>quantInv[[#This Row],[UNIT
VALUE]]*quantInv[[#This Row],[Quantity]]</f>
        <v>11.6525</v>
      </c>
      <c r="V842" s="33">
        <f>quantInv[[#This Row],[Total Cost GBP]]/EURtoGBP</f>
        <v>13.226972694715453</v>
      </c>
      <c r="W842" s="33">
        <f>quantInv[[#This Row],[Total Cost GBP]]/USDtoGBP</f>
        <v>15.973641606452789</v>
      </c>
      <c r="X842" s="33">
        <f>quantInv[[#This Row],[Total Cost GBP]]/CADtoGBP</f>
        <v>20.447179508776362</v>
      </c>
      <c r="Y842" s="33">
        <f>quantInv[[#This Row],[Quantity]]*quantInv[[#This Row],[UNIT
VALUE AUD]]</f>
        <v>20.929125655578705</v>
      </c>
      <c r="Z842" s="33"/>
    </row>
    <row r="843" spans="1:26" x14ac:dyDescent="0.25">
      <c r="A843" t="s">
        <v>2060</v>
      </c>
      <c r="B843" t="s">
        <v>2061</v>
      </c>
      <c r="C843" t="s">
        <v>114</v>
      </c>
      <c r="D843" t="s">
        <v>2062</v>
      </c>
      <c r="E843">
        <v>5.17</v>
      </c>
      <c r="F843" s="33">
        <v>5.5243000000000002</v>
      </c>
      <c r="G843" s="33" t="s">
        <v>117</v>
      </c>
      <c r="H843" t="s">
        <v>2875</v>
      </c>
      <c r="I843" t="str">
        <f>IF(quantInv[[#This Row],[Metal]] = "925 Silver",  "7113.11.00"," 7113.19.00")</f>
        <v>7113.11.00</v>
      </c>
      <c r="J843" t="str">
        <f>IF(quantInv[[#This Row],[Metal]] = "925 Silver", "7113.11.10.00"," 7113.19.10.00")</f>
        <v>7113.11.10.00</v>
      </c>
      <c r="K843" t="str">
        <f>IF(quantInv[[#This Row],[Metal]] = "925 Silver",  "7113.11.00"," 7113.19.00")</f>
        <v>7113.11.00</v>
      </c>
      <c r="L843" t="str">
        <f>IFERROR(VLOOKUP(quantInv[[#This Row],[Description for New Invoice]],Map!$G$12:$H$32,2,FALSE), IF(quantInv[[#This Row],[Metal]] = "925 Silver", "7113.11.10.00", "7113.19.29.00"))</f>
        <v>7113.11.10.00</v>
      </c>
      <c r="M843" t="str">
        <f>quantInv[[#This Row],[ASIN]] &amp; " " &amp; quantInv[[#This Row],[Short Description]]</f>
        <v>B08P3KRGGG Big Polished Curb Open Hoops with butterfly back (hexagon)</v>
      </c>
      <c r="N843" s="33">
        <f>quantInv[[#This Row],[UNIT
VALUE]] / EURtoGBP</f>
        <v>6.2707372029535797</v>
      </c>
      <c r="O843" s="33">
        <f>quantInv[[#This Row],[UNIT
VALUE]]/USDtoGBP</f>
        <v>7.5728975178311222</v>
      </c>
      <c r="P843" s="33">
        <f>quantInv[[#This Row],[UNIT
VALUE]] / CADtoGBP</f>
        <v>9.6937441545018892</v>
      </c>
      <c r="Q843" s="33">
        <f>quantInv[[#This Row],[UNIT
VALUE]]/AUDtoGBP</f>
        <v>9.9222286083770381</v>
      </c>
      <c r="R843">
        <f>IFERROR(VLOOKUP(quantInv[[#This Row],[Assigned Item SKU]],skuQuantity[#All],2,FALSE),0)</f>
        <v>0</v>
      </c>
      <c r="S843" t="str">
        <f>PROPER(quantInv[[#This Row],[Metal]] &amp; " " &amp; quantInv[[#This Row],[Item Type]])</f>
        <v xml:space="preserve">925 Silver </v>
      </c>
      <c r="T843" s="33">
        <f>quantInv[[#This Row],[Quantity]]*quantInv[[#This Row],[WEIGHT]]</f>
        <v>0</v>
      </c>
      <c r="U843" s="33">
        <f>quantInv[[#This Row],[UNIT
VALUE]]*quantInv[[#This Row],[Quantity]]</f>
        <v>0</v>
      </c>
      <c r="V843" s="33">
        <f>quantInv[[#This Row],[Total Cost GBP]]/EURtoGBP</f>
        <v>0</v>
      </c>
      <c r="W843" s="33">
        <f>quantInv[[#This Row],[Total Cost GBP]]/USDtoGBP</f>
        <v>0</v>
      </c>
      <c r="X843" s="33">
        <f>quantInv[[#This Row],[Total Cost GBP]]/CADtoGBP</f>
        <v>0</v>
      </c>
      <c r="Y843" s="33">
        <f>quantInv[[#This Row],[Quantity]]*quantInv[[#This Row],[UNIT
VALUE AUD]]</f>
        <v>0</v>
      </c>
      <c r="Z843" s="33"/>
    </row>
    <row r="844" spans="1:26" x14ac:dyDescent="0.25">
      <c r="A844" t="s">
        <v>2063</v>
      </c>
      <c r="B844" t="s">
        <v>2064</v>
      </c>
      <c r="C844" t="s">
        <v>114</v>
      </c>
      <c r="D844" t="s">
        <v>2065</v>
      </c>
      <c r="E844">
        <v>4.28</v>
      </c>
      <c r="F844" s="33">
        <v>4.9085999999999999</v>
      </c>
      <c r="G844" s="33" t="s">
        <v>117</v>
      </c>
      <c r="H844" t="s">
        <v>2875</v>
      </c>
      <c r="I844" t="str">
        <f>IF(quantInv[[#This Row],[Metal]] = "925 Silver",  "7113.11.00"," 7113.19.00")</f>
        <v>7113.11.00</v>
      </c>
      <c r="J844" t="str">
        <f>IF(quantInv[[#This Row],[Metal]] = "925 Silver", "7113.11.10.00"," 7113.19.10.00")</f>
        <v>7113.11.10.00</v>
      </c>
      <c r="K844" t="str">
        <f>IF(quantInv[[#This Row],[Metal]] = "925 Silver",  "7113.11.00"," 7113.19.00")</f>
        <v>7113.11.00</v>
      </c>
      <c r="L844" t="str">
        <f>IFERROR(VLOOKUP(quantInv[[#This Row],[Description for New Invoice]],Map!$G$12:$H$32,2,FALSE), IF(quantInv[[#This Row],[Metal]] = "925 Silver", "7113.11.10.00", "7113.19.29.00"))</f>
        <v>7113.11.10.00</v>
      </c>
      <c r="M844" t="str">
        <f>quantInv[[#This Row],[ASIN]] &amp; " " &amp; quantInv[[#This Row],[Short Description]]</f>
        <v>B08PC57JQL Polished Infinity Drop Earrings with post notch</v>
      </c>
      <c r="N844" s="33">
        <f>quantInv[[#This Row],[UNIT
VALUE]] / EURtoGBP</f>
        <v>5.5718445114164581</v>
      </c>
      <c r="O844" s="33">
        <f>quantInv[[#This Row],[UNIT
VALUE]]/USDtoGBP</f>
        <v>6.7288751074391042</v>
      </c>
      <c r="P844" s="33">
        <f>quantInv[[#This Row],[UNIT
VALUE]] / CADtoGBP</f>
        <v>8.6133469501634536</v>
      </c>
      <c r="Q844" s="33">
        <f>quantInv[[#This Row],[UNIT
VALUE]]/AUDtoGBP</f>
        <v>8.8163661182556208</v>
      </c>
      <c r="R844">
        <f>IFERROR(VLOOKUP(quantInv[[#This Row],[Assigned Item SKU]],skuQuantity[#All],2,FALSE),0)</f>
        <v>0</v>
      </c>
      <c r="S844" t="str">
        <f>PROPER(quantInv[[#This Row],[Metal]] &amp; " " &amp; quantInv[[#This Row],[Item Type]])</f>
        <v xml:space="preserve">925 Silver </v>
      </c>
      <c r="T844" s="33">
        <f>quantInv[[#This Row],[Quantity]]*quantInv[[#This Row],[WEIGHT]]</f>
        <v>0</v>
      </c>
      <c r="U844" s="33">
        <f>quantInv[[#This Row],[UNIT
VALUE]]*quantInv[[#This Row],[Quantity]]</f>
        <v>0</v>
      </c>
      <c r="V844" s="33">
        <f>quantInv[[#This Row],[Total Cost GBP]]/EURtoGBP</f>
        <v>0</v>
      </c>
      <c r="W844" s="33">
        <f>quantInv[[#This Row],[Total Cost GBP]]/USDtoGBP</f>
        <v>0</v>
      </c>
      <c r="X844" s="33">
        <f>quantInv[[#This Row],[Total Cost GBP]]/CADtoGBP</f>
        <v>0</v>
      </c>
      <c r="Y844" s="33">
        <f>quantInv[[#This Row],[Quantity]]*quantInv[[#This Row],[UNIT
VALUE AUD]]</f>
        <v>0</v>
      </c>
      <c r="Z844" s="33"/>
    </row>
    <row r="845" spans="1:26" x14ac:dyDescent="0.25">
      <c r="A845" t="s">
        <v>2066</v>
      </c>
      <c r="B845" t="s">
        <v>2067</v>
      </c>
      <c r="C845" t="s">
        <v>114</v>
      </c>
      <c r="D845" t="s">
        <v>2068</v>
      </c>
      <c r="E845">
        <v>3</v>
      </c>
      <c r="F845" s="33">
        <v>4.5034000000000001</v>
      </c>
      <c r="G845" s="33" t="s">
        <v>117</v>
      </c>
      <c r="H845" t="s">
        <v>2875</v>
      </c>
      <c r="I845" t="str">
        <f>IF(quantInv[[#This Row],[Metal]] = "925 Silver",  "7113.11.00"," 7113.19.00")</f>
        <v>7113.11.00</v>
      </c>
      <c r="J845" t="str">
        <f>IF(quantInv[[#This Row],[Metal]] = "925 Silver", "7113.11.10.00"," 7113.19.10.00")</f>
        <v>7113.11.10.00</v>
      </c>
      <c r="K845" t="str">
        <f>IF(quantInv[[#This Row],[Metal]] = "925 Silver",  "7113.11.00"," 7113.19.00")</f>
        <v>7113.11.00</v>
      </c>
      <c r="L845" t="str">
        <f>IFERROR(VLOOKUP(quantInv[[#This Row],[Description for New Invoice]],Map!$G$12:$H$32,2,FALSE), IF(quantInv[[#This Row],[Metal]] = "925 Silver", "7113.11.10.00", "7113.19.29.00"))</f>
        <v>7113.11.10.00</v>
      </c>
      <c r="M845" t="str">
        <f>quantInv[[#This Row],[ASIN]] &amp; " " &amp; quantInv[[#This Row],[Short Description]]</f>
        <v>B08PC9HQJX Big Single Heart Drop Earrings with butterfly back</v>
      </c>
      <c r="N845" s="33">
        <f>quantInv[[#This Row],[UNIT
VALUE]] / EURtoGBP</f>
        <v>5.1118943431350852</v>
      </c>
      <c r="O845" s="33">
        <f>quantInv[[#This Row],[UNIT
VALUE]]/USDtoGBP</f>
        <v>6.1734132255309584</v>
      </c>
      <c r="P845" s="33">
        <f>quantInv[[#This Row],[UNIT
VALUE]] / CADtoGBP</f>
        <v>7.9023238103259787</v>
      </c>
      <c r="Q845" s="33">
        <f>quantInv[[#This Row],[UNIT
VALUE]]/AUDtoGBP</f>
        <v>8.0885839499964067</v>
      </c>
      <c r="R845">
        <f>IFERROR(VLOOKUP(quantInv[[#This Row],[Assigned Item SKU]],skuQuantity[#All],2,FALSE),0)</f>
        <v>0</v>
      </c>
      <c r="S845" t="str">
        <f>PROPER(quantInv[[#This Row],[Metal]] &amp; " " &amp; quantInv[[#This Row],[Item Type]])</f>
        <v xml:space="preserve">925 Silver </v>
      </c>
      <c r="T845" s="33">
        <f>quantInv[[#This Row],[Quantity]]*quantInv[[#This Row],[WEIGHT]]</f>
        <v>0</v>
      </c>
      <c r="U845" s="33">
        <f>quantInv[[#This Row],[UNIT
VALUE]]*quantInv[[#This Row],[Quantity]]</f>
        <v>0</v>
      </c>
      <c r="V845" s="33">
        <f>quantInv[[#This Row],[Total Cost GBP]]/EURtoGBP</f>
        <v>0</v>
      </c>
      <c r="W845" s="33">
        <f>quantInv[[#This Row],[Total Cost GBP]]/USDtoGBP</f>
        <v>0</v>
      </c>
      <c r="X845" s="33">
        <f>quantInv[[#This Row],[Total Cost GBP]]/CADtoGBP</f>
        <v>0</v>
      </c>
      <c r="Y845" s="33">
        <f>quantInv[[#This Row],[Quantity]]*quantInv[[#This Row],[UNIT
VALUE AUD]]</f>
        <v>0</v>
      </c>
      <c r="Z845" s="33"/>
    </row>
    <row r="846" spans="1:26" x14ac:dyDescent="0.25">
      <c r="A846" t="s">
        <v>2069</v>
      </c>
      <c r="B846" t="s">
        <v>2070</v>
      </c>
      <c r="C846" t="s">
        <v>115</v>
      </c>
      <c r="D846" t="s">
        <v>2071</v>
      </c>
      <c r="E846">
        <v>0.85</v>
      </c>
      <c r="F846" s="33">
        <v>2.2646999999999999</v>
      </c>
      <c r="G846" s="33" t="s">
        <v>117</v>
      </c>
      <c r="H846" t="s">
        <v>1451</v>
      </c>
      <c r="I846" t="str">
        <f>IF(quantInv[[#This Row],[Metal]] = "925 Silver",  "7113.11.00"," 7113.19.00")</f>
        <v>7113.11.00</v>
      </c>
      <c r="J846" t="str">
        <f>IF(quantInv[[#This Row],[Metal]] = "925 Silver", "7113.11.10.00"," 7113.19.10.00")</f>
        <v>7113.11.10.00</v>
      </c>
      <c r="K846" t="str">
        <f>IF(quantInv[[#This Row],[Metal]] = "925 Silver",  "7113.11.00"," 7113.19.00")</f>
        <v>7113.11.00</v>
      </c>
      <c r="L846" t="str">
        <f>IFERROR(VLOOKUP(quantInv[[#This Row],[Description for New Invoice]],Map!$G$12:$H$32,2,FALSE), IF(quantInv[[#This Row],[Metal]] = "925 Silver", "7113.11.10.00", "7113.19.29.00"))</f>
        <v>7113.11.50.00</v>
      </c>
      <c r="M846" t="str">
        <f>quantInv[[#This Row],[ASIN]] &amp; " " &amp; quantInv[[#This Row],[Short Description]]</f>
        <v>B08MFPJZGP Polished Medium Cross Pendant</v>
      </c>
      <c r="N846" s="33">
        <f>quantInv[[#This Row],[UNIT
VALUE]] / EURtoGBP</f>
        <v>2.570703716946757</v>
      </c>
      <c r="O846" s="33">
        <f>quantInv[[#This Row],[UNIT
VALUE]]/USDtoGBP</f>
        <v>3.1045274530043878</v>
      </c>
      <c r="P846" s="33">
        <f>quantInv[[#This Row],[UNIT
VALUE]] / CADtoGBP</f>
        <v>3.9739736051084167</v>
      </c>
      <c r="Q846" s="33">
        <f>quantInv[[#This Row],[UNIT
VALUE]]/AUDtoGBP</f>
        <v>4.0676413535455129</v>
      </c>
      <c r="R846">
        <f>IFERROR(VLOOKUP(quantInv[[#This Row],[Assigned Item SKU]],skuQuantity[#All],2,FALSE),0)</f>
        <v>0</v>
      </c>
      <c r="S846" t="str">
        <f>PROPER(quantInv[[#This Row],[Metal]] &amp; " " &amp; quantInv[[#This Row],[Item Type]])</f>
        <v>925 Silver Pendant</v>
      </c>
      <c r="T846" s="33">
        <f>quantInv[[#This Row],[Quantity]]*quantInv[[#This Row],[WEIGHT]]</f>
        <v>0</v>
      </c>
      <c r="U846" s="33">
        <f>quantInv[[#This Row],[UNIT
VALUE]]*quantInv[[#This Row],[Quantity]]</f>
        <v>0</v>
      </c>
      <c r="V846" s="33">
        <f>quantInv[[#This Row],[Total Cost GBP]]/EURtoGBP</f>
        <v>0</v>
      </c>
      <c r="W846" s="33">
        <f>quantInv[[#This Row],[Total Cost GBP]]/USDtoGBP</f>
        <v>0</v>
      </c>
      <c r="X846" s="33">
        <f>quantInv[[#This Row],[Total Cost GBP]]/CADtoGBP</f>
        <v>0</v>
      </c>
      <c r="Y846" s="33">
        <f>quantInv[[#This Row],[Quantity]]*quantInv[[#This Row],[UNIT
VALUE AUD]]</f>
        <v>0</v>
      </c>
      <c r="Z846" s="33"/>
    </row>
    <row r="847" spans="1:26" x14ac:dyDescent="0.25">
      <c r="A847" t="s">
        <v>1626</v>
      </c>
      <c r="B847" t="s">
        <v>1627</v>
      </c>
      <c r="C847" t="s">
        <v>114</v>
      </c>
      <c r="D847" t="s">
        <v>1625</v>
      </c>
      <c r="E847">
        <v>2.2999999999999998</v>
      </c>
      <c r="F847" s="33">
        <v>2.5419</v>
      </c>
      <c r="G847" s="33" t="s">
        <v>117</v>
      </c>
      <c r="H847" t="s">
        <v>103</v>
      </c>
      <c r="I847" t="str">
        <f>IF(quantInv[[#This Row],[Metal]] = "925 Silver",  "7113.11.00"," 7113.19.00")</f>
        <v>7113.11.00</v>
      </c>
      <c r="J847" t="str">
        <f>IF(quantInv[[#This Row],[Metal]] = "925 Silver", "7113.11.10.00"," 7113.19.10.00")</f>
        <v>7113.11.10.00</v>
      </c>
      <c r="K847" t="str">
        <f>IF(quantInv[[#This Row],[Metal]] = "925 Silver",  "7113.11.00"," 7113.19.00")</f>
        <v>7113.11.00</v>
      </c>
      <c r="L847" t="str">
        <f>IFERROR(VLOOKUP(quantInv[[#This Row],[Description for New Invoice]],Map!$G$12:$H$32,2,FALSE), IF(quantInv[[#This Row],[Metal]] = "925 Silver", "7113.11.10.00", "7113.19.29.00"))</f>
        <v>7113.11.10.00</v>
      </c>
      <c r="M847" t="str">
        <f>quantInv[[#This Row],[ASIN]] &amp; " " &amp; quantInv[[#This Row],[Short Description]]</f>
        <v>B0848TSCTS Belcher/Trace Chain</v>
      </c>
      <c r="N847" s="33">
        <f>quantInv[[#This Row],[UNIT
VALUE]] / EURtoGBP</f>
        <v>2.8853586691866306</v>
      </c>
      <c r="O847" s="33">
        <f>quantInv[[#This Row],[UNIT
VALUE]]/USDtoGBP</f>
        <v>3.4845226002525078</v>
      </c>
      <c r="P847" s="33">
        <f>quantInv[[#This Row],[UNIT
VALUE]] / CADtoGBP</f>
        <v>4.4603892377909151</v>
      </c>
      <c r="Q847" s="33">
        <f>quantInv[[#This Row],[UNIT
VALUE]]/AUDtoGBP</f>
        <v>4.5655219484158343</v>
      </c>
      <c r="R847">
        <f>IFERROR(VLOOKUP(quantInv[[#This Row],[Assigned Item SKU]],skuQuantity[#All],2,FALSE),0)</f>
        <v>0</v>
      </c>
      <c r="S847" t="str">
        <f>PROPER(quantInv[[#This Row],[Metal]] &amp; " " &amp; quantInv[[#This Row],[Item Type]])</f>
        <v>925 Silver Chain</v>
      </c>
      <c r="T847" s="33">
        <f>quantInv[[#This Row],[Quantity]]*quantInv[[#This Row],[WEIGHT]]</f>
        <v>0</v>
      </c>
      <c r="U847" s="33">
        <f>quantInv[[#This Row],[UNIT
VALUE]]*quantInv[[#This Row],[Quantity]]</f>
        <v>0</v>
      </c>
      <c r="V847" s="33">
        <f>quantInv[[#This Row],[Total Cost GBP]]/EURtoGBP</f>
        <v>0</v>
      </c>
      <c r="W847" s="33">
        <f>quantInv[[#This Row],[Total Cost GBP]]/USDtoGBP</f>
        <v>0</v>
      </c>
      <c r="X847" s="33">
        <f>quantInv[[#This Row],[Total Cost GBP]]/CADtoGBP</f>
        <v>0</v>
      </c>
      <c r="Y847" s="33">
        <f>quantInv[[#This Row],[Quantity]]*quantInv[[#This Row],[UNIT
VALUE AUD]]</f>
        <v>0</v>
      </c>
      <c r="Z847" s="33"/>
    </row>
    <row r="848" spans="1:26" x14ac:dyDescent="0.25">
      <c r="A848" t="s">
        <v>1638</v>
      </c>
      <c r="B848" t="s">
        <v>1639</v>
      </c>
      <c r="C848" t="s">
        <v>114</v>
      </c>
      <c r="D848" t="s">
        <v>213</v>
      </c>
      <c r="E848">
        <v>2.6</v>
      </c>
      <c r="F848" s="33">
        <v>2.9735999999999998</v>
      </c>
      <c r="G848" s="33" t="s">
        <v>117</v>
      </c>
      <c r="H848" t="s">
        <v>103</v>
      </c>
      <c r="I848" t="str">
        <f>IF(quantInv[[#This Row],[Metal]] = "925 Silver",  "7113.11.00"," 7113.19.00")</f>
        <v>7113.11.00</v>
      </c>
      <c r="J848" t="str">
        <f>IF(quantInv[[#This Row],[Metal]] = "925 Silver", "7113.11.10.00"," 7113.19.10.00")</f>
        <v>7113.11.10.00</v>
      </c>
      <c r="K848" t="str">
        <f>IF(quantInv[[#This Row],[Metal]] = "925 Silver",  "7113.11.00"," 7113.19.00")</f>
        <v>7113.11.00</v>
      </c>
      <c r="L848" t="str">
        <f>IFERROR(VLOOKUP(quantInv[[#This Row],[Description for New Invoice]],Map!$G$12:$H$32,2,FALSE), IF(quantInv[[#This Row],[Metal]] = "925 Silver", "7113.11.10.00", "7113.19.29.00"))</f>
        <v>7113.11.10.00</v>
      </c>
      <c r="M848" t="str">
        <f>quantInv[[#This Row],[ASIN]] &amp; " " &amp; quantInv[[#This Row],[Short Description]]</f>
        <v>B0848RZ8LJ Ball Chain</v>
      </c>
      <c r="N848" s="33">
        <f>quantInv[[#This Row],[UNIT
VALUE]] / EURtoGBP</f>
        <v>3.3753894876640955</v>
      </c>
      <c r="O848" s="33">
        <f>quantInv[[#This Row],[UNIT
VALUE]]/USDtoGBP</f>
        <v>4.0763115795707368</v>
      </c>
      <c r="P848" s="33">
        <f>quantInv[[#This Row],[UNIT
VALUE]] / CADtoGBP</f>
        <v>5.217913150594069</v>
      </c>
      <c r="Q848" s="33">
        <f>quantInv[[#This Row],[UNIT
VALUE]]/AUDtoGBP</f>
        <v>5.3409009267907175</v>
      </c>
      <c r="R848">
        <f>IFERROR(VLOOKUP(quantInv[[#This Row],[Assigned Item SKU]],skuQuantity[#All],2,FALSE),0)</f>
        <v>5</v>
      </c>
      <c r="S848" t="str">
        <f>PROPER(quantInv[[#This Row],[Metal]] &amp; " " &amp; quantInv[[#This Row],[Item Type]])</f>
        <v>925 Silver Chain</v>
      </c>
      <c r="T848" s="33">
        <f>quantInv[[#This Row],[Quantity]]*quantInv[[#This Row],[WEIGHT]]</f>
        <v>13</v>
      </c>
      <c r="U848" s="33">
        <f>quantInv[[#This Row],[UNIT
VALUE]]*quantInv[[#This Row],[Quantity]]</f>
        <v>14.867999999999999</v>
      </c>
      <c r="V848" s="33">
        <f>quantInv[[#This Row],[Total Cost GBP]]/EURtoGBP</f>
        <v>16.876947438320478</v>
      </c>
      <c r="W848" s="33">
        <f>quantInv[[#This Row],[Total Cost GBP]]/USDtoGBP</f>
        <v>20.381557897853682</v>
      </c>
      <c r="X848" s="33">
        <f>quantInv[[#This Row],[Total Cost GBP]]/CADtoGBP</f>
        <v>26.089565752970344</v>
      </c>
      <c r="Y848" s="33">
        <f>quantInv[[#This Row],[Quantity]]*quantInv[[#This Row],[UNIT
VALUE AUD]]</f>
        <v>26.704504633953587</v>
      </c>
      <c r="Z848" s="33"/>
    </row>
    <row r="849" spans="1:26" x14ac:dyDescent="0.25">
      <c r="A849" t="s">
        <v>1651</v>
      </c>
      <c r="B849" t="s">
        <v>1652</v>
      </c>
      <c r="C849" t="s">
        <v>114</v>
      </c>
      <c r="D849" t="s">
        <v>1653</v>
      </c>
      <c r="E849">
        <v>3.68</v>
      </c>
      <c r="F849" s="33">
        <v>5.1440000000000001</v>
      </c>
      <c r="G849" s="33" t="s">
        <v>117</v>
      </c>
      <c r="H849" t="s">
        <v>1414</v>
      </c>
      <c r="I849" t="str">
        <f>IF(quantInv[[#This Row],[Metal]] = "925 Silver",  "7113.11.00"," 7113.19.00")</f>
        <v>7113.11.00</v>
      </c>
      <c r="J849" t="str">
        <f>IF(quantInv[[#This Row],[Metal]] = "925 Silver", "7113.11.10.00"," 7113.19.10.00")</f>
        <v>7113.11.10.00</v>
      </c>
      <c r="K849" t="str">
        <f>IF(quantInv[[#This Row],[Metal]] = "925 Silver",  "7113.11.00"," 7113.19.00")</f>
        <v>7113.11.00</v>
      </c>
      <c r="L849" t="str">
        <f>IFERROR(VLOOKUP(quantInv[[#This Row],[Description for New Invoice]],Map!$G$12:$H$32,2,FALSE), IF(quantInv[[#This Row],[Metal]] = "925 Silver", "7113.11.10.00", "7113.19.29.00"))</f>
        <v>7113.11.10.00</v>
      </c>
      <c r="M849" t="str">
        <f>quantInv[[#This Row],[ASIN]] &amp; " " &amp; quantInv[[#This Row],[Short Description]]</f>
        <v>B0854N4TG7 Bracelet - Rolo chain with Trees of Life</v>
      </c>
      <c r="N849" s="33">
        <f>quantInv[[#This Row],[UNIT
VALUE]] / EURtoGBP</f>
        <v>5.8390514946677792</v>
      </c>
      <c r="O849" s="33">
        <f>quantInv[[#This Row],[UNIT
VALUE]]/USDtoGBP</f>
        <v>7.051569399149809</v>
      </c>
      <c r="P849" s="33">
        <f>quantInv[[#This Row],[UNIT
VALUE]] / CADtoGBP</f>
        <v>9.0264141937906555</v>
      </c>
      <c r="Q849" s="33">
        <f>quantInv[[#This Row],[UNIT
VALUE]]/AUDtoGBP</f>
        <v>9.2391694805661331</v>
      </c>
      <c r="R849">
        <f>IFERROR(VLOOKUP(quantInv[[#This Row],[Assigned Item SKU]],skuQuantity[#All],2,FALSE),0)</f>
        <v>0</v>
      </c>
      <c r="S849" t="str">
        <f>PROPER(quantInv[[#This Row],[Metal]] &amp; " " &amp; quantInv[[#This Row],[Item Type]])</f>
        <v>925 Silver Bracelet</v>
      </c>
      <c r="T849" s="33">
        <f>quantInv[[#This Row],[Quantity]]*quantInv[[#This Row],[WEIGHT]]</f>
        <v>0</v>
      </c>
      <c r="U849" s="33">
        <f>quantInv[[#This Row],[UNIT
VALUE]]*quantInv[[#This Row],[Quantity]]</f>
        <v>0</v>
      </c>
      <c r="V849" s="33">
        <f>quantInv[[#This Row],[Total Cost GBP]]/EURtoGBP</f>
        <v>0</v>
      </c>
      <c r="W849" s="33">
        <f>quantInv[[#This Row],[Total Cost GBP]]/USDtoGBP</f>
        <v>0</v>
      </c>
      <c r="X849" s="33">
        <f>quantInv[[#This Row],[Total Cost GBP]]/CADtoGBP</f>
        <v>0</v>
      </c>
      <c r="Y849" s="33">
        <f>quantInv[[#This Row],[Quantity]]*quantInv[[#This Row],[UNIT
VALUE AUD]]</f>
        <v>0</v>
      </c>
      <c r="Z849" s="33"/>
    </row>
    <row r="850" spans="1:26" x14ac:dyDescent="0.25">
      <c r="A850" t="s">
        <v>1654</v>
      </c>
      <c r="B850" t="s">
        <v>1655</v>
      </c>
      <c r="C850" t="s">
        <v>114</v>
      </c>
      <c r="D850" t="s">
        <v>1656</v>
      </c>
      <c r="E850">
        <v>3.49</v>
      </c>
      <c r="F850" s="33">
        <v>6.1809000000000003</v>
      </c>
      <c r="G850" s="33" t="s">
        <v>117</v>
      </c>
      <c r="H850" t="s">
        <v>1414</v>
      </c>
      <c r="I850" t="str">
        <f>IF(quantInv[[#This Row],[Metal]] = "925 Silver",  "7113.11.00"," 7113.19.00")</f>
        <v>7113.11.00</v>
      </c>
      <c r="J850" t="str">
        <f>IF(quantInv[[#This Row],[Metal]] = "925 Silver", "7113.11.10.00"," 7113.19.10.00")</f>
        <v>7113.11.10.00</v>
      </c>
      <c r="K850" t="str">
        <f>IF(quantInv[[#This Row],[Metal]] = "925 Silver",  "7113.11.00"," 7113.19.00")</f>
        <v>7113.11.00</v>
      </c>
      <c r="L850" t="str">
        <f>IFERROR(VLOOKUP(quantInv[[#This Row],[Description for New Invoice]],Map!$G$12:$H$32,2,FALSE), IF(quantInv[[#This Row],[Metal]] = "925 Silver", "7113.11.10.00", "7113.19.29.00"))</f>
        <v>7113.11.10.00</v>
      </c>
      <c r="M850" t="str">
        <f>quantInv[[#This Row],[ASIN]] &amp; " " &amp; quantInv[[#This Row],[Short Description]]</f>
        <v>B0854P65F1 Bracelet - Rolo Chain with Infinity</v>
      </c>
      <c r="N850" s="33">
        <f>quantInv[[#This Row],[UNIT
VALUE]] / EURtoGBP</f>
        <v>7.0160562564914617</v>
      </c>
      <c r="O850" s="33">
        <f>quantInv[[#This Row],[UNIT
VALUE]]/USDtoGBP</f>
        <v>8.4729870332824753</v>
      </c>
      <c r="P850" s="33">
        <f>quantInv[[#This Row],[UNIT
VALUE]] / CADtoGBP</f>
        <v>10.845910476360936</v>
      </c>
      <c r="Q850" s="33">
        <f>quantInv[[#This Row],[UNIT
VALUE]]/AUDtoGBP</f>
        <v>11.101551835620375</v>
      </c>
      <c r="R850">
        <f>IFERROR(VLOOKUP(quantInv[[#This Row],[Assigned Item SKU]],skuQuantity[#All],2,FALSE),0)</f>
        <v>5</v>
      </c>
      <c r="S850" t="str">
        <f>PROPER(quantInv[[#This Row],[Metal]] &amp; " " &amp; quantInv[[#This Row],[Item Type]])</f>
        <v>925 Silver Bracelet</v>
      </c>
      <c r="T850" s="33">
        <f>quantInv[[#This Row],[Quantity]]*quantInv[[#This Row],[WEIGHT]]</f>
        <v>17.450000000000003</v>
      </c>
      <c r="U850" s="33">
        <f>quantInv[[#This Row],[UNIT
VALUE]]*quantInv[[#This Row],[Quantity]]</f>
        <v>30.904500000000002</v>
      </c>
      <c r="V850" s="33">
        <f>quantInv[[#This Row],[Total Cost GBP]]/EURtoGBP</f>
        <v>35.080281282457307</v>
      </c>
      <c r="W850" s="33">
        <f>quantInv[[#This Row],[Total Cost GBP]]/USDtoGBP</f>
        <v>42.36493516641238</v>
      </c>
      <c r="X850" s="33">
        <f>quantInv[[#This Row],[Total Cost GBP]]/CADtoGBP</f>
        <v>54.229552381804687</v>
      </c>
      <c r="Y850" s="33">
        <f>quantInv[[#This Row],[Quantity]]*quantInv[[#This Row],[UNIT
VALUE AUD]]</f>
        <v>55.507759178101878</v>
      </c>
      <c r="Z850" s="33"/>
    </row>
    <row r="851" spans="1:26" x14ac:dyDescent="0.25">
      <c r="A851" t="s">
        <v>2084</v>
      </c>
      <c r="B851" t="s">
        <v>2085</v>
      </c>
      <c r="C851" t="s">
        <v>115</v>
      </c>
      <c r="D851" t="s">
        <v>2086</v>
      </c>
      <c r="E851">
        <v>6.01</v>
      </c>
      <c r="F851" s="33">
        <v>8.0244999999999997</v>
      </c>
      <c r="G851" s="33" t="s">
        <v>117</v>
      </c>
      <c r="H851" t="s">
        <v>2875</v>
      </c>
      <c r="I851" t="str">
        <f>IF(quantInv[[#This Row],[Metal]] = "925 Silver",  "7113.11.00"," 7113.19.00")</f>
        <v>7113.11.00</v>
      </c>
      <c r="J851" t="str">
        <f>IF(quantInv[[#This Row],[Metal]] = "925 Silver", "7113.11.10.00"," 7113.19.10.00")</f>
        <v>7113.11.10.00</v>
      </c>
      <c r="K851" t="str">
        <f>IF(quantInv[[#This Row],[Metal]] = "925 Silver",  "7113.11.00"," 7113.19.00")</f>
        <v>7113.11.00</v>
      </c>
      <c r="L851" t="str">
        <f>IFERROR(VLOOKUP(quantInv[[#This Row],[Description for New Invoice]],Map!$G$12:$H$32,2,FALSE), IF(quantInv[[#This Row],[Metal]] = "925 Silver", "7113.11.10.00", "7113.19.29.00"))</f>
        <v>7113.11.10.00</v>
      </c>
      <c r="M851" t="str">
        <f>quantInv[[#This Row],[ASIN]] &amp; " " &amp; quantInv[[#This Row],[Short Description]]</f>
        <v>B08MFP1L2H Engraved Viking Axe/Cross Pendant</v>
      </c>
      <c r="N851" s="33">
        <f>quantInv[[#This Row],[UNIT
VALUE]] / EURtoGBP</f>
        <v>9.10876141503919</v>
      </c>
      <c r="O851" s="33">
        <f>quantInv[[#This Row],[UNIT
VALUE]]/USDtoGBP</f>
        <v>11.000256345932668</v>
      </c>
      <c r="P851" s="33">
        <f>quantInv[[#This Row],[UNIT
VALUE]] / CADtoGBP</f>
        <v>14.08096047785247</v>
      </c>
      <c r="Q851" s="33">
        <f>quantInv[[#This Row],[UNIT
VALUE]]/AUDtoGBP</f>
        <v>14.412852934837272</v>
      </c>
      <c r="R851">
        <f>IFERROR(VLOOKUP(quantInv[[#This Row],[Assigned Item SKU]],skuQuantity[#All],2,FALSE),0)</f>
        <v>0</v>
      </c>
      <c r="S851" t="str">
        <f>PROPER(quantInv[[#This Row],[Metal]] &amp; " " &amp; quantInv[[#This Row],[Item Type]])</f>
        <v xml:space="preserve">925 Silver </v>
      </c>
      <c r="T851" s="33">
        <f>quantInv[[#This Row],[Quantity]]*quantInv[[#This Row],[WEIGHT]]</f>
        <v>0</v>
      </c>
      <c r="U851" s="33">
        <f>quantInv[[#This Row],[UNIT
VALUE]]*quantInv[[#This Row],[Quantity]]</f>
        <v>0</v>
      </c>
      <c r="V851" s="33">
        <f>quantInv[[#This Row],[Total Cost GBP]]/EURtoGBP</f>
        <v>0</v>
      </c>
      <c r="W851" s="33">
        <f>quantInv[[#This Row],[Total Cost GBP]]/USDtoGBP</f>
        <v>0</v>
      </c>
      <c r="X851" s="33">
        <f>quantInv[[#This Row],[Total Cost GBP]]/CADtoGBP</f>
        <v>0</v>
      </c>
      <c r="Y851" s="33">
        <f>quantInv[[#This Row],[Quantity]]*quantInv[[#This Row],[UNIT
VALUE AUD]]</f>
        <v>0</v>
      </c>
      <c r="Z851" s="33"/>
    </row>
    <row r="852" spans="1:26" x14ac:dyDescent="0.25">
      <c r="A852" t="s">
        <v>2087</v>
      </c>
      <c r="B852" t="s">
        <v>2088</v>
      </c>
      <c r="C852" t="s">
        <v>115</v>
      </c>
      <c r="D852" t="s">
        <v>2089</v>
      </c>
      <c r="E852">
        <v>7.42</v>
      </c>
      <c r="F852" s="33">
        <v>9.6064000000000007</v>
      </c>
      <c r="G852" s="33" t="s">
        <v>117</v>
      </c>
      <c r="H852" t="s">
        <v>2875</v>
      </c>
      <c r="I852" t="str">
        <f>IF(quantInv[[#This Row],[Metal]] = "925 Silver",  "7113.11.00"," 7113.19.00")</f>
        <v>7113.11.00</v>
      </c>
      <c r="J852" t="str">
        <f>IF(quantInv[[#This Row],[Metal]] = "925 Silver", "7113.11.10.00"," 7113.19.10.00")</f>
        <v>7113.11.10.00</v>
      </c>
      <c r="K852" t="str">
        <f>IF(quantInv[[#This Row],[Metal]] = "925 Silver",  "7113.11.00"," 7113.19.00")</f>
        <v>7113.11.00</v>
      </c>
      <c r="L852" t="str">
        <f>IFERROR(VLOOKUP(quantInv[[#This Row],[Description for New Invoice]],Map!$G$12:$H$32,2,FALSE), IF(quantInv[[#This Row],[Metal]] = "925 Silver", "7113.11.10.00", "7113.19.29.00"))</f>
        <v>7113.11.10.00</v>
      </c>
      <c r="M852" t="str">
        <f>quantInv[[#This Row],[ASIN]] &amp; " " &amp; quantInv[[#This Row],[Short Description]]</f>
        <v>B08MFN64Q6 Hammered Cross Pendant</v>
      </c>
      <c r="N852" s="33">
        <f>quantInv[[#This Row],[UNIT
VALUE]] / EURtoGBP</f>
        <v>10.904405963914572</v>
      </c>
      <c r="O852" s="33">
        <f>quantInv[[#This Row],[UNIT
VALUE]]/USDtoGBP</f>
        <v>13.168778436234978</v>
      </c>
      <c r="P852" s="33">
        <f>quantInv[[#This Row],[UNIT
VALUE]] / CADtoGBP</f>
        <v>16.856793411981055</v>
      </c>
      <c r="Q852" s="33">
        <f>quantInv[[#This Row],[UNIT
VALUE]]/AUDtoGBP</f>
        <v>17.254113082836412</v>
      </c>
      <c r="R852">
        <f>IFERROR(VLOOKUP(quantInv[[#This Row],[Assigned Item SKU]],skuQuantity[#All],2,FALSE),0)</f>
        <v>0</v>
      </c>
      <c r="S852" t="str">
        <f>PROPER(quantInv[[#This Row],[Metal]] &amp; " " &amp; quantInv[[#This Row],[Item Type]])</f>
        <v xml:space="preserve">925 Silver </v>
      </c>
      <c r="T852" s="33">
        <f>quantInv[[#This Row],[Quantity]]*quantInv[[#This Row],[WEIGHT]]</f>
        <v>0</v>
      </c>
      <c r="U852" s="33">
        <f>quantInv[[#This Row],[UNIT
VALUE]]*quantInv[[#This Row],[Quantity]]</f>
        <v>0</v>
      </c>
      <c r="V852" s="33">
        <f>quantInv[[#This Row],[Total Cost GBP]]/EURtoGBP</f>
        <v>0</v>
      </c>
      <c r="W852" s="33">
        <f>quantInv[[#This Row],[Total Cost GBP]]/USDtoGBP</f>
        <v>0</v>
      </c>
      <c r="X852" s="33">
        <f>quantInv[[#This Row],[Total Cost GBP]]/CADtoGBP</f>
        <v>0</v>
      </c>
      <c r="Y852" s="33">
        <f>quantInv[[#This Row],[Quantity]]*quantInv[[#This Row],[UNIT
VALUE AUD]]</f>
        <v>0</v>
      </c>
      <c r="Z852" s="33"/>
    </row>
    <row r="853" spans="1:26" x14ac:dyDescent="0.25">
      <c r="A853" t="s">
        <v>1674</v>
      </c>
      <c r="B853" t="s">
        <v>1675</v>
      </c>
      <c r="C853" t="s">
        <v>114</v>
      </c>
      <c r="D853" t="s">
        <v>1673</v>
      </c>
      <c r="E853">
        <v>2</v>
      </c>
      <c r="F853" s="33">
        <v>4.8853</v>
      </c>
      <c r="G853" s="33" t="s">
        <v>117</v>
      </c>
      <c r="H853" t="s">
        <v>1451</v>
      </c>
      <c r="I853" t="str">
        <f>IF(quantInv[[#This Row],[Metal]] = "925 Silver",  "7113.11.00"," 7113.19.00")</f>
        <v>7113.11.00</v>
      </c>
      <c r="J853" t="str">
        <f>IF(quantInv[[#This Row],[Metal]] = "925 Silver", "7113.11.10.00"," 7113.19.10.00")</f>
        <v>7113.11.10.00</v>
      </c>
      <c r="K853" t="str">
        <f>IF(quantInv[[#This Row],[Metal]] = "925 Silver",  "7113.11.00"," 7113.19.00")</f>
        <v>7113.11.00</v>
      </c>
      <c r="L853" t="str">
        <f>IFERROR(VLOOKUP(quantInv[[#This Row],[Description for New Invoice]],Map!$G$12:$H$32,2,FALSE), IF(quantInv[[#This Row],[Metal]] = "925 Silver", "7113.11.10.00", "7113.19.29.00"))</f>
        <v>7113.11.50.00</v>
      </c>
      <c r="M853" t="str">
        <f>quantInv[[#This Row],[ASIN]] &amp; " " &amp; quantInv[[#This Row],[Short Description]]</f>
        <v>B084SSWKL4 Pendant - Tree of Life - shiny</v>
      </c>
      <c r="N853" s="33">
        <f>quantInv[[#This Row],[UNIT
VALUE]] / EURtoGBP</f>
        <v>5.545396241621404</v>
      </c>
      <c r="O853" s="33">
        <f>quantInv[[#This Row],[UNIT
VALUE]]/USDtoGBP</f>
        <v>6.6969346783955208</v>
      </c>
      <c r="P853" s="33">
        <f>quantInv[[#This Row],[UNIT
VALUE]] / CADtoGBP</f>
        <v>8.5724613648766503</v>
      </c>
      <c r="Q853" s="33">
        <f>quantInv[[#This Row],[UNIT
VALUE]]/AUDtoGBP</f>
        <v>8.7745168474746738</v>
      </c>
      <c r="R853">
        <f>IFERROR(VLOOKUP(quantInv[[#This Row],[Assigned Item SKU]],skuQuantity[#All],2,FALSE),0)</f>
        <v>0</v>
      </c>
      <c r="S853" t="str">
        <f>PROPER(quantInv[[#This Row],[Metal]] &amp; " " &amp; quantInv[[#This Row],[Item Type]])</f>
        <v>925 Silver Pendant</v>
      </c>
      <c r="T853" s="33">
        <f>quantInv[[#This Row],[Quantity]]*quantInv[[#This Row],[WEIGHT]]</f>
        <v>0</v>
      </c>
      <c r="U853" s="33">
        <f>quantInv[[#This Row],[UNIT
VALUE]]*quantInv[[#This Row],[Quantity]]</f>
        <v>0</v>
      </c>
      <c r="V853" s="33">
        <f>quantInv[[#This Row],[Total Cost GBP]]/EURtoGBP</f>
        <v>0</v>
      </c>
      <c r="W853" s="33">
        <f>quantInv[[#This Row],[Total Cost GBP]]/USDtoGBP</f>
        <v>0</v>
      </c>
      <c r="X853" s="33">
        <f>quantInv[[#This Row],[Total Cost GBP]]/CADtoGBP</f>
        <v>0</v>
      </c>
      <c r="Y853" s="33">
        <f>quantInv[[#This Row],[Quantity]]*quantInv[[#This Row],[UNIT
VALUE AUD]]</f>
        <v>0</v>
      </c>
      <c r="Z853" s="33"/>
    </row>
    <row r="854" spans="1:26" x14ac:dyDescent="0.25">
      <c r="A854" t="s">
        <v>1676</v>
      </c>
      <c r="B854" t="s">
        <v>1677</v>
      </c>
      <c r="C854" t="s">
        <v>114</v>
      </c>
      <c r="D854" t="s">
        <v>1678</v>
      </c>
      <c r="E854">
        <v>1.91</v>
      </c>
      <c r="F854" s="33">
        <v>40.388100000000001</v>
      </c>
      <c r="G854" s="33" t="s">
        <v>3304</v>
      </c>
      <c r="H854" t="s">
        <v>1414</v>
      </c>
      <c r="I854" t="str">
        <f>IF(quantInv[[#This Row],[Metal]] = "925 Silver",  "7113.11.00"," 7113.19.00")</f>
        <v xml:space="preserve"> 7113.19.00</v>
      </c>
      <c r="J854" t="str">
        <f>IF(quantInv[[#This Row],[Metal]] = "925 Silver", "7113.11.10.00"," 7113.19.10.00")</f>
        <v xml:space="preserve"> 7113.19.10.00</v>
      </c>
      <c r="K854" t="str">
        <f>IF(quantInv[[#This Row],[Metal]] = "925 Silver",  "7113.11.00"," 7113.19.00")</f>
        <v xml:space="preserve"> 7113.19.00</v>
      </c>
      <c r="L854" t="str">
        <f>IFERROR(VLOOKUP(quantInv[[#This Row],[Description for New Invoice]],Map!$G$12:$H$32,2,FALSE), IF(quantInv[[#This Row],[Metal]] = "925 Silver", "7113.11.10.00", "7113.19.29.00"))</f>
        <v>7113.19.10.00</v>
      </c>
      <c r="M854" t="str">
        <f>quantInv[[#This Row],[ASIN]] &amp; " " &amp; quantInv[[#This Row],[Short Description]]</f>
        <v>B085QL5Q9X Chain Bracelet - Heart - 9K Gold Yellow</v>
      </c>
      <c r="N854" s="33">
        <f>quantInv[[#This Row],[UNIT
VALUE]] / EURtoGBP</f>
        <v>45.845294648482067</v>
      </c>
      <c r="O854" s="33">
        <f>quantInv[[#This Row],[UNIT
VALUE]]/USDtoGBP</f>
        <v>55.365375204082895</v>
      </c>
      <c r="P854" s="33">
        <f>quantInv[[#This Row],[UNIT
VALUE]] / CADtoGBP</f>
        <v>70.870862966608939</v>
      </c>
      <c r="Q854" s="33">
        <f>quantInv[[#This Row],[UNIT
VALUE]]/AUDtoGBP</f>
        <v>72.54131043896831</v>
      </c>
      <c r="R854">
        <f>IFERROR(VLOOKUP(quantInv[[#This Row],[Assigned Item SKU]],skuQuantity[#All],2,FALSE),0)</f>
        <v>0</v>
      </c>
      <c r="S854" t="str">
        <f>PROPER(quantInv[[#This Row],[Metal]] &amp; " " &amp; quantInv[[#This Row],[Item Type]])</f>
        <v>9K Gold Bracelet</v>
      </c>
      <c r="T854" s="33">
        <f>quantInv[[#This Row],[Quantity]]*quantInv[[#This Row],[WEIGHT]]</f>
        <v>0</v>
      </c>
      <c r="U854" s="33">
        <f>quantInv[[#This Row],[UNIT
VALUE]]*quantInv[[#This Row],[Quantity]]</f>
        <v>0</v>
      </c>
      <c r="V854" s="33">
        <f>quantInv[[#This Row],[Total Cost GBP]]/EURtoGBP</f>
        <v>0</v>
      </c>
      <c r="W854" s="33">
        <f>quantInv[[#This Row],[Total Cost GBP]]/USDtoGBP</f>
        <v>0</v>
      </c>
      <c r="X854" s="33">
        <f>quantInv[[#This Row],[Total Cost GBP]]/CADtoGBP</f>
        <v>0</v>
      </c>
      <c r="Y854" s="33">
        <f>quantInv[[#This Row],[Quantity]]*quantInv[[#This Row],[UNIT
VALUE AUD]]</f>
        <v>0</v>
      </c>
      <c r="Z854" s="33"/>
    </row>
    <row r="855" spans="1:26" x14ac:dyDescent="0.25">
      <c r="A855" t="s">
        <v>1712</v>
      </c>
      <c r="B855" t="s">
        <v>1713</v>
      </c>
      <c r="C855" t="s">
        <v>114</v>
      </c>
      <c r="D855" t="s">
        <v>1714</v>
      </c>
      <c r="E855">
        <v>3.8</v>
      </c>
      <c r="F855" s="33">
        <v>6.8181000000000003</v>
      </c>
      <c r="G855" s="33" t="s">
        <v>117</v>
      </c>
      <c r="H855" t="s">
        <v>1414</v>
      </c>
      <c r="I855" t="str">
        <f>IF(quantInv[[#This Row],[Metal]] = "925 Silver",  "7113.11.00"," 7113.19.00")</f>
        <v>7113.11.00</v>
      </c>
      <c r="J855" t="str">
        <f>IF(quantInv[[#This Row],[Metal]] = "925 Silver", "7113.11.10.00"," 7113.19.10.00")</f>
        <v>7113.11.10.00</v>
      </c>
      <c r="K855" t="str">
        <f>IF(quantInv[[#This Row],[Metal]] = "925 Silver",  "7113.11.00"," 7113.19.00")</f>
        <v>7113.11.00</v>
      </c>
      <c r="L855" t="str">
        <f>IFERROR(VLOOKUP(quantInv[[#This Row],[Description for New Invoice]],Map!$G$12:$H$32,2,FALSE), IF(quantInv[[#This Row],[Metal]] = "925 Silver", "7113.11.10.00", "7113.19.29.00"))</f>
        <v>7113.11.10.00</v>
      </c>
      <c r="M855" t="str">
        <f>quantInv[[#This Row],[ASIN]] &amp; " " &amp; quantInv[[#This Row],[Short Description]]</f>
        <v>B0872DCQ9Q Adjustable 3 layer bracelet with Big Beads.</v>
      </c>
      <c r="N855" s="33">
        <f>quantInv[[#This Row],[UNIT
VALUE]] / EURtoGBP</f>
        <v>7.7393540038480531</v>
      </c>
      <c r="O855" s="33">
        <f>quantInv[[#This Row],[UNIT
VALUE]]/USDtoGBP</f>
        <v>9.346482371761919</v>
      </c>
      <c r="P855" s="33">
        <f>quantInv[[#This Row],[UNIT
VALUE]] / CADtoGBP</f>
        <v>11.964034722916809</v>
      </c>
      <c r="Q855" s="33">
        <f>quantInv[[#This Row],[UNIT
VALUE]]/AUDtoGBP</f>
        <v>12.246030605646958</v>
      </c>
      <c r="R855">
        <f>IFERROR(VLOOKUP(quantInv[[#This Row],[Assigned Item SKU]],skuQuantity[#All],2,FALSE),0)</f>
        <v>0</v>
      </c>
      <c r="S855" t="str">
        <f>PROPER(quantInv[[#This Row],[Metal]] &amp; " " &amp; quantInv[[#This Row],[Item Type]])</f>
        <v>925 Silver Bracelet</v>
      </c>
      <c r="T855" s="33">
        <f>quantInv[[#This Row],[Quantity]]*quantInv[[#This Row],[WEIGHT]]</f>
        <v>0</v>
      </c>
      <c r="U855" s="33">
        <f>quantInv[[#This Row],[UNIT
VALUE]]*quantInv[[#This Row],[Quantity]]</f>
        <v>0</v>
      </c>
      <c r="V855" s="33">
        <f>quantInv[[#This Row],[Total Cost GBP]]/EURtoGBP</f>
        <v>0</v>
      </c>
      <c r="W855" s="33">
        <f>quantInv[[#This Row],[Total Cost GBP]]/USDtoGBP</f>
        <v>0</v>
      </c>
      <c r="X855" s="33">
        <f>quantInv[[#This Row],[Total Cost GBP]]/CADtoGBP</f>
        <v>0</v>
      </c>
      <c r="Y855" s="33">
        <f>quantInv[[#This Row],[Quantity]]*quantInv[[#This Row],[UNIT
VALUE AUD]]</f>
        <v>0</v>
      </c>
      <c r="Z855" s="33"/>
    </row>
    <row r="856" spans="1:26" x14ac:dyDescent="0.25">
      <c r="A856" t="s">
        <v>1859</v>
      </c>
      <c r="B856" t="s">
        <v>1860</v>
      </c>
      <c r="C856" t="s">
        <v>115</v>
      </c>
      <c r="D856" t="s">
        <v>1861</v>
      </c>
      <c r="E856">
        <v>1.58</v>
      </c>
      <c r="F856" s="33">
        <v>3.9683000000000002</v>
      </c>
      <c r="G856" s="33" t="s">
        <v>117</v>
      </c>
      <c r="H856" t="s">
        <v>3302</v>
      </c>
      <c r="I856" t="str">
        <f>IF(quantInv[[#This Row],[Metal]] = "925 Silver",  "7113.11.00"," 7113.19.00")</f>
        <v>7113.11.00</v>
      </c>
      <c r="J856" t="str">
        <f>IF(quantInv[[#This Row],[Metal]] = "925 Silver", "7113.11.10.00"," 7113.19.10.00")</f>
        <v>7113.11.10.00</v>
      </c>
      <c r="K856" t="str">
        <f>IF(quantInv[[#This Row],[Metal]] = "925 Silver",  "7113.11.00"," 7113.19.00")</f>
        <v>7113.11.00</v>
      </c>
      <c r="L856" t="str">
        <f>IFERROR(VLOOKUP(quantInv[[#This Row],[Description for New Invoice]],Map!$G$12:$H$32,2,FALSE), IF(quantInv[[#This Row],[Metal]] = "925 Silver", "7113.11.10.00", "7113.19.29.00"))</f>
        <v>7113.11.50.00</v>
      </c>
      <c r="M856" t="str">
        <f>quantInv[[#This Row],[ASIN]] &amp; " " &amp; quantInv[[#This Row],[Short Description]]</f>
        <v>B08C32SND1 Ring with CZ - J</v>
      </c>
      <c r="N856" s="33">
        <f>quantInv[[#This Row],[UNIT
VALUE]] / EURtoGBP</f>
        <v>4.5044922329490955</v>
      </c>
      <c r="O856" s="33">
        <f>quantInv[[#This Row],[UNIT
VALUE]]/USDtoGBP</f>
        <v>5.4398800246201766</v>
      </c>
      <c r="P856" s="33">
        <f>quantInv[[#This Row],[UNIT
VALUE]] / CADtoGBP</f>
        <v>6.9633591456491946</v>
      </c>
      <c r="Q856" s="33">
        <f>quantInv[[#This Row],[UNIT
VALUE]]/AUDtoGBP</f>
        <v>7.1274876068683097</v>
      </c>
      <c r="R856">
        <f>IFERROR(VLOOKUP(quantInv[[#This Row],[Assigned Item SKU]],skuQuantity[#All],2,FALSE),0)</f>
        <v>0</v>
      </c>
      <c r="S856" t="str">
        <f>PROPER(quantInv[[#This Row],[Metal]] &amp; " " &amp; quantInv[[#This Row],[Item Type]])</f>
        <v>925 Silver Ring</v>
      </c>
      <c r="T856" s="33">
        <f>quantInv[[#This Row],[Quantity]]*quantInv[[#This Row],[WEIGHT]]</f>
        <v>0</v>
      </c>
      <c r="U856" s="33">
        <f>quantInv[[#This Row],[UNIT
VALUE]]*quantInv[[#This Row],[Quantity]]</f>
        <v>0</v>
      </c>
      <c r="V856" s="33">
        <f>quantInv[[#This Row],[Total Cost GBP]]/EURtoGBP</f>
        <v>0</v>
      </c>
      <c r="W856" s="33">
        <f>quantInv[[#This Row],[Total Cost GBP]]/USDtoGBP</f>
        <v>0</v>
      </c>
      <c r="X856" s="33">
        <f>quantInv[[#This Row],[Total Cost GBP]]/CADtoGBP</f>
        <v>0</v>
      </c>
      <c r="Y856" s="33">
        <f>quantInv[[#This Row],[Quantity]]*quantInv[[#This Row],[UNIT
VALUE AUD]]</f>
        <v>0</v>
      </c>
      <c r="Z856" s="33"/>
    </row>
    <row r="857" spans="1:26" x14ac:dyDescent="0.25">
      <c r="A857" t="s">
        <v>2101</v>
      </c>
      <c r="B857" t="s">
        <v>2102</v>
      </c>
      <c r="C857" t="s">
        <v>115</v>
      </c>
      <c r="D857" t="s">
        <v>2103</v>
      </c>
      <c r="E857">
        <v>1.35</v>
      </c>
      <c r="F857" s="33">
        <v>3.7654999999999998</v>
      </c>
      <c r="G857" s="33" t="s">
        <v>117</v>
      </c>
      <c r="H857" t="s">
        <v>2875</v>
      </c>
      <c r="I857" t="str">
        <f>IF(quantInv[[#This Row],[Metal]] = "925 Silver",  "7113.11.00"," 7113.19.00")</f>
        <v>7113.11.00</v>
      </c>
      <c r="J857" t="str">
        <f>IF(quantInv[[#This Row],[Metal]] = "925 Silver", "7113.11.10.00"," 7113.19.10.00")</f>
        <v>7113.11.10.00</v>
      </c>
      <c r="K857" t="str">
        <f>IF(quantInv[[#This Row],[Metal]] = "925 Silver",  "7113.11.00"," 7113.19.00")</f>
        <v>7113.11.00</v>
      </c>
      <c r="L857" t="str">
        <f>IFERROR(VLOOKUP(quantInv[[#This Row],[Description for New Invoice]],Map!$G$12:$H$32,2,FALSE), IF(quantInv[[#This Row],[Metal]] = "925 Silver", "7113.11.10.00", "7113.19.29.00"))</f>
        <v>7113.11.10.00</v>
      </c>
      <c r="M857" t="str">
        <f>quantInv[[#This Row],[ASIN]] &amp; " " &amp; quantInv[[#This Row],[Short Description]]</f>
        <v>B08J889B27 Yellow Gold Plated Small Thick Heart Studs</v>
      </c>
      <c r="N857" s="33">
        <f>quantInv[[#This Row],[UNIT
VALUE]] / EURtoGBP</f>
        <v>4.2742901250333443</v>
      </c>
      <c r="O857" s="33">
        <f>quantInv[[#This Row],[UNIT
VALUE]]/USDtoGBP</f>
        <v>5.161874916893197</v>
      </c>
      <c r="P857" s="33">
        <f>quantInv[[#This Row],[UNIT
VALUE]] / CADtoGBP</f>
        <v>6.6074966265005264</v>
      </c>
      <c r="Q857" s="33">
        <f>quantInv[[#This Row],[UNIT
VALUE]]/AUDtoGBP</f>
        <v>6.7632373015302818</v>
      </c>
      <c r="R857">
        <f>IFERROR(VLOOKUP(quantInv[[#This Row],[Assigned Item SKU]],skuQuantity[#All],2,FALSE),0)</f>
        <v>0</v>
      </c>
      <c r="S857" t="str">
        <f>PROPER(quantInv[[#This Row],[Metal]] &amp; " " &amp; quantInv[[#This Row],[Item Type]])</f>
        <v xml:space="preserve">925 Silver </v>
      </c>
      <c r="T857" s="33">
        <f>quantInv[[#This Row],[Quantity]]*quantInv[[#This Row],[WEIGHT]]</f>
        <v>0</v>
      </c>
      <c r="U857" s="33">
        <f>quantInv[[#This Row],[UNIT
VALUE]]*quantInv[[#This Row],[Quantity]]</f>
        <v>0</v>
      </c>
      <c r="V857" s="33">
        <f>quantInv[[#This Row],[Total Cost GBP]]/EURtoGBP</f>
        <v>0</v>
      </c>
      <c r="W857" s="33">
        <f>quantInv[[#This Row],[Total Cost GBP]]/USDtoGBP</f>
        <v>0</v>
      </c>
      <c r="X857" s="33">
        <f>quantInv[[#This Row],[Total Cost GBP]]/CADtoGBP</f>
        <v>0</v>
      </c>
      <c r="Y857" s="33">
        <f>quantInv[[#This Row],[Quantity]]*quantInv[[#This Row],[UNIT
VALUE AUD]]</f>
        <v>0</v>
      </c>
      <c r="Z857" s="33"/>
    </row>
    <row r="858" spans="1:26" x14ac:dyDescent="0.25">
      <c r="A858" t="s">
        <v>2104</v>
      </c>
      <c r="B858" t="s">
        <v>2105</v>
      </c>
      <c r="C858" t="s">
        <v>115</v>
      </c>
      <c r="D858" t="s">
        <v>2106</v>
      </c>
      <c r="E858">
        <v>5.03</v>
      </c>
      <c r="F858" s="33">
        <v>10.498699999999999</v>
      </c>
      <c r="G858" s="33" t="s">
        <v>117</v>
      </c>
      <c r="H858" t="s">
        <v>1310</v>
      </c>
      <c r="I858" t="str">
        <f>IF(quantInv[[#This Row],[Metal]] = "925 Silver",  "7113.11.00"," 7113.19.00")</f>
        <v>7113.11.00</v>
      </c>
      <c r="J858" t="str">
        <f>IF(quantInv[[#This Row],[Metal]] = "925 Silver", "7113.11.10.00"," 7113.19.10.00")</f>
        <v>7113.11.10.00</v>
      </c>
      <c r="K858" t="str">
        <f>IF(quantInv[[#This Row],[Metal]] = "925 Silver",  "7113.11.00"," 7113.19.00")</f>
        <v>7113.11.00</v>
      </c>
      <c r="L858" t="str">
        <f>IFERROR(VLOOKUP(quantInv[[#This Row],[Description for New Invoice]],Map!$G$12:$H$32,2,FALSE), IF(quantInv[[#This Row],[Metal]] = "925 Silver", "7113.11.10.00", "7113.19.29.00"))</f>
        <v>7113.11.50.00</v>
      </c>
      <c r="M858" t="str">
        <f>quantInv[[#This Row],[ASIN]] &amp; " " &amp; quantInv[[#This Row],[Short Description]]</f>
        <v>B08P3J9956 Half Pave Half Openwork Hoops with Post Notch</v>
      </c>
      <c r="N858" s="33">
        <f>quantInv[[#This Row],[UNIT
VALUE]] / EURtoGBP</f>
        <v>11.917272536366371</v>
      </c>
      <c r="O858" s="33">
        <f>quantInv[[#This Row],[UNIT
VALUE]]/USDtoGBP</f>
        <v>14.391973493556394</v>
      </c>
      <c r="P858" s="33">
        <f>quantInv[[#This Row],[UNIT
VALUE]] / CADtoGBP</f>
        <v>18.422553401312197</v>
      </c>
      <c r="Q858" s="33">
        <f>quantInv[[#This Row],[UNIT
VALUE]]/AUDtoGBP</f>
        <v>18.856778504202886</v>
      </c>
      <c r="R858">
        <f>IFERROR(VLOOKUP(quantInv[[#This Row],[Assigned Item SKU]],skuQuantity[#All],2,FALSE),0)</f>
        <v>0</v>
      </c>
      <c r="S858" t="str">
        <f>PROPER(quantInv[[#This Row],[Metal]] &amp; " " &amp; quantInv[[#This Row],[Item Type]])</f>
        <v>925 Silver Earrings</v>
      </c>
      <c r="T858" s="33">
        <f>quantInv[[#This Row],[Quantity]]*quantInv[[#This Row],[WEIGHT]]</f>
        <v>0</v>
      </c>
      <c r="U858" s="33">
        <f>quantInv[[#This Row],[UNIT
VALUE]]*quantInv[[#This Row],[Quantity]]</f>
        <v>0</v>
      </c>
      <c r="V858" s="33">
        <f>quantInv[[#This Row],[Total Cost GBP]]/EURtoGBP</f>
        <v>0</v>
      </c>
      <c r="W858" s="33">
        <f>quantInv[[#This Row],[Total Cost GBP]]/USDtoGBP</f>
        <v>0</v>
      </c>
      <c r="X858" s="33">
        <f>quantInv[[#This Row],[Total Cost GBP]]/CADtoGBP</f>
        <v>0</v>
      </c>
      <c r="Y858" s="33">
        <f>quantInv[[#This Row],[Quantity]]*quantInv[[#This Row],[UNIT
VALUE AUD]]</f>
        <v>0</v>
      </c>
      <c r="Z858" s="33"/>
    </row>
    <row r="859" spans="1:26" x14ac:dyDescent="0.25">
      <c r="A859" t="s">
        <v>2107</v>
      </c>
      <c r="B859" t="s">
        <v>2108</v>
      </c>
      <c r="C859" t="s">
        <v>115</v>
      </c>
      <c r="D859" t="s">
        <v>2109</v>
      </c>
      <c r="E859">
        <v>4.03</v>
      </c>
      <c r="F859" s="33">
        <v>11.472200000000001</v>
      </c>
      <c r="G859" s="33" t="s">
        <v>117</v>
      </c>
      <c r="H859" t="s">
        <v>1310</v>
      </c>
      <c r="I859" t="str">
        <f>IF(quantInv[[#This Row],[Metal]] = "925 Silver",  "7113.11.00"," 7113.19.00")</f>
        <v>7113.11.00</v>
      </c>
      <c r="J859" t="str">
        <f>IF(quantInv[[#This Row],[Metal]] = "925 Silver", "7113.11.10.00"," 7113.19.10.00")</f>
        <v>7113.11.10.00</v>
      </c>
      <c r="K859" t="str">
        <f>IF(quantInv[[#This Row],[Metal]] = "925 Silver",  "7113.11.00"," 7113.19.00")</f>
        <v>7113.11.00</v>
      </c>
      <c r="L859" t="str">
        <f>IFERROR(VLOOKUP(quantInv[[#This Row],[Description for New Invoice]],Map!$G$12:$H$32,2,FALSE), IF(quantInv[[#This Row],[Metal]] = "925 Silver", "7113.11.10.00", "7113.19.29.00"))</f>
        <v>7113.11.50.00</v>
      </c>
      <c r="M859" t="str">
        <f>quantInv[[#This Row],[ASIN]] &amp; " " &amp; quantInv[[#This Row],[Short Description]]</f>
        <v>B08P3KYWMH Complete Pave Hoops with Post Notch</v>
      </c>
      <c r="N859" s="33">
        <f>quantInv[[#This Row],[UNIT
VALUE]] / EURtoGBP</f>
        <v>13.022310761494499</v>
      </c>
      <c r="O859" s="33">
        <f>quantInv[[#This Row],[UNIT
VALUE]]/USDtoGBP</f>
        <v>15.72648026067777</v>
      </c>
      <c r="P859" s="33">
        <f>quantInv[[#This Row],[UNIT
VALUE]] / CADtoGBP</f>
        <v>20.13079877799478</v>
      </c>
      <c r="Q859" s="33">
        <f>quantInv[[#This Row],[UNIT
VALUE]]/AUDtoGBP</f>
        <v>20.605287736187943</v>
      </c>
      <c r="R859">
        <f>IFERROR(VLOOKUP(quantInv[[#This Row],[Assigned Item SKU]],skuQuantity[#All],2,FALSE),0)</f>
        <v>0</v>
      </c>
      <c r="S859" t="str">
        <f>PROPER(quantInv[[#This Row],[Metal]] &amp; " " &amp; quantInv[[#This Row],[Item Type]])</f>
        <v>925 Silver Earrings</v>
      </c>
      <c r="T859" s="33">
        <f>quantInv[[#This Row],[Quantity]]*quantInv[[#This Row],[WEIGHT]]</f>
        <v>0</v>
      </c>
      <c r="U859" s="33">
        <f>quantInv[[#This Row],[UNIT
VALUE]]*quantInv[[#This Row],[Quantity]]</f>
        <v>0</v>
      </c>
      <c r="V859" s="33">
        <f>quantInv[[#This Row],[Total Cost GBP]]/EURtoGBP</f>
        <v>0</v>
      </c>
      <c r="W859" s="33">
        <f>quantInv[[#This Row],[Total Cost GBP]]/USDtoGBP</f>
        <v>0</v>
      </c>
      <c r="X859" s="33">
        <f>quantInv[[#This Row],[Total Cost GBP]]/CADtoGBP</f>
        <v>0</v>
      </c>
      <c r="Y859" s="33">
        <f>quantInv[[#This Row],[Quantity]]*quantInv[[#This Row],[UNIT
VALUE AUD]]</f>
        <v>0</v>
      </c>
      <c r="Z859" s="33"/>
    </row>
    <row r="860" spans="1:26" x14ac:dyDescent="0.25">
      <c r="A860" t="s">
        <v>1874</v>
      </c>
      <c r="B860" t="s">
        <v>1875</v>
      </c>
      <c r="C860" t="s">
        <v>115</v>
      </c>
      <c r="D860" t="s">
        <v>1876</v>
      </c>
      <c r="E860">
        <v>1.68</v>
      </c>
      <c r="F860" s="33">
        <v>3.9683000000000002</v>
      </c>
      <c r="G860" s="33" t="s">
        <v>117</v>
      </c>
      <c r="H860" t="s">
        <v>3302</v>
      </c>
      <c r="I860" t="str">
        <f>IF(quantInv[[#This Row],[Metal]] = "925 Silver",  "7113.11.00"," 7113.19.00")</f>
        <v>7113.11.00</v>
      </c>
      <c r="J860" t="str">
        <f>IF(quantInv[[#This Row],[Metal]] = "925 Silver", "7113.11.10.00"," 7113.19.10.00")</f>
        <v>7113.11.10.00</v>
      </c>
      <c r="K860" t="str">
        <f>IF(quantInv[[#This Row],[Metal]] = "925 Silver",  "7113.11.00"," 7113.19.00")</f>
        <v>7113.11.00</v>
      </c>
      <c r="L860" t="str">
        <f>IFERROR(VLOOKUP(quantInv[[#This Row],[Description for New Invoice]],Map!$G$12:$H$32,2,FALSE), IF(quantInv[[#This Row],[Metal]] = "925 Silver", "7113.11.10.00", "7113.19.29.00"))</f>
        <v>7113.11.50.00</v>
      </c>
      <c r="M860" t="str">
        <f>quantInv[[#This Row],[ASIN]] &amp; " " &amp; quantInv[[#This Row],[Short Description]]</f>
        <v>B08C343PST Ring with CZ - Q</v>
      </c>
      <c r="N860" s="33">
        <f>quantInv[[#This Row],[UNIT
VALUE]] / EURtoGBP</f>
        <v>4.5044922329490955</v>
      </c>
      <c r="O860" s="33">
        <f>quantInv[[#This Row],[UNIT
VALUE]]/USDtoGBP</f>
        <v>5.4398800246201766</v>
      </c>
      <c r="P860" s="33">
        <f>quantInv[[#This Row],[UNIT
VALUE]] / CADtoGBP</f>
        <v>6.9633591456491946</v>
      </c>
      <c r="Q860" s="33">
        <f>quantInv[[#This Row],[UNIT
VALUE]]/AUDtoGBP</f>
        <v>7.1274876068683097</v>
      </c>
      <c r="R860">
        <f>IFERROR(VLOOKUP(quantInv[[#This Row],[Assigned Item SKU]],skuQuantity[#All],2,FALSE),0)</f>
        <v>0</v>
      </c>
      <c r="S860" t="str">
        <f>PROPER(quantInv[[#This Row],[Metal]] &amp; " " &amp; quantInv[[#This Row],[Item Type]])</f>
        <v>925 Silver Ring</v>
      </c>
      <c r="T860" s="33">
        <f>quantInv[[#This Row],[Quantity]]*quantInv[[#This Row],[WEIGHT]]</f>
        <v>0</v>
      </c>
      <c r="U860" s="33">
        <f>quantInv[[#This Row],[UNIT
VALUE]]*quantInv[[#This Row],[Quantity]]</f>
        <v>0</v>
      </c>
      <c r="V860" s="33">
        <f>quantInv[[#This Row],[Total Cost GBP]]/EURtoGBP</f>
        <v>0</v>
      </c>
      <c r="W860" s="33">
        <f>quantInv[[#This Row],[Total Cost GBP]]/USDtoGBP</f>
        <v>0</v>
      </c>
      <c r="X860" s="33">
        <f>quantInv[[#This Row],[Total Cost GBP]]/CADtoGBP</f>
        <v>0</v>
      </c>
      <c r="Y860" s="33">
        <f>quantInv[[#This Row],[Quantity]]*quantInv[[#This Row],[UNIT
VALUE AUD]]</f>
        <v>0</v>
      </c>
      <c r="Z860" s="33"/>
    </row>
    <row r="861" spans="1:26" x14ac:dyDescent="0.25">
      <c r="A861" t="s">
        <v>2113</v>
      </c>
      <c r="B861" t="s">
        <v>2114</v>
      </c>
      <c r="C861" t="s">
        <v>115</v>
      </c>
      <c r="D861" t="s">
        <v>2115</v>
      </c>
      <c r="E861">
        <v>5.65</v>
      </c>
      <c r="F861" s="33">
        <v>12.161799999999999</v>
      </c>
      <c r="G861" s="33" t="s">
        <v>117</v>
      </c>
      <c r="H861" t="s">
        <v>2875</v>
      </c>
      <c r="I861" t="str">
        <f>IF(quantInv[[#This Row],[Metal]] = "925 Silver",  "7113.11.00"," 7113.19.00")</f>
        <v>7113.11.00</v>
      </c>
      <c r="J861" t="str">
        <f>IF(quantInv[[#This Row],[Metal]] = "925 Silver", "7113.11.10.00"," 7113.19.10.00")</f>
        <v>7113.11.10.00</v>
      </c>
      <c r="K861" t="str">
        <f>IF(quantInv[[#This Row],[Metal]] = "925 Silver",  "7113.11.00"," 7113.19.00")</f>
        <v>7113.11.00</v>
      </c>
      <c r="L861" t="str">
        <f>IFERROR(VLOOKUP(quantInv[[#This Row],[Description for New Invoice]],Map!$G$12:$H$32,2,FALSE), IF(quantInv[[#This Row],[Metal]] = "925 Silver", "7113.11.10.00", "7113.19.29.00"))</f>
        <v>7113.11.10.00</v>
      </c>
      <c r="M861" t="str">
        <f>quantInv[[#This Row],[ASIN]] &amp; " " &amp; quantInv[[#This Row],[Short Description]]</f>
        <v>B08Z4BFXWM Locket - Heart 4 Pictures</v>
      </c>
      <c r="N861" s="33">
        <f>quantInv[[#This Row],[UNIT
VALUE]] / EURtoGBP</f>
        <v>13.805088737918078</v>
      </c>
      <c r="O861" s="33">
        <f>quantInv[[#This Row],[UNIT
VALUE]]/USDtoGBP</f>
        <v>16.671807293658659</v>
      </c>
      <c r="P861" s="33">
        <f>quantInv[[#This Row],[UNIT
VALUE]] / CADtoGBP</f>
        <v>21.340871722792219</v>
      </c>
      <c r="Q861" s="33">
        <f>quantInv[[#This Row],[UNIT
VALUE]]/AUDtoGBP</f>
        <v>21.843882462820602</v>
      </c>
      <c r="R861">
        <f>IFERROR(VLOOKUP(quantInv[[#This Row],[Assigned Item SKU]],skuQuantity[#All],2,FALSE),0)</f>
        <v>0</v>
      </c>
      <c r="S861" t="str">
        <f>PROPER(quantInv[[#This Row],[Metal]] &amp; " " &amp; quantInv[[#This Row],[Item Type]])</f>
        <v xml:space="preserve">925 Silver </v>
      </c>
      <c r="T861" s="33">
        <f>quantInv[[#This Row],[Quantity]]*quantInv[[#This Row],[WEIGHT]]</f>
        <v>0</v>
      </c>
      <c r="U861" s="33">
        <f>quantInv[[#This Row],[UNIT
VALUE]]*quantInv[[#This Row],[Quantity]]</f>
        <v>0</v>
      </c>
      <c r="V861" s="33">
        <f>quantInv[[#This Row],[Total Cost GBP]]/EURtoGBP</f>
        <v>0</v>
      </c>
      <c r="W861" s="33">
        <f>quantInv[[#This Row],[Total Cost GBP]]/USDtoGBP</f>
        <v>0</v>
      </c>
      <c r="X861" s="33">
        <f>quantInv[[#This Row],[Total Cost GBP]]/CADtoGBP</f>
        <v>0</v>
      </c>
      <c r="Y861" s="33">
        <f>quantInv[[#This Row],[Quantity]]*quantInv[[#This Row],[UNIT
VALUE AUD]]</f>
        <v>0</v>
      </c>
      <c r="Z861" s="33"/>
    </row>
    <row r="862" spans="1:26" x14ac:dyDescent="0.25">
      <c r="A862" t="s">
        <v>2116</v>
      </c>
      <c r="B862" t="s">
        <v>2117</v>
      </c>
      <c r="C862" t="s">
        <v>115</v>
      </c>
      <c r="D862" t="s">
        <v>2118</v>
      </c>
      <c r="E862">
        <v>6.54</v>
      </c>
      <c r="F862" s="33">
        <v>8.8356999999999992</v>
      </c>
      <c r="G862" s="33" t="s">
        <v>117</v>
      </c>
      <c r="H862" t="s">
        <v>2875</v>
      </c>
      <c r="I862" t="str">
        <f>IF(quantInv[[#This Row],[Metal]] = "925 Silver",  "7113.11.00"," 7113.19.00")</f>
        <v>7113.11.00</v>
      </c>
      <c r="J862" t="str">
        <f>IF(quantInv[[#This Row],[Metal]] = "925 Silver", "7113.11.10.00"," 7113.19.10.00")</f>
        <v>7113.11.10.00</v>
      </c>
      <c r="K862" t="str">
        <f>IF(quantInv[[#This Row],[Metal]] = "925 Silver",  "7113.11.00"," 7113.19.00")</f>
        <v>7113.11.00</v>
      </c>
      <c r="L862" t="str">
        <f>IFERROR(VLOOKUP(quantInv[[#This Row],[Description for New Invoice]],Map!$G$12:$H$32,2,FALSE), IF(quantInv[[#This Row],[Metal]] = "925 Silver", "7113.11.10.00", "7113.19.29.00"))</f>
        <v>7113.11.10.00</v>
      </c>
      <c r="M862" t="str">
        <f>quantInv[[#This Row],[ASIN]] &amp; " " &amp; quantInv[[#This Row],[Short Description]]</f>
        <v>B08Z4B7LSJ Locket - Leaves Engraving 4 Pictures</v>
      </c>
      <c r="N862" s="33">
        <f>quantInv[[#This Row],[UNIT
VALUE]] / EURtoGBP</f>
        <v>10.029569846702195</v>
      </c>
      <c r="O862" s="33">
        <f>quantInv[[#This Row],[UNIT
VALUE]]/USDtoGBP</f>
        <v>12.112276776840583</v>
      </c>
      <c r="P862" s="33">
        <f>quantInv[[#This Row],[UNIT
VALUE]] / CADtoGBP</f>
        <v>15.504410554447139</v>
      </c>
      <c r="Q862" s="33">
        <f>quantInv[[#This Row],[UNIT
VALUE]]/AUDtoGBP</f>
        <v>15.86985415618938</v>
      </c>
      <c r="R862">
        <f>IFERROR(VLOOKUP(quantInv[[#This Row],[Assigned Item SKU]],skuQuantity[#All],2,FALSE),0)</f>
        <v>0</v>
      </c>
      <c r="S862" t="str">
        <f>PROPER(quantInv[[#This Row],[Metal]] &amp; " " &amp; quantInv[[#This Row],[Item Type]])</f>
        <v xml:space="preserve">925 Silver </v>
      </c>
      <c r="T862" s="33">
        <f>quantInv[[#This Row],[Quantity]]*quantInv[[#This Row],[WEIGHT]]</f>
        <v>0</v>
      </c>
      <c r="U862" s="33">
        <f>quantInv[[#This Row],[UNIT
VALUE]]*quantInv[[#This Row],[Quantity]]</f>
        <v>0</v>
      </c>
      <c r="V862" s="33">
        <f>quantInv[[#This Row],[Total Cost GBP]]/EURtoGBP</f>
        <v>0</v>
      </c>
      <c r="W862" s="33">
        <f>quantInv[[#This Row],[Total Cost GBP]]/USDtoGBP</f>
        <v>0</v>
      </c>
      <c r="X862" s="33">
        <f>quantInv[[#This Row],[Total Cost GBP]]/CADtoGBP</f>
        <v>0</v>
      </c>
      <c r="Y862" s="33">
        <f>quantInv[[#This Row],[Quantity]]*quantInv[[#This Row],[UNIT
VALUE AUD]]</f>
        <v>0</v>
      </c>
      <c r="Z862" s="33"/>
    </row>
    <row r="863" spans="1:26" x14ac:dyDescent="0.25">
      <c r="A863" t="s">
        <v>2119</v>
      </c>
      <c r="B863" t="s">
        <v>2120</v>
      </c>
      <c r="C863" t="s">
        <v>114</v>
      </c>
      <c r="D863" t="s">
        <v>2121</v>
      </c>
      <c r="E863">
        <v>1.79</v>
      </c>
      <c r="F863" s="33">
        <v>4.5945999999999998</v>
      </c>
      <c r="G863" s="33" t="s">
        <v>117</v>
      </c>
      <c r="H863" t="s">
        <v>2875</v>
      </c>
      <c r="I863" t="str">
        <f>IF(quantInv[[#This Row],[Metal]] = "925 Silver",  "7113.11.00"," 7113.19.00")</f>
        <v>7113.11.00</v>
      </c>
      <c r="J863" t="str">
        <f>IF(quantInv[[#This Row],[Metal]] = "925 Silver", "7113.11.10.00"," 7113.19.10.00")</f>
        <v>7113.11.10.00</v>
      </c>
      <c r="K863" t="str">
        <f>IF(quantInv[[#This Row],[Metal]] = "925 Silver",  "7113.11.00"," 7113.19.00")</f>
        <v>7113.11.00</v>
      </c>
      <c r="L863" t="str">
        <f>IFERROR(VLOOKUP(quantInv[[#This Row],[Description for New Invoice]],Map!$G$12:$H$32,2,FALSE), IF(quantInv[[#This Row],[Metal]] = "925 Silver", "7113.11.10.00", "7113.19.29.00"))</f>
        <v>7113.11.10.00</v>
      </c>
      <c r="M863" t="str">
        <f>quantInv[[#This Row],[ASIN]] &amp; " " &amp; quantInv[[#This Row],[Short Description]]</f>
        <v>Not listed Rolo Chain with Heart Shape Pendant with White Swarovski Crystals</v>
      </c>
      <c r="N863" s="33">
        <f>quantInv[[#This Row],[UNIT
VALUE]] / EURtoGBP</f>
        <v>5.2154171845646538</v>
      </c>
      <c r="O863" s="33">
        <f>quantInv[[#This Row],[UNIT
VALUE]]/USDtoGBP</f>
        <v>6.2984332739762268</v>
      </c>
      <c r="P863" s="33">
        <f>quantInv[[#This Row],[UNIT
VALUE]] / CADtoGBP</f>
        <v>8.0623566591739007</v>
      </c>
      <c r="Q863" s="33">
        <f>quantInv[[#This Row],[UNIT
VALUE]]/AUDtoGBP</f>
        <v>8.2523888210359928</v>
      </c>
      <c r="R863">
        <f>IFERROR(VLOOKUP(quantInv[[#This Row],[Assigned Item SKU]],skuQuantity[#All],2,FALSE),0)</f>
        <v>0</v>
      </c>
      <c r="S863" t="str">
        <f>PROPER(quantInv[[#This Row],[Metal]] &amp; " " &amp; quantInv[[#This Row],[Item Type]])</f>
        <v xml:space="preserve">925 Silver </v>
      </c>
      <c r="T863" s="33">
        <f>quantInv[[#This Row],[Quantity]]*quantInv[[#This Row],[WEIGHT]]</f>
        <v>0</v>
      </c>
      <c r="U863" s="33">
        <f>quantInv[[#This Row],[UNIT
VALUE]]*quantInv[[#This Row],[Quantity]]</f>
        <v>0</v>
      </c>
      <c r="V863" s="33">
        <f>quantInv[[#This Row],[Total Cost GBP]]/EURtoGBP</f>
        <v>0</v>
      </c>
      <c r="W863" s="33">
        <f>quantInv[[#This Row],[Total Cost GBP]]/USDtoGBP</f>
        <v>0</v>
      </c>
      <c r="X863" s="33">
        <f>quantInv[[#This Row],[Total Cost GBP]]/CADtoGBP</f>
        <v>0</v>
      </c>
      <c r="Y863" s="33">
        <f>quantInv[[#This Row],[Quantity]]*quantInv[[#This Row],[UNIT
VALUE AUD]]</f>
        <v>0</v>
      </c>
      <c r="Z863" s="33"/>
    </row>
    <row r="864" spans="1:26" x14ac:dyDescent="0.25">
      <c r="A864" t="s">
        <v>2122</v>
      </c>
      <c r="B864" t="s">
        <v>2120</v>
      </c>
      <c r="C864" t="s">
        <v>114</v>
      </c>
      <c r="D864" t="s">
        <v>2123</v>
      </c>
      <c r="E864">
        <v>1.96</v>
      </c>
      <c r="F864" s="33">
        <v>4.7443999999999997</v>
      </c>
      <c r="G864" s="33" t="s">
        <v>117</v>
      </c>
      <c r="H864" t="s">
        <v>2875</v>
      </c>
      <c r="I864" t="str">
        <f>IF(quantInv[[#This Row],[Metal]] = "925 Silver",  "7113.11.00"," 7113.19.00")</f>
        <v>7113.11.00</v>
      </c>
      <c r="J864" t="str">
        <f>IF(quantInv[[#This Row],[Metal]] = "925 Silver", "7113.11.10.00"," 7113.19.10.00")</f>
        <v>7113.11.10.00</v>
      </c>
      <c r="K864" t="str">
        <f>IF(quantInv[[#This Row],[Metal]] = "925 Silver",  "7113.11.00"," 7113.19.00")</f>
        <v>7113.11.00</v>
      </c>
      <c r="L864" t="str">
        <f>IFERROR(VLOOKUP(quantInv[[#This Row],[Description for New Invoice]],Map!$G$12:$H$32,2,FALSE), IF(quantInv[[#This Row],[Metal]] = "925 Silver", "7113.11.10.00", "7113.19.29.00"))</f>
        <v>7113.11.10.00</v>
      </c>
      <c r="M864" t="str">
        <f>quantInv[[#This Row],[ASIN]] &amp; " " &amp; quantInv[[#This Row],[Short Description]]</f>
        <v>Not listed Rose Gold Plated Rolo Chain with Heart Shape Pendant with Multicolour Swarovski Crystals</v>
      </c>
      <c r="N864" s="33">
        <f>quantInv[[#This Row],[UNIT
VALUE]] / EURtoGBP</f>
        <v>5.3854579920882211</v>
      </c>
      <c r="O864" s="33">
        <f>quantInv[[#This Row],[UNIT
VALUE]]/USDtoGBP</f>
        <v>6.5037841868830384</v>
      </c>
      <c r="P864" s="33">
        <f>quantInv[[#This Row],[UNIT
VALUE]] / CADtoGBP</f>
        <v>8.3252176323912099</v>
      </c>
      <c r="Q864" s="33">
        <f>quantInv[[#This Row],[UNIT
VALUE]]/AUDtoGBP</f>
        <v>8.5214455061426815</v>
      </c>
      <c r="R864">
        <f>IFERROR(VLOOKUP(quantInv[[#This Row],[Assigned Item SKU]],skuQuantity[#All],2,FALSE),0)</f>
        <v>0</v>
      </c>
      <c r="S864" t="str">
        <f>PROPER(quantInv[[#This Row],[Metal]] &amp; " " &amp; quantInv[[#This Row],[Item Type]])</f>
        <v xml:space="preserve">925 Silver </v>
      </c>
      <c r="T864" s="33">
        <f>quantInv[[#This Row],[Quantity]]*quantInv[[#This Row],[WEIGHT]]</f>
        <v>0</v>
      </c>
      <c r="U864" s="33">
        <f>quantInv[[#This Row],[UNIT
VALUE]]*quantInv[[#This Row],[Quantity]]</f>
        <v>0</v>
      </c>
      <c r="V864" s="33">
        <f>quantInv[[#This Row],[Total Cost GBP]]/EURtoGBP</f>
        <v>0</v>
      </c>
      <c r="W864" s="33">
        <f>quantInv[[#This Row],[Total Cost GBP]]/USDtoGBP</f>
        <v>0</v>
      </c>
      <c r="X864" s="33">
        <f>quantInv[[#This Row],[Total Cost GBP]]/CADtoGBP</f>
        <v>0</v>
      </c>
      <c r="Y864" s="33">
        <f>quantInv[[#This Row],[Quantity]]*quantInv[[#This Row],[UNIT
VALUE AUD]]</f>
        <v>0</v>
      </c>
      <c r="Z864" s="33"/>
    </row>
    <row r="865" spans="1:26" x14ac:dyDescent="0.25">
      <c r="A865" t="s">
        <v>2124</v>
      </c>
      <c r="B865" t="s">
        <v>2120</v>
      </c>
      <c r="C865" t="s">
        <v>114</v>
      </c>
      <c r="D865" t="s">
        <v>2125</v>
      </c>
      <c r="E865">
        <v>0.86</v>
      </c>
      <c r="F865" s="33">
        <v>3.3348</v>
      </c>
      <c r="G865" s="33" t="s">
        <v>117</v>
      </c>
      <c r="H865" t="s">
        <v>2875</v>
      </c>
      <c r="I865" t="str">
        <f>IF(quantInv[[#This Row],[Metal]] = "925 Silver",  "7113.11.00"," 7113.19.00")</f>
        <v>7113.11.00</v>
      </c>
      <c r="J865" t="str">
        <f>IF(quantInv[[#This Row],[Metal]] = "925 Silver", "7113.11.10.00"," 7113.19.10.00")</f>
        <v>7113.11.10.00</v>
      </c>
      <c r="K865" t="str">
        <f>IF(quantInv[[#This Row],[Metal]] = "925 Silver",  "7113.11.00"," 7113.19.00")</f>
        <v>7113.11.00</v>
      </c>
      <c r="L865" t="str">
        <f>IFERROR(VLOOKUP(quantInv[[#This Row],[Description for New Invoice]],Map!$G$12:$H$32,2,FALSE), IF(quantInv[[#This Row],[Metal]] = "925 Silver", "7113.11.10.00", "7113.19.29.00"))</f>
        <v>7113.11.10.00</v>
      </c>
      <c r="M865" t="str">
        <f>quantInv[[#This Row],[ASIN]] &amp; " " &amp; quantInv[[#This Row],[Short Description]]</f>
        <v>Not listed Stud Heart Earrings with White Swarovski Crystals</v>
      </c>
      <c r="N865" s="33">
        <f>quantInv[[#This Row],[UNIT
VALUE]] / EURtoGBP</f>
        <v>3.7853944254312033</v>
      </c>
      <c r="O865" s="33">
        <f>quantInv[[#This Row],[UNIT
VALUE]]/USDtoGBP</f>
        <v>4.5714567714394994</v>
      </c>
      <c r="P865" s="33">
        <f>quantInv[[#This Row],[UNIT
VALUE]] / CADtoGBP</f>
        <v>5.8517274598470213</v>
      </c>
      <c r="Q865" s="33">
        <f>quantInv[[#This Row],[UNIT
VALUE]]/AUDtoGBP</f>
        <v>5.9896544291974996</v>
      </c>
      <c r="R865">
        <f>IFERROR(VLOOKUP(quantInv[[#This Row],[Assigned Item SKU]],skuQuantity[#All],2,FALSE),0)</f>
        <v>0</v>
      </c>
      <c r="S865" t="str">
        <f>PROPER(quantInv[[#This Row],[Metal]] &amp; " " &amp; quantInv[[#This Row],[Item Type]])</f>
        <v xml:space="preserve">925 Silver </v>
      </c>
      <c r="T865" s="33">
        <f>quantInv[[#This Row],[Quantity]]*quantInv[[#This Row],[WEIGHT]]</f>
        <v>0</v>
      </c>
      <c r="U865" s="33">
        <f>quantInv[[#This Row],[UNIT
VALUE]]*quantInv[[#This Row],[Quantity]]</f>
        <v>0</v>
      </c>
      <c r="V865" s="33">
        <f>quantInv[[#This Row],[Total Cost GBP]]/EURtoGBP</f>
        <v>0</v>
      </c>
      <c r="W865" s="33">
        <f>quantInv[[#This Row],[Total Cost GBP]]/USDtoGBP</f>
        <v>0</v>
      </c>
      <c r="X865" s="33">
        <f>quantInv[[#This Row],[Total Cost GBP]]/CADtoGBP</f>
        <v>0</v>
      </c>
      <c r="Y865" s="33">
        <f>quantInv[[#This Row],[Quantity]]*quantInv[[#This Row],[UNIT
VALUE AUD]]</f>
        <v>0</v>
      </c>
      <c r="Z865" s="33"/>
    </row>
    <row r="866" spans="1:26" x14ac:dyDescent="0.25">
      <c r="A866" t="s">
        <v>2126</v>
      </c>
      <c r="B866" t="s">
        <v>2120</v>
      </c>
      <c r="C866" t="s">
        <v>114</v>
      </c>
      <c r="D866" t="s">
        <v>2127</v>
      </c>
      <c r="E866">
        <v>0.87</v>
      </c>
      <c r="F866" s="33">
        <v>3.3435999999999999</v>
      </c>
      <c r="G866" s="33" t="s">
        <v>117</v>
      </c>
      <c r="H866" t="s">
        <v>2875</v>
      </c>
      <c r="I866" t="str">
        <f>IF(quantInv[[#This Row],[Metal]] = "925 Silver",  "7113.11.00"," 7113.19.00")</f>
        <v>7113.11.00</v>
      </c>
      <c r="J866" t="str">
        <f>IF(quantInv[[#This Row],[Metal]] = "925 Silver", "7113.11.10.00"," 7113.19.10.00")</f>
        <v>7113.11.10.00</v>
      </c>
      <c r="K866" t="str">
        <f>IF(quantInv[[#This Row],[Metal]] = "925 Silver",  "7113.11.00"," 7113.19.00")</f>
        <v>7113.11.00</v>
      </c>
      <c r="L866" t="str">
        <f>IFERROR(VLOOKUP(quantInv[[#This Row],[Description for New Invoice]],Map!$G$12:$H$32,2,FALSE), IF(quantInv[[#This Row],[Metal]] = "925 Silver", "7113.11.10.00", "7113.19.29.00"))</f>
        <v>7113.11.10.00</v>
      </c>
      <c r="M866" t="str">
        <f>quantInv[[#This Row],[ASIN]] &amp; " " &amp; quantInv[[#This Row],[Short Description]]</f>
        <v>Not listed Rose Gold Plated Stud Heart Earrings with Multicolour Swarovski Crystals</v>
      </c>
      <c r="N866" s="33">
        <f>quantInv[[#This Row],[UNIT
VALUE]] / EURtoGBP</f>
        <v>3.7953834715340564</v>
      </c>
      <c r="O866" s="33">
        <f>quantInv[[#This Row],[UNIT
VALUE]]/USDtoGBP</f>
        <v>4.5835201094473756</v>
      </c>
      <c r="P866" s="33">
        <f>quantInv[[#This Row],[UNIT
VALUE]] / CADtoGBP</f>
        <v>5.8671692259639254</v>
      </c>
      <c r="Q866" s="33">
        <f>quantInv[[#This Row],[UNIT
VALUE]]/AUDtoGBP</f>
        <v>6.005460162367986</v>
      </c>
      <c r="R866">
        <f>IFERROR(VLOOKUP(quantInv[[#This Row],[Assigned Item SKU]],skuQuantity[#All],2,FALSE),0)</f>
        <v>0</v>
      </c>
      <c r="S866" t="str">
        <f>PROPER(quantInv[[#This Row],[Metal]] &amp; " " &amp; quantInv[[#This Row],[Item Type]])</f>
        <v xml:space="preserve">925 Silver </v>
      </c>
      <c r="T866" s="33">
        <f>quantInv[[#This Row],[Quantity]]*quantInv[[#This Row],[WEIGHT]]</f>
        <v>0</v>
      </c>
      <c r="U866" s="33">
        <f>quantInv[[#This Row],[UNIT
VALUE]]*quantInv[[#This Row],[Quantity]]</f>
        <v>0</v>
      </c>
      <c r="V866" s="33">
        <f>quantInv[[#This Row],[Total Cost GBP]]/EURtoGBP</f>
        <v>0</v>
      </c>
      <c r="W866" s="33">
        <f>quantInv[[#This Row],[Total Cost GBP]]/USDtoGBP</f>
        <v>0</v>
      </c>
      <c r="X866" s="33">
        <f>quantInv[[#This Row],[Total Cost GBP]]/CADtoGBP</f>
        <v>0</v>
      </c>
      <c r="Y866" s="33">
        <f>quantInv[[#This Row],[Quantity]]*quantInv[[#This Row],[UNIT
VALUE AUD]]</f>
        <v>0</v>
      </c>
      <c r="Z866" s="33"/>
    </row>
    <row r="867" spans="1:26" x14ac:dyDescent="0.25">
      <c r="A867" t="s">
        <v>2128</v>
      </c>
      <c r="B867" t="s">
        <v>2120</v>
      </c>
      <c r="C867" t="s">
        <v>114</v>
      </c>
      <c r="D867" t="s">
        <v>2129</v>
      </c>
      <c r="E867">
        <v>1.78</v>
      </c>
      <c r="F867" s="33">
        <v>2.9119000000000002</v>
      </c>
      <c r="G867" s="33" t="s">
        <v>117</v>
      </c>
      <c r="H867" t="s">
        <v>2875</v>
      </c>
      <c r="I867" t="str">
        <f>IF(quantInv[[#This Row],[Metal]] = "925 Silver",  "7113.11.00"," 7113.19.00")</f>
        <v>7113.11.00</v>
      </c>
      <c r="J867" t="str">
        <f>IF(quantInv[[#This Row],[Metal]] = "925 Silver", "7113.11.10.00"," 7113.19.10.00")</f>
        <v>7113.11.10.00</v>
      </c>
      <c r="K867" t="str">
        <f>IF(quantInv[[#This Row],[Metal]] = "925 Silver",  "7113.11.00"," 7113.19.00")</f>
        <v>7113.11.00</v>
      </c>
      <c r="L867" t="str">
        <f>IFERROR(VLOOKUP(quantInv[[#This Row],[Description for New Invoice]],Map!$G$12:$H$32,2,FALSE), IF(quantInv[[#This Row],[Metal]] = "925 Silver", "7113.11.10.00", "7113.19.29.00"))</f>
        <v>7113.11.10.00</v>
      </c>
      <c r="M867" t="str">
        <f>quantInv[[#This Row],[ASIN]] &amp; " " &amp; quantInv[[#This Row],[Short Description]]</f>
        <v xml:space="preserve">Not listed Open Twisted Hoop in Dark Silver RH with Butterfly Back </v>
      </c>
      <c r="N867" s="33">
        <f>quantInv[[#This Row],[UNIT
VALUE]] / EURtoGBP</f>
        <v>3.3053526530565915</v>
      </c>
      <c r="O867" s="33">
        <f>quantInv[[#This Row],[UNIT
VALUE]]/USDtoGBP</f>
        <v>3.9917311301291467</v>
      </c>
      <c r="P867" s="33">
        <f>quantInv[[#This Row],[UNIT
VALUE]] / CADtoGBP</f>
        <v>5.1096453131607715</v>
      </c>
      <c r="Q867" s="33">
        <f>quantInv[[#This Row],[UNIT
VALUE]]/AUDtoGBP</f>
        <v>5.2300811839931027</v>
      </c>
      <c r="R867">
        <f>IFERROR(VLOOKUP(quantInv[[#This Row],[Assigned Item SKU]],skuQuantity[#All],2,FALSE),0)</f>
        <v>0</v>
      </c>
      <c r="S867" t="str">
        <f>PROPER(quantInv[[#This Row],[Metal]] &amp; " " &amp; quantInv[[#This Row],[Item Type]])</f>
        <v xml:space="preserve">925 Silver </v>
      </c>
      <c r="T867" s="33">
        <f>quantInv[[#This Row],[Quantity]]*quantInv[[#This Row],[WEIGHT]]</f>
        <v>0</v>
      </c>
      <c r="U867" s="33">
        <f>quantInv[[#This Row],[UNIT
VALUE]]*quantInv[[#This Row],[Quantity]]</f>
        <v>0</v>
      </c>
      <c r="V867" s="33">
        <f>quantInv[[#This Row],[Total Cost GBP]]/EURtoGBP</f>
        <v>0</v>
      </c>
      <c r="W867" s="33">
        <f>quantInv[[#This Row],[Total Cost GBP]]/USDtoGBP</f>
        <v>0</v>
      </c>
      <c r="X867" s="33">
        <f>quantInv[[#This Row],[Total Cost GBP]]/CADtoGBP</f>
        <v>0</v>
      </c>
      <c r="Y867" s="33">
        <f>quantInv[[#This Row],[Quantity]]*quantInv[[#This Row],[UNIT
VALUE AUD]]</f>
        <v>0</v>
      </c>
      <c r="Z867" s="33"/>
    </row>
    <row r="868" spans="1:26" x14ac:dyDescent="0.25">
      <c r="A868" t="s">
        <v>2130</v>
      </c>
      <c r="B868" t="s">
        <v>2120</v>
      </c>
      <c r="C868" t="s">
        <v>114</v>
      </c>
      <c r="D868" t="s">
        <v>2131</v>
      </c>
      <c r="E868">
        <v>1.51</v>
      </c>
      <c r="F868" s="33">
        <v>2.5859999999999999</v>
      </c>
      <c r="G868" s="33" t="s">
        <v>117</v>
      </c>
      <c r="H868" t="s">
        <v>2875</v>
      </c>
      <c r="I868" t="str">
        <f>IF(quantInv[[#This Row],[Metal]] = "925 Silver",  "7113.11.00"," 7113.19.00")</f>
        <v>7113.11.00</v>
      </c>
      <c r="J868" t="str">
        <f>IF(quantInv[[#This Row],[Metal]] = "925 Silver", "7113.11.10.00"," 7113.19.10.00")</f>
        <v>7113.11.10.00</v>
      </c>
      <c r="K868" t="str">
        <f>IF(quantInv[[#This Row],[Metal]] = "925 Silver",  "7113.11.00"," 7113.19.00")</f>
        <v>7113.11.00</v>
      </c>
      <c r="L868" t="str">
        <f>IFERROR(VLOOKUP(quantInv[[#This Row],[Description for New Invoice]],Map!$G$12:$H$32,2,FALSE), IF(quantInv[[#This Row],[Metal]] = "925 Silver", "7113.11.10.00", "7113.19.29.00"))</f>
        <v>7113.11.10.00</v>
      </c>
      <c r="M868" t="str">
        <f>quantInv[[#This Row],[ASIN]] &amp; " " &amp; quantInv[[#This Row],[Short Description]]</f>
        <v xml:space="preserve">Not listed Open Textured Hoop in Dark Silver RH with Butterfly Back </v>
      </c>
      <c r="N868" s="33">
        <f>quantInv[[#This Row],[UNIT
VALUE]] / EURtoGBP</f>
        <v>2.9354174115884284</v>
      </c>
      <c r="O868" s="33">
        <f>quantInv[[#This Row],[UNIT
VALUE]]/USDtoGBP</f>
        <v>3.5449763736783448</v>
      </c>
      <c r="P868" s="33">
        <f>quantInv[[#This Row],[UNIT
VALUE]] / CADtoGBP</f>
        <v>4.5377735429904025</v>
      </c>
      <c r="Q868" s="33">
        <f>quantInv[[#This Row],[UNIT
VALUE]]/AUDtoGBP</f>
        <v>4.6447302248724762</v>
      </c>
      <c r="R868">
        <f>IFERROR(VLOOKUP(quantInv[[#This Row],[Assigned Item SKU]],skuQuantity[#All],2,FALSE),0)</f>
        <v>0</v>
      </c>
      <c r="S868" t="str">
        <f>PROPER(quantInv[[#This Row],[Metal]] &amp; " " &amp; quantInv[[#This Row],[Item Type]])</f>
        <v xml:space="preserve">925 Silver </v>
      </c>
      <c r="T868" s="33">
        <f>quantInv[[#This Row],[Quantity]]*quantInv[[#This Row],[WEIGHT]]</f>
        <v>0</v>
      </c>
      <c r="U868" s="33">
        <f>quantInv[[#This Row],[UNIT
VALUE]]*quantInv[[#This Row],[Quantity]]</f>
        <v>0</v>
      </c>
      <c r="V868" s="33">
        <f>quantInv[[#This Row],[Total Cost GBP]]/EURtoGBP</f>
        <v>0</v>
      </c>
      <c r="W868" s="33">
        <f>quantInv[[#This Row],[Total Cost GBP]]/USDtoGBP</f>
        <v>0</v>
      </c>
      <c r="X868" s="33">
        <f>quantInv[[#This Row],[Total Cost GBP]]/CADtoGBP</f>
        <v>0</v>
      </c>
      <c r="Y868" s="33">
        <f>quantInv[[#This Row],[Quantity]]*quantInv[[#This Row],[UNIT
VALUE AUD]]</f>
        <v>0</v>
      </c>
      <c r="Z868" s="33"/>
    </row>
    <row r="869" spans="1:26" x14ac:dyDescent="0.25">
      <c r="A869" t="s">
        <v>2132</v>
      </c>
      <c r="B869" t="s">
        <v>2133</v>
      </c>
      <c r="C869" t="s">
        <v>114</v>
      </c>
      <c r="D869" t="s">
        <v>2134</v>
      </c>
      <c r="E869">
        <v>2.13</v>
      </c>
      <c r="F869" s="33">
        <v>4.3227000000000002</v>
      </c>
      <c r="G869" s="33" t="s">
        <v>117</v>
      </c>
      <c r="H869" t="s">
        <v>2875</v>
      </c>
      <c r="I869" t="str">
        <f>IF(quantInv[[#This Row],[Metal]] = "925 Silver",  "7113.11.00"," 7113.19.00")</f>
        <v>7113.11.00</v>
      </c>
      <c r="J869" t="str">
        <f>IF(quantInv[[#This Row],[Metal]] = "925 Silver", "7113.11.10.00"," 7113.19.10.00")</f>
        <v>7113.11.10.00</v>
      </c>
      <c r="K869" t="str">
        <f>IF(quantInv[[#This Row],[Metal]] = "925 Silver",  "7113.11.00"," 7113.19.00")</f>
        <v>7113.11.00</v>
      </c>
      <c r="L869" t="str">
        <f>IFERROR(VLOOKUP(quantInv[[#This Row],[Description for New Invoice]],Map!$G$12:$H$32,2,FALSE), IF(quantInv[[#This Row],[Metal]] = "925 Silver", "7113.11.10.00", "7113.19.29.00"))</f>
        <v>7113.11.10.00</v>
      </c>
      <c r="M869" t="str">
        <f>quantInv[[#This Row],[ASIN]] &amp; " " &amp; quantInv[[#This Row],[Short Description]]</f>
        <v>B08PC6PZQZ Leaf / Feather Drop Earrings with White Swarowski Stone</v>
      </c>
      <c r="N869" s="33">
        <f>quantInv[[#This Row],[UNIT
VALUE]] / EURtoGBP</f>
        <v>4.9067783623639984</v>
      </c>
      <c r="O869" s="33">
        <f>quantInv[[#This Row],[UNIT
VALUE]]/USDtoGBP</f>
        <v>5.9257035462101246</v>
      </c>
      <c r="P869" s="33">
        <f>quantInv[[#This Row],[UNIT
VALUE]] / CADtoGBP</f>
        <v>7.5852411810845384</v>
      </c>
      <c r="Q869" s="33">
        <f>quantInv[[#This Row],[UNIT
VALUE]]/AUDtoGBP</f>
        <v>7.7640275881888066</v>
      </c>
      <c r="R869">
        <f>IFERROR(VLOOKUP(quantInv[[#This Row],[Assigned Item SKU]],skuQuantity[#All],2,FALSE),0)</f>
        <v>0</v>
      </c>
      <c r="S869" t="str">
        <f>PROPER(quantInv[[#This Row],[Metal]] &amp; " " &amp; quantInv[[#This Row],[Item Type]])</f>
        <v xml:space="preserve">925 Silver </v>
      </c>
      <c r="T869" s="33">
        <f>quantInv[[#This Row],[Quantity]]*quantInv[[#This Row],[WEIGHT]]</f>
        <v>0</v>
      </c>
      <c r="U869" s="33">
        <f>quantInv[[#This Row],[UNIT
VALUE]]*quantInv[[#This Row],[Quantity]]</f>
        <v>0</v>
      </c>
      <c r="V869" s="33">
        <f>quantInv[[#This Row],[Total Cost GBP]]/EURtoGBP</f>
        <v>0</v>
      </c>
      <c r="W869" s="33">
        <f>quantInv[[#This Row],[Total Cost GBP]]/USDtoGBP</f>
        <v>0</v>
      </c>
      <c r="X869" s="33">
        <f>quantInv[[#This Row],[Total Cost GBP]]/CADtoGBP</f>
        <v>0</v>
      </c>
      <c r="Y869" s="33">
        <f>quantInv[[#This Row],[Quantity]]*quantInv[[#This Row],[UNIT
VALUE AUD]]</f>
        <v>0</v>
      </c>
      <c r="Z869" s="33"/>
    </row>
    <row r="870" spans="1:26" x14ac:dyDescent="0.25">
      <c r="A870" t="s">
        <v>2135</v>
      </c>
      <c r="B870" t="s">
        <v>2136</v>
      </c>
      <c r="C870" t="s">
        <v>114</v>
      </c>
      <c r="D870" t="s">
        <v>2137</v>
      </c>
      <c r="E870">
        <v>0.96</v>
      </c>
      <c r="F870" s="33">
        <v>2.5419</v>
      </c>
      <c r="G870" s="33" t="s">
        <v>117</v>
      </c>
      <c r="H870" t="s">
        <v>2875</v>
      </c>
      <c r="I870" t="str">
        <f>IF(quantInv[[#This Row],[Metal]] = "925 Silver",  "7113.11.00"," 7113.19.00")</f>
        <v>7113.11.00</v>
      </c>
      <c r="J870" t="str">
        <f>IF(quantInv[[#This Row],[Metal]] = "925 Silver", "7113.11.10.00"," 7113.19.10.00")</f>
        <v>7113.11.10.00</v>
      </c>
      <c r="K870" t="str">
        <f>IF(quantInv[[#This Row],[Metal]] = "925 Silver",  "7113.11.00"," 7113.19.00")</f>
        <v>7113.11.00</v>
      </c>
      <c r="L870" t="str">
        <f>IFERROR(VLOOKUP(quantInv[[#This Row],[Description for New Invoice]],Map!$G$12:$H$32,2,FALSE), IF(quantInv[[#This Row],[Metal]] = "925 Silver", "7113.11.10.00", "7113.19.29.00"))</f>
        <v>7113.11.10.00</v>
      </c>
      <c r="M870" t="str">
        <f>quantInv[[#This Row],[ASIN]] &amp; " " &amp; quantInv[[#This Row],[Short Description]]</f>
        <v>B08CWLTBX2 Round Stud Earrings with Swarovski. CRYSTAL</v>
      </c>
      <c r="N870" s="33">
        <f>quantInv[[#This Row],[UNIT
VALUE]] / EURtoGBP</f>
        <v>2.8853586691866306</v>
      </c>
      <c r="O870" s="33">
        <f>quantInv[[#This Row],[UNIT
VALUE]]/USDtoGBP</f>
        <v>3.4845226002525078</v>
      </c>
      <c r="P870" s="33">
        <f>quantInv[[#This Row],[UNIT
VALUE]] / CADtoGBP</f>
        <v>4.4603892377909151</v>
      </c>
      <c r="Q870" s="33">
        <f>quantInv[[#This Row],[UNIT
VALUE]]/AUDtoGBP</f>
        <v>4.5655219484158343</v>
      </c>
      <c r="R870">
        <f>IFERROR(VLOOKUP(quantInv[[#This Row],[Assigned Item SKU]],skuQuantity[#All],2,FALSE),0)</f>
        <v>0</v>
      </c>
      <c r="S870" t="str">
        <f>PROPER(quantInv[[#This Row],[Metal]] &amp; " " &amp; quantInv[[#This Row],[Item Type]])</f>
        <v xml:space="preserve">925 Silver </v>
      </c>
      <c r="T870" s="33">
        <f>quantInv[[#This Row],[Quantity]]*quantInv[[#This Row],[WEIGHT]]</f>
        <v>0</v>
      </c>
      <c r="U870" s="33">
        <f>quantInv[[#This Row],[UNIT
VALUE]]*quantInv[[#This Row],[Quantity]]</f>
        <v>0</v>
      </c>
      <c r="V870" s="33">
        <f>quantInv[[#This Row],[Total Cost GBP]]/EURtoGBP</f>
        <v>0</v>
      </c>
      <c r="W870" s="33">
        <f>quantInv[[#This Row],[Total Cost GBP]]/USDtoGBP</f>
        <v>0</v>
      </c>
      <c r="X870" s="33">
        <f>quantInv[[#This Row],[Total Cost GBP]]/CADtoGBP</f>
        <v>0</v>
      </c>
      <c r="Y870" s="33">
        <f>quantInv[[#This Row],[Quantity]]*quantInv[[#This Row],[UNIT
VALUE AUD]]</f>
        <v>0</v>
      </c>
      <c r="Z870" s="33"/>
    </row>
    <row r="871" spans="1:26" x14ac:dyDescent="0.25">
      <c r="A871" t="s">
        <v>2138</v>
      </c>
      <c r="B871" t="s">
        <v>2139</v>
      </c>
      <c r="C871" t="s">
        <v>114</v>
      </c>
      <c r="D871" t="s">
        <v>2140</v>
      </c>
      <c r="E871">
        <v>0.96</v>
      </c>
      <c r="F871" s="33">
        <v>2.5419</v>
      </c>
      <c r="G871" s="33" t="s">
        <v>117</v>
      </c>
      <c r="H871" t="s">
        <v>2875</v>
      </c>
      <c r="I871" t="str">
        <f>IF(quantInv[[#This Row],[Metal]] = "925 Silver",  "7113.11.00"," 7113.19.00")</f>
        <v>7113.11.00</v>
      </c>
      <c r="J871" t="str">
        <f>IF(quantInv[[#This Row],[Metal]] = "925 Silver", "7113.11.10.00"," 7113.19.10.00")</f>
        <v>7113.11.10.00</v>
      </c>
      <c r="K871" t="str">
        <f>IF(quantInv[[#This Row],[Metal]] = "925 Silver",  "7113.11.00"," 7113.19.00")</f>
        <v>7113.11.00</v>
      </c>
      <c r="L871" t="str">
        <f>IFERROR(VLOOKUP(quantInv[[#This Row],[Description for New Invoice]],Map!$G$12:$H$32,2,FALSE), IF(quantInv[[#This Row],[Metal]] = "925 Silver", "7113.11.10.00", "7113.19.29.00"))</f>
        <v>7113.11.10.00</v>
      </c>
      <c r="M871" t="str">
        <f>quantInv[[#This Row],[ASIN]] &amp; " " &amp; quantInv[[#This Row],[Short Description]]</f>
        <v>B08CXGRPRS Round Stud Earrings with Swarovski. AURORE BOREALE</v>
      </c>
      <c r="N871" s="33">
        <f>quantInv[[#This Row],[UNIT
VALUE]] / EURtoGBP</f>
        <v>2.8853586691866306</v>
      </c>
      <c r="O871" s="33">
        <f>quantInv[[#This Row],[UNIT
VALUE]]/USDtoGBP</f>
        <v>3.4845226002525078</v>
      </c>
      <c r="P871" s="33">
        <f>quantInv[[#This Row],[UNIT
VALUE]] / CADtoGBP</f>
        <v>4.4603892377909151</v>
      </c>
      <c r="Q871" s="33">
        <f>quantInv[[#This Row],[UNIT
VALUE]]/AUDtoGBP</f>
        <v>4.5655219484158343</v>
      </c>
      <c r="R871">
        <f>IFERROR(VLOOKUP(quantInv[[#This Row],[Assigned Item SKU]],skuQuantity[#All],2,FALSE),0)</f>
        <v>0</v>
      </c>
      <c r="S871" t="str">
        <f>PROPER(quantInv[[#This Row],[Metal]] &amp; " " &amp; quantInv[[#This Row],[Item Type]])</f>
        <v xml:space="preserve">925 Silver </v>
      </c>
      <c r="T871" s="33">
        <f>quantInv[[#This Row],[Quantity]]*quantInv[[#This Row],[WEIGHT]]</f>
        <v>0</v>
      </c>
      <c r="U871" s="33">
        <f>quantInv[[#This Row],[UNIT
VALUE]]*quantInv[[#This Row],[Quantity]]</f>
        <v>0</v>
      </c>
      <c r="V871" s="33">
        <f>quantInv[[#This Row],[Total Cost GBP]]/EURtoGBP</f>
        <v>0</v>
      </c>
      <c r="W871" s="33">
        <f>quantInv[[#This Row],[Total Cost GBP]]/USDtoGBP</f>
        <v>0</v>
      </c>
      <c r="X871" s="33">
        <f>quantInv[[#This Row],[Total Cost GBP]]/CADtoGBP</f>
        <v>0</v>
      </c>
      <c r="Y871" s="33">
        <f>quantInv[[#This Row],[Quantity]]*quantInv[[#This Row],[UNIT
VALUE AUD]]</f>
        <v>0</v>
      </c>
      <c r="Z871" s="33"/>
    </row>
    <row r="872" spans="1:26" x14ac:dyDescent="0.25">
      <c r="A872" t="s">
        <v>2141</v>
      </c>
      <c r="B872" t="s">
        <v>2142</v>
      </c>
      <c r="C872" t="s">
        <v>114</v>
      </c>
      <c r="D872" t="s">
        <v>2143</v>
      </c>
      <c r="E872">
        <v>0.96</v>
      </c>
      <c r="F872" s="33">
        <v>2.5419</v>
      </c>
      <c r="G872" s="33" t="s">
        <v>117</v>
      </c>
      <c r="H872" t="s">
        <v>2875</v>
      </c>
      <c r="I872" t="str">
        <f>IF(quantInv[[#This Row],[Metal]] = "925 Silver",  "7113.11.00"," 7113.19.00")</f>
        <v>7113.11.00</v>
      </c>
      <c r="J872" t="str">
        <f>IF(quantInv[[#This Row],[Metal]] = "925 Silver", "7113.11.10.00"," 7113.19.10.00")</f>
        <v>7113.11.10.00</v>
      </c>
      <c r="K872" t="str">
        <f>IF(quantInv[[#This Row],[Metal]] = "925 Silver",  "7113.11.00"," 7113.19.00")</f>
        <v>7113.11.00</v>
      </c>
      <c r="L872" t="str">
        <f>IFERROR(VLOOKUP(quantInv[[#This Row],[Description for New Invoice]],Map!$G$12:$H$32,2,FALSE), IF(quantInv[[#This Row],[Metal]] = "925 Silver", "7113.11.10.00", "7113.19.29.00"))</f>
        <v>7113.11.10.00</v>
      </c>
      <c r="M872" t="str">
        <f>quantInv[[#This Row],[ASIN]] &amp; " " &amp; quantInv[[#This Row],[Short Description]]</f>
        <v>B08CXNV18Z Round Stud Earrings with Swarovski. POWDER ROSE</v>
      </c>
      <c r="N872" s="33">
        <f>quantInv[[#This Row],[UNIT
VALUE]] / EURtoGBP</f>
        <v>2.8853586691866306</v>
      </c>
      <c r="O872" s="33">
        <f>quantInv[[#This Row],[UNIT
VALUE]]/USDtoGBP</f>
        <v>3.4845226002525078</v>
      </c>
      <c r="P872" s="33">
        <f>quantInv[[#This Row],[UNIT
VALUE]] / CADtoGBP</f>
        <v>4.4603892377909151</v>
      </c>
      <c r="Q872" s="33">
        <f>quantInv[[#This Row],[UNIT
VALUE]]/AUDtoGBP</f>
        <v>4.5655219484158343</v>
      </c>
      <c r="R872">
        <f>IFERROR(VLOOKUP(quantInv[[#This Row],[Assigned Item SKU]],skuQuantity[#All],2,FALSE),0)</f>
        <v>0</v>
      </c>
      <c r="S872" t="str">
        <f>PROPER(quantInv[[#This Row],[Metal]] &amp; " " &amp; quantInv[[#This Row],[Item Type]])</f>
        <v xml:space="preserve">925 Silver </v>
      </c>
      <c r="T872" s="33">
        <f>quantInv[[#This Row],[Quantity]]*quantInv[[#This Row],[WEIGHT]]</f>
        <v>0</v>
      </c>
      <c r="U872" s="33">
        <f>quantInv[[#This Row],[UNIT
VALUE]]*quantInv[[#This Row],[Quantity]]</f>
        <v>0</v>
      </c>
      <c r="V872" s="33">
        <f>quantInv[[#This Row],[Total Cost GBP]]/EURtoGBP</f>
        <v>0</v>
      </c>
      <c r="W872" s="33">
        <f>quantInv[[#This Row],[Total Cost GBP]]/USDtoGBP</f>
        <v>0</v>
      </c>
      <c r="X872" s="33">
        <f>quantInv[[#This Row],[Total Cost GBP]]/CADtoGBP</f>
        <v>0</v>
      </c>
      <c r="Y872" s="33">
        <f>quantInv[[#This Row],[Quantity]]*quantInv[[#This Row],[UNIT
VALUE AUD]]</f>
        <v>0</v>
      </c>
      <c r="Z872" s="33"/>
    </row>
    <row r="873" spans="1:26" x14ac:dyDescent="0.25">
      <c r="A873" t="s">
        <v>2144</v>
      </c>
      <c r="B873" t="s">
        <v>2145</v>
      </c>
      <c r="C873" t="s">
        <v>114</v>
      </c>
      <c r="D873" t="s">
        <v>2146</v>
      </c>
      <c r="E873">
        <v>0.96</v>
      </c>
      <c r="F873" s="33">
        <v>2.5419</v>
      </c>
      <c r="G873" s="33" t="s">
        <v>117</v>
      </c>
      <c r="H873" t="s">
        <v>2875</v>
      </c>
      <c r="I873" t="str">
        <f>IF(quantInv[[#This Row],[Metal]] = "925 Silver",  "7113.11.00"," 7113.19.00")</f>
        <v>7113.11.00</v>
      </c>
      <c r="J873" t="str">
        <f>IF(quantInv[[#This Row],[Metal]] = "925 Silver", "7113.11.10.00"," 7113.19.10.00")</f>
        <v>7113.11.10.00</v>
      </c>
      <c r="K873" t="str">
        <f>IF(quantInv[[#This Row],[Metal]] = "925 Silver",  "7113.11.00"," 7113.19.00")</f>
        <v>7113.11.00</v>
      </c>
      <c r="L873" t="str">
        <f>IFERROR(VLOOKUP(quantInv[[#This Row],[Description for New Invoice]],Map!$G$12:$H$32,2,FALSE), IF(quantInv[[#This Row],[Metal]] = "925 Silver", "7113.11.10.00", "7113.19.29.00"))</f>
        <v>7113.11.10.00</v>
      </c>
      <c r="M873" t="str">
        <f>quantInv[[#This Row],[ASIN]] &amp; " " &amp; quantInv[[#This Row],[Short Description]]</f>
        <v>B08CXWDLP1 Round Stud Earrings with Swarovski. LIGHT COLORADO TOPAZ</v>
      </c>
      <c r="N873" s="33">
        <f>quantInv[[#This Row],[UNIT
VALUE]] / EURtoGBP</f>
        <v>2.8853586691866306</v>
      </c>
      <c r="O873" s="33">
        <f>quantInv[[#This Row],[UNIT
VALUE]]/USDtoGBP</f>
        <v>3.4845226002525078</v>
      </c>
      <c r="P873" s="33">
        <f>quantInv[[#This Row],[UNIT
VALUE]] / CADtoGBP</f>
        <v>4.4603892377909151</v>
      </c>
      <c r="Q873" s="33">
        <f>quantInv[[#This Row],[UNIT
VALUE]]/AUDtoGBP</f>
        <v>4.5655219484158343</v>
      </c>
      <c r="R873">
        <f>IFERROR(VLOOKUP(quantInv[[#This Row],[Assigned Item SKU]],skuQuantity[#All],2,FALSE),0)</f>
        <v>0</v>
      </c>
      <c r="S873" t="str">
        <f>PROPER(quantInv[[#This Row],[Metal]] &amp; " " &amp; quantInv[[#This Row],[Item Type]])</f>
        <v xml:space="preserve">925 Silver </v>
      </c>
      <c r="T873" s="33">
        <f>quantInv[[#This Row],[Quantity]]*quantInv[[#This Row],[WEIGHT]]</f>
        <v>0</v>
      </c>
      <c r="U873" s="33">
        <f>quantInv[[#This Row],[UNIT
VALUE]]*quantInv[[#This Row],[Quantity]]</f>
        <v>0</v>
      </c>
      <c r="V873" s="33">
        <f>quantInv[[#This Row],[Total Cost GBP]]/EURtoGBP</f>
        <v>0</v>
      </c>
      <c r="W873" s="33">
        <f>quantInv[[#This Row],[Total Cost GBP]]/USDtoGBP</f>
        <v>0</v>
      </c>
      <c r="X873" s="33">
        <f>quantInv[[#This Row],[Total Cost GBP]]/CADtoGBP</f>
        <v>0</v>
      </c>
      <c r="Y873" s="33">
        <f>quantInv[[#This Row],[Quantity]]*quantInv[[#This Row],[UNIT
VALUE AUD]]</f>
        <v>0</v>
      </c>
      <c r="Z873" s="33"/>
    </row>
    <row r="874" spans="1:26" x14ac:dyDescent="0.25">
      <c r="A874" t="s">
        <v>2147</v>
      </c>
      <c r="B874" t="s">
        <v>2148</v>
      </c>
      <c r="C874" t="s">
        <v>114</v>
      </c>
      <c r="D874" t="s">
        <v>2149</v>
      </c>
      <c r="E874">
        <v>0.96</v>
      </c>
      <c r="F874" s="33">
        <v>2.5419</v>
      </c>
      <c r="G874" s="33" t="s">
        <v>117</v>
      </c>
      <c r="H874" t="s">
        <v>2875</v>
      </c>
      <c r="I874" t="str">
        <f>IF(quantInv[[#This Row],[Metal]] = "925 Silver",  "7113.11.00"," 7113.19.00")</f>
        <v>7113.11.00</v>
      </c>
      <c r="J874" t="str">
        <f>IF(quantInv[[#This Row],[Metal]] = "925 Silver", "7113.11.10.00"," 7113.19.10.00")</f>
        <v>7113.11.10.00</v>
      </c>
      <c r="K874" t="str">
        <f>IF(quantInv[[#This Row],[Metal]] = "925 Silver",  "7113.11.00"," 7113.19.00")</f>
        <v>7113.11.00</v>
      </c>
      <c r="L874" t="str">
        <f>IFERROR(VLOOKUP(quantInv[[#This Row],[Description for New Invoice]],Map!$G$12:$H$32,2,FALSE), IF(quantInv[[#This Row],[Metal]] = "925 Silver", "7113.11.10.00", "7113.19.29.00"))</f>
        <v>7113.11.10.00</v>
      </c>
      <c r="M874" t="str">
        <f>quantInv[[#This Row],[ASIN]] &amp; " " &amp; quantInv[[#This Row],[Short Description]]</f>
        <v>B08CXVYFT9 Round Stud Earrings with Swarovski. AQUAMARINE</v>
      </c>
      <c r="N874" s="33">
        <f>quantInv[[#This Row],[UNIT
VALUE]] / EURtoGBP</f>
        <v>2.8853586691866306</v>
      </c>
      <c r="O874" s="33">
        <f>quantInv[[#This Row],[UNIT
VALUE]]/USDtoGBP</f>
        <v>3.4845226002525078</v>
      </c>
      <c r="P874" s="33">
        <f>quantInv[[#This Row],[UNIT
VALUE]] / CADtoGBP</f>
        <v>4.4603892377909151</v>
      </c>
      <c r="Q874" s="33">
        <f>quantInv[[#This Row],[UNIT
VALUE]]/AUDtoGBP</f>
        <v>4.5655219484158343</v>
      </c>
      <c r="R874">
        <f>IFERROR(VLOOKUP(quantInv[[#This Row],[Assigned Item SKU]],skuQuantity[#All],2,FALSE),0)</f>
        <v>0</v>
      </c>
      <c r="S874" t="str">
        <f>PROPER(quantInv[[#This Row],[Metal]] &amp; " " &amp; quantInv[[#This Row],[Item Type]])</f>
        <v xml:space="preserve">925 Silver </v>
      </c>
      <c r="T874" s="33">
        <f>quantInv[[#This Row],[Quantity]]*quantInv[[#This Row],[WEIGHT]]</f>
        <v>0</v>
      </c>
      <c r="U874" s="33">
        <f>quantInv[[#This Row],[UNIT
VALUE]]*quantInv[[#This Row],[Quantity]]</f>
        <v>0</v>
      </c>
      <c r="V874" s="33">
        <f>quantInv[[#This Row],[Total Cost GBP]]/EURtoGBP</f>
        <v>0</v>
      </c>
      <c r="W874" s="33">
        <f>quantInv[[#This Row],[Total Cost GBP]]/USDtoGBP</f>
        <v>0</v>
      </c>
      <c r="X874" s="33">
        <f>quantInv[[#This Row],[Total Cost GBP]]/CADtoGBP</f>
        <v>0</v>
      </c>
      <c r="Y874" s="33">
        <f>quantInv[[#This Row],[Quantity]]*quantInv[[#This Row],[UNIT
VALUE AUD]]</f>
        <v>0</v>
      </c>
      <c r="Z874" s="33"/>
    </row>
    <row r="875" spans="1:26" x14ac:dyDescent="0.25">
      <c r="A875" t="s">
        <v>2150</v>
      </c>
      <c r="B875" t="s">
        <v>2151</v>
      </c>
      <c r="C875" t="s">
        <v>114</v>
      </c>
      <c r="D875" t="s">
        <v>2152</v>
      </c>
      <c r="E875">
        <v>0.96</v>
      </c>
      <c r="F875" s="33">
        <v>2.5419</v>
      </c>
      <c r="G875" s="33" t="s">
        <v>117</v>
      </c>
      <c r="H875" t="s">
        <v>2875</v>
      </c>
      <c r="I875" t="str">
        <f>IF(quantInv[[#This Row],[Metal]] = "925 Silver",  "7113.11.00"," 7113.19.00")</f>
        <v>7113.11.00</v>
      </c>
      <c r="J875" t="str">
        <f>IF(quantInv[[#This Row],[Metal]] = "925 Silver", "7113.11.10.00"," 7113.19.10.00")</f>
        <v>7113.11.10.00</v>
      </c>
      <c r="K875" t="str">
        <f>IF(quantInv[[#This Row],[Metal]] = "925 Silver",  "7113.11.00"," 7113.19.00")</f>
        <v>7113.11.00</v>
      </c>
      <c r="L875" t="str">
        <f>IFERROR(VLOOKUP(quantInv[[#This Row],[Description for New Invoice]],Map!$G$12:$H$32,2,FALSE), IF(quantInv[[#This Row],[Metal]] = "925 Silver", "7113.11.10.00", "7113.19.29.00"))</f>
        <v>7113.11.10.00</v>
      </c>
      <c r="M875" t="str">
        <f>quantInv[[#This Row],[ASIN]] &amp; " " &amp; quantInv[[#This Row],[Short Description]]</f>
        <v>B08CX45BP1 Round Stud Earrings with Swarovski. MONTANA</v>
      </c>
      <c r="N875" s="33">
        <f>quantInv[[#This Row],[UNIT
VALUE]] / EURtoGBP</f>
        <v>2.8853586691866306</v>
      </c>
      <c r="O875" s="33">
        <f>quantInv[[#This Row],[UNIT
VALUE]]/USDtoGBP</f>
        <v>3.4845226002525078</v>
      </c>
      <c r="P875" s="33">
        <f>quantInv[[#This Row],[UNIT
VALUE]] / CADtoGBP</f>
        <v>4.4603892377909151</v>
      </c>
      <c r="Q875" s="33">
        <f>quantInv[[#This Row],[UNIT
VALUE]]/AUDtoGBP</f>
        <v>4.5655219484158343</v>
      </c>
      <c r="R875">
        <f>IFERROR(VLOOKUP(quantInv[[#This Row],[Assigned Item SKU]],skuQuantity[#All],2,FALSE),0)</f>
        <v>0</v>
      </c>
      <c r="S875" t="str">
        <f>PROPER(quantInv[[#This Row],[Metal]] &amp; " " &amp; quantInv[[#This Row],[Item Type]])</f>
        <v xml:space="preserve">925 Silver </v>
      </c>
      <c r="T875" s="33">
        <f>quantInv[[#This Row],[Quantity]]*quantInv[[#This Row],[WEIGHT]]</f>
        <v>0</v>
      </c>
      <c r="U875" s="33">
        <f>quantInv[[#This Row],[UNIT
VALUE]]*quantInv[[#This Row],[Quantity]]</f>
        <v>0</v>
      </c>
      <c r="V875" s="33">
        <f>quantInv[[#This Row],[Total Cost GBP]]/EURtoGBP</f>
        <v>0</v>
      </c>
      <c r="W875" s="33">
        <f>quantInv[[#This Row],[Total Cost GBP]]/USDtoGBP</f>
        <v>0</v>
      </c>
      <c r="X875" s="33">
        <f>quantInv[[#This Row],[Total Cost GBP]]/CADtoGBP</f>
        <v>0</v>
      </c>
      <c r="Y875" s="33">
        <f>quantInv[[#This Row],[Quantity]]*quantInv[[#This Row],[UNIT
VALUE AUD]]</f>
        <v>0</v>
      </c>
      <c r="Z875" s="33"/>
    </row>
    <row r="876" spans="1:26" x14ac:dyDescent="0.25">
      <c r="A876" t="s">
        <v>2153</v>
      </c>
      <c r="B876" t="s">
        <v>2154</v>
      </c>
      <c r="C876" t="s">
        <v>114</v>
      </c>
      <c r="D876" t="s">
        <v>2155</v>
      </c>
      <c r="E876">
        <v>1.21</v>
      </c>
      <c r="F876" s="33">
        <v>2.7622</v>
      </c>
      <c r="G876" s="33" t="s">
        <v>117</v>
      </c>
      <c r="H876" t="s">
        <v>2875</v>
      </c>
      <c r="I876" t="str">
        <f>IF(quantInv[[#This Row],[Metal]] = "925 Silver",  "7113.11.00"," 7113.19.00")</f>
        <v>7113.11.00</v>
      </c>
      <c r="J876" t="str">
        <f>IF(quantInv[[#This Row],[Metal]] = "925 Silver", "7113.11.10.00"," 7113.19.10.00")</f>
        <v>7113.11.10.00</v>
      </c>
      <c r="K876" t="str">
        <f>IF(quantInv[[#This Row],[Metal]] = "925 Silver",  "7113.11.00"," 7113.19.00")</f>
        <v>7113.11.00</v>
      </c>
      <c r="L876" t="str">
        <f>IFERROR(VLOOKUP(quantInv[[#This Row],[Description for New Invoice]],Map!$G$12:$H$32,2,FALSE), IF(quantInv[[#This Row],[Metal]] = "925 Silver", "7113.11.10.00", "7113.19.29.00"))</f>
        <v>7113.11.10.00</v>
      </c>
      <c r="M876" t="str">
        <f>quantInv[[#This Row],[ASIN]] &amp; " " &amp; quantInv[[#This Row],[Short Description]]</f>
        <v>B08CXRHBFJ Square Stud Earrings with Swarovski. CRYSTAL</v>
      </c>
      <c r="N876" s="33">
        <f>quantInv[[#This Row],[UNIT
VALUE]] / EURtoGBP</f>
        <v>3.1354253574205559</v>
      </c>
      <c r="O876" s="33">
        <f>quantInv[[#This Row],[UNIT
VALUE]]/USDtoGBP</f>
        <v>3.7865173006087876</v>
      </c>
      <c r="P876" s="33">
        <f>quantInv[[#This Row],[UNIT
VALUE]] / CADtoGBP</f>
        <v>4.8469598145584269</v>
      </c>
      <c r="Q876" s="33">
        <f>quantInv[[#This Row],[UNIT
VALUE]]/AUDtoGBP</f>
        <v>4.9612041094906241</v>
      </c>
      <c r="R876">
        <f>IFERROR(VLOOKUP(quantInv[[#This Row],[Assigned Item SKU]],skuQuantity[#All],2,FALSE),0)</f>
        <v>0</v>
      </c>
      <c r="S876" t="str">
        <f>PROPER(quantInv[[#This Row],[Metal]] &amp; " " &amp; quantInv[[#This Row],[Item Type]])</f>
        <v xml:space="preserve">925 Silver </v>
      </c>
      <c r="T876" s="33">
        <f>quantInv[[#This Row],[Quantity]]*quantInv[[#This Row],[WEIGHT]]</f>
        <v>0</v>
      </c>
      <c r="U876" s="33">
        <f>quantInv[[#This Row],[UNIT
VALUE]]*quantInv[[#This Row],[Quantity]]</f>
        <v>0</v>
      </c>
      <c r="V876" s="33">
        <f>quantInv[[#This Row],[Total Cost GBP]]/EURtoGBP</f>
        <v>0</v>
      </c>
      <c r="W876" s="33">
        <f>quantInv[[#This Row],[Total Cost GBP]]/USDtoGBP</f>
        <v>0</v>
      </c>
      <c r="X876" s="33">
        <f>quantInv[[#This Row],[Total Cost GBP]]/CADtoGBP</f>
        <v>0</v>
      </c>
      <c r="Y876" s="33">
        <f>quantInv[[#This Row],[Quantity]]*quantInv[[#This Row],[UNIT
VALUE AUD]]</f>
        <v>0</v>
      </c>
      <c r="Z876" s="33"/>
    </row>
    <row r="877" spans="1:26" x14ac:dyDescent="0.25">
      <c r="A877" t="s">
        <v>2156</v>
      </c>
      <c r="B877" t="s">
        <v>2157</v>
      </c>
      <c r="C877" t="s">
        <v>114</v>
      </c>
      <c r="D877" t="s">
        <v>2158</v>
      </c>
      <c r="E877">
        <v>1.21</v>
      </c>
      <c r="F877" s="33">
        <v>2.7622</v>
      </c>
      <c r="G877" s="33" t="s">
        <v>117</v>
      </c>
      <c r="H877" t="s">
        <v>2875</v>
      </c>
      <c r="I877" t="str">
        <f>IF(quantInv[[#This Row],[Metal]] = "925 Silver",  "7113.11.00"," 7113.19.00")</f>
        <v>7113.11.00</v>
      </c>
      <c r="J877" t="str">
        <f>IF(quantInv[[#This Row],[Metal]] = "925 Silver", "7113.11.10.00"," 7113.19.10.00")</f>
        <v>7113.11.10.00</v>
      </c>
      <c r="K877" t="str">
        <f>IF(quantInv[[#This Row],[Metal]] = "925 Silver",  "7113.11.00"," 7113.19.00")</f>
        <v>7113.11.00</v>
      </c>
      <c r="L877" t="str">
        <f>IFERROR(VLOOKUP(quantInv[[#This Row],[Description for New Invoice]],Map!$G$12:$H$32,2,FALSE), IF(quantInv[[#This Row],[Metal]] = "925 Silver", "7113.11.10.00", "7113.19.29.00"))</f>
        <v>7113.11.10.00</v>
      </c>
      <c r="M877" t="str">
        <f>quantInv[[#This Row],[ASIN]] &amp; " " &amp; quantInv[[#This Row],[Short Description]]</f>
        <v>B08CXS1VKP Square Stud Earrings with Swarovski. AURORE BOREALE</v>
      </c>
      <c r="N877" s="33">
        <f>quantInv[[#This Row],[UNIT
VALUE]] / EURtoGBP</f>
        <v>3.1354253574205559</v>
      </c>
      <c r="O877" s="33">
        <f>quantInv[[#This Row],[UNIT
VALUE]]/USDtoGBP</f>
        <v>3.7865173006087876</v>
      </c>
      <c r="P877" s="33">
        <f>quantInv[[#This Row],[UNIT
VALUE]] / CADtoGBP</f>
        <v>4.8469598145584269</v>
      </c>
      <c r="Q877" s="33">
        <f>quantInv[[#This Row],[UNIT
VALUE]]/AUDtoGBP</f>
        <v>4.9612041094906241</v>
      </c>
      <c r="R877">
        <f>IFERROR(VLOOKUP(quantInv[[#This Row],[Assigned Item SKU]],skuQuantity[#All],2,FALSE),0)</f>
        <v>0</v>
      </c>
      <c r="S877" t="str">
        <f>PROPER(quantInv[[#This Row],[Metal]] &amp; " " &amp; quantInv[[#This Row],[Item Type]])</f>
        <v xml:space="preserve">925 Silver </v>
      </c>
      <c r="T877" s="33">
        <f>quantInv[[#This Row],[Quantity]]*quantInv[[#This Row],[WEIGHT]]</f>
        <v>0</v>
      </c>
      <c r="U877" s="33">
        <f>quantInv[[#This Row],[UNIT
VALUE]]*quantInv[[#This Row],[Quantity]]</f>
        <v>0</v>
      </c>
      <c r="V877" s="33">
        <f>quantInv[[#This Row],[Total Cost GBP]]/EURtoGBP</f>
        <v>0</v>
      </c>
      <c r="W877" s="33">
        <f>quantInv[[#This Row],[Total Cost GBP]]/USDtoGBP</f>
        <v>0</v>
      </c>
      <c r="X877" s="33">
        <f>quantInv[[#This Row],[Total Cost GBP]]/CADtoGBP</f>
        <v>0</v>
      </c>
      <c r="Y877" s="33">
        <f>quantInv[[#This Row],[Quantity]]*quantInv[[#This Row],[UNIT
VALUE AUD]]</f>
        <v>0</v>
      </c>
      <c r="Z877" s="33"/>
    </row>
    <row r="878" spans="1:26" x14ac:dyDescent="0.25">
      <c r="A878" t="s">
        <v>2159</v>
      </c>
      <c r="B878" t="s">
        <v>2160</v>
      </c>
      <c r="C878" t="s">
        <v>114</v>
      </c>
      <c r="D878" t="s">
        <v>2161</v>
      </c>
      <c r="E878">
        <v>1.21</v>
      </c>
      <c r="F878" s="33">
        <v>2.7622</v>
      </c>
      <c r="G878" s="33" t="s">
        <v>117</v>
      </c>
      <c r="H878" t="s">
        <v>2875</v>
      </c>
      <c r="I878" t="str">
        <f>IF(quantInv[[#This Row],[Metal]] = "925 Silver",  "7113.11.00"," 7113.19.00")</f>
        <v>7113.11.00</v>
      </c>
      <c r="J878" t="str">
        <f>IF(quantInv[[#This Row],[Metal]] = "925 Silver", "7113.11.10.00"," 7113.19.10.00")</f>
        <v>7113.11.10.00</v>
      </c>
      <c r="K878" t="str">
        <f>IF(quantInv[[#This Row],[Metal]] = "925 Silver",  "7113.11.00"," 7113.19.00")</f>
        <v>7113.11.00</v>
      </c>
      <c r="L878" t="str">
        <f>IFERROR(VLOOKUP(quantInv[[#This Row],[Description for New Invoice]],Map!$G$12:$H$32,2,FALSE), IF(quantInv[[#This Row],[Metal]] = "925 Silver", "7113.11.10.00", "7113.19.29.00"))</f>
        <v>7113.11.10.00</v>
      </c>
      <c r="M878" t="str">
        <f>quantInv[[#This Row],[ASIN]] &amp; " " &amp; quantInv[[#This Row],[Short Description]]</f>
        <v>B08CXMLHK9 Square Stud Earrings with Swarovski. POWDER ROSE</v>
      </c>
      <c r="N878" s="33">
        <f>quantInv[[#This Row],[UNIT
VALUE]] / EURtoGBP</f>
        <v>3.1354253574205559</v>
      </c>
      <c r="O878" s="33">
        <f>quantInv[[#This Row],[UNIT
VALUE]]/USDtoGBP</f>
        <v>3.7865173006087876</v>
      </c>
      <c r="P878" s="33">
        <f>quantInv[[#This Row],[UNIT
VALUE]] / CADtoGBP</f>
        <v>4.8469598145584269</v>
      </c>
      <c r="Q878" s="33">
        <f>quantInv[[#This Row],[UNIT
VALUE]]/AUDtoGBP</f>
        <v>4.9612041094906241</v>
      </c>
      <c r="R878">
        <f>IFERROR(VLOOKUP(quantInv[[#This Row],[Assigned Item SKU]],skuQuantity[#All],2,FALSE),0)</f>
        <v>0</v>
      </c>
      <c r="S878" t="str">
        <f>PROPER(quantInv[[#This Row],[Metal]] &amp; " " &amp; quantInv[[#This Row],[Item Type]])</f>
        <v xml:space="preserve">925 Silver </v>
      </c>
      <c r="T878" s="33">
        <f>quantInv[[#This Row],[Quantity]]*quantInv[[#This Row],[WEIGHT]]</f>
        <v>0</v>
      </c>
      <c r="U878" s="33">
        <f>quantInv[[#This Row],[UNIT
VALUE]]*quantInv[[#This Row],[Quantity]]</f>
        <v>0</v>
      </c>
      <c r="V878" s="33">
        <f>quantInv[[#This Row],[Total Cost GBP]]/EURtoGBP</f>
        <v>0</v>
      </c>
      <c r="W878" s="33">
        <f>quantInv[[#This Row],[Total Cost GBP]]/USDtoGBP</f>
        <v>0</v>
      </c>
      <c r="X878" s="33">
        <f>quantInv[[#This Row],[Total Cost GBP]]/CADtoGBP</f>
        <v>0</v>
      </c>
      <c r="Y878" s="33">
        <f>quantInv[[#This Row],[Quantity]]*quantInv[[#This Row],[UNIT
VALUE AUD]]</f>
        <v>0</v>
      </c>
      <c r="Z878" s="33"/>
    </row>
    <row r="879" spans="1:26" x14ac:dyDescent="0.25">
      <c r="A879" t="s">
        <v>2162</v>
      </c>
      <c r="B879" t="s">
        <v>2163</v>
      </c>
      <c r="C879" t="s">
        <v>114</v>
      </c>
      <c r="D879" t="s">
        <v>2164</v>
      </c>
      <c r="E879">
        <v>1.21</v>
      </c>
      <c r="F879" s="33">
        <v>2.7622</v>
      </c>
      <c r="G879" s="33" t="s">
        <v>117</v>
      </c>
      <c r="H879" t="s">
        <v>1310</v>
      </c>
      <c r="I879" t="str">
        <f>IF(quantInv[[#This Row],[Metal]] = "925 Silver",  "7113.11.00"," 7113.19.00")</f>
        <v>7113.11.00</v>
      </c>
      <c r="J879" t="str">
        <f>IF(quantInv[[#This Row],[Metal]] = "925 Silver", "7113.11.10.00"," 7113.19.10.00")</f>
        <v>7113.11.10.00</v>
      </c>
      <c r="K879" t="str">
        <f>IF(quantInv[[#This Row],[Metal]] = "925 Silver",  "7113.11.00"," 7113.19.00")</f>
        <v>7113.11.00</v>
      </c>
      <c r="L879" t="str">
        <f>IFERROR(VLOOKUP(quantInv[[#This Row],[Description for New Invoice]],Map!$G$12:$H$32,2,FALSE), IF(quantInv[[#This Row],[Metal]] = "925 Silver", "7113.11.10.00", "7113.19.29.00"))</f>
        <v>7113.11.50.00</v>
      </c>
      <c r="M879" t="str">
        <f>quantInv[[#This Row],[ASIN]] &amp; " " &amp; quantInv[[#This Row],[Short Description]]</f>
        <v>B08CXPW5XR Square Stud Earrings with Swarovski. LIGHT COLORADO TOPAZ</v>
      </c>
      <c r="N879" s="33">
        <f>quantInv[[#This Row],[UNIT
VALUE]] / EURtoGBP</f>
        <v>3.1354253574205559</v>
      </c>
      <c r="O879" s="33">
        <f>quantInv[[#This Row],[UNIT
VALUE]]/USDtoGBP</f>
        <v>3.7865173006087876</v>
      </c>
      <c r="P879" s="33">
        <f>quantInv[[#This Row],[UNIT
VALUE]] / CADtoGBP</f>
        <v>4.8469598145584269</v>
      </c>
      <c r="Q879" s="33">
        <f>quantInv[[#This Row],[UNIT
VALUE]]/AUDtoGBP</f>
        <v>4.9612041094906241</v>
      </c>
      <c r="R879">
        <f>IFERROR(VLOOKUP(quantInv[[#This Row],[Assigned Item SKU]],skuQuantity[#All],2,FALSE),0)</f>
        <v>5</v>
      </c>
      <c r="S879" t="str">
        <f>PROPER(quantInv[[#This Row],[Metal]] &amp; " " &amp; quantInv[[#This Row],[Item Type]])</f>
        <v>925 Silver Earrings</v>
      </c>
      <c r="T879" s="33">
        <f>quantInv[[#This Row],[Quantity]]*quantInv[[#This Row],[WEIGHT]]</f>
        <v>6.05</v>
      </c>
      <c r="U879" s="33">
        <f>quantInv[[#This Row],[UNIT
VALUE]]*quantInv[[#This Row],[Quantity]]</f>
        <v>13.811</v>
      </c>
      <c r="V879" s="33">
        <f>quantInv[[#This Row],[Total Cost GBP]]/EURtoGBP</f>
        <v>15.677126787102779</v>
      </c>
      <c r="W879" s="33">
        <f>quantInv[[#This Row],[Total Cost GBP]]/USDtoGBP</f>
        <v>18.932586503043936</v>
      </c>
      <c r="X879" s="33">
        <f>quantInv[[#This Row],[Total Cost GBP]]/CADtoGBP</f>
        <v>24.234799072792132</v>
      </c>
      <c r="Y879" s="33">
        <f>quantInv[[#This Row],[Quantity]]*quantInv[[#This Row],[UNIT
VALUE AUD]]</f>
        <v>24.806020547453119</v>
      </c>
      <c r="Z879" s="33"/>
    </row>
    <row r="880" spans="1:26" x14ac:dyDescent="0.25">
      <c r="A880" t="s">
        <v>1889</v>
      </c>
      <c r="B880" t="s">
        <v>1890</v>
      </c>
      <c r="C880" t="s">
        <v>115</v>
      </c>
      <c r="D880" t="s">
        <v>1891</v>
      </c>
      <c r="E880">
        <v>2.15</v>
      </c>
      <c r="F880" s="33">
        <v>3.3193000000000001</v>
      </c>
      <c r="G880" s="33" t="s">
        <v>117</v>
      </c>
      <c r="H880" t="s">
        <v>1451</v>
      </c>
      <c r="I880" t="str">
        <f>IF(quantInv[[#This Row],[Metal]] = "925 Silver",  "7113.11.00"," 7113.19.00")</f>
        <v>7113.11.00</v>
      </c>
      <c r="J880" t="str">
        <f>IF(quantInv[[#This Row],[Metal]] = "925 Silver", "7113.11.10.00"," 7113.19.10.00")</f>
        <v>7113.11.10.00</v>
      </c>
      <c r="K880" t="str">
        <f>IF(quantInv[[#This Row],[Metal]] = "925 Silver",  "7113.11.00"," 7113.19.00")</f>
        <v>7113.11.00</v>
      </c>
      <c r="L880" t="str">
        <f>IFERROR(VLOOKUP(quantInv[[#This Row],[Description for New Invoice]],Map!$G$12:$H$32,2,FALSE), IF(quantInv[[#This Row],[Metal]] = "925 Silver", "7113.11.10.00", "7113.19.29.00"))</f>
        <v>7113.11.50.00</v>
      </c>
      <c r="M880" t="str">
        <f>quantInv[[#This Row],[ASIN]] &amp; " " &amp; quantInv[[#This Row],[Short Description]]</f>
        <v>B091FQ62VJ Pendant - Coins - Eye of Providence/God</v>
      </c>
      <c r="N880" s="33">
        <f>quantInv[[#This Row],[UNIT
VALUE]] / EURtoGBP</f>
        <v>3.767800082863678</v>
      </c>
      <c r="O880" s="33">
        <f>quantInv[[#This Row],[UNIT
VALUE]]/USDtoGBP</f>
        <v>4.5502088465392614</v>
      </c>
      <c r="P880" s="33">
        <f>quantInv[[#This Row],[UNIT
VALUE]] / CADtoGBP</f>
        <v>5.8245288945274734</v>
      </c>
      <c r="Q880" s="33">
        <f>quantInv[[#This Row],[UNIT
VALUE]]/AUDtoGBP</f>
        <v>5.9618147855449388</v>
      </c>
      <c r="R880">
        <f>IFERROR(VLOOKUP(quantInv[[#This Row],[Assigned Item SKU]],skuQuantity[#All],2,FALSE),0)</f>
        <v>5</v>
      </c>
      <c r="S880" t="str">
        <f>PROPER(quantInv[[#This Row],[Metal]] &amp; " " &amp; quantInv[[#This Row],[Item Type]])</f>
        <v>925 Silver Pendant</v>
      </c>
      <c r="T880" s="33">
        <f>quantInv[[#This Row],[Quantity]]*quantInv[[#This Row],[WEIGHT]]</f>
        <v>10.75</v>
      </c>
      <c r="U880" s="33">
        <f>quantInv[[#This Row],[UNIT
VALUE]]*quantInv[[#This Row],[Quantity]]</f>
        <v>16.596499999999999</v>
      </c>
      <c r="V880" s="33">
        <f>quantInv[[#This Row],[Total Cost GBP]]/EURtoGBP</f>
        <v>18.839000414318388</v>
      </c>
      <c r="W880" s="33">
        <f>quantInv[[#This Row],[Total Cost GBP]]/USDtoGBP</f>
        <v>22.751044232696305</v>
      </c>
      <c r="X880" s="33">
        <f>quantInv[[#This Row],[Total Cost GBP]]/CADtoGBP</f>
        <v>29.122644472637361</v>
      </c>
      <c r="Y880" s="33">
        <f>quantInv[[#This Row],[Quantity]]*quantInv[[#This Row],[UNIT
VALUE AUD]]</f>
        <v>29.809073927724693</v>
      </c>
      <c r="Z880" s="33"/>
    </row>
    <row r="881" spans="1:26" x14ac:dyDescent="0.25">
      <c r="A881" t="s">
        <v>2168</v>
      </c>
      <c r="B881" t="s">
        <v>2169</v>
      </c>
      <c r="C881" t="s">
        <v>114</v>
      </c>
      <c r="D881" t="s">
        <v>2170</v>
      </c>
      <c r="E881">
        <v>1.21</v>
      </c>
      <c r="F881" s="33">
        <v>2.7622</v>
      </c>
      <c r="G881" s="33" t="s">
        <v>117</v>
      </c>
      <c r="H881" t="s">
        <v>1310</v>
      </c>
      <c r="I881" t="str">
        <f>IF(quantInv[[#This Row],[Metal]] = "925 Silver",  "7113.11.00"," 7113.19.00")</f>
        <v>7113.11.00</v>
      </c>
      <c r="J881" t="str">
        <f>IF(quantInv[[#This Row],[Metal]] = "925 Silver", "7113.11.10.00"," 7113.19.10.00")</f>
        <v>7113.11.10.00</v>
      </c>
      <c r="K881" t="str">
        <f>IF(quantInv[[#This Row],[Metal]] = "925 Silver",  "7113.11.00"," 7113.19.00")</f>
        <v>7113.11.00</v>
      </c>
      <c r="L881" t="str">
        <f>IFERROR(VLOOKUP(quantInv[[#This Row],[Description for New Invoice]],Map!$G$12:$H$32,2,FALSE), IF(quantInv[[#This Row],[Metal]] = "925 Silver", "7113.11.10.00", "7113.19.29.00"))</f>
        <v>7113.11.50.00</v>
      </c>
      <c r="M881" t="str">
        <f>quantInv[[#This Row],[ASIN]] &amp; " " &amp; quantInv[[#This Row],[Short Description]]</f>
        <v>B08CXM16GW Square Stud Earrings with Swarovski. DENIM BLUE</v>
      </c>
      <c r="N881" s="33">
        <f>quantInv[[#This Row],[UNIT
VALUE]] / EURtoGBP</f>
        <v>3.1354253574205559</v>
      </c>
      <c r="O881" s="33">
        <f>quantInv[[#This Row],[UNIT
VALUE]]/USDtoGBP</f>
        <v>3.7865173006087876</v>
      </c>
      <c r="P881" s="33">
        <f>quantInv[[#This Row],[UNIT
VALUE]] / CADtoGBP</f>
        <v>4.8469598145584269</v>
      </c>
      <c r="Q881" s="33">
        <f>quantInv[[#This Row],[UNIT
VALUE]]/AUDtoGBP</f>
        <v>4.9612041094906241</v>
      </c>
      <c r="R881">
        <f>IFERROR(VLOOKUP(quantInv[[#This Row],[Assigned Item SKU]],skuQuantity[#All],2,FALSE),0)</f>
        <v>5</v>
      </c>
      <c r="S881" t="str">
        <f>PROPER(quantInv[[#This Row],[Metal]] &amp; " " &amp; quantInv[[#This Row],[Item Type]])</f>
        <v>925 Silver Earrings</v>
      </c>
      <c r="T881" s="33">
        <f>quantInv[[#This Row],[Quantity]]*quantInv[[#This Row],[WEIGHT]]</f>
        <v>6.05</v>
      </c>
      <c r="U881" s="33">
        <f>quantInv[[#This Row],[UNIT
VALUE]]*quantInv[[#This Row],[Quantity]]</f>
        <v>13.811</v>
      </c>
      <c r="V881" s="33">
        <f>quantInv[[#This Row],[Total Cost GBP]]/EURtoGBP</f>
        <v>15.677126787102779</v>
      </c>
      <c r="W881" s="33">
        <f>quantInv[[#This Row],[Total Cost GBP]]/USDtoGBP</f>
        <v>18.932586503043936</v>
      </c>
      <c r="X881" s="33">
        <f>quantInv[[#This Row],[Total Cost GBP]]/CADtoGBP</f>
        <v>24.234799072792132</v>
      </c>
      <c r="Y881" s="33">
        <f>quantInv[[#This Row],[Quantity]]*quantInv[[#This Row],[UNIT
VALUE AUD]]</f>
        <v>24.806020547453119</v>
      </c>
      <c r="Z881" s="33"/>
    </row>
    <row r="882" spans="1:26" x14ac:dyDescent="0.25">
      <c r="A882" t="s">
        <v>2171</v>
      </c>
      <c r="B882" t="s">
        <v>2172</v>
      </c>
      <c r="C882" t="s">
        <v>114</v>
      </c>
      <c r="D882" t="s">
        <v>2173</v>
      </c>
      <c r="E882">
        <v>10.7</v>
      </c>
      <c r="F882" s="33">
        <v>9.7654999999999994</v>
      </c>
      <c r="G882" s="33" t="s">
        <v>117</v>
      </c>
      <c r="H882" t="s">
        <v>103</v>
      </c>
      <c r="I882" t="str">
        <f>IF(quantInv[[#This Row],[Metal]] = "925 Silver",  "7113.11.00"," 7113.19.00")</f>
        <v>7113.11.00</v>
      </c>
      <c r="J882" t="str">
        <f>IF(quantInv[[#This Row],[Metal]] = "925 Silver", "7113.11.10.00"," 7113.19.10.00")</f>
        <v>7113.11.10.00</v>
      </c>
      <c r="K882" t="str">
        <f>IF(quantInv[[#This Row],[Metal]] = "925 Silver",  "7113.11.00"," 7113.19.00")</f>
        <v>7113.11.00</v>
      </c>
      <c r="L882" t="str">
        <f>IFERROR(VLOOKUP(quantInv[[#This Row],[Description for New Invoice]],Map!$G$12:$H$32,2,FALSE), IF(quantInv[[#This Row],[Metal]] = "925 Silver", "7113.11.10.00", "7113.19.29.00"))</f>
        <v>7113.11.10.00</v>
      </c>
      <c r="M882" t="str">
        <f>quantInv[[#This Row],[ASIN]] &amp; " " &amp; quantInv[[#This Row],[Short Description]]</f>
        <v>B08LW3T1NG Chain - Super Flat Curb - Gauge 120 - Width 4.7 mm - Length 45 cm</v>
      </c>
      <c r="N882" s="33">
        <f>quantInv[[#This Row],[UNIT
VALUE]] / EURtoGBP</f>
        <v>11.085003376978653</v>
      </c>
      <c r="O882" s="33">
        <f>quantInv[[#This Row],[UNIT
VALUE]]/USDtoGBP</f>
        <v>13.386878104081932</v>
      </c>
      <c r="P882" s="33">
        <f>quantInv[[#This Row],[UNIT
VALUE]] / CADtoGBP</f>
        <v>17.135973524390092</v>
      </c>
      <c r="Q882" s="33">
        <f>quantInv[[#This Row],[UNIT
VALUE]]/AUDtoGBP</f>
        <v>17.539873554134633</v>
      </c>
      <c r="R882">
        <f>IFERROR(VLOOKUP(quantInv[[#This Row],[Assigned Item SKU]],skuQuantity[#All],2,FALSE),0)</f>
        <v>0</v>
      </c>
      <c r="S882" t="str">
        <f>PROPER(quantInv[[#This Row],[Metal]] &amp; " " &amp; quantInv[[#This Row],[Item Type]])</f>
        <v>925 Silver Chain</v>
      </c>
      <c r="T882" s="33">
        <f>quantInv[[#This Row],[Quantity]]*quantInv[[#This Row],[WEIGHT]]</f>
        <v>0</v>
      </c>
      <c r="U882" s="33">
        <f>quantInv[[#This Row],[UNIT
VALUE]]*quantInv[[#This Row],[Quantity]]</f>
        <v>0</v>
      </c>
      <c r="V882" s="33">
        <f>quantInv[[#This Row],[Total Cost GBP]]/EURtoGBP</f>
        <v>0</v>
      </c>
      <c r="W882" s="33">
        <f>quantInv[[#This Row],[Total Cost GBP]]/USDtoGBP</f>
        <v>0</v>
      </c>
      <c r="X882" s="33">
        <f>quantInv[[#This Row],[Total Cost GBP]]/CADtoGBP</f>
        <v>0</v>
      </c>
      <c r="Y882" s="33">
        <f>quantInv[[#This Row],[Quantity]]*quantInv[[#This Row],[UNIT
VALUE AUD]]</f>
        <v>0</v>
      </c>
      <c r="Z882" s="33"/>
    </row>
    <row r="883" spans="1:26" x14ac:dyDescent="0.25">
      <c r="A883" t="s">
        <v>2174</v>
      </c>
      <c r="B883" t="s">
        <v>2175</v>
      </c>
      <c r="C883" t="s">
        <v>114</v>
      </c>
      <c r="D883" t="s">
        <v>2176</v>
      </c>
      <c r="E883">
        <v>11.76</v>
      </c>
      <c r="F883" s="33">
        <v>10.6526</v>
      </c>
      <c r="G883" s="33" t="s">
        <v>117</v>
      </c>
      <c r="H883" t="s">
        <v>103</v>
      </c>
      <c r="I883" t="str">
        <f>IF(quantInv[[#This Row],[Metal]] = "925 Silver",  "7113.11.00"," 7113.19.00")</f>
        <v>7113.11.00</v>
      </c>
      <c r="J883" t="str">
        <f>IF(quantInv[[#This Row],[Metal]] = "925 Silver", "7113.11.10.00"," 7113.19.10.00")</f>
        <v>7113.11.10.00</v>
      </c>
      <c r="K883" t="str">
        <f>IF(quantInv[[#This Row],[Metal]] = "925 Silver",  "7113.11.00"," 7113.19.00")</f>
        <v>7113.11.00</v>
      </c>
      <c r="L883" t="str">
        <f>IFERROR(VLOOKUP(quantInv[[#This Row],[Description for New Invoice]],Map!$G$12:$H$32,2,FALSE), IF(quantInv[[#This Row],[Metal]] = "925 Silver", "7113.11.10.00", "7113.19.29.00"))</f>
        <v>7113.11.10.00</v>
      </c>
      <c r="M883" t="str">
        <f>quantInv[[#This Row],[ASIN]] &amp; " " &amp; quantInv[[#This Row],[Short Description]]</f>
        <v>B08LW3RVMX Chain - Super Flat Curb - Gauge 120 - Width 4.7 mm - Length 50 cm</v>
      </c>
      <c r="N883" s="33">
        <f>quantInv[[#This Row],[UNIT
VALUE]] / EURtoGBP</f>
        <v>12.091967331278768</v>
      </c>
      <c r="O883" s="33">
        <f>quantInv[[#This Row],[UNIT
VALUE]]/USDtoGBP</f>
        <v>14.602944825307786</v>
      </c>
      <c r="P883" s="33">
        <f>quantInv[[#This Row],[UNIT
VALUE]] / CADtoGBP</f>
        <v>18.692608833743066</v>
      </c>
      <c r="Q883" s="33">
        <f>quantInv[[#This Row],[UNIT
VALUE]]/AUDtoGBP</f>
        <v>19.133199224082187</v>
      </c>
      <c r="R883">
        <f>IFERROR(VLOOKUP(quantInv[[#This Row],[Assigned Item SKU]],skuQuantity[#All],2,FALSE),0)</f>
        <v>0</v>
      </c>
      <c r="S883" t="str">
        <f>PROPER(quantInv[[#This Row],[Metal]] &amp; " " &amp; quantInv[[#This Row],[Item Type]])</f>
        <v>925 Silver Chain</v>
      </c>
      <c r="T883" s="33">
        <f>quantInv[[#This Row],[Quantity]]*quantInv[[#This Row],[WEIGHT]]</f>
        <v>0</v>
      </c>
      <c r="U883" s="33">
        <f>quantInv[[#This Row],[UNIT
VALUE]]*quantInv[[#This Row],[Quantity]]</f>
        <v>0</v>
      </c>
      <c r="V883" s="33">
        <f>quantInv[[#This Row],[Total Cost GBP]]/EURtoGBP</f>
        <v>0</v>
      </c>
      <c r="W883" s="33">
        <f>quantInv[[#This Row],[Total Cost GBP]]/USDtoGBP</f>
        <v>0</v>
      </c>
      <c r="X883" s="33">
        <f>quantInv[[#This Row],[Total Cost GBP]]/CADtoGBP</f>
        <v>0</v>
      </c>
      <c r="Y883" s="33">
        <f>quantInv[[#This Row],[Quantity]]*quantInv[[#This Row],[UNIT
VALUE AUD]]</f>
        <v>0</v>
      </c>
      <c r="Z883" s="33"/>
    </row>
    <row r="884" spans="1:26" x14ac:dyDescent="0.25">
      <c r="A884" t="s">
        <v>1898</v>
      </c>
      <c r="B884" t="s">
        <v>1899</v>
      </c>
      <c r="C884" t="s">
        <v>115</v>
      </c>
      <c r="D884" t="s">
        <v>1900</v>
      </c>
      <c r="E884">
        <v>2.46</v>
      </c>
      <c r="F884" s="33">
        <v>5.1445999999999996</v>
      </c>
      <c r="G884" s="33" t="s">
        <v>117</v>
      </c>
      <c r="H884" t="s">
        <v>1451</v>
      </c>
      <c r="I884" t="str">
        <f>IF(quantInv[[#This Row],[Metal]] = "925 Silver",  "7113.11.00"," 7113.19.00")</f>
        <v>7113.11.00</v>
      </c>
      <c r="J884" t="str">
        <f>IF(quantInv[[#This Row],[Metal]] = "925 Silver", "7113.11.10.00"," 7113.19.10.00")</f>
        <v>7113.11.10.00</v>
      </c>
      <c r="K884" t="str">
        <f>IF(quantInv[[#This Row],[Metal]] = "925 Silver",  "7113.11.00"," 7113.19.00")</f>
        <v>7113.11.00</v>
      </c>
      <c r="L884" t="str">
        <f>IFERROR(VLOOKUP(quantInv[[#This Row],[Description for New Invoice]],Map!$G$12:$H$32,2,FALSE), IF(quantInv[[#This Row],[Metal]] = "925 Silver", "7113.11.10.00", "7113.19.29.00"))</f>
        <v>7113.11.50.00</v>
      </c>
      <c r="M884" t="str">
        <f>quantInv[[#This Row],[ASIN]] &amp; " " &amp; quantInv[[#This Row],[Short Description]]</f>
        <v>B091FS72KX Pendant - Sea - Anchor</v>
      </c>
      <c r="N884" s="33">
        <f>quantInv[[#This Row],[UNIT
VALUE]] / EURtoGBP</f>
        <v>5.8397325659929731</v>
      </c>
      <c r="O884" s="33">
        <f>quantInv[[#This Row],[UNIT
VALUE]]/USDtoGBP</f>
        <v>7.0523918994685273</v>
      </c>
      <c r="P884" s="33">
        <f>quantInv[[#This Row],[UNIT
VALUE]] / CADtoGBP</f>
        <v>9.0274670414804437</v>
      </c>
      <c r="Q884" s="33">
        <f>quantInv[[#This Row],[UNIT
VALUE]]/AUDtoGBP</f>
        <v>9.2402471441913914</v>
      </c>
      <c r="R884">
        <f>IFERROR(VLOOKUP(quantInv[[#This Row],[Assigned Item SKU]],skuQuantity[#All],2,FALSE),0)</f>
        <v>0</v>
      </c>
      <c r="S884" t="str">
        <f>PROPER(quantInv[[#This Row],[Metal]] &amp; " " &amp; quantInv[[#This Row],[Item Type]])</f>
        <v>925 Silver Pendant</v>
      </c>
      <c r="T884" s="33">
        <f>quantInv[[#This Row],[Quantity]]*quantInv[[#This Row],[WEIGHT]]</f>
        <v>0</v>
      </c>
      <c r="U884" s="33">
        <f>quantInv[[#This Row],[UNIT
VALUE]]*quantInv[[#This Row],[Quantity]]</f>
        <v>0</v>
      </c>
      <c r="V884" s="33">
        <f>quantInv[[#This Row],[Total Cost GBP]]/EURtoGBP</f>
        <v>0</v>
      </c>
      <c r="W884" s="33">
        <f>quantInv[[#This Row],[Total Cost GBP]]/USDtoGBP</f>
        <v>0</v>
      </c>
      <c r="X884" s="33">
        <f>quantInv[[#This Row],[Total Cost GBP]]/CADtoGBP</f>
        <v>0</v>
      </c>
      <c r="Y884" s="33">
        <f>quantInv[[#This Row],[Quantity]]*quantInv[[#This Row],[UNIT
VALUE AUD]]</f>
        <v>0</v>
      </c>
      <c r="Z884" s="33"/>
    </row>
    <row r="885" spans="1:26" x14ac:dyDescent="0.25">
      <c r="A885" t="s">
        <v>2180</v>
      </c>
      <c r="B885" t="s">
        <v>2181</v>
      </c>
      <c r="C885" t="s">
        <v>114</v>
      </c>
      <c r="D885" t="s">
        <v>2182</v>
      </c>
      <c r="E885">
        <v>14.16</v>
      </c>
      <c r="F885" s="33">
        <v>12.661199999999999</v>
      </c>
      <c r="G885" s="33" t="s">
        <v>117</v>
      </c>
      <c r="H885" t="s">
        <v>2875</v>
      </c>
      <c r="I885" t="str">
        <f>IF(quantInv[[#This Row],[Metal]] = "925 Silver",  "7113.11.00"," 7113.19.00")</f>
        <v>7113.11.00</v>
      </c>
      <c r="J885" t="str">
        <f>IF(quantInv[[#This Row],[Metal]] = "925 Silver", "7113.11.10.00"," 7113.19.10.00")</f>
        <v>7113.11.10.00</v>
      </c>
      <c r="K885" t="str">
        <f>IF(quantInv[[#This Row],[Metal]] = "925 Silver",  "7113.11.00"," 7113.19.00")</f>
        <v>7113.11.00</v>
      </c>
      <c r="L885" t="str">
        <f>IFERROR(VLOOKUP(quantInv[[#This Row],[Description for New Invoice]],Map!$G$12:$H$32,2,FALSE), IF(quantInv[[#This Row],[Metal]] = "925 Silver", "7113.11.10.00", "7113.19.29.00"))</f>
        <v>7113.11.10.00</v>
      </c>
      <c r="M885" t="str">
        <f>quantInv[[#This Row],[ASIN]] &amp; " " &amp; quantInv[[#This Row],[Short Description]]</f>
        <v>B08LW5ZY2C Chain - Super Flat Curb - Gauge 150 - Width 5.5 mm - Length 55 cm</v>
      </c>
      <c r="N885" s="33">
        <f>quantInv[[#This Row],[UNIT
VALUE]] / EURtoGBP</f>
        <v>14.371967104254992</v>
      </c>
      <c r="O885" s="33">
        <f>quantInv[[#This Row],[UNIT
VALUE]]/USDtoGBP</f>
        <v>17.356401725605668</v>
      </c>
      <c r="P885" s="33">
        <f>quantInv[[#This Row],[UNIT
VALUE]] / CADtoGBP</f>
        <v>22.217191949926562</v>
      </c>
      <c r="Q885" s="33">
        <f>quantInv[[#This Row],[UNIT
VALUE]]/AUDtoGBP</f>
        <v>22.740857820245704</v>
      </c>
      <c r="R885">
        <f>IFERROR(VLOOKUP(quantInv[[#This Row],[Assigned Item SKU]],skuQuantity[#All],2,FALSE),0)</f>
        <v>0</v>
      </c>
      <c r="S885" t="str">
        <f>PROPER(quantInv[[#This Row],[Metal]] &amp; " " &amp; quantInv[[#This Row],[Item Type]])</f>
        <v xml:space="preserve">925 Silver </v>
      </c>
      <c r="T885" s="33">
        <f>quantInv[[#This Row],[Quantity]]*quantInv[[#This Row],[WEIGHT]]</f>
        <v>0</v>
      </c>
      <c r="U885" s="33">
        <f>quantInv[[#This Row],[UNIT
VALUE]]*quantInv[[#This Row],[Quantity]]</f>
        <v>0</v>
      </c>
      <c r="V885" s="33">
        <f>quantInv[[#This Row],[Total Cost GBP]]/EURtoGBP</f>
        <v>0</v>
      </c>
      <c r="W885" s="33">
        <f>quantInv[[#This Row],[Total Cost GBP]]/USDtoGBP</f>
        <v>0</v>
      </c>
      <c r="X885" s="33">
        <f>quantInv[[#This Row],[Total Cost GBP]]/CADtoGBP</f>
        <v>0</v>
      </c>
      <c r="Y885" s="33">
        <f>quantInv[[#This Row],[Quantity]]*quantInv[[#This Row],[UNIT
VALUE AUD]]</f>
        <v>0</v>
      </c>
      <c r="Z885" s="33"/>
    </row>
    <row r="886" spans="1:26" x14ac:dyDescent="0.25">
      <c r="A886" t="s">
        <v>1925</v>
      </c>
      <c r="B886" t="s">
        <v>1926</v>
      </c>
      <c r="C886" t="s">
        <v>115</v>
      </c>
      <c r="D886" t="s">
        <v>1927</v>
      </c>
      <c r="E886">
        <v>2.0699999999999998</v>
      </c>
      <c r="F886" s="33">
        <v>3.0596999999999999</v>
      </c>
      <c r="G886" s="33" t="s">
        <v>117</v>
      </c>
      <c r="H886" t="s">
        <v>1310</v>
      </c>
      <c r="I886" t="str">
        <f>IF(quantInv[[#This Row],[Metal]] = "925 Silver",  "7113.11.00"," 7113.19.00")</f>
        <v>7113.11.00</v>
      </c>
      <c r="J886" t="str">
        <f>IF(quantInv[[#This Row],[Metal]] = "925 Silver", "7113.11.10.00"," 7113.19.10.00")</f>
        <v>7113.11.10.00</v>
      </c>
      <c r="K886" t="str">
        <f>IF(quantInv[[#This Row],[Metal]] = "925 Silver",  "7113.11.00"," 7113.19.00")</f>
        <v>7113.11.00</v>
      </c>
      <c r="L886" t="str">
        <f>IFERROR(VLOOKUP(quantInv[[#This Row],[Description for New Invoice]],Map!$G$12:$H$32,2,FALSE), IF(quantInv[[#This Row],[Metal]] = "925 Silver", "7113.11.10.00", "7113.19.29.00"))</f>
        <v>7113.11.50.00</v>
      </c>
      <c r="M886" t="str">
        <f>quantInv[[#This Row],[ASIN]] &amp; " " &amp; quantInv[[#This Row],[Short Description]]</f>
        <v>B08J8BRHCZ Stud Earrings - Celtic Design</v>
      </c>
      <c r="N886" s="33">
        <f>quantInv[[#This Row],[UNIT
VALUE]] / EURtoGBP</f>
        <v>3.4731232228295106</v>
      </c>
      <c r="O886" s="33">
        <f>quantInv[[#This Row],[UNIT
VALUE]]/USDtoGBP</f>
        <v>4.1943403753068953</v>
      </c>
      <c r="P886" s="33">
        <f>quantInv[[#This Row],[UNIT
VALUE]] / CADtoGBP</f>
        <v>5.3689967940787842</v>
      </c>
      <c r="Q886" s="33">
        <f>quantInv[[#This Row],[UNIT
VALUE]]/AUDtoGBP</f>
        <v>5.4955456570155894</v>
      </c>
      <c r="R886">
        <f>IFERROR(VLOOKUP(quantInv[[#This Row],[Assigned Item SKU]],skuQuantity[#All],2,FALSE),0)</f>
        <v>0</v>
      </c>
      <c r="S886" t="str">
        <f>PROPER(quantInv[[#This Row],[Metal]] &amp; " " &amp; quantInv[[#This Row],[Item Type]])</f>
        <v>925 Silver Earrings</v>
      </c>
      <c r="T886" s="33">
        <f>quantInv[[#This Row],[Quantity]]*quantInv[[#This Row],[WEIGHT]]</f>
        <v>0</v>
      </c>
      <c r="U886" s="33">
        <f>quantInv[[#This Row],[UNIT
VALUE]]*quantInv[[#This Row],[Quantity]]</f>
        <v>0</v>
      </c>
      <c r="V886" s="33">
        <f>quantInv[[#This Row],[Total Cost GBP]]/EURtoGBP</f>
        <v>0</v>
      </c>
      <c r="W886" s="33">
        <f>quantInv[[#This Row],[Total Cost GBP]]/USDtoGBP</f>
        <v>0</v>
      </c>
      <c r="X886" s="33">
        <f>quantInv[[#This Row],[Total Cost GBP]]/CADtoGBP</f>
        <v>0</v>
      </c>
      <c r="Y886" s="33">
        <f>quantInv[[#This Row],[Quantity]]*quantInv[[#This Row],[UNIT
VALUE AUD]]</f>
        <v>0</v>
      </c>
      <c r="Z886" s="33"/>
    </row>
    <row r="887" spans="1:26" x14ac:dyDescent="0.25">
      <c r="A887" t="s">
        <v>2186</v>
      </c>
      <c r="B887" t="s">
        <v>2187</v>
      </c>
      <c r="C887" t="s">
        <v>114</v>
      </c>
      <c r="D887" t="s">
        <v>2188</v>
      </c>
      <c r="E887">
        <v>34.56</v>
      </c>
      <c r="F887" s="33">
        <v>29.734300000000001</v>
      </c>
      <c r="G887" s="33" t="s">
        <v>117</v>
      </c>
      <c r="H887" t="s">
        <v>103</v>
      </c>
      <c r="I887" t="str">
        <f>IF(quantInv[[#This Row],[Metal]] = "925 Silver",  "7113.11.00"," 7113.19.00")</f>
        <v>7113.11.00</v>
      </c>
      <c r="J887" t="str">
        <f>IF(quantInv[[#This Row],[Metal]] = "925 Silver", "7113.11.10.00"," 7113.19.10.00")</f>
        <v>7113.11.10.00</v>
      </c>
      <c r="K887" t="str">
        <f>IF(quantInv[[#This Row],[Metal]] = "925 Silver",  "7113.11.00"," 7113.19.00")</f>
        <v>7113.11.00</v>
      </c>
      <c r="L887" t="str">
        <f>IFERROR(VLOOKUP(quantInv[[#This Row],[Description for New Invoice]],Map!$G$12:$H$32,2,FALSE), IF(quantInv[[#This Row],[Metal]] = "925 Silver", "7113.11.10.00", "7113.19.29.00"))</f>
        <v>7113.11.10.00</v>
      </c>
      <c r="M887" t="str">
        <f>quantInv[[#This Row],[ASIN]] &amp; " " &amp; quantInv[[#This Row],[Short Description]]</f>
        <v>B08LW3Y5D4 Chain - Super Flat Curb - Gauge 200 - Width 7.9 mm - Length 55 cm</v>
      </c>
      <c r="N887" s="33">
        <f>quantInv[[#This Row],[UNIT
VALUE]] / EURtoGBP</f>
        <v>33.751965174552907</v>
      </c>
      <c r="O887" s="33">
        <f>quantInv[[#This Row],[UNIT
VALUE]]/USDtoGBP</f>
        <v>40.760785378137669</v>
      </c>
      <c r="P887" s="33">
        <f>quantInv[[#This Row],[UNIT
VALUE]] / CADtoGBP</f>
        <v>52.17614843748629</v>
      </c>
      <c r="Q887" s="33">
        <f>quantInv[[#This Row],[UNIT
VALUE]]/AUDtoGBP</f>
        <v>53.405955887635606</v>
      </c>
      <c r="R887">
        <f>IFERROR(VLOOKUP(quantInv[[#This Row],[Assigned Item SKU]],skuQuantity[#All],2,FALSE),0)</f>
        <v>0</v>
      </c>
      <c r="S887" t="str">
        <f>PROPER(quantInv[[#This Row],[Metal]] &amp; " " &amp; quantInv[[#This Row],[Item Type]])</f>
        <v>925 Silver Chain</v>
      </c>
      <c r="T887" s="33">
        <f>quantInv[[#This Row],[Quantity]]*quantInv[[#This Row],[WEIGHT]]</f>
        <v>0</v>
      </c>
      <c r="U887" s="33">
        <f>quantInv[[#This Row],[UNIT
VALUE]]*quantInv[[#This Row],[Quantity]]</f>
        <v>0</v>
      </c>
      <c r="V887" s="33">
        <f>quantInv[[#This Row],[Total Cost GBP]]/EURtoGBP</f>
        <v>0</v>
      </c>
      <c r="W887" s="33">
        <f>quantInv[[#This Row],[Total Cost GBP]]/USDtoGBP</f>
        <v>0</v>
      </c>
      <c r="X887" s="33">
        <f>quantInv[[#This Row],[Total Cost GBP]]/CADtoGBP</f>
        <v>0</v>
      </c>
      <c r="Y887" s="33">
        <f>quantInv[[#This Row],[Quantity]]*quantInv[[#This Row],[UNIT
VALUE AUD]]</f>
        <v>0</v>
      </c>
      <c r="Z887" s="33"/>
    </row>
    <row r="888" spans="1:26" x14ac:dyDescent="0.25">
      <c r="A888" t="s">
        <v>1931</v>
      </c>
      <c r="B888" t="s">
        <v>1932</v>
      </c>
      <c r="C888" t="s">
        <v>115</v>
      </c>
      <c r="D888" t="s">
        <v>1933</v>
      </c>
      <c r="E888">
        <v>1.1399999999999999</v>
      </c>
      <c r="F888" s="33">
        <v>2.5891999999999999</v>
      </c>
      <c r="G888" s="33" t="s">
        <v>117</v>
      </c>
      <c r="H888" t="s">
        <v>1310</v>
      </c>
      <c r="I888" t="str">
        <f>IF(quantInv[[#This Row],[Metal]] = "925 Silver",  "7113.11.00"," 7113.19.00")</f>
        <v>7113.11.00</v>
      </c>
      <c r="J888" t="str">
        <f>IF(quantInv[[#This Row],[Metal]] = "925 Silver", "7113.11.10.00"," 7113.19.10.00")</f>
        <v>7113.11.10.00</v>
      </c>
      <c r="K888" t="str">
        <f>IF(quantInv[[#This Row],[Metal]] = "925 Silver",  "7113.11.00"," 7113.19.00")</f>
        <v>7113.11.00</v>
      </c>
      <c r="L888" t="str">
        <f>IFERROR(VLOOKUP(quantInv[[#This Row],[Description for New Invoice]],Map!$G$12:$H$32,2,FALSE), IF(quantInv[[#This Row],[Metal]] = "925 Silver", "7113.11.10.00", "7113.19.29.00"))</f>
        <v>7113.11.50.00</v>
      </c>
      <c r="M888" t="str">
        <f>quantInv[[#This Row],[ASIN]] &amp; " " &amp; quantInv[[#This Row],[Short Description]]</f>
        <v>B08J88JQTR Stud Earrings - Angel Wings</v>
      </c>
      <c r="N888" s="33">
        <f>quantInv[[#This Row],[UNIT
VALUE]] / EURtoGBP</f>
        <v>2.9390497919894663</v>
      </c>
      <c r="O888" s="33">
        <f>quantInv[[#This Row],[UNIT
VALUE]]/USDtoGBP</f>
        <v>3.5493630420448454</v>
      </c>
      <c r="P888" s="33">
        <f>quantInv[[#This Row],[UNIT
VALUE]] / CADtoGBP</f>
        <v>4.5433887306692773</v>
      </c>
      <c r="Q888" s="33">
        <f>quantInv[[#This Row],[UNIT
VALUE]]/AUDtoGBP</f>
        <v>4.6504777642071984</v>
      </c>
      <c r="R888">
        <f>IFERROR(VLOOKUP(quantInv[[#This Row],[Assigned Item SKU]],skuQuantity[#All],2,FALSE),0)</f>
        <v>0</v>
      </c>
      <c r="S888" t="str">
        <f>PROPER(quantInv[[#This Row],[Metal]] &amp; " " &amp; quantInv[[#This Row],[Item Type]])</f>
        <v>925 Silver Earrings</v>
      </c>
      <c r="T888" s="33">
        <f>quantInv[[#This Row],[Quantity]]*quantInv[[#This Row],[WEIGHT]]</f>
        <v>0</v>
      </c>
      <c r="U888" s="33">
        <f>quantInv[[#This Row],[UNIT
VALUE]]*quantInv[[#This Row],[Quantity]]</f>
        <v>0</v>
      </c>
      <c r="V888" s="33">
        <f>quantInv[[#This Row],[Total Cost GBP]]/EURtoGBP</f>
        <v>0</v>
      </c>
      <c r="W888" s="33">
        <f>quantInv[[#This Row],[Total Cost GBP]]/USDtoGBP</f>
        <v>0</v>
      </c>
      <c r="X888" s="33">
        <f>quantInv[[#This Row],[Total Cost GBP]]/CADtoGBP</f>
        <v>0</v>
      </c>
      <c r="Y888" s="33">
        <f>quantInv[[#This Row],[Quantity]]*quantInv[[#This Row],[UNIT
VALUE AUD]]</f>
        <v>0</v>
      </c>
      <c r="Z888" s="33"/>
    </row>
    <row r="889" spans="1:26" x14ac:dyDescent="0.25">
      <c r="A889" t="s">
        <v>1964</v>
      </c>
      <c r="B889" t="s">
        <v>1965</v>
      </c>
      <c r="C889" t="s">
        <v>115</v>
      </c>
      <c r="D889" t="s">
        <v>1966</v>
      </c>
      <c r="E889">
        <v>3.51</v>
      </c>
      <c r="F889" s="33">
        <v>6.7670000000000003</v>
      </c>
      <c r="G889" s="33" t="s">
        <v>117</v>
      </c>
      <c r="H889" t="s">
        <v>1310</v>
      </c>
      <c r="I889" t="str">
        <f>IF(quantInv[[#This Row],[Metal]] = "925 Silver",  "7113.11.00"," 7113.19.00")</f>
        <v>7113.11.00</v>
      </c>
      <c r="J889" t="str">
        <f>IF(quantInv[[#This Row],[Metal]] = "925 Silver", "7113.11.10.00"," 7113.19.10.00")</f>
        <v>7113.11.10.00</v>
      </c>
      <c r="K889" t="str">
        <f>IF(quantInv[[#This Row],[Metal]] = "925 Silver",  "7113.11.00"," 7113.19.00")</f>
        <v>7113.11.00</v>
      </c>
      <c r="L889" t="str">
        <f>IFERROR(VLOOKUP(quantInv[[#This Row],[Description for New Invoice]],Map!$G$12:$H$32,2,FALSE), IF(quantInv[[#This Row],[Metal]] = "925 Silver", "7113.11.10.00", "7113.19.29.00"))</f>
        <v>7113.11.50.00</v>
      </c>
      <c r="M889" t="str">
        <f>quantInv[[#This Row],[ASIN]] &amp; " " &amp; quantInv[[#This Row],[Short Description]]</f>
        <v>B08PC64BC9 Drop Earrings - Flower</v>
      </c>
      <c r="N889" s="33">
        <f>quantInv[[#This Row],[UNIT
VALUE]] / EURtoGBP</f>
        <v>7.6813494293189857</v>
      </c>
      <c r="O889" s="33">
        <f>quantInv[[#This Row],[UNIT
VALUE]]/USDtoGBP</f>
        <v>9.2764327612843616</v>
      </c>
      <c r="P889" s="33">
        <f>quantInv[[#This Row],[UNIT
VALUE]] / CADtoGBP</f>
        <v>11.874367194669784</v>
      </c>
      <c r="Q889" s="33">
        <f>quantInv[[#This Row],[UNIT
VALUE]]/AUDtoGBP</f>
        <v>12.15424958689561</v>
      </c>
      <c r="R889">
        <f>IFERROR(VLOOKUP(quantInv[[#This Row],[Assigned Item SKU]],skuQuantity[#All],2,FALSE),0)</f>
        <v>5</v>
      </c>
      <c r="S889" t="str">
        <f>PROPER(quantInv[[#This Row],[Metal]] &amp; " " &amp; quantInv[[#This Row],[Item Type]])</f>
        <v>925 Silver Earrings</v>
      </c>
      <c r="T889" s="33">
        <f>quantInv[[#This Row],[Quantity]]*quantInv[[#This Row],[WEIGHT]]</f>
        <v>17.549999999999997</v>
      </c>
      <c r="U889" s="33">
        <f>quantInv[[#This Row],[UNIT
VALUE]]*quantInv[[#This Row],[Quantity]]</f>
        <v>33.835000000000001</v>
      </c>
      <c r="V889" s="33">
        <f>quantInv[[#This Row],[Total Cost GBP]]/EURtoGBP</f>
        <v>38.406747146594931</v>
      </c>
      <c r="W889" s="33">
        <f>quantInv[[#This Row],[Total Cost GBP]]/USDtoGBP</f>
        <v>46.382163806421808</v>
      </c>
      <c r="X889" s="33">
        <f>quantInv[[#This Row],[Total Cost GBP]]/CADtoGBP</f>
        <v>59.371835973348915</v>
      </c>
      <c r="Y889" s="33">
        <f>quantInv[[#This Row],[Quantity]]*quantInv[[#This Row],[UNIT
VALUE AUD]]</f>
        <v>60.771247934478048</v>
      </c>
      <c r="Z889" s="33"/>
    </row>
    <row r="890" spans="1:26" x14ac:dyDescent="0.25">
      <c r="A890" t="s">
        <v>2195</v>
      </c>
      <c r="B890" t="s">
        <v>2196</v>
      </c>
      <c r="C890" t="s">
        <v>114</v>
      </c>
      <c r="D890" t="s">
        <v>2197</v>
      </c>
      <c r="E890">
        <v>12.73</v>
      </c>
      <c r="F890" s="33">
        <v>11.464399999999999</v>
      </c>
      <c r="G890" s="33" t="s">
        <v>117</v>
      </c>
      <c r="H890" t="s">
        <v>2875</v>
      </c>
      <c r="I890" t="str">
        <f>IF(quantInv[[#This Row],[Metal]] = "925 Silver",  "7113.11.00"," 7113.19.00")</f>
        <v>7113.11.00</v>
      </c>
      <c r="J890" t="str">
        <f>IF(quantInv[[#This Row],[Metal]] = "925 Silver", "7113.11.10.00"," 7113.19.10.00")</f>
        <v>7113.11.10.00</v>
      </c>
      <c r="K890" t="str">
        <f>IF(quantInv[[#This Row],[Metal]] = "925 Silver",  "7113.11.00"," 7113.19.00")</f>
        <v>7113.11.00</v>
      </c>
      <c r="L890" t="str">
        <f>IFERROR(VLOOKUP(quantInv[[#This Row],[Description for New Invoice]],Map!$G$12:$H$32,2,FALSE), IF(quantInv[[#This Row],[Metal]] = "925 Silver", "7113.11.10.00", "7113.19.29.00"))</f>
        <v>7113.11.10.00</v>
      </c>
      <c r="M890" t="str">
        <f>quantInv[[#This Row],[ASIN]] &amp; " " &amp; quantInv[[#This Row],[Short Description]]</f>
        <v>B08LW5BJ84 Chain - Super Flat Figaro - Gauge 150 - Width 5.5 mm - Length 50 cm</v>
      </c>
      <c r="N890" s="33">
        <f>quantInv[[#This Row],[UNIT
VALUE]] / EURtoGBP</f>
        <v>13.013456834266968</v>
      </c>
      <c r="O890" s="33">
        <f>quantInv[[#This Row],[UNIT
VALUE]]/USDtoGBP</f>
        <v>15.715787756534422</v>
      </c>
      <c r="P890" s="33">
        <f>quantInv[[#This Row],[UNIT
VALUE]] / CADtoGBP</f>
        <v>20.117111758027523</v>
      </c>
      <c r="Q890" s="33">
        <f>quantInv[[#This Row],[UNIT
VALUE]]/AUDtoGBP</f>
        <v>20.591278109059555</v>
      </c>
      <c r="R890">
        <f>IFERROR(VLOOKUP(quantInv[[#This Row],[Assigned Item SKU]],skuQuantity[#All],2,FALSE),0)</f>
        <v>0</v>
      </c>
      <c r="S890" t="str">
        <f>PROPER(quantInv[[#This Row],[Metal]] &amp; " " &amp; quantInv[[#This Row],[Item Type]])</f>
        <v xml:space="preserve">925 Silver </v>
      </c>
      <c r="T890" s="33">
        <f>quantInv[[#This Row],[Quantity]]*quantInv[[#This Row],[WEIGHT]]</f>
        <v>0</v>
      </c>
      <c r="U890" s="33">
        <f>quantInv[[#This Row],[UNIT
VALUE]]*quantInv[[#This Row],[Quantity]]</f>
        <v>0</v>
      </c>
      <c r="V890" s="33">
        <f>quantInv[[#This Row],[Total Cost GBP]]/EURtoGBP</f>
        <v>0</v>
      </c>
      <c r="W890" s="33">
        <f>quantInv[[#This Row],[Total Cost GBP]]/USDtoGBP</f>
        <v>0</v>
      </c>
      <c r="X890" s="33">
        <f>quantInv[[#This Row],[Total Cost GBP]]/CADtoGBP</f>
        <v>0</v>
      </c>
      <c r="Y890" s="33">
        <f>quantInv[[#This Row],[Quantity]]*quantInv[[#This Row],[UNIT
VALUE AUD]]</f>
        <v>0</v>
      </c>
      <c r="Z890" s="33"/>
    </row>
    <row r="891" spans="1:26" x14ac:dyDescent="0.25">
      <c r="A891" t="s">
        <v>1979</v>
      </c>
      <c r="B891" t="s">
        <v>1980</v>
      </c>
      <c r="C891" t="s">
        <v>115</v>
      </c>
      <c r="D891" t="s">
        <v>1981</v>
      </c>
      <c r="E891">
        <v>2.89</v>
      </c>
      <c r="F891" s="33">
        <v>5.1040000000000001</v>
      </c>
      <c r="G891" s="33" t="s">
        <v>117</v>
      </c>
      <c r="H891" t="s">
        <v>1310</v>
      </c>
      <c r="I891" t="str">
        <f>IF(quantInv[[#This Row],[Metal]] = "925 Silver",  "7113.11.00"," 7113.19.00")</f>
        <v>7113.11.00</v>
      </c>
      <c r="J891" t="str">
        <f>IF(quantInv[[#This Row],[Metal]] = "925 Silver", "7113.11.10.00"," 7113.19.10.00")</f>
        <v>7113.11.10.00</v>
      </c>
      <c r="K891" t="str">
        <f>IF(quantInv[[#This Row],[Metal]] = "925 Silver",  "7113.11.00"," 7113.19.00")</f>
        <v>7113.11.00</v>
      </c>
      <c r="L891" t="str">
        <f>IFERROR(VLOOKUP(quantInv[[#This Row],[Description for New Invoice]],Map!$G$12:$H$32,2,FALSE), IF(quantInv[[#This Row],[Metal]] = "925 Silver", "7113.11.10.00", "7113.19.29.00"))</f>
        <v>7113.11.50.00</v>
      </c>
      <c r="M891" t="str">
        <f>quantInv[[#This Row],[ASIN]] &amp; " " &amp; quantInv[[#This Row],[Short Description]]</f>
        <v>B08PC621HT Drop Earrings - 3 Interlocking Circles</v>
      </c>
      <c r="N891" s="33">
        <f>quantInv[[#This Row],[UNIT
VALUE]] / EURtoGBP</f>
        <v>5.7936467396548101</v>
      </c>
      <c r="O891" s="33">
        <f>quantInv[[#This Row],[UNIT
VALUE]]/USDtoGBP</f>
        <v>6.9967360445685509</v>
      </c>
      <c r="P891" s="33">
        <f>quantInv[[#This Row],[UNIT
VALUE]] / CADtoGBP</f>
        <v>8.9562243478047243</v>
      </c>
      <c r="Q891" s="33">
        <f>quantInv[[#This Row],[UNIT
VALUE]]/AUDtoGBP</f>
        <v>9.1673252388821034</v>
      </c>
      <c r="R891">
        <f>IFERROR(VLOOKUP(quantInv[[#This Row],[Assigned Item SKU]],skuQuantity[#All],2,FALSE),0)</f>
        <v>5</v>
      </c>
      <c r="S891" t="str">
        <f>PROPER(quantInv[[#This Row],[Metal]] &amp; " " &amp; quantInv[[#This Row],[Item Type]])</f>
        <v>925 Silver Earrings</v>
      </c>
      <c r="T891" s="33">
        <f>quantInv[[#This Row],[Quantity]]*quantInv[[#This Row],[WEIGHT]]</f>
        <v>14.450000000000001</v>
      </c>
      <c r="U891" s="33">
        <f>quantInv[[#This Row],[UNIT
VALUE]]*quantInv[[#This Row],[Quantity]]</f>
        <v>25.52</v>
      </c>
      <c r="V891" s="33">
        <f>quantInv[[#This Row],[Total Cost GBP]]/EURtoGBP</f>
        <v>28.968233698274052</v>
      </c>
      <c r="W891" s="33">
        <f>quantInv[[#This Row],[Total Cost GBP]]/USDtoGBP</f>
        <v>34.98368022284275</v>
      </c>
      <c r="X891" s="33">
        <f>quantInv[[#This Row],[Total Cost GBP]]/CADtoGBP</f>
        <v>44.781121739023618</v>
      </c>
      <c r="Y891" s="33">
        <f>quantInv[[#This Row],[Quantity]]*quantInv[[#This Row],[UNIT
VALUE AUD]]</f>
        <v>45.836626194410513</v>
      </c>
      <c r="Z891" s="33"/>
    </row>
    <row r="892" spans="1:26" x14ac:dyDescent="0.25">
      <c r="A892" t="s">
        <v>2201</v>
      </c>
      <c r="B892" t="s">
        <v>2202</v>
      </c>
      <c r="C892" t="s">
        <v>114</v>
      </c>
      <c r="D892" t="s">
        <v>2203</v>
      </c>
      <c r="E892">
        <v>23.61</v>
      </c>
      <c r="F892" s="33">
        <v>20.5701</v>
      </c>
      <c r="G892" s="33" t="s">
        <v>117</v>
      </c>
      <c r="H892" t="s">
        <v>103</v>
      </c>
      <c r="I892" t="str">
        <f>IF(quantInv[[#This Row],[Metal]] = "925 Silver",  "7113.11.00"," 7113.19.00")</f>
        <v>7113.11.00</v>
      </c>
      <c r="J892" t="str">
        <f>IF(quantInv[[#This Row],[Metal]] = "925 Silver", "7113.11.10.00"," 7113.19.10.00")</f>
        <v>7113.11.10.00</v>
      </c>
      <c r="K892" t="str">
        <f>IF(quantInv[[#This Row],[Metal]] = "925 Silver",  "7113.11.00"," 7113.19.00")</f>
        <v>7113.11.00</v>
      </c>
      <c r="L892" t="str">
        <f>IFERROR(VLOOKUP(quantInv[[#This Row],[Description for New Invoice]],Map!$G$12:$H$32,2,FALSE), IF(quantInv[[#This Row],[Metal]] = "925 Silver", "7113.11.10.00", "7113.19.29.00"))</f>
        <v>7113.11.10.00</v>
      </c>
      <c r="M892" t="str">
        <f>quantInv[[#This Row],[ASIN]] &amp; " " &amp; quantInv[[#This Row],[Short Description]]</f>
        <v>B08LW4JTPS Chain - Super Flat Figaro - Gauge 180 - Width 7.7 mm - Length 50 cm</v>
      </c>
      <c r="N892" s="33">
        <f>quantInv[[#This Row],[UNIT
VALUE]] / EURtoGBP</f>
        <v>23.349508777306703</v>
      </c>
      <c r="O892" s="33">
        <f>quantInv[[#This Row],[UNIT
VALUE]]/USDtoGBP</f>
        <v>28.198189676798499</v>
      </c>
      <c r="P892" s="33">
        <f>quantInv[[#This Row],[UNIT
VALUE]] / CADtoGBP</f>
        <v>36.095303772879696</v>
      </c>
      <c r="Q892" s="33">
        <f>quantInv[[#This Row],[UNIT
VALUE]]/AUDtoGBP</f>
        <v>36.946080896616131</v>
      </c>
      <c r="R892">
        <f>IFERROR(VLOOKUP(quantInv[[#This Row],[Assigned Item SKU]],skuQuantity[#All],2,FALSE),0)</f>
        <v>5</v>
      </c>
      <c r="S892" t="str">
        <f>PROPER(quantInv[[#This Row],[Metal]] &amp; " " &amp; quantInv[[#This Row],[Item Type]])</f>
        <v>925 Silver Chain</v>
      </c>
      <c r="T892" s="33">
        <f>quantInv[[#This Row],[Quantity]]*quantInv[[#This Row],[WEIGHT]]</f>
        <v>118.05</v>
      </c>
      <c r="U892" s="33">
        <f>quantInv[[#This Row],[UNIT
VALUE]]*quantInv[[#This Row],[Quantity]]</f>
        <v>102.8505</v>
      </c>
      <c r="V892" s="33">
        <f>quantInv[[#This Row],[Total Cost GBP]]/EURtoGBP</f>
        <v>116.74754388653352</v>
      </c>
      <c r="W892" s="33">
        <f>quantInv[[#This Row],[Total Cost GBP]]/USDtoGBP</f>
        <v>140.9909483839925</v>
      </c>
      <c r="X892" s="33">
        <f>quantInv[[#This Row],[Total Cost GBP]]/CADtoGBP</f>
        <v>180.47651886439846</v>
      </c>
      <c r="Y892" s="33">
        <f>quantInv[[#This Row],[Quantity]]*quantInv[[#This Row],[UNIT
VALUE AUD]]</f>
        <v>184.73040448308066</v>
      </c>
      <c r="Z892" s="33"/>
    </row>
    <row r="893" spans="1:26" x14ac:dyDescent="0.25">
      <c r="A893" t="s">
        <v>2204</v>
      </c>
      <c r="B893" t="s">
        <v>2205</v>
      </c>
      <c r="C893" t="s">
        <v>114</v>
      </c>
      <c r="D893" t="s">
        <v>2206</v>
      </c>
      <c r="E893">
        <v>25.59</v>
      </c>
      <c r="F893" s="33">
        <v>22.2272</v>
      </c>
      <c r="G893" s="33" t="s">
        <v>117</v>
      </c>
      <c r="H893" t="s">
        <v>103</v>
      </c>
      <c r="I893" t="str">
        <f>IF(quantInv[[#This Row],[Metal]] = "925 Silver",  "7113.11.00"," 7113.19.00")</f>
        <v>7113.11.00</v>
      </c>
      <c r="J893" t="str">
        <f>IF(quantInv[[#This Row],[Metal]] = "925 Silver", "7113.11.10.00"," 7113.19.10.00")</f>
        <v>7113.11.10.00</v>
      </c>
      <c r="K893" t="str">
        <f>IF(quantInv[[#This Row],[Metal]] = "925 Silver",  "7113.11.00"," 7113.19.00")</f>
        <v>7113.11.00</v>
      </c>
      <c r="L893" t="str">
        <f>IFERROR(VLOOKUP(quantInv[[#This Row],[Description for New Invoice]],Map!$G$12:$H$32,2,FALSE), IF(quantInv[[#This Row],[Metal]] = "925 Silver", "7113.11.10.00", "7113.19.29.00"))</f>
        <v>7113.11.10.00</v>
      </c>
      <c r="M893" t="str">
        <f>quantInv[[#This Row],[ASIN]] &amp; " " &amp; quantInv[[#This Row],[Short Description]]</f>
        <v>B08LW4B9ZY Chain - Super Flat Figaro - Gauge 180 - Width 7.7 mm - Length 55 cm</v>
      </c>
      <c r="N893" s="33">
        <f>quantInv[[#This Row],[UNIT
VALUE]] / EURtoGBP</f>
        <v>25.230514265606466</v>
      </c>
      <c r="O893" s="33">
        <f>quantInv[[#This Row],[UNIT
VALUE]]/USDtoGBP</f>
        <v>30.469798473713574</v>
      </c>
      <c r="P893" s="33">
        <f>quantInv[[#This Row],[UNIT
VALUE]] / CADtoGBP</f>
        <v>39.003093617461829</v>
      </c>
      <c r="Q893" s="33">
        <f>quantInv[[#This Row],[UNIT
VALUE]]/AUDtoGBP</f>
        <v>39.922408218981246</v>
      </c>
      <c r="R893">
        <f>IFERROR(VLOOKUP(quantInv[[#This Row],[Assigned Item SKU]],skuQuantity[#All],2,FALSE),0)</f>
        <v>5</v>
      </c>
      <c r="S893" t="str">
        <f>PROPER(quantInv[[#This Row],[Metal]] &amp; " " &amp; quantInv[[#This Row],[Item Type]])</f>
        <v>925 Silver Chain</v>
      </c>
      <c r="T893" s="33">
        <f>quantInv[[#This Row],[Quantity]]*quantInv[[#This Row],[WEIGHT]]</f>
        <v>127.95</v>
      </c>
      <c r="U893" s="33">
        <f>quantInv[[#This Row],[UNIT
VALUE]]*quantInv[[#This Row],[Quantity]]</f>
        <v>111.136</v>
      </c>
      <c r="V893" s="33">
        <f>quantInv[[#This Row],[Total Cost GBP]]/EURtoGBP</f>
        <v>126.15257132803232</v>
      </c>
      <c r="W893" s="33">
        <f>quantInv[[#This Row],[Total Cost GBP]]/USDtoGBP</f>
        <v>152.34899236856788</v>
      </c>
      <c r="X893" s="33">
        <f>quantInv[[#This Row],[Total Cost GBP]]/CADtoGBP</f>
        <v>195.01546808730913</v>
      </c>
      <c r="Y893" s="33">
        <f>quantInv[[#This Row],[Quantity]]*quantInv[[#This Row],[UNIT
VALUE AUD]]</f>
        <v>199.61204109490623</v>
      </c>
      <c r="Z893" s="33"/>
    </row>
    <row r="894" spans="1:26" x14ac:dyDescent="0.25">
      <c r="A894" t="s">
        <v>2207</v>
      </c>
      <c r="B894" t="s">
        <v>2208</v>
      </c>
      <c r="C894" t="s">
        <v>114</v>
      </c>
      <c r="D894" t="s">
        <v>2209</v>
      </c>
      <c r="E894">
        <v>4.62</v>
      </c>
      <c r="F894" s="33">
        <v>4.6688999999999998</v>
      </c>
      <c r="G894" s="33" t="s">
        <v>117</v>
      </c>
      <c r="H894" t="s">
        <v>2875</v>
      </c>
      <c r="I894" t="str">
        <f>IF(quantInv[[#This Row],[Metal]] = "925 Silver",  "7113.11.00"," 7113.19.00")</f>
        <v>7113.11.00</v>
      </c>
      <c r="J894" t="str">
        <f>IF(quantInv[[#This Row],[Metal]] = "925 Silver", "7113.11.10.00"," 7113.19.10.00")</f>
        <v>7113.11.10.00</v>
      </c>
      <c r="K894" t="str">
        <f>IF(quantInv[[#This Row],[Metal]] = "925 Silver",  "7113.11.00"," 7113.19.00")</f>
        <v>7113.11.00</v>
      </c>
      <c r="L894" t="str">
        <f>IFERROR(VLOOKUP(quantInv[[#This Row],[Description for New Invoice]],Map!$G$12:$H$32,2,FALSE), IF(quantInv[[#This Row],[Metal]] = "925 Silver", "7113.11.10.00", "7113.19.29.00"))</f>
        <v>7113.11.10.00</v>
      </c>
      <c r="M894" t="str">
        <f>quantInv[[#This Row],[ASIN]] &amp; " " &amp; quantInv[[#This Row],[Short Description]]</f>
        <v>B08LGR98JB Bracelet - Herringbone 2W1B - Gauge 040 each - Width 4.5 mm - Length 19 cm</v>
      </c>
      <c r="N894" s="33">
        <f>quantInv[[#This Row],[UNIT
VALUE]] / EURtoGBP</f>
        <v>5.2997565170012431</v>
      </c>
      <c r="O894" s="33">
        <f>quantInv[[#This Row],[UNIT
VALUE]]/USDtoGBP</f>
        <v>6.4002862301109138</v>
      </c>
      <c r="P894" s="33">
        <f>quantInv[[#This Row],[UNIT
VALUE]] / CADtoGBP</f>
        <v>8.1927342980927662</v>
      </c>
      <c r="Q894" s="33">
        <f>quantInv[[#This Row],[UNIT
VALUE]]/AUDtoGBP</f>
        <v>8.385839499964078</v>
      </c>
      <c r="R894">
        <f>IFERROR(VLOOKUP(quantInv[[#This Row],[Assigned Item SKU]],skuQuantity[#All],2,FALSE),0)</f>
        <v>0</v>
      </c>
      <c r="S894" t="str">
        <f>PROPER(quantInv[[#This Row],[Metal]] &amp; " " &amp; quantInv[[#This Row],[Item Type]])</f>
        <v xml:space="preserve">925 Silver </v>
      </c>
      <c r="T894" s="33">
        <f>quantInv[[#This Row],[Quantity]]*quantInv[[#This Row],[WEIGHT]]</f>
        <v>0</v>
      </c>
      <c r="U894" s="33">
        <f>quantInv[[#This Row],[UNIT
VALUE]]*quantInv[[#This Row],[Quantity]]</f>
        <v>0</v>
      </c>
      <c r="V894" s="33">
        <f>quantInv[[#This Row],[Total Cost GBP]]/EURtoGBP</f>
        <v>0</v>
      </c>
      <c r="W894" s="33">
        <f>quantInv[[#This Row],[Total Cost GBP]]/USDtoGBP</f>
        <v>0</v>
      </c>
      <c r="X894" s="33">
        <f>quantInv[[#This Row],[Total Cost GBP]]/CADtoGBP</f>
        <v>0</v>
      </c>
      <c r="Y894" s="33">
        <f>quantInv[[#This Row],[Quantity]]*quantInv[[#This Row],[UNIT
VALUE AUD]]</f>
        <v>0</v>
      </c>
      <c r="Z894" s="33"/>
    </row>
    <row r="895" spans="1:26" x14ac:dyDescent="0.25">
      <c r="A895" t="s">
        <v>2210</v>
      </c>
      <c r="B895" t="s">
        <v>2211</v>
      </c>
      <c r="C895" t="s">
        <v>114</v>
      </c>
      <c r="D895" t="s">
        <v>2212</v>
      </c>
      <c r="E895">
        <v>9.9600000000000009</v>
      </c>
      <c r="F895" s="33">
        <v>10.6378</v>
      </c>
      <c r="G895" s="33" t="s">
        <v>117</v>
      </c>
      <c r="H895" t="s">
        <v>2875</v>
      </c>
      <c r="I895" t="str">
        <f>IF(quantInv[[#This Row],[Metal]] = "925 Silver",  "7113.11.00"," 7113.19.00")</f>
        <v>7113.11.00</v>
      </c>
      <c r="J895" t="str">
        <f>IF(quantInv[[#This Row],[Metal]] = "925 Silver", "7113.11.10.00"," 7113.19.10.00")</f>
        <v>7113.11.10.00</v>
      </c>
      <c r="K895" t="str">
        <f>IF(quantInv[[#This Row],[Metal]] = "925 Silver",  "7113.11.00"," 7113.19.00")</f>
        <v>7113.11.00</v>
      </c>
      <c r="L895" t="str">
        <f>IFERROR(VLOOKUP(quantInv[[#This Row],[Description for New Invoice]],Map!$G$12:$H$32,2,FALSE), IF(quantInv[[#This Row],[Metal]] = "925 Silver", "7113.11.10.00", "7113.19.29.00"))</f>
        <v>7113.11.10.00</v>
      </c>
      <c r="M895" t="str">
        <f>quantInv[[#This Row],[ASIN]] &amp; " " &amp; quantInv[[#This Row],[Short Description]]</f>
        <v>B08LGY5RXS Chain - Herringbone 2W1B - Gauge 040 each - Width 4.5 mm - Length 45 cm</v>
      </c>
      <c r="N895" s="33">
        <f>quantInv[[#This Row],[UNIT
VALUE]] / EURtoGBP</f>
        <v>12.07516757192397</v>
      </c>
      <c r="O895" s="33">
        <f>quantInv[[#This Row],[UNIT
VALUE]]/USDtoGBP</f>
        <v>14.582656484112722</v>
      </c>
      <c r="P895" s="33">
        <f>quantInv[[#This Row],[UNIT
VALUE]] / CADtoGBP</f>
        <v>18.666638590728272</v>
      </c>
      <c r="Q895" s="33">
        <f>quantInv[[#This Row],[UNIT
VALUE]]/AUDtoGBP</f>
        <v>19.106616854659098</v>
      </c>
      <c r="R895">
        <f>IFERROR(VLOOKUP(quantInv[[#This Row],[Assigned Item SKU]],skuQuantity[#All],2,FALSE),0)</f>
        <v>0</v>
      </c>
      <c r="S895" t="str">
        <f>PROPER(quantInv[[#This Row],[Metal]] &amp; " " &amp; quantInv[[#This Row],[Item Type]])</f>
        <v xml:space="preserve">925 Silver </v>
      </c>
      <c r="T895" s="33">
        <f>quantInv[[#This Row],[Quantity]]*quantInv[[#This Row],[WEIGHT]]</f>
        <v>0</v>
      </c>
      <c r="U895" s="33">
        <f>quantInv[[#This Row],[UNIT
VALUE]]*quantInv[[#This Row],[Quantity]]</f>
        <v>0</v>
      </c>
      <c r="V895" s="33">
        <f>quantInv[[#This Row],[Total Cost GBP]]/EURtoGBP</f>
        <v>0</v>
      </c>
      <c r="W895" s="33">
        <f>quantInv[[#This Row],[Total Cost GBP]]/USDtoGBP</f>
        <v>0</v>
      </c>
      <c r="X895" s="33">
        <f>quantInv[[#This Row],[Total Cost GBP]]/CADtoGBP</f>
        <v>0</v>
      </c>
      <c r="Y895" s="33">
        <f>quantInv[[#This Row],[Quantity]]*quantInv[[#This Row],[UNIT
VALUE AUD]]</f>
        <v>0</v>
      </c>
      <c r="Z895" s="33"/>
    </row>
    <row r="896" spans="1:26" x14ac:dyDescent="0.25">
      <c r="A896" t="s">
        <v>2213</v>
      </c>
      <c r="B896" t="s">
        <v>2214</v>
      </c>
      <c r="C896" t="s">
        <v>114</v>
      </c>
      <c r="D896" t="s">
        <v>2215</v>
      </c>
      <c r="E896">
        <v>1.32</v>
      </c>
      <c r="F896" s="33">
        <v>28.203399999999998</v>
      </c>
      <c r="G896" s="33" t="s">
        <v>3304</v>
      </c>
      <c r="H896" t="s">
        <v>2875</v>
      </c>
      <c r="I896" t="str">
        <f>IF(quantInv[[#This Row],[Metal]] = "925 Silver",  "7113.11.00"," 7113.19.00")</f>
        <v xml:space="preserve"> 7113.19.00</v>
      </c>
      <c r="J896" t="str">
        <f>IF(quantInv[[#This Row],[Metal]] = "925 Silver", "7113.11.10.00"," 7113.19.10.00")</f>
        <v xml:space="preserve"> 7113.19.10.00</v>
      </c>
      <c r="K896" t="str">
        <f>IF(quantInv[[#This Row],[Metal]] = "925 Silver",  "7113.11.00"," 7113.19.00")</f>
        <v xml:space="preserve"> 7113.19.00</v>
      </c>
      <c r="L896" t="str">
        <f>IFERROR(VLOOKUP(quantInv[[#This Row],[Description for New Invoice]],Map!$G$12:$H$32,2,FALSE), IF(quantInv[[#This Row],[Metal]] = "925 Silver", "7113.11.10.00", "7113.19.29.00"))</f>
        <v>7113.19.29.00</v>
      </c>
      <c r="M896" t="str">
        <f>quantInv[[#This Row],[ASIN]] &amp; " " &amp; quantInv[[#This Row],[Short Description]]</f>
        <v>B09311RFPZ Oval Link Chain Bracelet - Width 4.4 mm - Length 19 cm</v>
      </c>
      <c r="N896" s="33">
        <f>quantInv[[#This Row],[UNIT
VALUE]] / EURtoGBP</f>
        <v>32.014211688319058</v>
      </c>
      <c r="O896" s="33">
        <f>quantInv[[#This Row],[UNIT
VALUE]]/USDtoGBP</f>
        <v>38.662175814926456</v>
      </c>
      <c r="P896" s="33">
        <f>quantInv[[#This Row],[UNIT
VALUE]] / CADtoGBP</f>
        <v>49.48980755698976</v>
      </c>
      <c r="Q896" s="33">
        <f>quantInv[[#This Row],[UNIT
VALUE]]/AUDtoGBP</f>
        <v>50.656297147783597</v>
      </c>
      <c r="R896">
        <f>IFERROR(VLOOKUP(quantInv[[#This Row],[Assigned Item SKU]],skuQuantity[#All],2,FALSE),0)</f>
        <v>0</v>
      </c>
      <c r="S896" t="str">
        <f>PROPER(quantInv[[#This Row],[Metal]] &amp; " " &amp; quantInv[[#This Row],[Item Type]])</f>
        <v xml:space="preserve">9K Gold </v>
      </c>
      <c r="T896" s="33">
        <f>quantInv[[#This Row],[Quantity]]*quantInv[[#This Row],[WEIGHT]]</f>
        <v>0</v>
      </c>
      <c r="U896" s="33">
        <f>quantInv[[#This Row],[UNIT
VALUE]]*quantInv[[#This Row],[Quantity]]</f>
        <v>0</v>
      </c>
      <c r="V896" s="33">
        <f>quantInv[[#This Row],[Total Cost GBP]]/EURtoGBP</f>
        <v>0</v>
      </c>
      <c r="W896" s="33">
        <f>quantInv[[#This Row],[Total Cost GBP]]/USDtoGBP</f>
        <v>0</v>
      </c>
      <c r="X896" s="33">
        <f>quantInv[[#This Row],[Total Cost GBP]]/CADtoGBP</f>
        <v>0</v>
      </c>
      <c r="Y896" s="33">
        <f>quantInv[[#This Row],[Quantity]]*quantInv[[#This Row],[UNIT
VALUE AUD]]</f>
        <v>0</v>
      </c>
      <c r="Z896" s="33"/>
    </row>
    <row r="897" spans="1:26" x14ac:dyDescent="0.25">
      <c r="A897" t="s">
        <v>2216</v>
      </c>
      <c r="B897" t="s">
        <v>2217</v>
      </c>
      <c r="C897" t="s">
        <v>114</v>
      </c>
      <c r="D897" t="s">
        <v>2218</v>
      </c>
      <c r="E897">
        <v>1.17</v>
      </c>
      <c r="F897" s="33">
        <v>25.090599999999998</v>
      </c>
      <c r="G897" s="33" t="s">
        <v>3304</v>
      </c>
      <c r="H897" t="s">
        <v>2875</v>
      </c>
      <c r="I897" t="str">
        <f>IF(quantInv[[#This Row],[Metal]] = "925 Silver",  "7113.11.00"," 7113.19.00")</f>
        <v xml:space="preserve"> 7113.19.00</v>
      </c>
      <c r="J897" t="str">
        <f>IF(quantInv[[#This Row],[Metal]] = "925 Silver", "7113.11.10.00"," 7113.19.10.00")</f>
        <v xml:space="preserve"> 7113.19.10.00</v>
      </c>
      <c r="K897" t="str">
        <f>IF(quantInv[[#This Row],[Metal]] = "925 Silver",  "7113.11.00"," 7113.19.00")</f>
        <v xml:space="preserve"> 7113.19.00</v>
      </c>
      <c r="L897" t="str">
        <f>IFERROR(VLOOKUP(quantInv[[#This Row],[Description for New Invoice]],Map!$G$12:$H$32,2,FALSE), IF(quantInv[[#This Row],[Metal]] = "925 Silver", "7113.11.10.00", "7113.19.29.00"))</f>
        <v>7113.19.29.00</v>
      </c>
      <c r="M897" t="str">
        <f>quantInv[[#This Row],[ASIN]] &amp; " " &amp; quantInv[[#This Row],[Short Description]]</f>
        <v>B09314BZFT Round Link Chain Bracelet - Width 5.0 mm - Length 19 cm</v>
      </c>
      <c r="N897" s="33">
        <f>quantInv[[#This Row],[UNIT
VALUE]] / EURtoGBP</f>
        <v>28.480813653209832</v>
      </c>
      <c r="O897" s="33">
        <f>quantInv[[#This Row],[UNIT
VALUE]]/USDtoGBP</f>
        <v>34.395044161412947</v>
      </c>
      <c r="P897" s="33">
        <f>quantInv[[#This Row],[UNIT
VALUE]] / CADtoGBP</f>
        <v>44.027633742364657</v>
      </c>
      <c r="Q897" s="33">
        <f>quantInv[[#This Row],[UNIT
VALUE]]/AUDtoGBP</f>
        <v>45.065378259932459</v>
      </c>
      <c r="R897">
        <f>IFERROR(VLOOKUP(quantInv[[#This Row],[Assigned Item SKU]],skuQuantity[#All],2,FALSE),0)</f>
        <v>0</v>
      </c>
      <c r="S897" t="str">
        <f>PROPER(quantInv[[#This Row],[Metal]] &amp; " " &amp; quantInv[[#This Row],[Item Type]])</f>
        <v xml:space="preserve">9K Gold </v>
      </c>
      <c r="T897" s="33">
        <f>quantInv[[#This Row],[Quantity]]*quantInv[[#This Row],[WEIGHT]]</f>
        <v>0</v>
      </c>
      <c r="U897" s="33">
        <f>quantInv[[#This Row],[UNIT
VALUE]]*quantInv[[#This Row],[Quantity]]</f>
        <v>0</v>
      </c>
      <c r="V897" s="33">
        <f>quantInv[[#This Row],[Total Cost GBP]]/EURtoGBP</f>
        <v>0</v>
      </c>
      <c r="W897" s="33">
        <f>quantInv[[#This Row],[Total Cost GBP]]/USDtoGBP</f>
        <v>0</v>
      </c>
      <c r="X897" s="33">
        <f>quantInv[[#This Row],[Total Cost GBP]]/CADtoGBP</f>
        <v>0</v>
      </c>
      <c r="Y897" s="33">
        <f>quantInv[[#This Row],[Quantity]]*quantInv[[#This Row],[UNIT
VALUE AUD]]</f>
        <v>0</v>
      </c>
      <c r="Z897" s="33"/>
    </row>
    <row r="898" spans="1:26" x14ac:dyDescent="0.25">
      <c r="A898" t="s">
        <v>1988</v>
      </c>
      <c r="B898" t="s">
        <v>1989</v>
      </c>
      <c r="C898" t="s">
        <v>115</v>
      </c>
      <c r="D898" t="s">
        <v>1990</v>
      </c>
      <c r="E898">
        <v>1.9</v>
      </c>
      <c r="F898" s="33">
        <v>3.7248999999999999</v>
      </c>
      <c r="G898" s="33" t="s">
        <v>117</v>
      </c>
      <c r="H898" t="s">
        <v>1310</v>
      </c>
      <c r="I898" t="str">
        <f>IF(quantInv[[#This Row],[Metal]] = "925 Silver",  "7113.11.00"," 7113.19.00")</f>
        <v>7113.11.00</v>
      </c>
      <c r="J898" t="str">
        <f>IF(quantInv[[#This Row],[Metal]] = "925 Silver", "7113.11.10.00"," 7113.19.10.00")</f>
        <v>7113.11.10.00</v>
      </c>
      <c r="K898" t="str">
        <f>IF(quantInv[[#This Row],[Metal]] = "925 Silver",  "7113.11.00"," 7113.19.00")</f>
        <v>7113.11.00</v>
      </c>
      <c r="L898" t="str">
        <f>IFERROR(VLOOKUP(quantInv[[#This Row],[Description for New Invoice]],Map!$G$12:$H$32,2,FALSE), IF(quantInv[[#This Row],[Metal]] = "925 Silver", "7113.11.10.00", "7113.19.29.00"))</f>
        <v>7113.11.50.00</v>
      </c>
      <c r="M898" t="str">
        <f>quantInv[[#This Row],[ASIN]] &amp; " " &amp; quantInv[[#This Row],[Short Description]]</f>
        <v>B08PC4VQPZ Drop Earrings - Gothic Heart</v>
      </c>
      <c r="N898" s="33">
        <f>quantInv[[#This Row],[UNIT
VALUE]] / EURtoGBP</f>
        <v>4.2282042986951804</v>
      </c>
      <c r="O898" s="33">
        <f>quantInv[[#This Row],[UNIT
VALUE]]/USDtoGBP</f>
        <v>5.1062190619932197</v>
      </c>
      <c r="P898" s="33">
        <f>quantInv[[#This Row],[UNIT
VALUE]] / CADtoGBP</f>
        <v>6.536253932824807</v>
      </c>
      <c r="Q898" s="33">
        <f>quantInv[[#This Row],[UNIT
VALUE]]/AUDtoGBP</f>
        <v>6.690315396220992</v>
      </c>
      <c r="R898">
        <f>IFERROR(VLOOKUP(quantInv[[#This Row],[Assigned Item SKU]],skuQuantity[#All],2,FALSE),0)</f>
        <v>0</v>
      </c>
      <c r="S898" t="str">
        <f>PROPER(quantInv[[#This Row],[Metal]] &amp; " " &amp; quantInv[[#This Row],[Item Type]])</f>
        <v>925 Silver Earrings</v>
      </c>
      <c r="T898" s="33">
        <f>quantInv[[#This Row],[Quantity]]*quantInv[[#This Row],[WEIGHT]]</f>
        <v>0</v>
      </c>
      <c r="U898" s="33">
        <f>quantInv[[#This Row],[UNIT
VALUE]]*quantInv[[#This Row],[Quantity]]</f>
        <v>0</v>
      </c>
      <c r="V898" s="33">
        <f>quantInv[[#This Row],[Total Cost GBP]]/EURtoGBP</f>
        <v>0</v>
      </c>
      <c r="W898" s="33">
        <f>quantInv[[#This Row],[Total Cost GBP]]/USDtoGBP</f>
        <v>0</v>
      </c>
      <c r="X898" s="33">
        <f>quantInv[[#This Row],[Total Cost GBP]]/CADtoGBP</f>
        <v>0</v>
      </c>
      <c r="Y898" s="33">
        <f>quantInv[[#This Row],[Quantity]]*quantInv[[#This Row],[UNIT
VALUE AUD]]</f>
        <v>0</v>
      </c>
      <c r="Z898" s="33"/>
    </row>
    <row r="899" spans="1:26" x14ac:dyDescent="0.25">
      <c r="A899" t="s">
        <v>2222</v>
      </c>
      <c r="B899" t="s">
        <v>2223</v>
      </c>
      <c r="C899" t="s">
        <v>114</v>
      </c>
      <c r="D899" t="s">
        <v>2224</v>
      </c>
      <c r="E899">
        <v>8.6300000000000008</v>
      </c>
      <c r="F899" s="33">
        <v>12.9748</v>
      </c>
      <c r="G899" s="33" t="s">
        <v>117</v>
      </c>
      <c r="H899" t="s">
        <v>2875</v>
      </c>
      <c r="I899" t="str">
        <f>IF(quantInv[[#This Row],[Metal]] = "925 Silver",  "7113.11.00"," 7113.19.00")</f>
        <v>7113.11.00</v>
      </c>
      <c r="J899" t="str">
        <f>IF(quantInv[[#This Row],[Metal]] = "925 Silver", "7113.11.10.00"," 7113.19.10.00")</f>
        <v>7113.11.10.00</v>
      </c>
      <c r="K899" t="str">
        <f>IF(quantInv[[#This Row],[Metal]] = "925 Silver",  "7113.11.00"," 7113.19.00")</f>
        <v>7113.11.00</v>
      </c>
      <c r="L899" t="str">
        <f>IFERROR(VLOOKUP(quantInv[[#This Row],[Description for New Invoice]],Map!$G$12:$H$32,2,FALSE), IF(quantInv[[#This Row],[Metal]] = "925 Silver", "7113.11.10.00", "7113.19.29.00"))</f>
        <v>7113.11.10.00</v>
      </c>
      <c r="M899" t="str">
        <f>quantInv[[#This Row],[ASIN]] &amp; " " &amp; quantInv[[#This Row],[Short Description]]</f>
        <v>B08L5FQJ3K Square Byzantine Chain Bracelet - Width 4.7 mm - Length 19 cm</v>
      </c>
      <c r="N899" s="33">
        <f>quantInv[[#This Row],[UNIT
VALUE]] / EURtoGBP</f>
        <v>14.727940383556668</v>
      </c>
      <c r="O899" s="33">
        <f>quantInv[[#This Row],[UNIT
VALUE]]/USDtoGBP</f>
        <v>17.786295225522732</v>
      </c>
      <c r="P899" s="33">
        <f>quantInv[[#This Row],[UNIT
VALUE]] / CADtoGBP</f>
        <v>22.767480342456256</v>
      </c>
      <c r="Q899" s="33">
        <f>quantInv[[#This Row],[UNIT
VALUE]]/AUDtoGBP</f>
        <v>23.304116675048494</v>
      </c>
      <c r="R899">
        <f>IFERROR(VLOOKUP(quantInv[[#This Row],[Assigned Item SKU]],skuQuantity[#All],2,FALSE),0)</f>
        <v>0</v>
      </c>
      <c r="S899" t="str">
        <f>PROPER(quantInv[[#This Row],[Metal]] &amp; " " &amp; quantInv[[#This Row],[Item Type]])</f>
        <v xml:space="preserve">925 Silver </v>
      </c>
      <c r="T899" s="33">
        <f>quantInv[[#This Row],[Quantity]]*quantInv[[#This Row],[WEIGHT]]</f>
        <v>0</v>
      </c>
      <c r="U899" s="33">
        <f>quantInv[[#This Row],[UNIT
VALUE]]*quantInv[[#This Row],[Quantity]]</f>
        <v>0</v>
      </c>
      <c r="V899" s="33">
        <f>quantInv[[#This Row],[Total Cost GBP]]/EURtoGBP</f>
        <v>0</v>
      </c>
      <c r="W899" s="33">
        <f>quantInv[[#This Row],[Total Cost GBP]]/USDtoGBP</f>
        <v>0</v>
      </c>
      <c r="X899" s="33">
        <f>quantInv[[#This Row],[Total Cost GBP]]/CADtoGBP</f>
        <v>0</v>
      </c>
      <c r="Y899" s="33">
        <f>quantInv[[#This Row],[Quantity]]*quantInv[[#This Row],[UNIT
VALUE AUD]]</f>
        <v>0</v>
      </c>
      <c r="Z899" s="33"/>
    </row>
    <row r="900" spans="1:26" x14ac:dyDescent="0.25">
      <c r="A900" t="s">
        <v>2225</v>
      </c>
      <c r="B900" t="s">
        <v>2226</v>
      </c>
      <c r="C900" t="s">
        <v>114</v>
      </c>
      <c r="D900" t="s">
        <v>2227</v>
      </c>
      <c r="E900">
        <v>9.34</v>
      </c>
      <c r="F900" s="33">
        <v>13.9756</v>
      </c>
      <c r="G900" s="33" t="s">
        <v>117</v>
      </c>
      <c r="H900" t="s">
        <v>2875</v>
      </c>
      <c r="I900" t="str">
        <f>IF(quantInv[[#This Row],[Metal]] = "925 Silver",  "7113.11.00"," 7113.19.00")</f>
        <v>7113.11.00</v>
      </c>
      <c r="J900" t="str">
        <f>IF(quantInv[[#This Row],[Metal]] = "925 Silver", "7113.11.10.00"," 7113.19.10.00")</f>
        <v>7113.11.10.00</v>
      </c>
      <c r="K900" t="str">
        <f>IF(quantInv[[#This Row],[Metal]] = "925 Silver",  "7113.11.00"," 7113.19.00")</f>
        <v>7113.11.00</v>
      </c>
      <c r="L900" t="str">
        <f>IFERROR(VLOOKUP(quantInv[[#This Row],[Description for New Invoice]],Map!$G$12:$H$32,2,FALSE), IF(quantInv[[#This Row],[Metal]] = "925 Silver", "7113.11.10.00", "7113.19.29.00"))</f>
        <v>7113.11.10.00</v>
      </c>
      <c r="M900" t="str">
        <f>quantInv[[#This Row],[ASIN]] &amp; " " &amp; quantInv[[#This Row],[Short Description]]</f>
        <v>B08L5FZDV4 Square Byzantine Chain Bracelet - Width 4.7 mm - Length 20 cm</v>
      </c>
      <c r="N900" s="33">
        <f>quantInv[[#This Row],[UNIT
VALUE]] / EURtoGBP</f>
        <v>15.863967353981145</v>
      </c>
      <c r="O900" s="33">
        <f>quantInv[[#This Row],[UNIT
VALUE]]/USDtoGBP</f>
        <v>19.158225757145814</v>
      </c>
      <c r="P900" s="33">
        <f>quantInv[[#This Row],[UNIT
VALUE]] / CADtoGBP</f>
        <v>24.523630289024236</v>
      </c>
      <c r="Q900" s="33">
        <f>quantInv[[#This Row],[UNIT
VALUE]]/AUDtoGBP</f>
        <v>25.101659601982899</v>
      </c>
      <c r="R900">
        <f>IFERROR(VLOOKUP(quantInv[[#This Row],[Assigned Item SKU]],skuQuantity[#All],2,FALSE),0)</f>
        <v>0</v>
      </c>
      <c r="S900" t="str">
        <f>PROPER(quantInv[[#This Row],[Metal]] &amp; " " &amp; quantInv[[#This Row],[Item Type]])</f>
        <v xml:space="preserve">925 Silver </v>
      </c>
      <c r="T900" s="33">
        <f>quantInv[[#This Row],[Quantity]]*quantInv[[#This Row],[WEIGHT]]</f>
        <v>0</v>
      </c>
      <c r="U900" s="33">
        <f>quantInv[[#This Row],[UNIT
VALUE]]*quantInv[[#This Row],[Quantity]]</f>
        <v>0</v>
      </c>
      <c r="V900" s="33">
        <f>quantInv[[#This Row],[Total Cost GBP]]/EURtoGBP</f>
        <v>0</v>
      </c>
      <c r="W900" s="33">
        <f>quantInv[[#This Row],[Total Cost GBP]]/USDtoGBP</f>
        <v>0</v>
      </c>
      <c r="X900" s="33">
        <f>quantInv[[#This Row],[Total Cost GBP]]/CADtoGBP</f>
        <v>0</v>
      </c>
      <c r="Y900" s="33">
        <f>quantInv[[#This Row],[Quantity]]*quantInv[[#This Row],[UNIT
VALUE AUD]]</f>
        <v>0</v>
      </c>
      <c r="Z900" s="33"/>
    </row>
    <row r="901" spans="1:26" x14ac:dyDescent="0.25">
      <c r="A901" t="s">
        <v>2228</v>
      </c>
      <c r="B901" t="s">
        <v>2229</v>
      </c>
      <c r="C901" t="s">
        <v>114</v>
      </c>
      <c r="D901" t="s">
        <v>2230</v>
      </c>
      <c r="E901">
        <v>2.65</v>
      </c>
      <c r="F901" s="33">
        <v>7.9039000000000001</v>
      </c>
      <c r="G901" s="33" t="s">
        <v>117</v>
      </c>
      <c r="H901" t="s">
        <v>2875</v>
      </c>
      <c r="I901" t="str">
        <f>IF(quantInv[[#This Row],[Metal]] = "925 Silver",  "7113.11.00"," 7113.19.00")</f>
        <v>7113.11.00</v>
      </c>
      <c r="J901" t="str">
        <f>IF(quantInv[[#This Row],[Metal]] = "925 Silver", "7113.11.10.00"," 7113.19.10.00")</f>
        <v>7113.11.10.00</v>
      </c>
      <c r="K901" t="str">
        <f>IF(quantInv[[#This Row],[Metal]] = "925 Silver",  "7113.11.00"," 7113.19.00")</f>
        <v>7113.11.00</v>
      </c>
      <c r="L901" t="str">
        <f>IFERROR(VLOOKUP(quantInv[[#This Row],[Description for New Invoice]],Map!$G$12:$H$32,2,FALSE), IF(quantInv[[#This Row],[Metal]] = "925 Silver", "7113.11.10.00", "7113.19.29.00"))</f>
        <v>7113.11.10.00</v>
      </c>
      <c r="M901" t="str">
        <f>quantInv[[#This Row],[ASIN]] &amp; " " &amp; quantInv[[#This Row],[Short Description]]</f>
        <v>B08CXL4LD1 SET: Rolo Chain with Heart Shape Pendant + Stud Heart Earrings with White Swarovski Crystals</v>
      </c>
      <c r="N901" s="33">
        <f>quantInv[[#This Row],[UNIT
VALUE]] / EURtoGBP</f>
        <v>8.9718660786750899</v>
      </c>
      <c r="O901" s="33">
        <f>quantInv[[#This Row],[UNIT
VALUE]]/USDtoGBP</f>
        <v>10.834933781870173</v>
      </c>
      <c r="P901" s="33">
        <f>quantInv[[#This Row],[UNIT
VALUE]] / CADtoGBP</f>
        <v>13.86933809220489</v>
      </c>
      <c r="Q901" s="33">
        <f>quantInv[[#This Row],[UNIT
VALUE]]/AUDtoGBP</f>
        <v>14.196242546159924</v>
      </c>
      <c r="R901">
        <f>IFERROR(VLOOKUP(quantInv[[#This Row],[Assigned Item SKU]],skuQuantity[#All],2,FALSE),0)</f>
        <v>0</v>
      </c>
      <c r="S901" t="str">
        <f>PROPER(quantInv[[#This Row],[Metal]] &amp; " " &amp; quantInv[[#This Row],[Item Type]])</f>
        <v xml:space="preserve">925 Silver </v>
      </c>
      <c r="T901" s="33">
        <f>quantInv[[#This Row],[Quantity]]*quantInv[[#This Row],[WEIGHT]]</f>
        <v>0</v>
      </c>
      <c r="U901" s="33">
        <f>quantInv[[#This Row],[UNIT
VALUE]]*quantInv[[#This Row],[Quantity]]</f>
        <v>0</v>
      </c>
      <c r="V901" s="33">
        <f>quantInv[[#This Row],[Total Cost GBP]]/EURtoGBP</f>
        <v>0</v>
      </c>
      <c r="W901" s="33">
        <f>quantInv[[#This Row],[Total Cost GBP]]/USDtoGBP</f>
        <v>0</v>
      </c>
      <c r="X901" s="33">
        <f>quantInv[[#This Row],[Total Cost GBP]]/CADtoGBP</f>
        <v>0</v>
      </c>
      <c r="Y901" s="33">
        <f>quantInv[[#This Row],[Quantity]]*quantInv[[#This Row],[UNIT
VALUE AUD]]</f>
        <v>0</v>
      </c>
      <c r="Z901" s="33"/>
    </row>
    <row r="902" spans="1:26" x14ac:dyDescent="0.25">
      <c r="A902" t="s">
        <v>2231</v>
      </c>
      <c r="B902" t="s">
        <v>2232</v>
      </c>
      <c r="C902" t="s">
        <v>114</v>
      </c>
      <c r="D902" t="s">
        <v>2233</v>
      </c>
      <c r="E902">
        <v>2.83</v>
      </c>
      <c r="F902" s="33">
        <v>8.0625</v>
      </c>
      <c r="G902" s="33" t="s">
        <v>117</v>
      </c>
      <c r="H902" t="s">
        <v>2875</v>
      </c>
      <c r="I902" t="str">
        <f>IF(quantInv[[#This Row],[Metal]] = "925 Silver",  "7113.11.00"," 7113.19.00")</f>
        <v>7113.11.00</v>
      </c>
      <c r="J902" t="str">
        <f>IF(quantInv[[#This Row],[Metal]] = "925 Silver", "7113.11.10.00"," 7113.19.10.00")</f>
        <v>7113.11.10.00</v>
      </c>
      <c r="K902" t="str">
        <f>IF(quantInv[[#This Row],[Metal]] = "925 Silver",  "7113.11.00"," 7113.19.00")</f>
        <v>7113.11.00</v>
      </c>
      <c r="L902" t="str">
        <f>IFERROR(VLOOKUP(quantInv[[#This Row],[Description for New Invoice]],Map!$G$12:$H$32,2,FALSE), IF(quantInv[[#This Row],[Metal]] = "925 Silver", "7113.11.10.00", "7113.19.29.00"))</f>
        <v>7113.11.10.00</v>
      </c>
      <c r="M902" t="str">
        <f>quantInv[[#This Row],[ASIN]] &amp; " " &amp; quantInv[[#This Row],[Short Description]]</f>
        <v>B08CXPL628 SET: Rose Gold Plated Rolo Chain with Heart Shape Pendant + Stud Heart Earrings with Multicolour Swarovski Crystals</v>
      </c>
      <c r="N902" s="33">
        <f>quantInv[[#This Row],[UNIT
VALUE]] / EURtoGBP</f>
        <v>9.1518959323015103</v>
      </c>
      <c r="O902" s="33">
        <f>quantInv[[#This Row],[UNIT
VALUE]]/USDtoGBP</f>
        <v>11.052348032784863</v>
      </c>
      <c r="P902" s="33">
        <f>quantInv[[#This Row],[UNIT
VALUE]] / CADtoGBP</f>
        <v>14.147640831539105</v>
      </c>
      <c r="Q902" s="33">
        <f>quantInv[[#This Row],[UNIT
VALUE]]/AUDtoGBP</f>
        <v>14.481104964437099</v>
      </c>
      <c r="R902">
        <f>IFERROR(VLOOKUP(quantInv[[#This Row],[Assigned Item SKU]],skuQuantity[#All],2,FALSE),0)</f>
        <v>0</v>
      </c>
      <c r="S902" t="str">
        <f>PROPER(quantInv[[#This Row],[Metal]] &amp; " " &amp; quantInv[[#This Row],[Item Type]])</f>
        <v xml:space="preserve">925 Silver </v>
      </c>
      <c r="T902" s="33">
        <f>quantInv[[#This Row],[Quantity]]*quantInv[[#This Row],[WEIGHT]]</f>
        <v>0</v>
      </c>
      <c r="U902" s="33">
        <f>quantInv[[#This Row],[UNIT
VALUE]]*quantInv[[#This Row],[Quantity]]</f>
        <v>0</v>
      </c>
      <c r="V902" s="33">
        <f>quantInv[[#This Row],[Total Cost GBP]]/EURtoGBP</f>
        <v>0</v>
      </c>
      <c r="W902" s="33">
        <f>quantInv[[#This Row],[Total Cost GBP]]/USDtoGBP</f>
        <v>0</v>
      </c>
      <c r="X902" s="33">
        <f>quantInv[[#This Row],[Total Cost GBP]]/CADtoGBP</f>
        <v>0</v>
      </c>
      <c r="Y902" s="33">
        <f>quantInv[[#This Row],[Quantity]]*quantInv[[#This Row],[UNIT
VALUE AUD]]</f>
        <v>0</v>
      </c>
      <c r="Z902" s="33"/>
    </row>
    <row r="903" spans="1:26" x14ac:dyDescent="0.25">
      <c r="A903" t="s">
        <v>2234</v>
      </c>
      <c r="B903" t="s">
        <v>2235</v>
      </c>
      <c r="C903" t="s">
        <v>114</v>
      </c>
      <c r="D903" t="s">
        <v>2236</v>
      </c>
      <c r="E903">
        <v>14.11</v>
      </c>
      <c r="F903" s="33">
        <v>20.0776</v>
      </c>
      <c r="G903" s="33" t="s">
        <v>117</v>
      </c>
      <c r="H903" t="s">
        <v>2875</v>
      </c>
      <c r="I903" t="str">
        <f>IF(quantInv[[#This Row],[Metal]] = "925 Silver",  "7113.11.00"," 7113.19.00")</f>
        <v>7113.11.00</v>
      </c>
      <c r="J903" t="str">
        <f>IF(quantInv[[#This Row],[Metal]] = "925 Silver", "7113.11.10.00"," 7113.19.10.00")</f>
        <v>7113.11.10.00</v>
      </c>
      <c r="K903" t="str">
        <f>IF(quantInv[[#This Row],[Metal]] = "925 Silver",  "7113.11.00"," 7113.19.00")</f>
        <v>7113.11.00</v>
      </c>
      <c r="L903" t="str">
        <f>IFERROR(VLOOKUP(quantInv[[#This Row],[Description for New Invoice]],Map!$G$12:$H$32,2,FALSE), IF(quantInv[[#This Row],[Metal]] = "925 Silver", "7113.11.10.00", "7113.19.29.00"))</f>
        <v>7113.11.10.00</v>
      </c>
      <c r="M903" t="str">
        <f>quantInv[[#This Row],[ASIN]] &amp; " " &amp; quantInv[[#This Row],[Short Description]]</f>
        <v>B08L5FPM3T Round Byzantine Chain Necklace- Width 4.7 mm-Length 45cm</v>
      </c>
      <c r="N903" s="33">
        <f>quantInv[[#This Row],[UNIT
VALUE]] / EURtoGBP</f>
        <v>22.790462731209526</v>
      </c>
      <c r="O903" s="33">
        <f>quantInv[[#This Row],[UNIT
VALUE]]/USDtoGBP</f>
        <v>27.523053998516758</v>
      </c>
      <c r="P903" s="33">
        <f>quantInv[[#This Row],[UNIT
VALUE]] / CADtoGBP</f>
        <v>35.231091294177929</v>
      </c>
      <c r="Q903" s="33">
        <f>quantInv[[#This Row],[UNIT
VALUE]]/AUDtoGBP</f>
        <v>36.061498670881527</v>
      </c>
      <c r="R903">
        <f>IFERROR(VLOOKUP(quantInv[[#This Row],[Assigned Item SKU]],skuQuantity[#All],2,FALSE),0)</f>
        <v>0</v>
      </c>
      <c r="S903" t="str">
        <f>PROPER(quantInv[[#This Row],[Metal]] &amp; " " &amp; quantInv[[#This Row],[Item Type]])</f>
        <v xml:space="preserve">925 Silver </v>
      </c>
      <c r="T903" s="33">
        <f>quantInv[[#This Row],[Quantity]]*quantInv[[#This Row],[WEIGHT]]</f>
        <v>0</v>
      </c>
      <c r="U903" s="33">
        <f>quantInv[[#This Row],[UNIT
VALUE]]*quantInv[[#This Row],[Quantity]]</f>
        <v>0</v>
      </c>
      <c r="V903" s="33">
        <f>quantInv[[#This Row],[Total Cost GBP]]/EURtoGBP</f>
        <v>0</v>
      </c>
      <c r="W903" s="33">
        <f>quantInv[[#This Row],[Total Cost GBP]]/USDtoGBP</f>
        <v>0</v>
      </c>
      <c r="X903" s="33">
        <f>quantInv[[#This Row],[Total Cost GBP]]/CADtoGBP</f>
        <v>0</v>
      </c>
      <c r="Y903" s="33">
        <f>quantInv[[#This Row],[Quantity]]*quantInv[[#This Row],[UNIT
VALUE AUD]]</f>
        <v>0</v>
      </c>
      <c r="Z903" s="33"/>
    </row>
    <row r="904" spans="1:26" x14ac:dyDescent="0.25">
      <c r="A904" t="s">
        <v>2237</v>
      </c>
      <c r="B904" t="s">
        <v>2238</v>
      </c>
      <c r="C904" t="s">
        <v>114</v>
      </c>
      <c r="D904" t="s">
        <v>2239</v>
      </c>
      <c r="E904">
        <v>18.989999999999998</v>
      </c>
      <c r="F904" s="33">
        <v>26.741199999999999</v>
      </c>
      <c r="G904" s="33" t="s">
        <v>117</v>
      </c>
      <c r="H904" t="s">
        <v>2875</v>
      </c>
      <c r="I904" t="str">
        <f>IF(quantInv[[#This Row],[Metal]] = "925 Silver",  "7113.11.00"," 7113.19.00")</f>
        <v>7113.11.00</v>
      </c>
      <c r="J904" t="str">
        <f>IF(quantInv[[#This Row],[Metal]] = "925 Silver", "7113.11.10.00"," 7113.19.10.00")</f>
        <v>7113.11.10.00</v>
      </c>
      <c r="K904" t="str">
        <f>IF(quantInv[[#This Row],[Metal]] = "925 Silver",  "7113.11.00"," 7113.19.00")</f>
        <v>7113.11.00</v>
      </c>
      <c r="L904" t="str">
        <f>IFERROR(VLOOKUP(quantInv[[#This Row],[Description for New Invoice]],Map!$G$12:$H$32,2,FALSE), IF(quantInv[[#This Row],[Metal]] = "925 Silver", "7113.11.10.00", "7113.19.29.00"))</f>
        <v>7113.11.10.00</v>
      </c>
      <c r="M904" t="str">
        <f>quantInv[[#This Row],[ASIN]] &amp; " " &amp; quantInv[[#This Row],[Short Description]]</f>
        <v>B08L5GM72G Round Byzantine Chain Necklace- Width 4.7 mm-Length 65cm</v>
      </c>
      <c r="N904" s="33">
        <f>quantInv[[#This Row],[UNIT
VALUE]] / EURtoGBP</f>
        <v>30.354440868819985</v>
      </c>
      <c r="O904" s="33">
        <f>quantInv[[#This Row],[UNIT
VALUE]]/USDtoGBP</f>
        <v>36.657742538208566</v>
      </c>
      <c r="P904" s="33">
        <f>quantInv[[#This Row],[UNIT
VALUE]] / CADtoGBP</f>
        <v>46.924017736974079</v>
      </c>
      <c r="Q904" s="33">
        <f>quantInv[[#This Row],[UNIT
VALUE]]/AUDtoGBP</f>
        <v>48.03003089302392</v>
      </c>
      <c r="R904">
        <f>IFERROR(VLOOKUP(quantInv[[#This Row],[Assigned Item SKU]],skuQuantity[#All],2,FALSE),0)</f>
        <v>0</v>
      </c>
      <c r="S904" t="str">
        <f>PROPER(quantInv[[#This Row],[Metal]] &amp; " " &amp; quantInv[[#This Row],[Item Type]])</f>
        <v xml:space="preserve">925 Silver </v>
      </c>
      <c r="T904" s="33">
        <f>quantInv[[#This Row],[Quantity]]*quantInv[[#This Row],[WEIGHT]]</f>
        <v>0</v>
      </c>
      <c r="U904" s="33">
        <f>quantInv[[#This Row],[UNIT
VALUE]]*quantInv[[#This Row],[Quantity]]</f>
        <v>0</v>
      </c>
      <c r="V904" s="33">
        <f>quantInv[[#This Row],[Total Cost GBP]]/EURtoGBP</f>
        <v>0</v>
      </c>
      <c r="W904" s="33">
        <f>quantInv[[#This Row],[Total Cost GBP]]/USDtoGBP</f>
        <v>0</v>
      </c>
      <c r="X904" s="33">
        <f>quantInv[[#This Row],[Total Cost GBP]]/CADtoGBP</f>
        <v>0</v>
      </c>
      <c r="Y904" s="33">
        <f>quantInv[[#This Row],[Quantity]]*quantInv[[#This Row],[UNIT
VALUE AUD]]</f>
        <v>0</v>
      </c>
      <c r="Z904" s="33"/>
    </row>
    <row r="905" spans="1:26" x14ac:dyDescent="0.25">
      <c r="A905" t="s">
        <v>2240</v>
      </c>
      <c r="B905" t="s">
        <v>2241</v>
      </c>
      <c r="C905" t="s">
        <v>114</v>
      </c>
      <c r="D905" t="s">
        <v>2242</v>
      </c>
      <c r="E905">
        <v>1.38</v>
      </c>
      <c r="F905" s="33">
        <v>1.9769000000000001</v>
      </c>
      <c r="G905" s="33" t="s">
        <v>117</v>
      </c>
      <c r="H905" t="s">
        <v>1414</v>
      </c>
      <c r="I905" t="str">
        <f>IF(quantInv[[#This Row],[Metal]] = "925 Silver",  "7113.11.00"," 7113.19.00")</f>
        <v>7113.11.00</v>
      </c>
      <c r="J905" t="str">
        <f>IF(quantInv[[#This Row],[Metal]] = "925 Silver", "7113.11.10.00"," 7113.19.10.00")</f>
        <v>7113.11.10.00</v>
      </c>
      <c r="K905" t="str">
        <f>IF(quantInv[[#This Row],[Metal]] = "925 Silver",  "7113.11.00"," 7113.19.00")</f>
        <v>7113.11.00</v>
      </c>
      <c r="L905" t="str">
        <f>IFERROR(VLOOKUP(quantInv[[#This Row],[Description for New Invoice]],Map!$G$12:$H$32,2,FALSE), IF(quantInv[[#This Row],[Metal]] = "925 Silver", "7113.11.10.00", "7113.19.29.00"))</f>
        <v>7113.11.10.00</v>
      </c>
      <c r="M905" t="str">
        <f>quantInv[[#This Row],[ASIN]] &amp; " " &amp; quantInv[[#This Row],[Short Description]]</f>
        <v>B091V3CDL4 Gold Plated Heart Chain</v>
      </c>
      <c r="N905" s="33">
        <f>quantInv[[#This Row],[UNIT
VALUE]] / EURtoGBP</f>
        <v>2.2440165046284473</v>
      </c>
      <c r="O905" s="33">
        <f>quantInv[[#This Row],[UNIT
VALUE]]/USDtoGBP</f>
        <v>2.7100014667922352</v>
      </c>
      <c r="P905" s="33">
        <f>quantInv[[#This Row],[UNIT
VALUE]] / CADtoGBP</f>
        <v>3.4689576632396473</v>
      </c>
      <c r="Q905" s="33">
        <f>quantInv[[#This Row],[UNIT
VALUE]]/AUDtoGBP</f>
        <v>3.5507220346289246</v>
      </c>
      <c r="R905">
        <f>IFERROR(VLOOKUP(quantInv[[#This Row],[Assigned Item SKU]],skuQuantity[#All],2,FALSE),0)</f>
        <v>40</v>
      </c>
      <c r="S905" t="str">
        <f>PROPER(quantInv[[#This Row],[Metal]] &amp; " " &amp; quantInv[[#This Row],[Item Type]])</f>
        <v>925 Silver Bracelet</v>
      </c>
      <c r="T905" s="33">
        <f>quantInv[[#This Row],[Quantity]]*quantInv[[#This Row],[WEIGHT]]</f>
        <v>55.199999999999996</v>
      </c>
      <c r="U905" s="33">
        <f>quantInv[[#This Row],[UNIT
VALUE]]*quantInv[[#This Row],[Quantity]]</f>
        <v>79.076000000000008</v>
      </c>
      <c r="V905" s="33">
        <f>quantInv[[#This Row],[Total Cost GBP]]/EURtoGBP</f>
        <v>89.760660185137894</v>
      </c>
      <c r="W905" s="33">
        <f>quantInv[[#This Row],[Total Cost GBP]]/USDtoGBP</f>
        <v>108.40005867168941</v>
      </c>
      <c r="X905" s="33">
        <f>quantInv[[#This Row],[Total Cost GBP]]/CADtoGBP</f>
        <v>138.75830652958589</v>
      </c>
      <c r="Y905" s="33">
        <f>quantInv[[#This Row],[Quantity]]*quantInv[[#This Row],[UNIT
VALUE AUD]]</f>
        <v>142.02888138515698</v>
      </c>
      <c r="Z905" s="33"/>
    </row>
    <row r="906" spans="1:26" x14ac:dyDescent="0.25">
      <c r="A906" t="s">
        <v>1999</v>
      </c>
      <c r="B906" t="s">
        <v>2000</v>
      </c>
      <c r="C906" t="s">
        <v>113</v>
      </c>
      <c r="D906" t="s">
        <v>2001</v>
      </c>
      <c r="E906">
        <v>1.79</v>
      </c>
      <c r="F906" s="33">
        <v>2.3353000000000002</v>
      </c>
      <c r="G906" s="33" t="s">
        <v>117</v>
      </c>
      <c r="H906" t="s">
        <v>1414</v>
      </c>
      <c r="I906" t="str">
        <f>IF(quantInv[[#This Row],[Metal]] = "925 Silver",  "7113.11.00"," 7113.19.00")</f>
        <v>7113.11.00</v>
      </c>
      <c r="J906" t="str">
        <f>IF(quantInv[[#This Row],[Metal]] = "925 Silver", "7113.11.10.00"," 7113.19.10.00")</f>
        <v>7113.11.10.00</v>
      </c>
      <c r="K906" t="str">
        <f>IF(quantInv[[#This Row],[Metal]] = "925 Silver",  "7113.11.00"," 7113.19.00")</f>
        <v>7113.11.00</v>
      </c>
      <c r="L906" t="str">
        <f>IFERROR(VLOOKUP(quantInv[[#This Row],[Description for New Invoice]],Map!$G$12:$H$32,2,FALSE), IF(quantInv[[#This Row],[Metal]] = "925 Silver", "7113.11.10.00", "7113.19.29.00"))</f>
        <v>7113.11.10.00</v>
      </c>
      <c r="M906" t="str">
        <f>quantInv[[#This Row],[ASIN]] &amp; " " &amp; quantInv[[#This Row],[Short Description]]</f>
        <v>B08FTMH29W Singapore chain bracelet - rose plated</v>
      </c>
      <c r="N906" s="33">
        <f>quantInv[[#This Row],[UNIT
VALUE]] / EURtoGBP</f>
        <v>2.6508431095446472</v>
      </c>
      <c r="O906" s="33">
        <f>quantInv[[#This Row],[UNIT
VALUE]]/USDtoGBP</f>
        <v>3.2013083238403093</v>
      </c>
      <c r="P906" s="33">
        <f>quantInv[[#This Row],[UNIT
VALUE]] / CADtoGBP</f>
        <v>4.0978586832735839</v>
      </c>
      <c r="Q906" s="33">
        <f>quantInv[[#This Row],[UNIT
VALUE]]/AUDtoGBP</f>
        <v>4.194446440117825</v>
      </c>
      <c r="R906">
        <f>IFERROR(VLOOKUP(quantInv[[#This Row],[Assigned Item SKU]],skuQuantity[#All],2,FALSE),0)</f>
        <v>5</v>
      </c>
      <c r="S906" t="str">
        <f>PROPER(quantInv[[#This Row],[Metal]] &amp; " " &amp; quantInv[[#This Row],[Item Type]])</f>
        <v>925 Silver Bracelet</v>
      </c>
      <c r="T906" s="33">
        <f>quantInv[[#This Row],[Quantity]]*quantInv[[#This Row],[WEIGHT]]</f>
        <v>8.9499999999999993</v>
      </c>
      <c r="U906" s="33">
        <f>quantInv[[#This Row],[UNIT
VALUE]]*quantInv[[#This Row],[Quantity]]</f>
        <v>11.676500000000001</v>
      </c>
      <c r="V906" s="33">
        <f>quantInv[[#This Row],[Total Cost GBP]]/EURtoGBP</f>
        <v>13.254215547723236</v>
      </c>
      <c r="W906" s="33">
        <f>quantInv[[#This Row],[Total Cost GBP]]/USDtoGBP</f>
        <v>16.006541619201546</v>
      </c>
      <c r="X906" s="33">
        <f>quantInv[[#This Row],[Total Cost GBP]]/CADtoGBP</f>
        <v>20.489293416367921</v>
      </c>
      <c r="Y906" s="33">
        <f>quantInv[[#This Row],[Quantity]]*quantInv[[#This Row],[UNIT
VALUE AUD]]</f>
        <v>20.972232200589126</v>
      </c>
      <c r="Z906" s="33"/>
    </row>
    <row r="907" spans="1:26" x14ac:dyDescent="0.25">
      <c r="A907" t="s">
        <v>2048</v>
      </c>
      <c r="B907" t="s">
        <v>2049</v>
      </c>
      <c r="C907" t="s">
        <v>114</v>
      </c>
      <c r="D907" t="s">
        <v>2050</v>
      </c>
      <c r="E907">
        <v>3.53</v>
      </c>
      <c r="F907" s="33">
        <v>4.6818999999999997</v>
      </c>
      <c r="G907" s="33" t="s">
        <v>117</v>
      </c>
      <c r="H907" t="s">
        <v>1310</v>
      </c>
      <c r="I907" t="str">
        <f>IF(quantInv[[#This Row],[Metal]] = "925 Silver",  "7113.11.00"," 7113.19.00")</f>
        <v>7113.11.00</v>
      </c>
      <c r="J907" t="str">
        <f>IF(quantInv[[#This Row],[Metal]] = "925 Silver", "7113.11.10.00"," 7113.19.10.00")</f>
        <v>7113.11.10.00</v>
      </c>
      <c r="K907" t="str">
        <f>IF(quantInv[[#This Row],[Metal]] = "925 Silver",  "7113.11.00"," 7113.19.00")</f>
        <v>7113.11.00</v>
      </c>
      <c r="L907" t="str">
        <f>IFERROR(VLOOKUP(quantInv[[#This Row],[Description for New Invoice]],Map!$G$12:$H$32,2,FALSE), IF(quantInv[[#This Row],[Metal]] = "925 Silver", "7113.11.10.00", "7113.19.29.00"))</f>
        <v>7113.11.50.00</v>
      </c>
      <c r="M907" t="str">
        <f>quantInv[[#This Row],[ASIN]] &amp; " " &amp; quantInv[[#This Row],[Short Description]]</f>
        <v>B08P3HWL2P Flat Mayan Hoops with post notch</v>
      </c>
      <c r="N907" s="33">
        <f>quantInv[[#This Row],[UNIT
VALUE]] / EURtoGBP</f>
        <v>5.3145130623804571</v>
      </c>
      <c r="O907" s="33">
        <f>quantInv[[#This Row],[UNIT
VALUE]]/USDtoGBP</f>
        <v>6.4181070703498229</v>
      </c>
      <c r="P907" s="33">
        <f>quantInv[[#This Row],[UNIT
VALUE]] / CADtoGBP</f>
        <v>8.2155459980381931</v>
      </c>
      <c r="Q907" s="33">
        <f>quantInv[[#This Row],[UNIT
VALUE]]/AUDtoGBP</f>
        <v>8.4091888785113866</v>
      </c>
      <c r="R907">
        <f>IFERROR(VLOOKUP(quantInv[[#This Row],[Assigned Item SKU]],skuQuantity[#All],2,FALSE),0)</f>
        <v>5</v>
      </c>
      <c r="S907" t="str">
        <f>PROPER(quantInv[[#This Row],[Metal]] &amp; " " &amp; quantInv[[#This Row],[Item Type]])</f>
        <v>925 Silver Earrings</v>
      </c>
      <c r="T907" s="33">
        <f>quantInv[[#This Row],[Quantity]]*quantInv[[#This Row],[WEIGHT]]</f>
        <v>17.649999999999999</v>
      </c>
      <c r="U907" s="33">
        <f>quantInv[[#This Row],[UNIT
VALUE]]*quantInv[[#This Row],[Quantity]]</f>
        <v>23.409499999999998</v>
      </c>
      <c r="V907" s="33">
        <f>quantInv[[#This Row],[Total Cost GBP]]/EURtoGBP</f>
        <v>26.572565311902288</v>
      </c>
      <c r="W907" s="33">
        <f>quantInv[[#This Row],[Total Cost GBP]]/USDtoGBP</f>
        <v>32.090535351749111</v>
      </c>
      <c r="X907" s="33">
        <f>quantInv[[#This Row],[Total Cost GBP]]/CADtoGBP</f>
        <v>41.07772999019096</v>
      </c>
      <c r="Y907" s="33">
        <f>quantInv[[#This Row],[Quantity]]*quantInv[[#This Row],[UNIT
VALUE AUD]]</f>
        <v>42.045944392556933</v>
      </c>
      <c r="Z907" s="33"/>
    </row>
    <row r="908" spans="1:26" x14ac:dyDescent="0.25">
      <c r="A908" t="s">
        <v>2054</v>
      </c>
      <c r="B908" t="s">
        <v>2055</v>
      </c>
      <c r="C908" t="s">
        <v>114</v>
      </c>
      <c r="D908" t="s">
        <v>2056</v>
      </c>
      <c r="E908">
        <v>2.5499999999999998</v>
      </c>
      <c r="F908" s="33">
        <v>4.6033999999999997</v>
      </c>
      <c r="G908" s="33" t="s">
        <v>117</v>
      </c>
      <c r="H908" t="s">
        <v>1310</v>
      </c>
      <c r="I908" t="str">
        <f>IF(quantInv[[#This Row],[Metal]] = "925 Silver",  "7113.11.00"," 7113.19.00")</f>
        <v>7113.11.00</v>
      </c>
      <c r="J908" t="str">
        <f>IF(quantInv[[#This Row],[Metal]] = "925 Silver", "7113.11.10.00"," 7113.19.10.00")</f>
        <v>7113.11.10.00</v>
      </c>
      <c r="K908" t="str">
        <f>IF(quantInv[[#This Row],[Metal]] = "925 Silver",  "7113.11.00"," 7113.19.00")</f>
        <v>7113.11.00</v>
      </c>
      <c r="L908" t="str">
        <f>IFERROR(VLOOKUP(quantInv[[#This Row],[Description for New Invoice]],Map!$G$12:$H$32,2,FALSE), IF(quantInv[[#This Row],[Metal]] = "925 Silver", "7113.11.10.00", "7113.19.29.00"))</f>
        <v>7113.11.50.00</v>
      </c>
      <c r="M908" t="str">
        <f>quantInv[[#This Row],[ASIN]] &amp; " " &amp; quantInv[[#This Row],[Short Description]]</f>
        <v>B08P3J83NZ Spiral Open Hoops with butterfly back</v>
      </c>
      <c r="N908" s="33">
        <f>quantInv[[#This Row],[UNIT
VALUE]] / EURtoGBP</f>
        <v>5.225406230667506</v>
      </c>
      <c r="O908" s="33">
        <f>quantInv[[#This Row],[UNIT
VALUE]]/USDtoGBP</f>
        <v>6.3104966119841031</v>
      </c>
      <c r="P908" s="33">
        <f>quantInv[[#This Row],[UNIT
VALUE]] / CADtoGBP</f>
        <v>8.0777984252908048</v>
      </c>
      <c r="Q908" s="33">
        <f>quantInv[[#This Row],[UNIT
VALUE]]/AUDtoGBP</f>
        <v>8.2681945542064792</v>
      </c>
      <c r="R908">
        <f>IFERROR(VLOOKUP(quantInv[[#This Row],[Assigned Item SKU]],skuQuantity[#All],2,FALSE),0)</f>
        <v>5</v>
      </c>
      <c r="S908" t="str">
        <f>PROPER(quantInv[[#This Row],[Metal]] &amp; " " &amp; quantInv[[#This Row],[Item Type]])</f>
        <v>925 Silver Earrings</v>
      </c>
      <c r="T908" s="33">
        <f>quantInv[[#This Row],[Quantity]]*quantInv[[#This Row],[WEIGHT]]</f>
        <v>12.75</v>
      </c>
      <c r="U908" s="33">
        <f>quantInv[[#This Row],[UNIT
VALUE]]*quantInv[[#This Row],[Quantity]]</f>
        <v>23.016999999999999</v>
      </c>
      <c r="V908" s="33">
        <f>quantInv[[#This Row],[Total Cost GBP]]/EURtoGBP</f>
        <v>26.127031153337533</v>
      </c>
      <c r="W908" s="33">
        <f>quantInv[[#This Row],[Total Cost GBP]]/USDtoGBP</f>
        <v>31.552483059920519</v>
      </c>
      <c r="X908" s="33">
        <f>quantInv[[#This Row],[Total Cost GBP]]/CADtoGBP</f>
        <v>40.388992126454021</v>
      </c>
      <c r="Y908" s="33">
        <f>quantInv[[#This Row],[Quantity]]*quantInv[[#This Row],[UNIT
VALUE AUD]]</f>
        <v>41.340972771032398</v>
      </c>
      <c r="Z908" s="33"/>
    </row>
    <row r="909" spans="1:26" x14ac:dyDescent="0.25">
      <c r="A909" t="s">
        <v>2078</v>
      </c>
      <c r="B909" t="s">
        <v>2079</v>
      </c>
      <c r="C909" t="s">
        <v>115</v>
      </c>
      <c r="D909" t="s">
        <v>2080</v>
      </c>
      <c r="E909">
        <v>6.18</v>
      </c>
      <c r="F909" s="33">
        <v>8.0244999999999997</v>
      </c>
      <c r="G909" s="33" t="s">
        <v>117</v>
      </c>
      <c r="H909" t="s">
        <v>1451</v>
      </c>
      <c r="I909" t="str">
        <f>IF(quantInv[[#This Row],[Metal]] = "925 Silver",  "7113.11.00"," 7113.19.00")</f>
        <v>7113.11.00</v>
      </c>
      <c r="J909" t="str">
        <f>IF(quantInv[[#This Row],[Metal]] = "925 Silver", "7113.11.10.00"," 7113.19.10.00")</f>
        <v>7113.11.10.00</v>
      </c>
      <c r="K909" t="str">
        <f>IF(quantInv[[#This Row],[Metal]] = "925 Silver",  "7113.11.00"," 7113.19.00")</f>
        <v>7113.11.00</v>
      </c>
      <c r="L909" t="str">
        <f>IFERROR(VLOOKUP(quantInv[[#This Row],[Description for New Invoice]],Map!$G$12:$H$32,2,FALSE), IF(quantInv[[#This Row],[Metal]] = "925 Silver", "7113.11.10.00", "7113.19.29.00"))</f>
        <v>7113.11.50.00</v>
      </c>
      <c r="M909" t="str">
        <f>quantInv[[#This Row],[ASIN]] &amp; " " &amp; quantInv[[#This Row],[Short Description]]</f>
        <v>B08MFNMZNP Engraved Medium Celtic Cross Pendant</v>
      </c>
      <c r="N909" s="33">
        <f>quantInv[[#This Row],[UNIT
VALUE]] / EURtoGBP</f>
        <v>9.10876141503919</v>
      </c>
      <c r="O909" s="33">
        <f>quantInv[[#This Row],[UNIT
VALUE]]/USDtoGBP</f>
        <v>11.000256345932668</v>
      </c>
      <c r="P909" s="33">
        <f>quantInv[[#This Row],[UNIT
VALUE]] / CADtoGBP</f>
        <v>14.08096047785247</v>
      </c>
      <c r="Q909" s="33">
        <f>quantInv[[#This Row],[UNIT
VALUE]]/AUDtoGBP</f>
        <v>14.412852934837272</v>
      </c>
      <c r="R909">
        <f>IFERROR(VLOOKUP(quantInv[[#This Row],[Assigned Item SKU]],skuQuantity[#All],2,FALSE),0)</f>
        <v>0</v>
      </c>
      <c r="S909" t="str">
        <f>PROPER(quantInv[[#This Row],[Metal]] &amp; " " &amp; quantInv[[#This Row],[Item Type]])</f>
        <v>925 Silver Pendant</v>
      </c>
      <c r="T909" s="33">
        <f>quantInv[[#This Row],[Quantity]]*quantInv[[#This Row],[WEIGHT]]</f>
        <v>0</v>
      </c>
      <c r="U909" s="33">
        <f>quantInv[[#This Row],[UNIT
VALUE]]*quantInv[[#This Row],[Quantity]]</f>
        <v>0</v>
      </c>
      <c r="V909" s="33">
        <f>quantInv[[#This Row],[Total Cost GBP]]/EURtoGBP</f>
        <v>0</v>
      </c>
      <c r="W909" s="33">
        <f>quantInv[[#This Row],[Total Cost GBP]]/USDtoGBP</f>
        <v>0</v>
      </c>
      <c r="X909" s="33">
        <f>quantInv[[#This Row],[Total Cost GBP]]/CADtoGBP</f>
        <v>0</v>
      </c>
      <c r="Y909" s="33">
        <f>quantInv[[#This Row],[Quantity]]*quantInv[[#This Row],[UNIT
VALUE AUD]]</f>
        <v>0</v>
      </c>
      <c r="Z909" s="33"/>
    </row>
    <row r="910" spans="1:26" x14ac:dyDescent="0.25">
      <c r="A910" t="s">
        <v>2255</v>
      </c>
      <c r="B910" t="s">
        <v>2256</v>
      </c>
      <c r="C910" t="s">
        <v>115</v>
      </c>
      <c r="D910" t="s">
        <v>2257</v>
      </c>
      <c r="E910">
        <v>1.3</v>
      </c>
      <c r="F910" s="33">
        <v>2.4918</v>
      </c>
      <c r="G910" s="33" t="s">
        <v>117</v>
      </c>
      <c r="H910" t="s">
        <v>2875</v>
      </c>
      <c r="I910" t="str">
        <f>IF(quantInv[[#This Row],[Metal]] = "925 Silver",  "7113.11.00"," 7113.19.00")</f>
        <v>7113.11.00</v>
      </c>
      <c r="J910" t="str">
        <f>IF(quantInv[[#This Row],[Metal]] = "925 Silver", "7113.11.10.00"," 7113.19.10.00")</f>
        <v>7113.11.10.00</v>
      </c>
      <c r="K910" t="str">
        <f>IF(quantInv[[#This Row],[Metal]] = "925 Silver",  "7113.11.00"," 7113.19.00")</f>
        <v>7113.11.00</v>
      </c>
      <c r="L910" t="str">
        <f>IFERROR(VLOOKUP(quantInv[[#This Row],[Description for New Invoice]],Map!$G$12:$H$32,2,FALSE), IF(quantInv[[#This Row],[Metal]] = "925 Silver", "7113.11.10.00", "7113.19.29.00"))</f>
        <v>7113.11.10.00</v>
      </c>
      <c r="M910" t="str">
        <f>quantInv[[#This Row],[ASIN]] &amp; " " &amp; quantInv[[#This Row],[Short Description]]</f>
        <v>B08ZSVZLK9 Yellow Gold Plated Pearl Studs (white) - 6 to 7 mm</v>
      </c>
      <c r="N910" s="33">
        <f>quantInv[[#This Row],[UNIT
VALUE]] / EURtoGBP</f>
        <v>2.8284892135328872</v>
      </c>
      <c r="O910" s="33">
        <f>quantInv[[#This Row],[UNIT
VALUE]]/USDtoGBP</f>
        <v>3.4158438236394817</v>
      </c>
      <c r="P910" s="33">
        <f>quantInv[[#This Row],[UNIT
VALUE]] / CADtoGBP</f>
        <v>4.3724764556935369</v>
      </c>
      <c r="Q910" s="33">
        <f>quantInv[[#This Row],[UNIT
VALUE]]/AUDtoGBP</f>
        <v>4.475537035706588</v>
      </c>
      <c r="R910">
        <f>IFERROR(VLOOKUP(quantInv[[#This Row],[Assigned Item SKU]],skuQuantity[#All],2,FALSE),0)</f>
        <v>0</v>
      </c>
      <c r="S910" t="str">
        <f>PROPER(quantInv[[#This Row],[Metal]] &amp; " " &amp; quantInv[[#This Row],[Item Type]])</f>
        <v xml:space="preserve">925 Silver </v>
      </c>
      <c r="T910" s="33">
        <f>quantInv[[#This Row],[Quantity]]*quantInv[[#This Row],[WEIGHT]]</f>
        <v>0</v>
      </c>
      <c r="U910" s="33">
        <f>quantInv[[#This Row],[UNIT
VALUE]]*quantInv[[#This Row],[Quantity]]</f>
        <v>0</v>
      </c>
      <c r="V910" s="33">
        <f>quantInv[[#This Row],[Total Cost GBP]]/EURtoGBP</f>
        <v>0</v>
      </c>
      <c r="W910" s="33">
        <f>quantInv[[#This Row],[Total Cost GBP]]/USDtoGBP</f>
        <v>0</v>
      </c>
      <c r="X910" s="33">
        <f>quantInv[[#This Row],[Total Cost GBP]]/CADtoGBP</f>
        <v>0</v>
      </c>
      <c r="Y910" s="33">
        <f>quantInv[[#This Row],[Quantity]]*quantInv[[#This Row],[UNIT
VALUE AUD]]</f>
        <v>0</v>
      </c>
      <c r="Z910" s="33"/>
    </row>
    <row r="911" spans="1:26" x14ac:dyDescent="0.25">
      <c r="A911" t="s">
        <v>2081</v>
      </c>
      <c r="B911" t="s">
        <v>2082</v>
      </c>
      <c r="C911" t="s">
        <v>115</v>
      </c>
      <c r="D911" t="s">
        <v>2083</v>
      </c>
      <c r="E911">
        <v>2.4300000000000002</v>
      </c>
      <c r="F911" s="33">
        <v>3.3597999999999999</v>
      </c>
      <c r="G911" s="33" t="s">
        <v>117</v>
      </c>
      <c r="H911" t="s">
        <v>1451</v>
      </c>
      <c r="I911" t="str">
        <f>IF(quantInv[[#This Row],[Metal]] = "925 Silver",  "7113.11.00"," 7113.19.00")</f>
        <v>7113.11.00</v>
      </c>
      <c r="J911" t="str">
        <f>IF(quantInv[[#This Row],[Metal]] = "925 Silver", "7113.11.10.00"," 7113.19.10.00")</f>
        <v>7113.11.10.00</v>
      </c>
      <c r="K911" t="str">
        <f>IF(quantInv[[#This Row],[Metal]] = "925 Silver",  "7113.11.00"," 7113.19.00")</f>
        <v>7113.11.00</v>
      </c>
      <c r="L911" t="str">
        <f>IFERROR(VLOOKUP(quantInv[[#This Row],[Description for New Invoice]],Map!$G$12:$H$32,2,FALSE), IF(quantInv[[#This Row],[Metal]] = "925 Silver", "7113.11.10.00", "7113.19.29.00"))</f>
        <v>7113.11.50.00</v>
      </c>
      <c r="M911" t="str">
        <f>quantInv[[#This Row],[ASIN]] &amp; " " &amp; quantInv[[#This Row],[Short Description]]</f>
        <v>B08MFQCP6F Engraved Small Celtic Cross Pendant</v>
      </c>
      <c r="N911" s="33">
        <f>quantInv[[#This Row],[UNIT
VALUE]] / EURtoGBP</f>
        <v>3.8137723973143087</v>
      </c>
      <c r="O911" s="33">
        <f>quantInv[[#This Row],[UNIT
VALUE]]/USDtoGBP</f>
        <v>4.6057276180527849</v>
      </c>
      <c r="P911" s="33">
        <f>quantInv[[#This Row],[UNIT
VALUE]] / CADtoGBP</f>
        <v>5.8955961135882271</v>
      </c>
      <c r="Q911" s="33">
        <f>quantInv[[#This Row],[UNIT
VALUE]]/AUDtoGBP</f>
        <v>6.0345570802500177</v>
      </c>
      <c r="R911">
        <f>IFERROR(VLOOKUP(quantInv[[#This Row],[Assigned Item SKU]],skuQuantity[#All],2,FALSE),0)</f>
        <v>0</v>
      </c>
      <c r="S911" t="str">
        <f>PROPER(quantInv[[#This Row],[Metal]] &amp; " " &amp; quantInv[[#This Row],[Item Type]])</f>
        <v>925 Silver Pendant</v>
      </c>
      <c r="T911" s="33">
        <f>quantInv[[#This Row],[Quantity]]*quantInv[[#This Row],[WEIGHT]]</f>
        <v>0</v>
      </c>
      <c r="U911" s="33">
        <f>quantInv[[#This Row],[UNIT
VALUE]]*quantInv[[#This Row],[Quantity]]</f>
        <v>0</v>
      </c>
      <c r="V911" s="33">
        <f>quantInv[[#This Row],[Total Cost GBP]]/EURtoGBP</f>
        <v>0</v>
      </c>
      <c r="W911" s="33">
        <f>quantInv[[#This Row],[Total Cost GBP]]/USDtoGBP</f>
        <v>0</v>
      </c>
      <c r="X911" s="33">
        <f>quantInv[[#This Row],[Total Cost GBP]]/CADtoGBP</f>
        <v>0</v>
      </c>
      <c r="Y911" s="33">
        <f>quantInv[[#This Row],[Quantity]]*quantInv[[#This Row],[UNIT
VALUE AUD]]</f>
        <v>0</v>
      </c>
      <c r="Z911" s="33"/>
    </row>
    <row r="912" spans="1:26" x14ac:dyDescent="0.25">
      <c r="A912" t="s">
        <v>2261</v>
      </c>
      <c r="B912" t="s">
        <v>2262</v>
      </c>
      <c r="C912" t="s">
        <v>115</v>
      </c>
      <c r="D912" t="s">
        <v>2263</v>
      </c>
      <c r="E912">
        <v>3.13</v>
      </c>
      <c r="F912" s="33">
        <v>3.3031000000000001</v>
      </c>
      <c r="G912" s="33" t="s">
        <v>117</v>
      </c>
      <c r="H912" t="s">
        <v>2875</v>
      </c>
      <c r="I912" t="str">
        <f>IF(quantInv[[#This Row],[Metal]] = "925 Silver",  "7113.11.00"," 7113.19.00")</f>
        <v>7113.11.00</v>
      </c>
      <c r="J912" t="str">
        <f>IF(quantInv[[#This Row],[Metal]] = "925 Silver", "7113.11.10.00"," 7113.19.10.00")</f>
        <v>7113.11.10.00</v>
      </c>
      <c r="K912" t="str">
        <f>IF(quantInv[[#This Row],[Metal]] = "925 Silver",  "7113.11.00"," 7113.19.00")</f>
        <v>7113.11.00</v>
      </c>
      <c r="L912" t="str">
        <f>IFERROR(VLOOKUP(quantInv[[#This Row],[Description for New Invoice]],Map!$G$12:$H$32,2,FALSE), IF(quantInv[[#This Row],[Metal]] = "925 Silver", "7113.11.10.00", "7113.19.29.00"))</f>
        <v>7113.11.10.00</v>
      </c>
      <c r="M912" t="str">
        <f>quantInv[[#This Row],[ASIN]] &amp; " " &amp; quantInv[[#This Row],[Short Description]]</f>
        <v>B08ZSTH9H3 Yellow Gold Plated Pearl Studs (white) - 9 to 10 mm</v>
      </c>
      <c r="N912" s="33">
        <f>quantInv[[#This Row],[UNIT
VALUE]] / EURtoGBP</f>
        <v>3.7494111570834256</v>
      </c>
      <c r="O912" s="33">
        <f>quantInv[[#This Row],[UNIT
VALUE]]/USDtoGBP</f>
        <v>4.5280013379338522</v>
      </c>
      <c r="P912" s="33">
        <f>quantInv[[#This Row],[UNIT
VALUE]] / CADtoGBP</f>
        <v>5.7961020069031717</v>
      </c>
      <c r="Q912" s="33">
        <f>quantInv[[#This Row],[UNIT
VALUE]]/AUDtoGBP</f>
        <v>5.9327178676629071</v>
      </c>
      <c r="R912">
        <f>IFERROR(VLOOKUP(quantInv[[#This Row],[Assigned Item SKU]],skuQuantity[#All],2,FALSE),0)</f>
        <v>0</v>
      </c>
      <c r="S912" t="str">
        <f>PROPER(quantInv[[#This Row],[Metal]] &amp; " " &amp; quantInv[[#This Row],[Item Type]])</f>
        <v xml:space="preserve">925 Silver </v>
      </c>
      <c r="T912" s="33">
        <f>quantInv[[#This Row],[Quantity]]*quantInv[[#This Row],[WEIGHT]]</f>
        <v>0</v>
      </c>
      <c r="U912" s="33">
        <f>quantInv[[#This Row],[UNIT
VALUE]]*quantInv[[#This Row],[Quantity]]</f>
        <v>0</v>
      </c>
      <c r="V912" s="33">
        <f>quantInv[[#This Row],[Total Cost GBP]]/EURtoGBP</f>
        <v>0</v>
      </c>
      <c r="W912" s="33">
        <f>quantInv[[#This Row],[Total Cost GBP]]/USDtoGBP</f>
        <v>0</v>
      </c>
      <c r="X912" s="33">
        <f>quantInv[[#This Row],[Total Cost GBP]]/CADtoGBP</f>
        <v>0</v>
      </c>
      <c r="Y912" s="33">
        <f>quantInv[[#This Row],[Quantity]]*quantInv[[#This Row],[UNIT
VALUE AUD]]</f>
        <v>0</v>
      </c>
      <c r="Z912" s="33"/>
    </row>
    <row r="913" spans="1:26" x14ac:dyDescent="0.25">
      <c r="A913" t="s">
        <v>2264</v>
      </c>
      <c r="B913" t="s">
        <v>2265</v>
      </c>
      <c r="C913" t="s">
        <v>115</v>
      </c>
      <c r="D913" t="s">
        <v>2266</v>
      </c>
      <c r="E913">
        <v>1.37</v>
      </c>
      <c r="F913" s="33">
        <v>1.9806999999999999</v>
      </c>
      <c r="G913" s="33" t="s">
        <v>117</v>
      </c>
      <c r="H913" t="s">
        <v>2875</v>
      </c>
      <c r="I913" t="str">
        <f>IF(quantInv[[#This Row],[Metal]] = "925 Silver",  "7113.11.00"," 7113.19.00")</f>
        <v>7113.11.00</v>
      </c>
      <c r="J913" t="str">
        <f>IF(quantInv[[#This Row],[Metal]] = "925 Silver", "7113.11.10.00"," 7113.19.10.00")</f>
        <v>7113.11.10.00</v>
      </c>
      <c r="K913" t="str">
        <f>IF(quantInv[[#This Row],[Metal]] = "925 Silver",  "7113.11.00"," 7113.19.00")</f>
        <v>7113.11.00</v>
      </c>
      <c r="L913" t="str">
        <f>IFERROR(VLOOKUP(quantInv[[#This Row],[Description for New Invoice]],Map!$G$12:$H$32,2,FALSE), IF(quantInv[[#This Row],[Metal]] = "925 Silver", "7113.11.10.00", "7113.19.29.00"))</f>
        <v>7113.11.10.00</v>
      </c>
      <c r="M913" t="str">
        <f>quantInv[[#This Row],[ASIN]] &amp; " " &amp; quantInv[[#This Row],[Short Description]]</f>
        <v>B08ZSWSCXX Silver Pearl Studs (black) - 6 to 7 mm</v>
      </c>
      <c r="N913" s="33">
        <f>quantInv[[#This Row],[UNIT
VALUE]] / EURtoGBP</f>
        <v>2.248329956354679</v>
      </c>
      <c r="O913" s="33">
        <f>quantInv[[#This Row],[UNIT
VALUE]]/USDtoGBP</f>
        <v>2.7152106354774546</v>
      </c>
      <c r="P913" s="33">
        <f>quantInv[[#This Row],[UNIT
VALUE]] / CADtoGBP</f>
        <v>3.4756256986083103</v>
      </c>
      <c r="Q913" s="33">
        <f>quantInv[[#This Row],[UNIT
VALUE]]/AUDtoGBP</f>
        <v>3.5575472375889068</v>
      </c>
      <c r="R913">
        <f>IFERROR(VLOOKUP(quantInv[[#This Row],[Assigned Item SKU]],skuQuantity[#All],2,FALSE),0)</f>
        <v>0</v>
      </c>
      <c r="S913" t="str">
        <f>PROPER(quantInv[[#This Row],[Metal]] &amp; " " &amp; quantInv[[#This Row],[Item Type]])</f>
        <v xml:space="preserve">925 Silver </v>
      </c>
      <c r="T913" s="33">
        <f>quantInv[[#This Row],[Quantity]]*quantInv[[#This Row],[WEIGHT]]</f>
        <v>0</v>
      </c>
      <c r="U913" s="33">
        <f>quantInv[[#This Row],[UNIT
VALUE]]*quantInv[[#This Row],[Quantity]]</f>
        <v>0</v>
      </c>
      <c r="V913" s="33">
        <f>quantInv[[#This Row],[Total Cost GBP]]/EURtoGBP</f>
        <v>0</v>
      </c>
      <c r="W913" s="33">
        <f>quantInv[[#This Row],[Total Cost GBP]]/USDtoGBP</f>
        <v>0</v>
      </c>
      <c r="X913" s="33">
        <f>quantInv[[#This Row],[Total Cost GBP]]/CADtoGBP</f>
        <v>0</v>
      </c>
      <c r="Y913" s="33">
        <f>quantInv[[#This Row],[Quantity]]*quantInv[[#This Row],[UNIT
VALUE AUD]]</f>
        <v>0</v>
      </c>
      <c r="Z913" s="33"/>
    </row>
    <row r="914" spans="1:26" x14ac:dyDescent="0.25">
      <c r="A914" t="s">
        <v>2267</v>
      </c>
      <c r="B914" t="s">
        <v>2268</v>
      </c>
      <c r="C914" t="s">
        <v>115</v>
      </c>
      <c r="D914" t="s">
        <v>2269</v>
      </c>
      <c r="E914">
        <v>1.7</v>
      </c>
      <c r="F914" s="33">
        <v>2.0619000000000001</v>
      </c>
      <c r="G914" s="33" t="s">
        <v>117</v>
      </c>
      <c r="H914" t="s">
        <v>1310</v>
      </c>
      <c r="I914" t="str">
        <f>IF(quantInv[[#This Row],[Metal]] = "925 Silver",  "7113.11.00"," 7113.19.00")</f>
        <v>7113.11.00</v>
      </c>
      <c r="J914" t="str">
        <f>IF(quantInv[[#This Row],[Metal]] = "925 Silver", "7113.11.10.00"," 7113.19.10.00")</f>
        <v>7113.11.10.00</v>
      </c>
      <c r="K914" t="str">
        <f>IF(quantInv[[#This Row],[Metal]] = "925 Silver",  "7113.11.00"," 7113.19.00")</f>
        <v>7113.11.00</v>
      </c>
      <c r="L914" t="str">
        <f>IFERROR(VLOOKUP(quantInv[[#This Row],[Description for New Invoice]],Map!$G$12:$H$32,2,FALSE), IF(quantInv[[#This Row],[Metal]] = "925 Silver", "7113.11.10.00", "7113.19.29.00"))</f>
        <v>7113.11.50.00</v>
      </c>
      <c r="M914" t="str">
        <f>quantInv[[#This Row],[ASIN]] &amp; " " &amp; quantInv[[#This Row],[Short Description]]</f>
        <v>B08ZST4DBL Silver Pearl Studs (black) - 7 to 8 mm</v>
      </c>
      <c r="N914" s="33">
        <f>quantInv[[#This Row],[UNIT
VALUE]] / EURtoGBP</f>
        <v>2.3405016090310058</v>
      </c>
      <c r="O914" s="33">
        <f>quantInv[[#This Row],[UNIT
VALUE]]/USDtoGBP</f>
        <v>2.8265223452774091</v>
      </c>
      <c r="P914" s="33">
        <f>quantInv[[#This Row],[UNIT
VALUE]] / CADtoGBP</f>
        <v>3.6181110859597494</v>
      </c>
      <c r="Q914" s="33">
        <f>quantInv[[#This Row],[UNIT
VALUE]]/AUDtoGBP</f>
        <v>3.7033910482074859</v>
      </c>
      <c r="R914">
        <f>IFERROR(VLOOKUP(quantInv[[#This Row],[Assigned Item SKU]],skuQuantity[#All],2,FALSE),0)</f>
        <v>0</v>
      </c>
      <c r="S914" t="str">
        <f>PROPER(quantInv[[#This Row],[Metal]] &amp; " " &amp; quantInv[[#This Row],[Item Type]])</f>
        <v>925 Silver Earrings</v>
      </c>
      <c r="T914" s="33">
        <f>quantInv[[#This Row],[Quantity]]*quantInv[[#This Row],[WEIGHT]]</f>
        <v>0</v>
      </c>
      <c r="U914" s="33">
        <f>quantInv[[#This Row],[UNIT
VALUE]]*quantInv[[#This Row],[Quantity]]</f>
        <v>0</v>
      </c>
      <c r="V914" s="33">
        <f>quantInv[[#This Row],[Total Cost GBP]]/EURtoGBP</f>
        <v>0</v>
      </c>
      <c r="W914" s="33">
        <f>quantInv[[#This Row],[Total Cost GBP]]/USDtoGBP</f>
        <v>0</v>
      </c>
      <c r="X914" s="33">
        <f>quantInv[[#This Row],[Total Cost GBP]]/CADtoGBP</f>
        <v>0</v>
      </c>
      <c r="Y914" s="33">
        <f>quantInv[[#This Row],[Quantity]]*quantInv[[#This Row],[UNIT
VALUE AUD]]</f>
        <v>0</v>
      </c>
      <c r="Z914" s="33"/>
    </row>
    <row r="915" spans="1:26" x14ac:dyDescent="0.25">
      <c r="A915" t="s">
        <v>2095</v>
      </c>
      <c r="B915" t="s">
        <v>2096</v>
      </c>
      <c r="C915" t="s">
        <v>115</v>
      </c>
      <c r="D915" t="s">
        <v>2097</v>
      </c>
      <c r="E915">
        <v>1.35</v>
      </c>
      <c r="F915" s="33">
        <v>3.9683000000000002</v>
      </c>
      <c r="G915" s="33" t="s">
        <v>117</v>
      </c>
      <c r="H915" t="s">
        <v>1310</v>
      </c>
      <c r="I915" t="str">
        <f>IF(quantInv[[#This Row],[Metal]] = "925 Silver",  "7113.11.00"," 7113.19.00")</f>
        <v>7113.11.00</v>
      </c>
      <c r="J915" t="str">
        <f>IF(quantInv[[#This Row],[Metal]] = "925 Silver", "7113.11.10.00"," 7113.19.10.00")</f>
        <v>7113.11.10.00</v>
      </c>
      <c r="K915" t="str">
        <f>IF(quantInv[[#This Row],[Metal]] = "925 Silver",  "7113.11.00"," 7113.19.00")</f>
        <v>7113.11.00</v>
      </c>
      <c r="L915" t="str">
        <f>IFERROR(VLOOKUP(quantInv[[#This Row],[Description for New Invoice]],Map!$G$12:$H$32,2,FALSE), IF(quantInv[[#This Row],[Metal]] = "925 Silver", "7113.11.10.00", "7113.19.29.00"))</f>
        <v>7113.11.50.00</v>
      </c>
      <c r="M915" t="str">
        <f>quantInv[[#This Row],[ASIN]] &amp; " " &amp; quantInv[[#This Row],[Short Description]]</f>
        <v>B08J88JZ2Q Rose Gold Plated Small Thick Heart Studs</v>
      </c>
      <c r="N915" s="33">
        <f>quantInv[[#This Row],[UNIT
VALUE]] / EURtoGBP</f>
        <v>4.5044922329490955</v>
      </c>
      <c r="O915" s="33">
        <f>quantInv[[#This Row],[UNIT
VALUE]]/USDtoGBP</f>
        <v>5.4398800246201766</v>
      </c>
      <c r="P915" s="33">
        <f>quantInv[[#This Row],[UNIT
VALUE]] / CADtoGBP</f>
        <v>6.9633591456491946</v>
      </c>
      <c r="Q915" s="33">
        <f>quantInv[[#This Row],[UNIT
VALUE]]/AUDtoGBP</f>
        <v>7.1274876068683097</v>
      </c>
      <c r="R915">
        <f>IFERROR(VLOOKUP(quantInv[[#This Row],[Assigned Item SKU]],skuQuantity[#All],2,FALSE),0)</f>
        <v>5</v>
      </c>
      <c r="S915" t="str">
        <f>PROPER(quantInv[[#This Row],[Metal]] &amp; " " &amp; quantInv[[#This Row],[Item Type]])</f>
        <v>925 Silver Earrings</v>
      </c>
      <c r="T915" s="33">
        <f>quantInv[[#This Row],[Quantity]]*quantInv[[#This Row],[WEIGHT]]</f>
        <v>6.75</v>
      </c>
      <c r="U915" s="33">
        <f>quantInv[[#This Row],[UNIT
VALUE]]*quantInv[[#This Row],[Quantity]]</f>
        <v>19.8415</v>
      </c>
      <c r="V915" s="33">
        <f>quantInv[[#This Row],[Total Cost GBP]]/EURtoGBP</f>
        <v>22.522461164745479</v>
      </c>
      <c r="W915" s="33">
        <f>quantInv[[#This Row],[Total Cost GBP]]/USDtoGBP</f>
        <v>27.19940012310088</v>
      </c>
      <c r="X915" s="33">
        <f>quantInv[[#This Row],[Total Cost GBP]]/CADtoGBP</f>
        <v>34.816795728245971</v>
      </c>
      <c r="Y915" s="33">
        <f>quantInv[[#This Row],[Quantity]]*quantInv[[#This Row],[UNIT
VALUE AUD]]</f>
        <v>35.63743803434155</v>
      </c>
      <c r="Z915" s="33"/>
    </row>
    <row r="916" spans="1:26" x14ac:dyDescent="0.25">
      <c r="A916" t="s">
        <v>2165</v>
      </c>
      <c r="B916" t="s">
        <v>2166</v>
      </c>
      <c r="C916" t="s">
        <v>114</v>
      </c>
      <c r="D916" t="s">
        <v>2167</v>
      </c>
      <c r="E916">
        <v>1.21</v>
      </c>
      <c r="F916" s="33">
        <v>2.7622</v>
      </c>
      <c r="G916" s="33" t="s">
        <v>117</v>
      </c>
      <c r="H916" t="s">
        <v>1310</v>
      </c>
      <c r="I916" t="str">
        <f>IF(quantInv[[#This Row],[Metal]] = "925 Silver",  "7113.11.00"," 7113.19.00")</f>
        <v>7113.11.00</v>
      </c>
      <c r="J916" t="str">
        <f>IF(quantInv[[#This Row],[Metal]] = "925 Silver", "7113.11.10.00"," 7113.19.10.00")</f>
        <v>7113.11.10.00</v>
      </c>
      <c r="K916" t="str">
        <f>IF(quantInv[[#This Row],[Metal]] = "925 Silver",  "7113.11.00"," 7113.19.00")</f>
        <v>7113.11.00</v>
      </c>
      <c r="L916" t="str">
        <f>IFERROR(VLOOKUP(quantInv[[#This Row],[Description for New Invoice]],Map!$G$12:$H$32,2,FALSE), IF(quantInv[[#This Row],[Metal]] = "925 Silver", "7113.11.10.00", "7113.19.29.00"))</f>
        <v>7113.11.50.00</v>
      </c>
      <c r="M916" t="str">
        <f>quantInv[[#This Row],[ASIN]] &amp; " " &amp; quantInv[[#This Row],[Short Description]]</f>
        <v>B08CXS1VKY Square Stud Earrings with Swarovski. AQUAMARINE</v>
      </c>
      <c r="N916" s="33">
        <f>quantInv[[#This Row],[UNIT
VALUE]] / EURtoGBP</f>
        <v>3.1354253574205559</v>
      </c>
      <c r="O916" s="33">
        <f>quantInv[[#This Row],[UNIT
VALUE]]/USDtoGBP</f>
        <v>3.7865173006087876</v>
      </c>
      <c r="P916" s="33">
        <f>quantInv[[#This Row],[UNIT
VALUE]] / CADtoGBP</f>
        <v>4.8469598145584269</v>
      </c>
      <c r="Q916" s="33">
        <f>quantInv[[#This Row],[UNIT
VALUE]]/AUDtoGBP</f>
        <v>4.9612041094906241</v>
      </c>
      <c r="R916">
        <f>IFERROR(VLOOKUP(quantInv[[#This Row],[Assigned Item SKU]],skuQuantity[#All],2,FALSE),0)</f>
        <v>0</v>
      </c>
      <c r="S916" t="str">
        <f>PROPER(quantInv[[#This Row],[Metal]] &amp; " " &amp; quantInv[[#This Row],[Item Type]])</f>
        <v>925 Silver Earrings</v>
      </c>
      <c r="T916" s="33">
        <f>quantInv[[#This Row],[Quantity]]*quantInv[[#This Row],[WEIGHT]]</f>
        <v>0</v>
      </c>
      <c r="U916" s="33">
        <f>quantInv[[#This Row],[UNIT
VALUE]]*quantInv[[#This Row],[Quantity]]</f>
        <v>0</v>
      </c>
      <c r="V916" s="33">
        <f>quantInv[[#This Row],[Total Cost GBP]]/EURtoGBP</f>
        <v>0</v>
      </c>
      <c r="W916" s="33">
        <f>quantInv[[#This Row],[Total Cost GBP]]/USDtoGBP</f>
        <v>0</v>
      </c>
      <c r="X916" s="33">
        <f>quantInv[[#This Row],[Total Cost GBP]]/CADtoGBP</f>
        <v>0</v>
      </c>
      <c r="Y916" s="33">
        <f>quantInv[[#This Row],[Quantity]]*quantInv[[#This Row],[UNIT
VALUE AUD]]</f>
        <v>0</v>
      </c>
      <c r="Z916" s="33"/>
    </row>
    <row r="917" spans="1:26" x14ac:dyDescent="0.25">
      <c r="A917" t="s">
        <v>2276</v>
      </c>
      <c r="B917" t="s">
        <v>2277</v>
      </c>
      <c r="C917" t="s">
        <v>115</v>
      </c>
      <c r="D917" t="s">
        <v>2278</v>
      </c>
      <c r="E917">
        <v>1.57</v>
      </c>
      <c r="F917" s="33">
        <v>3.7248999999999999</v>
      </c>
      <c r="G917" s="33" t="s">
        <v>117</v>
      </c>
      <c r="H917" t="s">
        <v>2875</v>
      </c>
      <c r="I917" t="str">
        <f>IF(quantInv[[#This Row],[Metal]] = "925 Silver",  "7113.11.00"," 7113.19.00")</f>
        <v>7113.11.00</v>
      </c>
      <c r="J917" t="str">
        <f>IF(quantInv[[#This Row],[Metal]] = "925 Silver", "7113.11.10.00"," 7113.19.10.00")</f>
        <v>7113.11.10.00</v>
      </c>
      <c r="K917" t="str">
        <f>IF(quantInv[[#This Row],[Metal]] = "925 Silver",  "7113.11.00"," 7113.19.00")</f>
        <v>7113.11.00</v>
      </c>
      <c r="L917" t="str">
        <f>IFERROR(VLOOKUP(quantInv[[#This Row],[Description for New Invoice]],Map!$G$12:$H$32,2,FALSE), IF(quantInv[[#This Row],[Metal]] = "925 Silver", "7113.11.10.00", "7113.19.29.00"))</f>
        <v>7113.11.10.00</v>
      </c>
      <c r="M917" t="str">
        <f>quantInv[[#This Row],[ASIN]] &amp; " " &amp; quantInv[[#This Row],[Short Description]]</f>
        <v>B0943XS5HL GP Huggie Hoops - Pave - 12 mm</v>
      </c>
      <c r="N917" s="33">
        <f>quantInv[[#This Row],[UNIT
VALUE]] / EURtoGBP</f>
        <v>4.2282042986951804</v>
      </c>
      <c r="O917" s="33">
        <f>quantInv[[#This Row],[UNIT
VALUE]]/USDtoGBP</f>
        <v>5.1062190619932197</v>
      </c>
      <c r="P917" s="33">
        <f>quantInv[[#This Row],[UNIT
VALUE]] / CADtoGBP</f>
        <v>6.536253932824807</v>
      </c>
      <c r="Q917" s="33">
        <f>quantInv[[#This Row],[UNIT
VALUE]]/AUDtoGBP</f>
        <v>6.690315396220992</v>
      </c>
      <c r="R917">
        <f>IFERROR(VLOOKUP(quantInv[[#This Row],[Assigned Item SKU]],skuQuantity[#All],2,FALSE),0)</f>
        <v>0</v>
      </c>
      <c r="S917" t="str">
        <f>PROPER(quantInv[[#This Row],[Metal]] &amp; " " &amp; quantInv[[#This Row],[Item Type]])</f>
        <v xml:space="preserve">925 Silver </v>
      </c>
      <c r="T917" s="33">
        <f>quantInv[[#This Row],[Quantity]]*quantInv[[#This Row],[WEIGHT]]</f>
        <v>0</v>
      </c>
      <c r="U917" s="33">
        <f>quantInv[[#This Row],[UNIT
VALUE]]*quantInv[[#This Row],[Quantity]]</f>
        <v>0</v>
      </c>
      <c r="V917" s="33">
        <f>quantInv[[#This Row],[Total Cost GBP]]/EURtoGBP</f>
        <v>0</v>
      </c>
      <c r="W917" s="33">
        <f>quantInv[[#This Row],[Total Cost GBP]]/USDtoGBP</f>
        <v>0</v>
      </c>
      <c r="X917" s="33">
        <f>quantInv[[#This Row],[Total Cost GBP]]/CADtoGBP</f>
        <v>0</v>
      </c>
      <c r="Y917" s="33">
        <f>quantInv[[#This Row],[Quantity]]*quantInv[[#This Row],[UNIT
VALUE AUD]]</f>
        <v>0</v>
      </c>
      <c r="Z917" s="33"/>
    </row>
    <row r="918" spans="1:26" x14ac:dyDescent="0.25">
      <c r="A918" t="s">
        <v>2198</v>
      </c>
      <c r="B918" t="s">
        <v>2199</v>
      </c>
      <c r="C918" t="s">
        <v>114</v>
      </c>
      <c r="D918" t="s">
        <v>2200</v>
      </c>
      <c r="E918">
        <v>13.97</v>
      </c>
      <c r="F918" s="33">
        <v>12.5022</v>
      </c>
      <c r="G918" s="33" t="s">
        <v>117</v>
      </c>
      <c r="H918" t="s">
        <v>103</v>
      </c>
      <c r="I918" t="str">
        <f>IF(quantInv[[#This Row],[Metal]] = "925 Silver",  "7113.11.00"," 7113.19.00")</f>
        <v>7113.11.00</v>
      </c>
      <c r="J918" t="str">
        <f>IF(quantInv[[#This Row],[Metal]] = "925 Silver", "7113.11.10.00"," 7113.19.10.00")</f>
        <v>7113.11.10.00</v>
      </c>
      <c r="K918" t="str">
        <f>IF(quantInv[[#This Row],[Metal]] = "925 Silver",  "7113.11.00"," 7113.19.00")</f>
        <v>7113.11.00</v>
      </c>
      <c r="L918" t="str">
        <f>IFERROR(VLOOKUP(quantInv[[#This Row],[Description for New Invoice]],Map!$G$12:$H$32,2,FALSE), IF(quantInv[[#This Row],[Metal]] = "925 Silver", "7113.11.10.00", "7113.19.29.00"))</f>
        <v>7113.11.10.00</v>
      </c>
      <c r="M918" t="str">
        <f>quantInv[[#This Row],[ASIN]] &amp; " " &amp; quantInv[[#This Row],[Short Description]]</f>
        <v>B08LW67L49 Chain - Super Flat Figaro - Gauge 150 - Width 5.5 mm - Length 55 cm</v>
      </c>
      <c r="N918" s="33">
        <f>quantInv[[#This Row],[UNIT
VALUE]] / EURtoGBP</f>
        <v>14.191483203078443</v>
      </c>
      <c r="O918" s="33">
        <f>quantInv[[#This Row],[UNIT
VALUE]]/USDtoGBP</f>
        <v>17.138439141145167</v>
      </c>
      <c r="P918" s="33">
        <f>quantInv[[#This Row],[UNIT
VALUE]] / CADtoGBP</f>
        <v>21.938187312132488</v>
      </c>
      <c r="Q918" s="33">
        <f>quantInv[[#This Row],[UNIT
VALUE]]/AUDtoGBP</f>
        <v>22.455276959551689</v>
      </c>
      <c r="R918">
        <f>IFERROR(VLOOKUP(quantInv[[#This Row],[Assigned Item SKU]],skuQuantity[#All],2,FALSE),0)</f>
        <v>5</v>
      </c>
      <c r="S918" t="str">
        <f>PROPER(quantInv[[#This Row],[Metal]] &amp; " " &amp; quantInv[[#This Row],[Item Type]])</f>
        <v>925 Silver Chain</v>
      </c>
      <c r="T918" s="33">
        <f>quantInv[[#This Row],[Quantity]]*quantInv[[#This Row],[WEIGHT]]</f>
        <v>69.850000000000009</v>
      </c>
      <c r="U918" s="33">
        <f>quantInv[[#This Row],[UNIT
VALUE]]*quantInv[[#This Row],[Quantity]]</f>
        <v>62.511000000000003</v>
      </c>
      <c r="V918" s="33">
        <f>quantInv[[#This Row],[Total Cost GBP]]/EURtoGBP</f>
        <v>70.957416015392212</v>
      </c>
      <c r="W918" s="33">
        <f>quantInv[[#This Row],[Total Cost GBP]]/USDtoGBP</f>
        <v>85.692195705725837</v>
      </c>
      <c r="X918" s="33">
        <f>quantInv[[#This Row],[Total Cost GBP]]/CADtoGBP</f>
        <v>109.69093656066245</v>
      </c>
      <c r="Y918" s="33">
        <f>quantInv[[#This Row],[Quantity]]*quantInv[[#This Row],[UNIT
VALUE AUD]]</f>
        <v>112.27638479775845</v>
      </c>
      <c r="Z918" s="33"/>
    </row>
    <row r="919" spans="1:26" x14ac:dyDescent="0.25">
      <c r="A919" t="s">
        <v>2270</v>
      </c>
      <c r="B919" t="s">
        <v>2271</v>
      </c>
      <c r="C919" t="s">
        <v>115</v>
      </c>
      <c r="D919" t="s">
        <v>2272</v>
      </c>
      <c r="E919">
        <v>2.75</v>
      </c>
      <c r="F919" s="33">
        <v>2.7919999999999998</v>
      </c>
      <c r="G919" s="33" t="s">
        <v>117</v>
      </c>
      <c r="H919" t="s">
        <v>1310</v>
      </c>
      <c r="I919" t="str">
        <f>IF(quantInv[[#This Row],[Metal]] = "925 Silver",  "7113.11.00"," 7113.19.00")</f>
        <v>7113.11.00</v>
      </c>
      <c r="J919" t="str">
        <f>IF(quantInv[[#This Row],[Metal]] = "925 Silver", "7113.11.10.00"," 7113.19.10.00")</f>
        <v>7113.11.10.00</v>
      </c>
      <c r="K919" t="str">
        <f>IF(quantInv[[#This Row],[Metal]] = "925 Silver",  "7113.11.00"," 7113.19.00")</f>
        <v>7113.11.00</v>
      </c>
      <c r="L919" t="str">
        <f>IFERROR(VLOOKUP(quantInv[[#This Row],[Description for New Invoice]],Map!$G$12:$H$32,2,FALSE), IF(quantInv[[#This Row],[Metal]] = "925 Silver", "7113.11.10.00", "7113.19.29.00"))</f>
        <v>7113.11.50.00</v>
      </c>
      <c r="M919" t="str">
        <f>quantInv[[#This Row],[ASIN]] &amp; " " &amp; quantInv[[#This Row],[Short Description]]</f>
        <v>B08ZSTGZ6N Silver Pearl Studs (black) - 9 to 10 mm</v>
      </c>
      <c r="N919" s="33">
        <f>quantInv[[#This Row],[UNIT
VALUE]] / EURtoGBP</f>
        <v>3.1692518999052175</v>
      </c>
      <c r="O919" s="33">
        <f>quantInv[[#This Row],[UNIT
VALUE]]/USDtoGBP</f>
        <v>3.8273681497718246</v>
      </c>
      <c r="P919" s="33">
        <f>quantInv[[#This Row],[UNIT
VALUE]] / CADtoGBP</f>
        <v>4.8992512498179446</v>
      </c>
      <c r="Q919" s="33">
        <f>quantInv[[#This Row],[UNIT
VALUE]]/AUDtoGBP</f>
        <v>5.0147280695452254</v>
      </c>
      <c r="R919">
        <f>IFERROR(VLOOKUP(quantInv[[#This Row],[Assigned Item SKU]],skuQuantity[#All],2,FALSE),0)</f>
        <v>0</v>
      </c>
      <c r="S919" t="str">
        <f>PROPER(quantInv[[#This Row],[Metal]] &amp; " " &amp; quantInv[[#This Row],[Item Type]])</f>
        <v>925 Silver Earrings</v>
      </c>
      <c r="T919" s="33">
        <f>quantInv[[#This Row],[Quantity]]*quantInv[[#This Row],[WEIGHT]]</f>
        <v>0</v>
      </c>
      <c r="U919" s="33">
        <f>quantInv[[#This Row],[UNIT
VALUE]]*quantInv[[#This Row],[Quantity]]</f>
        <v>0</v>
      </c>
      <c r="V919" s="33">
        <f>quantInv[[#This Row],[Total Cost GBP]]/EURtoGBP</f>
        <v>0</v>
      </c>
      <c r="W919" s="33">
        <f>quantInv[[#This Row],[Total Cost GBP]]/USDtoGBP</f>
        <v>0</v>
      </c>
      <c r="X919" s="33">
        <f>quantInv[[#This Row],[Total Cost GBP]]/CADtoGBP</f>
        <v>0</v>
      </c>
      <c r="Y919" s="33">
        <f>quantInv[[#This Row],[Quantity]]*quantInv[[#This Row],[UNIT
VALUE AUD]]</f>
        <v>0</v>
      </c>
      <c r="Z919" s="33"/>
    </row>
    <row r="920" spans="1:26" x14ac:dyDescent="0.25">
      <c r="A920" t="s">
        <v>2279</v>
      </c>
      <c r="B920" t="s">
        <v>2280</v>
      </c>
      <c r="C920" t="s">
        <v>115</v>
      </c>
      <c r="D920" t="s">
        <v>2281</v>
      </c>
      <c r="E920">
        <v>3.16</v>
      </c>
      <c r="F920" s="33">
        <v>5.9964000000000004</v>
      </c>
      <c r="G920" s="33" t="s">
        <v>117</v>
      </c>
      <c r="H920" t="s">
        <v>1310</v>
      </c>
      <c r="I920" t="str">
        <f>IF(quantInv[[#This Row],[Metal]] = "925 Silver",  "7113.11.00"," 7113.19.00")</f>
        <v>7113.11.00</v>
      </c>
      <c r="J920" t="str">
        <f>IF(quantInv[[#This Row],[Metal]] = "925 Silver", "7113.11.10.00"," 7113.19.10.00")</f>
        <v>7113.11.10.00</v>
      </c>
      <c r="K920" t="str">
        <f>IF(quantInv[[#This Row],[Metal]] = "925 Silver",  "7113.11.00"," 7113.19.00")</f>
        <v>7113.11.00</v>
      </c>
      <c r="L920" t="str">
        <f>IFERROR(VLOOKUP(quantInv[[#This Row],[Description for New Invoice]],Map!$G$12:$H$32,2,FALSE), IF(quantInv[[#This Row],[Metal]] = "925 Silver", "7113.11.10.00", "7113.19.29.00"))</f>
        <v>7113.11.50.00</v>
      </c>
      <c r="M920" t="str">
        <f>quantInv[[#This Row],[ASIN]] &amp; " " &amp; quantInv[[#This Row],[Short Description]]</f>
        <v>B0943YDNJC Silver Huggie Hoops - Pave - 20 mm</v>
      </c>
      <c r="N920" s="33">
        <f>quantInv[[#This Row],[UNIT
VALUE]] / EURtoGBP</f>
        <v>6.8066268239941436</v>
      </c>
      <c r="O920" s="33">
        <f>quantInv[[#This Row],[UNIT
VALUE]]/USDtoGBP</f>
        <v>8.220068185276423</v>
      </c>
      <c r="P920" s="33">
        <f>quantInv[[#This Row],[UNIT
VALUE]] / CADtoGBP</f>
        <v>10.522159811750834</v>
      </c>
      <c r="Q920" s="33">
        <f>quantInv[[#This Row],[UNIT
VALUE]]/AUDtoGBP</f>
        <v>10.770170270852791</v>
      </c>
      <c r="R920">
        <f>IFERROR(VLOOKUP(quantInv[[#This Row],[Assigned Item SKU]],skuQuantity[#All],2,FALSE),0)</f>
        <v>0</v>
      </c>
      <c r="S920" t="str">
        <f>PROPER(quantInv[[#This Row],[Metal]] &amp; " " &amp; quantInv[[#This Row],[Item Type]])</f>
        <v>925 Silver Earrings</v>
      </c>
      <c r="T920" s="33">
        <f>quantInv[[#This Row],[Quantity]]*quantInv[[#This Row],[WEIGHT]]</f>
        <v>0</v>
      </c>
      <c r="U920" s="33">
        <f>quantInv[[#This Row],[UNIT
VALUE]]*quantInv[[#This Row],[Quantity]]</f>
        <v>0</v>
      </c>
      <c r="V920" s="33">
        <f>quantInv[[#This Row],[Total Cost GBP]]/EURtoGBP</f>
        <v>0</v>
      </c>
      <c r="W920" s="33">
        <f>quantInv[[#This Row],[Total Cost GBP]]/USDtoGBP</f>
        <v>0</v>
      </c>
      <c r="X920" s="33">
        <f>quantInv[[#This Row],[Total Cost GBP]]/CADtoGBP</f>
        <v>0</v>
      </c>
      <c r="Y920" s="33">
        <f>quantInv[[#This Row],[Quantity]]*quantInv[[#This Row],[UNIT
VALUE AUD]]</f>
        <v>0</v>
      </c>
      <c r="Z920" s="33"/>
    </row>
    <row r="921" spans="1:26" x14ac:dyDescent="0.25">
      <c r="A921" t="s">
        <v>2288</v>
      </c>
      <c r="B921" t="s">
        <v>2289</v>
      </c>
      <c r="C921" t="s">
        <v>114</v>
      </c>
      <c r="D921" t="s">
        <v>2290</v>
      </c>
      <c r="E921">
        <v>0.98</v>
      </c>
      <c r="F921" s="33">
        <v>20.457000000000001</v>
      </c>
      <c r="G921" s="33" t="s">
        <v>3304</v>
      </c>
      <c r="H921" t="s">
        <v>2875</v>
      </c>
      <c r="I921" t="str">
        <f>IF(quantInv[[#This Row],[Metal]] = "925 Silver",  "7113.11.00"," 7113.19.00")</f>
        <v xml:space="preserve"> 7113.19.00</v>
      </c>
      <c r="J921" t="str">
        <f>IF(quantInv[[#This Row],[Metal]] = "925 Silver", "7113.11.10.00"," 7113.19.10.00")</f>
        <v xml:space="preserve"> 7113.19.10.00</v>
      </c>
      <c r="K921" t="str">
        <f>IF(quantInv[[#This Row],[Metal]] = "925 Silver",  "7113.11.00"," 7113.19.00")</f>
        <v xml:space="preserve"> 7113.19.00</v>
      </c>
      <c r="L921" t="str">
        <f>IFERROR(VLOOKUP(quantInv[[#This Row],[Description for New Invoice]],Map!$G$12:$H$32,2,FALSE), IF(quantInv[[#This Row],[Metal]] = "925 Silver", "7113.11.10.00", "7113.19.29.00"))</f>
        <v>7113.19.29.00</v>
      </c>
      <c r="M921" t="str">
        <f>quantInv[[#This Row],[ASIN]] &amp; " " &amp; quantInv[[#This Row],[Short Description]]</f>
        <v>B08XY33TMG 1.1mm Curb Chain 9K - 45cm</v>
      </c>
      <c r="N921" s="33">
        <f>quantInv[[#This Row],[UNIT
VALUE]] / EURtoGBP</f>
        <v>23.221126832507537</v>
      </c>
      <c r="O921" s="33">
        <f>quantInv[[#This Row],[UNIT
VALUE]]/USDtoGBP</f>
        <v>28.043148366719993</v>
      </c>
      <c r="P921" s="33">
        <f>quantInv[[#This Row],[UNIT
VALUE]] / CADtoGBP</f>
        <v>35.896841983354477</v>
      </c>
      <c r="Q921" s="33">
        <f>quantInv[[#This Row],[UNIT
VALUE]]/AUDtoGBP</f>
        <v>36.74294130325454</v>
      </c>
      <c r="R921">
        <f>IFERROR(VLOOKUP(quantInv[[#This Row],[Assigned Item SKU]],skuQuantity[#All],2,FALSE),0)</f>
        <v>0</v>
      </c>
      <c r="S921" t="str">
        <f>PROPER(quantInv[[#This Row],[Metal]] &amp; " " &amp; quantInv[[#This Row],[Item Type]])</f>
        <v xml:space="preserve">9K Gold </v>
      </c>
      <c r="T921" s="33">
        <f>quantInv[[#This Row],[Quantity]]*quantInv[[#This Row],[WEIGHT]]</f>
        <v>0</v>
      </c>
      <c r="U921" s="33">
        <f>quantInv[[#This Row],[UNIT
VALUE]]*quantInv[[#This Row],[Quantity]]</f>
        <v>0</v>
      </c>
      <c r="V921" s="33">
        <f>quantInv[[#This Row],[Total Cost GBP]]/EURtoGBP</f>
        <v>0</v>
      </c>
      <c r="W921" s="33">
        <f>quantInv[[#This Row],[Total Cost GBP]]/USDtoGBP</f>
        <v>0</v>
      </c>
      <c r="X921" s="33">
        <f>quantInv[[#This Row],[Total Cost GBP]]/CADtoGBP</f>
        <v>0</v>
      </c>
      <c r="Y921" s="33">
        <f>quantInv[[#This Row],[Quantity]]*quantInv[[#This Row],[UNIT
VALUE AUD]]</f>
        <v>0</v>
      </c>
      <c r="Z921" s="33"/>
    </row>
    <row r="922" spans="1:26" x14ac:dyDescent="0.25">
      <c r="A922" t="s">
        <v>2291</v>
      </c>
      <c r="B922" t="s">
        <v>2292</v>
      </c>
      <c r="C922" t="s">
        <v>114</v>
      </c>
      <c r="D922" t="s">
        <v>2293</v>
      </c>
      <c r="E922">
        <v>1.02</v>
      </c>
      <c r="F922" s="33">
        <v>21.258900000000001</v>
      </c>
      <c r="G922" s="33" t="s">
        <v>3304</v>
      </c>
      <c r="H922" t="s">
        <v>2875</v>
      </c>
      <c r="I922" t="str">
        <f>IF(quantInv[[#This Row],[Metal]] = "925 Silver",  "7113.11.00"," 7113.19.00")</f>
        <v xml:space="preserve"> 7113.19.00</v>
      </c>
      <c r="J922" t="str">
        <f>IF(quantInv[[#This Row],[Metal]] = "925 Silver", "7113.11.10.00"," 7113.19.10.00")</f>
        <v xml:space="preserve"> 7113.19.10.00</v>
      </c>
      <c r="K922" t="str">
        <f>IF(quantInv[[#This Row],[Metal]] = "925 Silver",  "7113.11.00"," 7113.19.00")</f>
        <v xml:space="preserve"> 7113.19.00</v>
      </c>
      <c r="L922" t="str">
        <f>IFERROR(VLOOKUP(quantInv[[#This Row],[Description for New Invoice]],Map!$G$12:$H$32,2,FALSE), IF(quantInv[[#This Row],[Metal]] = "925 Silver", "7113.11.10.00", "7113.19.29.00"))</f>
        <v>7113.19.29.00</v>
      </c>
      <c r="M922" t="str">
        <f>quantInv[[#This Row],[ASIN]] &amp; " " &amp; quantInv[[#This Row],[Short Description]]</f>
        <v>B08XY3GMG8 1.1mm Curb Chain 9K - 50cm</v>
      </c>
      <c r="N922" s="33">
        <f>quantInv[[#This Row],[UNIT
VALUE]] / EURtoGBP</f>
        <v>24.131378658630027</v>
      </c>
      <c r="O922" s="33">
        <f>quantInv[[#This Row],[UNIT
VALUE]]/USDtoGBP</f>
        <v>29.142420042687768</v>
      </c>
      <c r="P922" s="33">
        <f>quantInv[[#This Row],[UNIT
VALUE]] / CADtoGBP</f>
        <v>37.303972920757417</v>
      </c>
      <c r="Q922" s="33">
        <f>quantInv[[#This Row],[UNIT
VALUE]]/AUDtoGBP</f>
        <v>38.183238738415113</v>
      </c>
      <c r="R922">
        <f>IFERROR(VLOOKUP(quantInv[[#This Row],[Assigned Item SKU]],skuQuantity[#All],2,FALSE),0)</f>
        <v>0</v>
      </c>
      <c r="S922" t="str">
        <f>PROPER(quantInv[[#This Row],[Metal]] &amp; " " &amp; quantInv[[#This Row],[Item Type]])</f>
        <v xml:space="preserve">9K Gold </v>
      </c>
      <c r="T922" s="33">
        <f>quantInv[[#This Row],[Quantity]]*quantInv[[#This Row],[WEIGHT]]</f>
        <v>0</v>
      </c>
      <c r="U922" s="33">
        <f>quantInv[[#This Row],[UNIT
VALUE]]*quantInv[[#This Row],[Quantity]]</f>
        <v>0</v>
      </c>
      <c r="V922" s="33">
        <f>quantInv[[#This Row],[Total Cost GBP]]/EURtoGBP</f>
        <v>0</v>
      </c>
      <c r="W922" s="33">
        <f>quantInv[[#This Row],[Total Cost GBP]]/USDtoGBP</f>
        <v>0</v>
      </c>
      <c r="X922" s="33">
        <f>quantInv[[#This Row],[Total Cost GBP]]/CADtoGBP</f>
        <v>0</v>
      </c>
      <c r="Y922" s="33">
        <f>quantInv[[#This Row],[Quantity]]*quantInv[[#This Row],[UNIT
VALUE AUD]]</f>
        <v>0</v>
      </c>
      <c r="Z922" s="33"/>
    </row>
    <row r="923" spans="1:26" x14ac:dyDescent="0.25">
      <c r="A923" t="s">
        <v>2294</v>
      </c>
      <c r="B923" t="s">
        <v>2295</v>
      </c>
      <c r="C923" t="s">
        <v>114</v>
      </c>
      <c r="D923" t="s">
        <v>2296</v>
      </c>
      <c r="E923">
        <v>1.23</v>
      </c>
      <c r="F923" s="33">
        <v>25.468900000000001</v>
      </c>
      <c r="G923" s="33" t="s">
        <v>3304</v>
      </c>
      <c r="H923" t="s">
        <v>2875</v>
      </c>
      <c r="I923" t="str">
        <f>IF(quantInv[[#This Row],[Metal]] = "925 Silver",  "7113.11.00"," 7113.19.00")</f>
        <v xml:space="preserve"> 7113.19.00</v>
      </c>
      <c r="J923" t="str">
        <f>IF(quantInv[[#This Row],[Metal]] = "925 Silver", "7113.11.10.00"," 7113.19.10.00")</f>
        <v xml:space="preserve"> 7113.19.10.00</v>
      </c>
      <c r="K923" t="str">
        <f>IF(quantInv[[#This Row],[Metal]] = "925 Silver",  "7113.11.00"," 7113.19.00")</f>
        <v xml:space="preserve"> 7113.19.00</v>
      </c>
      <c r="L923" t="str">
        <f>IFERROR(VLOOKUP(quantInv[[#This Row],[Description for New Invoice]],Map!$G$12:$H$32,2,FALSE), IF(quantInv[[#This Row],[Metal]] = "925 Silver", "7113.11.10.00", "7113.19.29.00"))</f>
        <v>7113.19.29.00</v>
      </c>
      <c r="M923" t="str">
        <f>quantInv[[#This Row],[ASIN]] &amp; " " &amp; quantInv[[#This Row],[Short Description]]</f>
        <v>B08XY4GZTZ 1.1mm Curb Chain 9K - 60 cm</v>
      </c>
      <c r="N923" s="33">
        <f>quantInv[[#This Row],[UNIT
VALUE]] / EURtoGBP</f>
        <v>28.910229123744987</v>
      </c>
      <c r="O923" s="33">
        <f>quantInv[[#This Row],[UNIT
VALUE]]/USDtoGBP</f>
        <v>34.913630612365196</v>
      </c>
      <c r="P923" s="33">
        <f>quantInv[[#This Row],[UNIT
VALUE]] / CADtoGBP</f>
        <v>44.691454210776598</v>
      </c>
      <c r="Q923" s="33">
        <f>quantInv[[#This Row],[UNIT
VALUE]]/AUDtoGBP</f>
        <v>45.744845175659172</v>
      </c>
      <c r="R923">
        <f>IFERROR(VLOOKUP(quantInv[[#This Row],[Assigned Item SKU]],skuQuantity[#All],2,FALSE),0)</f>
        <v>0</v>
      </c>
      <c r="S923" t="str">
        <f>PROPER(quantInv[[#This Row],[Metal]] &amp; " " &amp; quantInv[[#This Row],[Item Type]])</f>
        <v xml:space="preserve">9K Gold </v>
      </c>
      <c r="T923" s="33">
        <f>quantInv[[#This Row],[Quantity]]*quantInv[[#This Row],[WEIGHT]]</f>
        <v>0</v>
      </c>
      <c r="U923" s="33">
        <f>quantInv[[#This Row],[UNIT
VALUE]]*quantInv[[#This Row],[Quantity]]</f>
        <v>0</v>
      </c>
      <c r="V923" s="33">
        <f>quantInv[[#This Row],[Total Cost GBP]]/EURtoGBP</f>
        <v>0</v>
      </c>
      <c r="W923" s="33">
        <f>quantInv[[#This Row],[Total Cost GBP]]/USDtoGBP</f>
        <v>0</v>
      </c>
      <c r="X923" s="33">
        <f>quantInv[[#This Row],[Total Cost GBP]]/CADtoGBP</f>
        <v>0</v>
      </c>
      <c r="Y923" s="33">
        <f>quantInv[[#This Row],[Quantity]]*quantInv[[#This Row],[UNIT
VALUE AUD]]</f>
        <v>0</v>
      </c>
      <c r="Z923" s="33"/>
    </row>
    <row r="924" spans="1:26" x14ac:dyDescent="0.25">
      <c r="A924" t="s">
        <v>2297</v>
      </c>
      <c r="B924" t="s">
        <v>2298</v>
      </c>
      <c r="C924" t="s">
        <v>115</v>
      </c>
      <c r="D924" t="s">
        <v>2299</v>
      </c>
      <c r="E924">
        <v>1.74</v>
      </c>
      <c r="F924" s="33">
        <v>3.8466</v>
      </c>
      <c r="G924" s="33" t="s">
        <v>117</v>
      </c>
      <c r="H924" t="s">
        <v>2875</v>
      </c>
      <c r="I924" t="str">
        <f>IF(quantInv[[#This Row],[Metal]] = "925 Silver",  "7113.11.00"," 7113.19.00")</f>
        <v>7113.11.00</v>
      </c>
      <c r="J924" t="str">
        <f>IF(quantInv[[#This Row],[Metal]] = "925 Silver", "7113.11.10.00"," 7113.19.10.00")</f>
        <v>7113.11.10.00</v>
      </c>
      <c r="K924" t="str">
        <f>IF(quantInv[[#This Row],[Metal]] = "925 Silver",  "7113.11.00"," 7113.19.00")</f>
        <v>7113.11.00</v>
      </c>
      <c r="L924" t="str">
        <f>IFERROR(VLOOKUP(quantInv[[#This Row],[Description for New Invoice]],Map!$G$12:$H$32,2,FALSE), IF(quantInv[[#This Row],[Metal]] = "925 Silver", "7113.11.10.00", "7113.19.29.00"))</f>
        <v>7113.11.10.00</v>
      </c>
      <c r="M924" t="str">
        <f>quantInv[[#This Row],[ASIN]] &amp; " " &amp; quantInv[[#This Row],[Short Description]]</f>
        <v>B08R41TJSQ Celtic Braid Ring - I</v>
      </c>
      <c r="N924" s="33">
        <f>quantInv[[#This Row],[UNIT
VALUE]] / EURtoGBP</f>
        <v>4.366348265822138</v>
      </c>
      <c r="O924" s="33">
        <f>quantInv[[#This Row],[UNIT
VALUE]]/USDtoGBP</f>
        <v>5.2730495433066977</v>
      </c>
      <c r="P924" s="33">
        <f>quantInv[[#This Row],[UNIT
VALUE]] / CADtoGBP</f>
        <v>6.7498065392370012</v>
      </c>
      <c r="Q924" s="33">
        <f>quantInv[[#This Row],[UNIT
VALUE]]/AUDtoGBP</f>
        <v>6.9089015015446504</v>
      </c>
      <c r="R924">
        <f>IFERROR(VLOOKUP(quantInv[[#This Row],[Assigned Item SKU]],skuQuantity[#All],2,FALSE),0)</f>
        <v>0</v>
      </c>
      <c r="S924" t="str">
        <f>PROPER(quantInv[[#This Row],[Metal]] &amp; " " &amp; quantInv[[#This Row],[Item Type]])</f>
        <v xml:space="preserve">925 Silver </v>
      </c>
      <c r="T924" s="33">
        <f>quantInv[[#This Row],[Quantity]]*quantInv[[#This Row],[WEIGHT]]</f>
        <v>0</v>
      </c>
      <c r="U924" s="33">
        <f>quantInv[[#This Row],[UNIT
VALUE]]*quantInv[[#This Row],[Quantity]]</f>
        <v>0</v>
      </c>
      <c r="V924" s="33">
        <f>quantInv[[#This Row],[Total Cost GBP]]/EURtoGBP</f>
        <v>0</v>
      </c>
      <c r="W924" s="33">
        <f>quantInv[[#This Row],[Total Cost GBP]]/USDtoGBP</f>
        <v>0</v>
      </c>
      <c r="X924" s="33">
        <f>quantInv[[#This Row],[Total Cost GBP]]/CADtoGBP</f>
        <v>0</v>
      </c>
      <c r="Y924" s="33">
        <f>quantInv[[#This Row],[Quantity]]*quantInv[[#This Row],[UNIT
VALUE AUD]]</f>
        <v>0</v>
      </c>
      <c r="Z924" s="33"/>
    </row>
    <row r="925" spans="1:26" x14ac:dyDescent="0.25">
      <c r="A925" t="s">
        <v>2285</v>
      </c>
      <c r="B925" t="s">
        <v>2286</v>
      </c>
      <c r="C925" t="s">
        <v>114</v>
      </c>
      <c r="D925" t="s">
        <v>2287</v>
      </c>
      <c r="E925">
        <v>0.83</v>
      </c>
      <c r="F925" s="33">
        <v>16.7499</v>
      </c>
      <c r="G925" s="33" t="s">
        <v>3304</v>
      </c>
      <c r="H925" t="s">
        <v>103</v>
      </c>
      <c r="I925" t="str">
        <f>IF(quantInv[[#This Row],[Metal]] = "925 Silver",  "7113.11.00"," 7113.19.00")</f>
        <v xml:space="preserve"> 7113.19.00</v>
      </c>
      <c r="J925" t="str">
        <f>IF(quantInv[[#This Row],[Metal]] = "925 Silver", "7113.11.10.00"," 7113.19.10.00")</f>
        <v xml:space="preserve"> 7113.19.10.00</v>
      </c>
      <c r="K925" t="str">
        <f>IF(quantInv[[#This Row],[Metal]] = "925 Silver",  "7113.11.00"," 7113.19.00")</f>
        <v xml:space="preserve"> 7113.19.00</v>
      </c>
      <c r="L925" t="str">
        <f>IFERROR(VLOOKUP(quantInv[[#This Row],[Description for New Invoice]],Map!$G$12:$H$32,2,FALSE), IF(quantInv[[#This Row],[Metal]] = "925 Silver", "7113.11.10.00", "7113.19.29.00"))</f>
        <v>7113.11.50.00</v>
      </c>
      <c r="M925" t="str">
        <f>quantInv[[#This Row],[ASIN]] &amp; " " &amp; quantInv[[#This Row],[Short Description]]</f>
        <v>B08XY2DJGF 1.1mm Curb Chain 9K - 36cm</v>
      </c>
      <c r="N925" s="33">
        <f>quantInv[[#This Row],[UNIT
VALUE]] / EURtoGBP</f>
        <v>19.013127649793123</v>
      </c>
      <c r="O925" s="33">
        <f>quantInv[[#This Row],[UNIT
VALUE]]/USDtoGBP</f>
        <v>22.961330147515433</v>
      </c>
      <c r="P925" s="33">
        <f>quantInv[[#This Row],[UNIT
VALUE]] / CADtoGBP</f>
        <v>29.391822531993409</v>
      </c>
      <c r="Q925" s="33">
        <f>quantInv[[#This Row],[UNIT
VALUE]]/AUDtoGBP</f>
        <v>30.084596594582944</v>
      </c>
      <c r="R925">
        <f>IFERROR(VLOOKUP(quantInv[[#This Row],[Assigned Item SKU]],skuQuantity[#All],2,FALSE),0)</f>
        <v>0</v>
      </c>
      <c r="S925" t="str">
        <f>PROPER(quantInv[[#This Row],[Metal]] &amp; " " &amp; quantInv[[#This Row],[Item Type]])</f>
        <v>9K Gold Chain</v>
      </c>
      <c r="T925" s="33">
        <f>quantInv[[#This Row],[Quantity]]*quantInv[[#This Row],[WEIGHT]]</f>
        <v>0</v>
      </c>
      <c r="U925" s="33">
        <f>quantInv[[#This Row],[UNIT
VALUE]]*quantInv[[#This Row],[Quantity]]</f>
        <v>0</v>
      </c>
      <c r="V925" s="33">
        <f>quantInv[[#This Row],[Total Cost GBP]]/EURtoGBP</f>
        <v>0</v>
      </c>
      <c r="W925" s="33">
        <f>quantInv[[#This Row],[Total Cost GBP]]/USDtoGBP</f>
        <v>0</v>
      </c>
      <c r="X925" s="33">
        <f>quantInv[[#This Row],[Total Cost GBP]]/CADtoGBP</f>
        <v>0</v>
      </c>
      <c r="Y925" s="33">
        <f>quantInv[[#This Row],[Quantity]]*quantInv[[#This Row],[UNIT
VALUE AUD]]</f>
        <v>0</v>
      </c>
      <c r="Z925" s="33"/>
    </row>
    <row r="926" spans="1:26" x14ac:dyDescent="0.25">
      <c r="A926" t="s">
        <v>2300</v>
      </c>
      <c r="B926" t="s">
        <v>2301</v>
      </c>
      <c r="C926" t="s">
        <v>115</v>
      </c>
      <c r="D926" t="s">
        <v>2302</v>
      </c>
      <c r="E926">
        <v>2</v>
      </c>
      <c r="F926" s="33">
        <v>3.8466</v>
      </c>
      <c r="G926" s="33" t="s">
        <v>117</v>
      </c>
      <c r="H926" t="s">
        <v>3302</v>
      </c>
      <c r="I926" t="str">
        <f>IF(quantInv[[#This Row],[Metal]] = "925 Silver",  "7113.11.00"," 7113.19.00")</f>
        <v>7113.11.00</v>
      </c>
      <c r="J926" t="str">
        <f>IF(quantInv[[#This Row],[Metal]] = "925 Silver", "7113.11.10.00"," 7113.19.10.00")</f>
        <v>7113.11.10.00</v>
      </c>
      <c r="K926" t="str">
        <f>IF(quantInv[[#This Row],[Metal]] = "925 Silver",  "7113.11.00"," 7113.19.00")</f>
        <v>7113.11.00</v>
      </c>
      <c r="L926" t="str">
        <f>IFERROR(VLOOKUP(quantInv[[#This Row],[Description for New Invoice]],Map!$G$12:$H$32,2,FALSE), IF(quantInv[[#This Row],[Metal]] = "925 Silver", "7113.11.10.00", "7113.19.29.00"))</f>
        <v>7113.11.50.00</v>
      </c>
      <c r="M926" t="str">
        <f>quantInv[[#This Row],[ASIN]] &amp; " " &amp; quantInv[[#This Row],[Short Description]]</f>
        <v>B08R3ZW9Y5 Celtic Braid Ring - K</v>
      </c>
      <c r="N926" s="33">
        <f>quantInv[[#This Row],[UNIT
VALUE]] / EURtoGBP</f>
        <v>4.366348265822138</v>
      </c>
      <c r="O926" s="33">
        <f>quantInv[[#This Row],[UNIT
VALUE]]/USDtoGBP</f>
        <v>5.2730495433066977</v>
      </c>
      <c r="P926" s="33">
        <f>quantInv[[#This Row],[UNIT
VALUE]] / CADtoGBP</f>
        <v>6.7498065392370012</v>
      </c>
      <c r="Q926" s="33">
        <f>quantInv[[#This Row],[UNIT
VALUE]]/AUDtoGBP</f>
        <v>6.9089015015446504</v>
      </c>
      <c r="R926">
        <f>IFERROR(VLOOKUP(quantInv[[#This Row],[Assigned Item SKU]],skuQuantity[#All],2,FALSE),0)</f>
        <v>5</v>
      </c>
      <c r="S926" t="str">
        <f>PROPER(quantInv[[#This Row],[Metal]] &amp; " " &amp; quantInv[[#This Row],[Item Type]])</f>
        <v>925 Silver Ring</v>
      </c>
      <c r="T926" s="33">
        <f>quantInv[[#This Row],[Quantity]]*quantInv[[#This Row],[WEIGHT]]</f>
        <v>10</v>
      </c>
      <c r="U926" s="33">
        <f>quantInv[[#This Row],[UNIT
VALUE]]*quantInv[[#This Row],[Quantity]]</f>
        <v>19.233000000000001</v>
      </c>
      <c r="V926" s="33">
        <f>quantInv[[#This Row],[Total Cost GBP]]/EURtoGBP</f>
        <v>21.831741329110692</v>
      </c>
      <c r="W926" s="33">
        <f>quantInv[[#This Row],[Total Cost GBP]]/USDtoGBP</f>
        <v>26.365247716533492</v>
      </c>
      <c r="X926" s="33">
        <f>quantInv[[#This Row],[Total Cost GBP]]/CADtoGBP</f>
        <v>33.749032696185004</v>
      </c>
      <c r="Y926" s="33">
        <f>quantInv[[#This Row],[Quantity]]*quantInv[[#This Row],[UNIT
VALUE AUD]]</f>
        <v>34.544507507723253</v>
      </c>
      <c r="Z926" s="33"/>
    </row>
    <row r="927" spans="1:26" x14ac:dyDescent="0.25">
      <c r="A927" t="s">
        <v>2306</v>
      </c>
      <c r="B927" t="s">
        <v>2307</v>
      </c>
      <c r="C927" t="s">
        <v>115</v>
      </c>
      <c r="D927" t="s">
        <v>2308</v>
      </c>
      <c r="E927">
        <v>2.12</v>
      </c>
      <c r="F927" s="33">
        <v>3.8466</v>
      </c>
      <c r="G927" s="33" t="s">
        <v>117</v>
      </c>
      <c r="H927" t="s">
        <v>3351</v>
      </c>
      <c r="I927" t="str">
        <f>IF(quantInv[[#This Row],[Metal]] = "925 Silver",  "7113.11.00"," 7113.19.00")</f>
        <v>7113.11.00</v>
      </c>
      <c r="J927" t="str">
        <f>IF(quantInv[[#This Row],[Metal]] = "925 Silver", "7113.11.10.00"," 7113.19.10.00")</f>
        <v>7113.11.10.00</v>
      </c>
      <c r="K927" t="str">
        <f>IF(quantInv[[#This Row],[Metal]] = "925 Silver",  "7113.11.00"," 7113.19.00")</f>
        <v>7113.11.00</v>
      </c>
      <c r="L927" t="str">
        <f>IFERROR(VLOOKUP(quantInv[[#This Row],[Description for New Invoice]],Map!$G$12:$H$32,2,FALSE), IF(quantInv[[#This Row],[Metal]] = "925 Silver", "7113.11.10.00", "7113.19.29.00"))</f>
        <v>7113.11.50.00</v>
      </c>
      <c r="M927" t="str">
        <f>quantInv[[#This Row],[ASIN]] &amp; " " &amp; quantInv[[#This Row],[Short Description]]</f>
        <v>B08R42GF7S Celtic Braid Ring - R</v>
      </c>
      <c r="N927" s="33">
        <f>quantInv[[#This Row],[UNIT
VALUE]] / EURtoGBP</f>
        <v>4.366348265822138</v>
      </c>
      <c r="O927" s="33">
        <f>quantInv[[#This Row],[UNIT
VALUE]]/USDtoGBP</f>
        <v>5.2730495433066977</v>
      </c>
      <c r="P927" s="33">
        <f>quantInv[[#This Row],[UNIT
VALUE]] / CADtoGBP</f>
        <v>6.7498065392370012</v>
      </c>
      <c r="Q927" s="33">
        <f>quantInv[[#This Row],[UNIT
VALUE]]/AUDtoGBP</f>
        <v>6.9089015015446504</v>
      </c>
      <c r="R927">
        <f>IFERROR(VLOOKUP(quantInv[[#This Row],[Assigned Item SKU]],skuQuantity[#All],2,FALSE),0)</f>
        <v>5</v>
      </c>
      <c r="S927" t="str">
        <f>PROPER(quantInv[[#This Row],[Metal]] &amp; " " &amp; quantInv[[#This Row],[Item Type]])</f>
        <v>925 Silver Ring</v>
      </c>
      <c r="T927" s="33">
        <f>quantInv[[#This Row],[Quantity]]*quantInv[[#This Row],[WEIGHT]]</f>
        <v>10.600000000000001</v>
      </c>
      <c r="U927" s="33">
        <f>quantInv[[#This Row],[UNIT
VALUE]]*quantInv[[#This Row],[Quantity]]</f>
        <v>19.233000000000001</v>
      </c>
      <c r="V927" s="33">
        <f>quantInv[[#This Row],[Total Cost GBP]]/EURtoGBP</f>
        <v>21.831741329110692</v>
      </c>
      <c r="W927" s="33">
        <f>quantInv[[#This Row],[Total Cost GBP]]/USDtoGBP</f>
        <v>26.365247716533492</v>
      </c>
      <c r="X927" s="33">
        <f>quantInv[[#This Row],[Total Cost GBP]]/CADtoGBP</f>
        <v>33.749032696185004</v>
      </c>
      <c r="Y927" s="33">
        <f>quantInv[[#This Row],[Quantity]]*quantInv[[#This Row],[UNIT
VALUE AUD]]</f>
        <v>34.544507507723253</v>
      </c>
      <c r="Z927" s="33"/>
    </row>
    <row r="928" spans="1:26" x14ac:dyDescent="0.25">
      <c r="A928" t="s">
        <v>2309</v>
      </c>
      <c r="B928" t="s">
        <v>2310</v>
      </c>
      <c r="C928" t="s">
        <v>115</v>
      </c>
      <c r="D928" t="s">
        <v>2311</v>
      </c>
      <c r="E928">
        <v>2.2000000000000002</v>
      </c>
      <c r="F928" s="33">
        <v>3.8466</v>
      </c>
      <c r="G928" s="33" t="s">
        <v>117</v>
      </c>
      <c r="H928" t="s">
        <v>3302</v>
      </c>
      <c r="I928" t="str">
        <f>IF(quantInv[[#This Row],[Metal]] = "925 Silver",  "7113.11.00"," 7113.19.00")</f>
        <v>7113.11.00</v>
      </c>
      <c r="J928" t="str">
        <f>IF(quantInv[[#This Row],[Metal]] = "925 Silver", "7113.11.10.00"," 7113.19.10.00")</f>
        <v>7113.11.10.00</v>
      </c>
      <c r="K928" t="str">
        <f>IF(quantInv[[#This Row],[Metal]] = "925 Silver",  "7113.11.00"," 7113.19.00")</f>
        <v>7113.11.00</v>
      </c>
      <c r="L928" t="str">
        <f>IFERROR(VLOOKUP(quantInv[[#This Row],[Description for New Invoice]],Map!$G$12:$H$32,2,FALSE), IF(quantInv[[#This Row],[Metal]] = "925 Silver", "7113.11.10.00", "7113.19.29.00"))</f>
        <v>7113.11.50.00</v>
      </c>
      <c r="M928" t="str">
        <f>quantInv[[#This Row],[ASIN]] &amp; " " &amp; quantInv[[#This Row],[Short Description]]</f>
        <v>B08R424WXD Celtic Braid Ring - S</v>
      </c>
      <c r="N928" s="33">
        <f>quantInv[[#This Row],[UNIT
VALUE]] / EURtoGBP</f>
        <v>4.366348265822138</v>
      </c>
      <c r="O928" s="33">
        <f>quantInv[[#This Row],[UNIT
VALUE]]/USDtoGBP</f>
        <v>5.2730495433066977</v>
      </c>
      <c r="P928" s="33">
        <f>quantInv[[#This Row],[UNIT
VALUE]] / CADtoGBP</f>
        <v>6.7498065392370012</v>
      </c>
      <c r="Q928" s="33">
        <f>quantInv[[#This Row],[UNIT
VALUE]]/AUDtoGBP</f>
        <v>6.9089015015446504</v>
      </c>
      <c r="R928">
        <f>IFERROR(VLOOKUP(quantInv[[#This Row],[Assigned Item SKU]],skuQuantity[#All],2,FALSE),0)</f>
        <v>0</v>
      </c>
      <c r="S928" t="str">
        <f>PROPER(quantInv[[#This Row],[Metal]] &amp; " " &amp; quantInv[[#This Row],[Item Type]])</f>
        <v>925 Silver Ring</v>
      </c>
      <c r="T928" s="33">
        <f>quantInv[[#This Row],[Quantity]]*quantInv[[#This Row],[WEIGHT]]</f>
        <v>0</v>
      </c>
      <c r="U928" s="33">
        <f>quantInv[[#This Row],[UNIT
VALUE]]*quantInv[[#This Row],[Quantity]]</f>
        <v>0</v>
      </c>
      <c r="V928" s="33">
        <f>quantInv[[#This Row],[Total Cost GBP]]/EURtoGBP</f>
        <v>0</v>
      </c>
      <c r="W928" s="33">
        <f>quantInv[[#This Row],[Total Cost GBP]]/USDtoGBP</f>
        <v>0</v>
      </c>
      <c r="X928" s="33">
        <f>quantInv[[#This Row],[Total Cost GBP]]/CADtoGBP</f>
        <v>0</v>
      </c>
      <c r="Y928" s="33">
        <f>quantInv[[#This Row],[Quantity]]*quantInv[[#This Row],[UNIT
VALUE AUD]]</f>
        <v>0</v>
      </c>
      <c r="Z928" s="33"/>
    </row>
    <row r="929" spans="1:26" x14ac:dyDescent="0.25">
      <c r="A929" t="s">
        <v>2312</v>
      </c>
      <c r="B929" t="s">
        <v>2313</v>
      </c>
      <c r="C929" t="s">
        <v>115</v>
      </c>
      <c r="D929" t="s">
        <v>2314</v>
      </c>
      <c r="E929">
        <v>1.6279999999999999</v>
      </c>
      <c r="F929" s="33">
        <v>3.9683000000000002</v>
      </c>
      <c r="G929" s="33" t="s">
        <v>117</v>
      </c>
      <c r="H929" t="s">
        <v>2875</v>
      </c>
      <c r="I929" t="str">
        <f>IF(quantInv[[#This Row],[Metal]] = "925 Silver",  "7113.11.00"," 7113.19.00")</f>
        <v>7113.11.00</v>
      </c>
      <c r="J929" t="str">
        <f>IF(quantInv[[#This Row],[Metal]] = "925 Silver", "7113.11.10.00"," 7113.19.10.00")</f>
        <v>7113.11.10.00</v>
      </c>
      <c r="K929" t="str">
        <f>IF(quantInv[[#This Row],[Metal]] = "925 Silver",  "7113.11.00"," 7113.19.00")</f>
        <v>7113.11.00</v>
      </c>
      <c r="L929" t="str">
        <f>IFERROR(VLOOKUP(quantInv[[#This Row],[Description for New Invoice]],Map!$G$12:$H$32,2,FALSE), IF(quantInv[[#This Row],[Metal]] = "925 Silver", "7113.11.10.00", "7113.19.29.00"))</f>
        <v>7113.11.10.00</v>
      </c>
      <c r="M929" t="str">
        <f>quantInv[[#This Row],[ASIN]] &amp; " " &amp; quantInv[[#This Row],[Short Description]]</f>
        <v>B08R3W4FT3 Ring with CZ - I</v>
      </c>
      <c r="N929" s="33">
        <f>quantInv[[#This Row],[UNIT
VALUE]] / EURtoGBP</f>
        <v>4.5044922329490955</v>
      </c>
      <c r="O929" s="33">
        <f>quantInv[[#This Row],[UNIT
VALUE]]/USDtoGBP</f>
        <v>5.4398800246201766</v>
      </c>
      <c r="P929" s="33">
        <f>quantInv[[#This Row],[UNIT
VALUE]] / CADtoGBP</f>
        <v>6.9633591456491946</v>
      </c>
      <c r="Q929" s="33">
        <f>quantInv[[#This Row],[UNIT
VALUE]]/AUDtoGBP</f>
        <v>7.1274876068683097</v>
      </c>
      <c r="R929">
        <f>IFERROR(VLOOKUP(quantInv[[#This Row],[Assigned Item SKU]],skuQuantity[#All],2,FALSE),0)</f>
        <v>0</v>
      </c>
      <c r="S929" t="str">
        <f>PROPER(quantInv[[#This Row],[Metal]] &amp; " " &amp; quantInv[[#This Row],[Item Type]])</f>
        <v xml:space="preserve">925 Silver </v>
      </c>
      <c r="T929" s="33">
        <f>quantInv[[#This Row],[Quantity]]*quantInv[[#This Row],[WEIGHT]]</f>
        <v>0</v>
      </c>
      <c r="U929" s="33">
        <f>quantInv[[#This Row],[UNIT
VALUE]]*quantInv[[#This Row],[Quantity]]</f>
        <v>0</v>
      </c>
      <c r="V929" s="33">
        <f>quantInv[[#This Row],[Total Cost GBP]]/EURtoGBP</f>
        <v>0</v>
      </c>
      <c r="W929" s="33">
        <f>quantInv[[#This Row],[Total Cost GBP]]/USDtoGBP</f>
        <v>0</v>
      </c>
      <c r="X929" s="33">
        <f>quantInv[[#This Row],[Total Cost GBP]]/CADtoGBP</f>
        <v>0</v>
      </c>
      <c r="Y929" s="33">
        <f>quantInv[[#This Row],[Quantity]]*quantInv[[#This Row],[UNIT
VALUE AUD]]</f>
        <v>0</v>
      </c>
      <c r="Z929" s="33"/>
    </row>
    <row r="930" spans="1:26" x14ac:dyDescent="0.25">
      <c r="A930" t="s">
        <v>2315</v>
      </c>
      <c r="B930" t="s">
        <v>2316</v>
      </c>
      <c r="C930" t="s">
        <v>115</v>
      </c>
      <c r="D930" t="s">
        <v>2317</v>
      </c>
      <c r="E930">
        <v>1.55</v>
      </c>
      <c r="F930" s="33">
        <v>3.9683000000000002</v>
      </c>
      <c r="G930" s="33" t="s">
        <v>117</v>
      </c>
      <c r="H930" t="s">
        <v>2875</v>
      </c>
      <c r="I930" t="str">
        <f>IF(quantInv[[#This Row],[Metal]] = "925 Silver",  "7113.11.00"," 7113.19.00")</f>
        <v>7113.11.00</v>
      </c>
      <c r="J930" t="str">
        <f>IF(quantInv[[#This Row],[Metal]] = "925 Silver", "7113.11.10.00"," 7113.19.10.00")</f>
        <v>7113.11.10.00</v>
      </c>
      <c r="K930" t="str">
        <f>IF(quantInv[[#This Row],[Metal]] = "925 Silver",  "7113.11.00"," 7113.19.00")</f>
        <v>7113.11.00</v>
      </c>
      <c r="L930" t="str">
        <f>IFERROR(VLOOKUP(quantInv[[#This Row],[Description for New Invoice]],Map!$G$12:$H$32,2,FALSE), IF(quantInv[[#This Row],[Metal]] = "925 Silver", "7113.11.10.00", "7113.19.29.00"))</f>
        <v>7113.11.10.00</v>
      </c>
      <c r="M930" t="str">
        <f>quantInv[[#This Row],[ASIN]] &amp; " " &amp; quantInv[[#This Row],[Short Description]]</f>
        <v>B08R3ZN3TN Ring with CZ - K</v>
      </c>
      <c r="N930" s="33">
        <f>quantInv[[#This Row],[UNIT
VALUE]] / EURtoGBP</f>
        <v>4.5044922329490955</v>
      </c>
      <c r="O930" s="33">
        <f>quantInv[[#This Row],[UNIT
VALUE]]/USDtoGBP</f>
        <v>5.4398800246201766</v>
      </c>
      <c r="P930" s="33">
        <f>quantInv[[#This Row],[UNIT
VALUE]] / CADtoGBP</f>
        <v>6.9633591456491946</v>
      </c>
      <c r="Q930" s="33">
        <f>quantInv[[#This Row],[UNIT
VALUE]]/AUDtoGBP</f>
        <v>7.1274876068683097</v>
      </c>
      <c r="R930">
        <f>IFERROR(VLOOKUP(quantInv[[#This Row],[Assigned Item SKU]],skuQuantity[#All],2,FALSE),0)</f>
        <v>0</v>
      </c>
      <c r="S930" t="str">
        <f>PROPER(quantInv[[#This Row],[Metal]] &amp; " " &amp; quantInv[[#This Row],[Item Type]])</f>
        <v xml:space="preserve">925 Silver </v>
      </c>
      <c r="T930" s="33">
        <f>quantInv[[#This Row],[Quantity]]*quantInv[[#This Row],[WEIGHT]]</f>
        <v>0</v>
      </c>
      <c r="U930" s="33">
        <f>quantInv[[#This Row],[UNIT
VALUE]]*quantInv[[#This Row],[Quantity]]</f>
        <v>0</v>
      </c>
      <c r="V930" s="33">
        <f>quantInv[[#This Row],[Total Cost GBP]]/EURtoGBP</f>
        <v>0</v>
      </c>
      <c r="W930" s="33">
        <f>quantInv[[#This Row],[Total Cost GBP]]/USDtoGBP</f>
        <v>0</v>
      </c>
      <c r="X930" s="33">
        <f>quantInv[[#This Row],[Total Cost GBP]]/CADtoGBP</f>
        <v>0</v>
      </c>
      <c r="Y930" s="33">
        <f>quantInv[[#This Row],[Quantity]]*quantInv[[#This Row],[UNIT
VALUE AUD]]</f>
        <v>0</v>
      </c>
      <c r="Z930" s="33"/>
    </row>
    <row r="931" spans="1:26" x14ac:dyDescent="0.25">
      <c r="A931" t="s">
        <v>2318</v>
      </c>
      <c r="B931" t="s">
        <v>2319</v>
      </c>
      <c r="C931" t="s">
        <v>115</v>
      </c>
      <c r="D931" t="s">
        <v>2320</v>
      </c>
      <c r="E931">
        <v>1.744</v>
      </c>
      <c r="F931" s="33">
        <v>3.9683000000000002</v>
      </c>
      <c r="G931" s="33" t="s">
        <v>117</v>
      </c>
      <c r="H931" t="s">
        <v>2875</v>
      </c>
      <c r="I931" t="str">
        <f>IF(quantInv[[#This Row],[Metal]] = "925 Silver",  "7113.11.00"," 7113.19.00")</f>
        <v>7113.11.00</v>
      </c>
      <c r="J931" t="str">
        <f>IF(quantInv[[#This Row],[Metal]] = "925 Silver", "7113.11.10.00"," 7113.19.10.00")</f>
        <v>7113.11.10.00</v>
      </c>
      <c r="K931" t="str">
        <f>IF(quantInv[[#This Row],[Metal]] = "925 Silver",  "7113.11.00"," 7113.19.00")</f>
        <v>7113.11.00</v>
      </c>
      <c r="L931" t="str">
        <f>IFERROR(VLOOKUP(quantInv[[#This Row],[Description for New Invoice]],Map!$G$12:$H$32,2,FALSE), IF(quantInv[[#This Row],[Metal]] = "925 Silver", "7113.11.10.00", "7113.19.29.00"))</f>
        <v>7113.11.10.00</v>
      </c>
      <c r="M931" t="str">
        <f>quantInv[[#This Row],[ASIN]] &amp; " " &amp; quantInv[[#This Row],[Short Description]]</f>
        <v>B08R41LNFD Ring with CZ - P</v>
      </c>
      <c r="N931" s="33">
        <f>quantInv[[#This Row],[UNIT
VALUE]] / EURtoGBP</f>
        <v>4.5044922329490955</v>
      </c>
      <c r="O931" s="33">
        <f>quantInv[[#This Row],[UNIT
VALUE]]/USDtoGBP</f>
        <v>5.4398800246201766</v>
      </c>
      <c r="P931" s="33">
        <f>quantInv[[#This Row],[UNIT
VALUE]] / CADtoGBP</f>
        <v>6.9633591456491946</v>
      </c>
      <c r="Q931" s="33">
        <f>quantInv[[#This Row],[UNIT
VALUE]]/AUDtoGBP</f>
        <v>7.1274876068683097</v>
      </c>
      <c r="R931">
        <f>IFERROR(VLOOKUP(quantInv[[#This Row],[Assigned Item SKU]],skuQuantity[#All],2,FALSE),0)</f>
        <v>0</v>
      </c>
      <c r="S931" t="str">
        <f>PROPER(quantInv[[#This Row],[Metal]] &amp; " " &amp; quantInv[[#This Row],[Item Type]])</f>
        <v xml:space="preserve">925 Silver </v>
      </c>
      <c r="T931" s="33">
        <f>quantInv[[#This Row],[Quantity]]*quantInv[[#This Row],[WEIGHT]]</f>
        <v>0</v>
      </c>
      <c r="U931" s="33">
        <f>quantInv[[#This Row],[UNIT
VALUE]]*quantInv[[#This Row],[Quantity]]</f>
        <v>0</v>
      </c>
      <c r="V931" s="33">
        <f>quantInv[[#This Row],[Total Cost GBP]]/EURtoGBP</f>
        <v>0</v>
      </c>
      <c r="W931" s="33">
        <f>quantInv[[#This Row],[Total Cost GBP]]/USDtoGBP</f>
        <v>0</v>
      </c>
      <c r="X931" s="33">
        <f>quantInv[[#This Row],[Total Cost GBP]]/CADtoGBP</f>
        <v>0</v>
      </c>
      <c r="Y931" s="33">
        <f>quantInv[[#This Row],[Quantity]]*quantInv[[#This Row],[UNIT
VALUE AUD]]</f>
        <v>0</v>
      </c>
      <c r="Z931" s="33"/>
    </row>
    <row r="932" spans="1:26" x14ac:dyDescent="0.25">
      <c r="A932" t="s">
        <v>2303</v>
      </c>
      <c r="B932" t="s">
        <v>2304</v>
      </c>
      <c r="C932" t="s">
        <v>115</v>
      </c>
      <c r="D932" t="s">
        <v>2305</v>
      </c>
      <c r="E932">
        <v>2.0699999999999998</v>
      </c>
      <c r="F932" s="33">
        <v>3.8466</v>
      </c>
      <c r="G932" s="33" t="s">
        <v>117</v>
      </c>
      <c r="H932" t="s">
        <v>3302</v>
      </c>
      <c r="I932" t="str">
        <f>IF(quantInv[[#This Row],[Metal]] = "925 Silver",  "7113.11.00"," 7113.19.00")</f>
        <v>7113.11.00</v>
      </c>
      <c r="J932" t="str">
        <f>IF(quantInv[[#This Row],[Metal]] = "925 Silver", "7113.11.10.00"," 7113.19.10.00")</f>
        <v>7113.11.10.00</v>
      </c>
      <c r="K932" t="str">
        <f>IF(quantInv[[#This Row],[Metal]] = "925 Silver",  "7113.11.00"," 7113.19.00")</f>
        <v>7113.11.00</v>
      </c>
      <c r="L932" t="str">
        <f>IFERROR(VLOOKUP(quantInv[[#This Row],[Description for New Invoice]],Map!$G$12:$H$32,2,FALSE), IF(quantInv[[#This Row],[Metal]] = "925 Silver", "7113.11.10.00", "7113.19.29.00"))</f>
        <v>7113.11.50.00</v>
      </c>
      <c r="M932" t="str">
        <f>quantInv[[#This Row],[ASIN]] &amp; " " &amp; quantInv[[#This Row],[Short Description]]</f>
        <v>B08R41X17V Celtic Braid Ring - P</v>
      </c>
      <c r="N932" s="33">
        <f>quantInv[[#This Row],[UNIT
VALUE]] / EURtoGBP</f>
        <v>4.366348265822138</v>
      </c>
      <c r="O932" s="33">
        <f>quantInv[[#This Row],[UNIT
VALUE]]/USDtoGBP</f>
        <v>5.2730495433066977</v>
      </c>
      <c r="P932" s="33">
        <f>quantInv[[#This Row],[UNIT
VALUE]] / CADtoGBP</f>
        <v>6.7498065392370012</v>
      </c>
      <c r="Q932" s="33">
        <f>quantInv[[#This Row],[UNIT
VALUE]]/AUDtoGBP</f>
        <v>6.9089015015446504</v>
      </c>
      <c r="R932">
        <f>IFERROR(VLOOKUP(quantInv[[#This Row],[Assigned Item SKU]],skuQuantity[#All],2,FALSE),0)</f>
        <v>5</v>
      </c>
      <c r="S932" t="str">
        <f>PROPER(quantInv[[#This Row],[Metal]] &amp; " " &amp; quantInv[[#This Row],[Item Type]])</f>
        <v>925 Silver Ring</v>
      </c>
      <c r="T932" s="33">
        <f>quantInv[[#This Row],[Quantity]]*quantInv[[#This Row],[WEIGHT]]</f>
        <v>10.35</v>
      </c>
      <c r="U932" s="33">
        <f>quantInv[[#This Row],[UNIT
VALUE]]*quantInv[[#This Row],[Quantity]]</f>
        <v>19.233000000000001</v>
      </c>
      <c r="V932" s="33">
        <f>quantInv[[#This Row],[Total Cost GBP]]/EURtoGBP</f>
        <v>21.831741329110692</v>
      </c>
      <c r="W932" s="33">
        <f>quantInv[[#This Row],[Total Cost GBP]]/USDtoGBP</f>
        <v>26.365247716533492</v>
      </c>
      <c r="X932" s="33">
        <f>quantInv[[#This Row],[Total Cost GBP]]/CADtoGBP</f>
        <v>33.749032696185004</v>
      </c>
      <c r="Y932" s="33">
        <f>quantInv[[#This Row],[Quantity]]*quantInv[[#This Row],[UNIT
VALUE AUD]]</f>
        <v>34.544507507723253</v>
      </c>
      <c r="Z932" s="33"/>
    </row>
    <row r="933" spans="1:26" x14ac:dyDescent="0.25">
      <c r="A933" t="s">
        <v>2324</v>
      </c>
      <c r="B933" t="s">
        <v>2325</v>
      </c>
      <c r="C933" t="s">
        <v>115</v>
      </c>
      <c r="D933" t="s">
        <v>2326</v>
      </c>
      <c r="E933">
        <v>1.806</v>
      </c>
      <c r="F933" s="33">
        <v>3.9683000000000002</v>
      </c>
      <c r="G933" s="33" t="s">
        <v>117</v>
      </c>
      <c r="H933" t="s">
        <v>3302</v>
      </c>
      <c r="I933" t="str">
        <f>IF(quantInv[[#This Row],[Metal]] = "925 Silver",  "7113.11.00"," 7113.19.00")</f>
        <v>7113.11.00</v>
      </c>
      <c r="J933" t="str">
        <f>IF(quantInv[[#This Row],[Metal]] = "925 Silver", "7113.11.10.00"," 7113.19.10.00")</f>
        <v>7113.11.10.00</v>
      </c>
      <c r="K933" t="str">
        <f>IF(quantInv[[#This Row],[Metal]] = "925 Silver",  "7113.11.00"," 7113.19.00")</f>
        <v>7113.11.00</v>
      </c>
      <c r="L933" t="str">
        <f>IFERROR(VLOOKUP(quantInv[[#This Row],[Description for New Invoice]],Map!$G$12:$H$32,2,FALSE), IF(quantInv[[#This Row],[Metal]] = "925 Silver", "7113.11.10.00", "7113.19.29.00"))</f>
        <v>7113.11.50.00</v>
      </c>
      <c r="M933" t="str">
        <f>quantInv[[#This Row],[ASIN]] &amp; " " &amp; quantInv[[#This Row],[Short Description]]</f>
        <v>B08R42FXDB Ring with CZ - S</v>
      </c>
      <c r="N933" s="33">
        <f>quantInv[[#This Row],[UNIT
VALUE]] / EURtoGBP</f>
        <v>4.5044922329490955</v>
      </c>
      <c r="O933" s="33">
        <f>quantInv[[#This Row],[UNIT
VALUE]]/USDtoGBP</f>
        <v>5.4398800246201766</v>
      </c>
      <c r="P933" s="33">
        <f>quantInv[[#This Row],[UNIT
VALUE]] / CADtoGBP</f>
        <v>6.9633591456491946</v>
      </c>
      <c r="Q933" s="33">
        <f>quantInv[[#This Row],[UNIT
VALUE]]/AUDtoGBP</f>
        <v>7.1274876068683097</v>
      </c>
      <c r="R933">
        <f>IFERROR(VLOOKUP(quantInv[[#This Row],[Assigned Item SKU]],skuQuantity[#All],2,FALSE),0)</f>
        <v>0</v>
      </c>
      <c r="S933" t="str">
        <f>PROPER(quantInv[[#This Row],[Metal]] &amp; " " &amp; quantInv[[#This Row],[Item Type]])</f>
        <v>925 Silver Ring</v>
      </c>
      <c r="T933" s="33">
        <f>quantInv[[#This Row],[Quantity]]*quantInv[[#This Row],[WEIGHT]]</f>
        <v>0</v>
      </c>
      <c r="U933" s="33">
        <f>quantInv[[#This Row],[UNIT
VALUE]]*quantInv[[#This Row],[Quantity]]</f>
        <v>0</v>
      </c>
      <c r="V933" s="33">
        <f>quantInv[[#This Row],[Total Cost GBP]]/EURtoGBP</f>
        <v>0</v>
      </c>
      <c r="W933" s="33">
        <f>quantInv[[#This Row],[Total Cost GBP]]/USDtoGBP</f>
        <v>0</v>
      </c>
      <c r="X933" s="33">
        <f>quantInv[[#This Row],[Total Cost GBP]]/CADtoGBP</f>
        <v>0</v>
      </c>
      <c r="Y933" s="33">
        <f>quantInv[[#This Row],[Quantity]]*quantInv[[#This Row],[UNIT
VALUE AUD]]</f>
        <v>0</v>
      </c>
      <c r="Z933" s="33"/>
    </row>
    <row r="934" spans="1:26" x14ac:dyDescent="0.25">
      <c r="A934" t="s">
        <v>2327</v>
      </c>
      <c r="B934" t="s">
        <v>2328</v>
      </c>
      <c r="C934" t="s">
        <v>115</v>
      </c>
      <c r="D934" t="s">
        <v>2329</v>
      </c>
      <c r="E934">
        <v>6.61</v>
      </c>
      <c r="F934" s="33">
        <v>7.2538</v>
      </c>
      <c r="G934" s="33" t="s">
        <v>117</v>
      </c>
      <c r="H934" t="s">
        <v>2875</v>
      </c>
      <c r="I934" t="str">
        <f>IF(quantInv[[#This Row],[Metal]] = "925 Silver",  "7113.11.00"," 7113.19.00")</f>
        <v>7113.11.00</v>
      </c>
      <c r="J934" t="str">
        <f>IF(quantInv[[#This Row],[Metal]] = "925 Silver", "7113.11.10.00"," 7113.19.10.00")</f>
        <v>7113.11.10.00</v>
      </c>
      <c r="K934" t="str">
        <f>IF(quantInv[[#This Row],[Metal]] = "925 Silver",  "7113.11.00"," 7113.19.00")</f>
        <v>7113.11.00</v>
      </c>
      <c r="L934" t="str">
        <f>IFERROR(VLOOKUP(quantInv[[#This Row],[Description for New Invoice]],Map!$G$12:$H$32,2,FALSE), IF(quantInv[[#This Row],[Metal]] = "925 Silver", "7113.11.10.00", "7113.19.29.00"))</f>
        <v>7113.11.10.00</v>
      </c>
      <c r="M934" t="str">
        <f>quantInv[[#This Row],[ASIN]] &amp; " " &amp; quantInv[[#This Row],[Short Description]]</f>
        <v>B08Z49YBVT Silver Locket - Wings Design</v>
      </c>
      <c r="N934" s="33">
        <f>quantInv[[#This Row],[UNIT
VALUE]] / EURtoGBP</f>
        <v>8.2339252978268149</v>
      </c>
      <c r="O934" s="33">
        <f>quantInv[[#This Row],[UNIT
VALUE]]/USDtoGBP</f>
        <v>9.9437546865382753</v>
      </c>
      <c r="P934" s="33">
        <f>quantInv[[#This Row],[UNIT
VALUE]] / CADtoGBP</f>
        <v>12.728577620318555</v>
      </c>
      <c r="Q934" s="33">
        <f>quantInv[[#This Row],[UNIT
VALUE]]/AUDtoGBP</f>
        <v>13.028594008190243</v>
      </c>
      <c r="R934">
        <f>IFERROR(VLOOKUP(quantInv[[#This Row],[Assigned Item SKU]],skuQuantity[#All],2,FALSE),0)</f>
        <v>0</v>
      </c>
      <c r="S934" t="str">
        <f>PROPER(quantInv[[#This Row],[Metal]] &amp; " " &amp; quantInv[[#This Row],[Item Type]])</f>
        <v xml:space="preserve">925 Silver </v>
      </c>
      <c r="T934" s="33">
        <f>quantInv[[#This Row],[Quantity]]*quantInv[[#This Row],[WEIGHT]]</f>
        <v>0</v>
      </c>
      <c r="U934" s="33">
        <f>quantInv[[#This Row],[UNIT
VALUE]]*quantInv[[#This Row],[Quantity]]</f>
        <v>0</v>
      </c>
      <c r="V934" s="33">
        <f>quantInv[[#This Row],[Total Cost GBP]]/EURtoGBP</f>
        <v>0</v>
      </c>
      <c r="W934" s="33">
        <f>quantInv[[#This Row],[Total Cost GBP]]/USDtoGBP</f>
        <v>0</v>
      </c>
      <c r="X934" s="33">
        <f>quantInv[[#This Row],[Total Cost GBP]]/CADtoGBP</f>
        <v>0</v>
      </c>
      <c r="Y934" s="33">
        <f>quantInv[[#This Row],[Quantity]]*quantInv[[#This Row],[UNIT
VALUE AUD]]</f>
        <v>0</v>
      </c>
      <c r="Z934" s="33"/>
    </row>
    <row r="935" spans="1:26" x14ac:dyDescent="0.25">
      <c r="A935" t="s">
        <v>2333</v>
      </c>
      <c r="B935" t="s">
        <v>2334</v>
      </c>
      <c r="C935" t="s">
        <v>115</v>
      </c>
      <c r="D935" t="s">
        <v>2335</v>
      </c>
      <c r="E935">
        <v>0.8</v>
      </c>
      <c r="F935" s="33">
        <v>1.5750999999999999</v>
      </c>
      <c r="G935" s="33" t="s">
        <v>117</v>
      </c>
      <c r="H935" t="s">
        <v>1310</v>
      </c>
      <c r="I935" t="str">
        <f>IF(quantInv[[#This Row],[Metal]] = "925 Silver",  "7113.11.00"," 7113.19.00")</f>
        <v>7113.11.00</v>
      </c>
      <c r="J935" t="str">
        <f>IF(quantInv[[#This Row],[Metal]] = "925 Silver", "7113.11.10.00"," 7113.19.10.00")</f>
        <v>7113.11.10.00</v>
      </c>
      <c r="K935" t="str">
        <f>IF(quantInv[[#This Row],[Metal]] = "925 Silver",  "7113.11.00"," 7113.19.00")</f>
        <v>7113.11.00</v>
      </c>
      <c r="L935" t="str">
        <f>IFERROR(VLOOKUP(quantInv[[#This Row],[Description for New Invoice]],Map!$G$12:$H$32,2,FALSE), IF(quantInv[[#This Row],[Metal]] = "925 Silver", "7113.11.10.00", "7113.19.29.00"))</f>
        <v>7113.11.50.00</v>
      </c>
      <c r="M935" t="str">
        <f>quantInv[[#This Row],[ASIN]] &amp; " " &amp; quantInv[[#This Row],[Short Description]]</f>
        <v>B099S943ZW Round Stud Earrings with Swarovski 4 pin crown - Aquamarine</v>
      </c>
      <c r="N935" s="33">
        <f>quantInv[[#This Row],[UNIT
VALUE]] / EURtoGBP</f>
        <v>1.7879257405231763</v>
      </c>
      <c r="O935" s="33">
        <f>quantInv[[#This Row],[UNIT
VALUE]]/USDtoGBP</f>
        <v>2.1592004200234962</v>
      </c>
      <c r="P935" s="33">
        <f>quantInv[[#This Row],[UNIT
VALUE]] / CADtoGBP</f>
        <v>2.7639006603109757</v>
      </c>
      <c r="Q935" s="33">
        <f>quantInv[[#This Row],[UNIT
VALUE]]/AUDtoGBP</f>
        <v>2.8290466269128527</v>
      </c>
      <c r="R935">
        <f>IFERROR(VLOOKUP(quantInv[[#This Row],[Assigned Item SKU]],skuQuantity[#All],2,FALSE),0)</f>
        <v>5</v>
      </c>
      <c r="S935" t="str">
        <f>PROPER(quantInv[[#This Row],[Metal]] &amp; " " &amp; quantInv[[#This Row],[Item Type]])</f>
        <v>925 Silver Earrings</v>
      </c>
      <c r="T935" s="33">
        <f>quantInv[[#This Row],[Quantity]]*quantInv[[#This Row],[WEIGHT]]</f>
        <v>4</v>
      </c>
      <c r="U935" s="33">
        <f>quantInv[[#This Row],[UNIT
VALUE]]*quantInv[[#This Row],[Quantity]]</f>
        <v>7.8754999999999997</v>
      </c>
      <c r="V935" s="33">
        <f>quantInv[[#This Row],[Total Cost GBP]]/EURtoGBP</f>
        <v>8.9396287026158809</v>
      </c>
      <c r="W935" s="33">
        <f>quantInv[[#This Row],[Total Cost GBP]]/USDtoGBP</f>
        <v>10.79600210011748</v>
      </c>
      <c r="X935" s="33">
        <f>quantInv[[#This Row],[Total Cost GBP]]/CADtoGBP</f>
        <v>13.81950330155488</v>
      </c>
      <c r="Y935" s="33">
        <f>quantInv[[#This Row],[Quantity]]*quantInv[[#This Row],[UNIT
VALUE AUD]]</f>
        <v>14.145233134564263</v>
      </c>
      <c r="Z935" s="33"/>
    </row>
    <row r="936" spans="1:26" x14ac:dyDescent="0.25">
      <c r="A936" t="s">
        <v>2336</v>
      </c>
      <c r="B936" t="s">
        <v>2337</v>
      </c>
      <c r="C936" t="s">
        <v>115</v>
      </c>
      <c r="D936" t="s">
        <v>2338</v>
      </c>
      <c r="E936">
        <v>0.85</v>
      </c>
      <c r="F936" s="33">
        <v>1.5750999999999999</v>
      </c>
      <c r="G936" s="33" t="s">
        <v>117</v>
      </c>
      <c r="H936" t="s">
        <v>1310</v>
      </c>
      <c r="I936" t="str">
        <f>IF(quantInv[[#This Row],[Metal]] = "925 Silver",  "7113.11.00"," 7113.19.00")</f>
        <v>7113.11.00</v>
      </c>
      <c r="J936" t="str">
        <f>IF(quantInv[[#This Row],[Metal]] = "925 Silver", "7113.11.10.00"," 7113.19.10.00")</f>
        <v>7113.11.10.00</v>
      </c>
      <c r="K936" t="str">
        <f>IF(quantInv[[#This Row],[Metal]] = "925 Silver",  "7113.11.00"," 7113.19.00")</f>
        <v>7113.11.00</v>
      </c>
      <c r="L936" t="str">
        <f>IFERROR(VLOOKUP(quantInv[[#This Row],[Description for New Invoice]],Map!$G$12:$H$32,2,FALSE), IF(quantInv[[#This Row],[Metal]] = "925 Silver", "7113.11.10.00", "7113.19.29.00"))</f>
        <v>7113.11.50.00</v>
      </c>
      <c r="M936" t="str">
        <f>quantInv[[#This Row],[ASIN]] &amp; " " &amp; quantInv[[#This Row],[Short Description]]</f>
        <v>B099SCVL6Q Round Stud Earrings with Swarovski 4 pin crown - Bermuda Blue</v>
      </c>
      <c r="N936" s="33">
        <f>quantInv[[#This Row],[UNIT
VALUE]] / EURtoGBP</f>
        <v>1.7879257405231763</v>
      </c>
      <c r="O936" s="33">
        <f>quantInv[[#This Row],[UNIT
VALUE]]/USDtoGBP</f>
        <v>2.1592004200234962</v>
      </c>
      <c r="P936" s="33">
        <f>quantInv[[#This Row],[UNIT
VALUE]] / CADtoGBP</f>
        <v>2.7639006603109757</v>
      </c>
      <c r="Q936" s="33">
        <f>quantInv[[#This Row],[UNIT
VALUE]]/AUDtoGBP</f>
        <v>2.8290466269128527</v>
      </c>
      <c r="R936">
        <f>IFERROR(VLOOKUP(quantInv[[#This Row],[Assigned Item SKU]],skuQuantity[#All],2,FALSE),0)</f>
        <v>0</v>
      </c>
      <c r="S936" t="str">
        <f>PROPER(quantInv[[#This Row],[Metal]] &amp; " " &amp; quantInv[[#This Row],[Item Type]])</f>
        <v>925 Silver Earrings</v>
      </c>
      <c r="T936" s="33">
        <f>quantInv[[#This Row],[Quantity]]*quantInv[[#This Row],[WEIGHT]]</f>
        <v>0</v>
      </c>
      <c r="U936" s="33">
        <f>quantInv[[#This Row],[UNIT
VALUE]]*quantInv[[#This Row],[Quantity]]</f>
        <v>0</v>
      </c>
      <c r="V936" s="33">
        <f>quantInv[[#This Row],[Total Cost GBP]]/EURtoGBP</f>
        <v>0</v>
      </c>
      <c r="W936" s="33">
        <f>quantInv[[#This Row],[Total Cost GBP]]/USDtoGBP</f>
        <v>0</v>
      </c>
      <c r="X936" s="33">
        <f>quantInv[[#This Row],[Total Cost GBP]]/CADtoGBP</f>
        <v>0</v>
      </c>
      <c r="Y936" s="33">
        <f>quantInv[[#This Row],[Quantity]]*quantInv[[#This Row],[UNIT
VALUE AUD]]</f>
        <v>0</v>
      </c>
      <c r="Z936" s="33"/>
    </row>
    <row r="937" spans="1:26" x14ac:dyDescent="0.25">
      <c r="A937" t="s">
        <v>2339</v>
      </c>
      <c r="B937" t="s">
        <v>2340</v>
      </c>
      <c r="C937" t="s">
        <v>115</v>
      </c>
      <c r="D937" t="s">
        <v>2341</v>
      </c>
      <c r="E937">
        <v>0.85</v>
      </c>
      <c r="F937" s="33">
        <v>1.5750999999999999</v>
      </c>
      <c r="G937" s="33" t="s">
        <v>117</v>
      </c>
      <c r="H937" t="s">
        <v>1310</v>
      </c>
      <c r="I937" t="str">
        <f>IF(quantInv[[#This Row],[Metal]] = "925 Silver",  "7113.11.00"," 7113.19.00")</f>
        <v>7113.11.00</v>
      </c>
      <c r="J937" t="str">
        <f>IF(quantInv[[#This Row],[Metal]] = "925 Silver", "7113.11.10.00"," 7113.19.10.00")</f>
        <v>7113.11.10.00</v>
      </c>
      <c r="K937" t="str">
        <f>IF(quantInv[[#This Row],[Metal]] = "925 Silver",  "7113.11.00"," 7113.19.00")</f>
        <v>7113.11.00</v>
      </c>
      <c r="L937" t="str">
        <f>IFERROR(VLOOKUP(quantInv[[#This Row],[Description for New Invoice]],Map!$G$12:$H$32,2,FALSE), IF(quantInv[[#This Row],[Metal]] = "925 Silver", "7113.11.10.00", "7113.19.29.00"))</f>
        <v>7113.11.50.00</v>
      </c>
      <c r="M937" t="str">
        <f>quantInv[[#This Row],[ASIN]] &amp; " " &amp; quantInv[[#This Row],[Short Description]]</f>
        <v>B099S9PSXN Round Stud Earrings with Swarovski 4 pin crown - Majestic Blue</v>
      </c>
      <c r="N937" s="33">
        <f>quantInv[[#This Row],[UNIT
VALUE]] / EURtoGBP</f>
        <v>1.7879257405231763</v>
      </c>
      <c r="O937" s="33">
        <f>quantInv[[#This Row],[UNIT
VALUE]]/USDtoGBP</f>
        <v>2.1592004200234962</v>
      </c>
      <c r="P937" s="33">
        <f>quantInv[[#This Row],[UNIT
VALUE]] / CADtoGBP</f>
        <v>2.7639006603109757</v>
      </c>
      <c r="Q937" s="33">
        <f>quantInv[[#This Row],[UNIT
VALUE]]/AUDtoGBP</f>
        <v>2.8290466269128527</v>
      </c>
      <c r="R937">
        <f>IFERROR(VLOOKUP(quantInv[[#This Row],[Assigned Item SKU]],skuQuantity[#All],2,FALSE),0)</f>
        <v>0</v>
      </c>
      <c r="S937" t="str">
        <f>PROPER(quantInv[[#This Row],[Metal]] &amp; " " &amp; quantInv[[#This Row],[Item Type]])</f>
        <v>925 Silver Earrings</v>
      </c>
      <c r="T937" s="33">
        <f>quantInv[[#This Row],[Quantity]]*quantInv[[#This Row],[WEIGHT]]</f>
        <v>0</v>
      </c>
      <c r="U937" s="33">
        <f>quantInv[[#This Row],[UNIT
VALUE]]*quantInv[[#This Row],[Quantity]]</f>
        <v>0</v>
      </c>
      <c r="V937" s="33">
        <f>quantInv[[#This Row],[Total Cost GBP]]/EURtoGBP</f>
        <v>0</v>
      </c>
      <c r="W937" s="33">
        <f>quantInv[[#This Row],[Total Cost GBP]]/USDtoGBP</f>
        <v>0</v>
      </c>
      <c r="X937" s="33">
        <f>quantInv[[#This Row],[Total Cost GBP]]/CADtoGBP</f>
        <v>0</v>
      </c>
      <c r="Y937" s="33">
        <f>quantInv[[#This Row],[Quantity]]*quantInv[[#This Row],[UNIT
VALUE AUD]]</f>
        <v>0</v>
      </c>
      <c r="Z937" s="33"/>
    </row>
    <row r="938" spans="1:26" x14ac:dyDescent="0.25">
      <c r="A938" t="s">
        <v>2342</v>
      </c>
      <c r="B938" t="s">
        <v>2343</v>
      </c>
      <c r="C938" t="s">
        <v>115</v>
      </c>
      <c r="D938" t="s">
        <v>2344</v>
      </c>
      <c r="E938">
        <v>0.85</v>
      </c>
      <c r="F938" s="33">
        <v>1.5750999999999999</v>
      </c>
      <c r="G938" s="33" t="s">
        <v>117</v>
      </c>
      <c r="H938" t="s">
        <v>1310</v>
      </c>
      <c r="I938" t="str">
        <f>IF(quantInv[[#This Row],[Metal]] = "925 Silver",  "7113.11.00"," 7113.19.00")</f>
        <v>7113.11.00</v>
      </c>
      <c r="J938" t="str">
        <f>IF(quantInv[[#This Row],[Metal]] = "925 Silver", "7113.11.10.00"," 7113.19.10.00")</f>
        <v>7113.11.10.00</v>
      </c>
      <c r="K938" t="str">
        <f>IF(quantInv[[#This Row],[Metal]] = "925 Silver",  "7113.11.00"," 7113.19.00")</f>
        <v>7113.11.00</v>
      </c>
      <c r="L938" t="str">
        <f>IFERROR(VLOOKUP(quantInv[[#This Row],[Description for New Invoice]],Map!$G$12:$H$32,2,FALSE), IF(quantInv[[#This Row],[Metal]] = "925 Silver", "7113.11.10.00", "7113.19.29.00"))</f>
        <v>7113.11.50.00</v>
      </c>
      <c r="M938" t="str">
        <f>quantInv[[#This Row],[ASIN]] &amp; " " &amp; quantInv[[#This Row],[Short Description]]</f>
        <v>B099S9KP1Z Round Stud Earrings with Swarovski 4 pin crown - Dark Denim Blue</v>
      </c>
      <c r="N938" s="33">
        <f>quantInv[[#This Row],[UNIT
VALUE]] / EURtoGBP</f>
        <v>1.7879257405231763</v>
      </c>
      <c r="O938" s="33">
        <f>quantInv[[#This Row],[UNIT
VALUE]]/USDtoGBP</f>
        <v>2.1592004200234962</v>
      </c>
      <c r="P938" s="33">
        <f>quantInv[[#This Row],[UNIT
VALUE]] / CADtoGBP</f>
        <v>2.7639006603109757</v>
      </c>
      <c r="Q938" s="33">
        <f>quantInv[[#This Row],[UNIT
VALUE]]/AUDtoGBP</f>
        <v>2.8290466269128527</v>
      </c>
      <c r="R938">
        <f>IFERROR(VLOOKUP(quantInv[[#This Row],[Assigned Item SKU]],skuQuantity[#All],2,FALSE),0)</f>
        <v>0</v>
      </c>
      <c r="S938" t="str">
        <f>PROPER(quantInv[[#This Row],[Metal]] &amp; " " &amp; quantInv[[#This Row],[Item Type]])</f>
        <v>925 Silver Earrings</v>
      </c>
      <c r="T938" s="33">
        <f>quantInv[[#This Row],[Quantity]]*quantInv[[#This Row],[WEIGHT]]</f>
        <v>0</v>
      </c>
      <c r="U938" s="33">
        <f>quantInv[[#This Row],[UNIT
VALUE]]*quantInv[[#This Row],[Quantity]]</f>
        <v>0</v>
      </c>
      <c r="V938" s="33">
        <f>quantInv[[#This Row],[Total Cost GBP]]/EURtoGBP</f>
        <v>0</v>
      </c>
      <c r="W938" s="33">
        <f>quantInv[[#This Row],[Total Cost GBP]]/USDtoGBP</f>
        <v>0</v>
      </c>
      <c r="X938" s="33">
        <f>quantInv[[#This Row],[Total Cost GBP]]/CADtoGBP</f>
        <v>0</v>
      </c>
      <c r="Y938" s="33">
        <f>quantInv[[#This Row],[Quantity]]*quantInv[[#This Row],[UNIT
VALUE AUD]]</f>
        <v>0</v>
      </c>
      <c r="Z938" s="33"/>
    </row>
    <row r="939" spans="1:26" x14ac:dyDescent="0.25">
      <c r="A939" t="s">
        <v>2345</v>
      </c>
      <c r="B939" t="s">
        <v>2346</v>
      </c>
      <c r="C939" t="s">
        <v>115</v>
      </c>
      <c r="D939" t="s">
        <v>2347</v>
      </c>
      <c r="E939">
        <v>0.38</v>
      </c>
      <c r="F939" s="33">
        <v>0.94640000000000002</v>
      </c>
      <c r="G939" s="33" t="s">
        <v>117</v>
      </c>
      <c r="H939" t="s">
        <v>2875</v>
      </c>
      <c r="I939" t="str">
        <f>IF(quantInv[[#This Row],[Metal]] = "925 Silver",  "7113.11.00"," 7113.19.00")</f>
        <v>7113.11.00</v>
      </c>
      <c r="J939" t="str">
        <f>IF(quantInv[[#This Row],[Metal]] = "925 Silver", "7113.11.10.00"," 7113.19.10.00")</f>
        <v>7113.11.10.00</v>
      </c>
      <c r="K939" t="str">
        <f>IF(quantInv[[#This Row],[Metal]] = "925 Silver",  "7113.11.00"," 7113.19.00")</f>
        <v>7113.11.00</v>
      </c>
      <c r="L939" t="str">
        <f>IFERROR(VLOOKUP(quantInv[[#This Row],[Description for New Invoice]],Map!$G$12:$H$32,2,FALSE), IF(quantInv[[#This Row],[Metal]] = "925 Silver", "7113.11.10.00", "7113.19.29.00"))</f>
        <v>7113.11.10.00</v>
      </c>
      <c r="M939" t="str">
        <f>quantInv[[#This Row],[ASIN]] &amp; " " &amp; quantInv[[#This Row],[Short Description]]</f>
        <v>B09C6GRXJ6 Silver Bali ear cuff: Rope and Knot pattern</v>
      </c>
      <c r="N939" s="33">
        <f>quantInv[[#This Row],[UNIT
VALUE]] / EURtoGBP</f>
        <v>1.0742765036068402</v>
      </c>
      <c r="O939" s="33">
        <f>quantInv[[#This Row],[UNIT
VALUE]]/USDtoGBP</f>
        <v>1.2973571693925698</v>
      </c>
      <c r="P939" s="33">
        <f>quantInv[[#This Row],[UNIT
VALUE]] / CADtoGBP</f>
        <v>1.6606917560271144</v>
      </c>
      <c r="Q939" s="33">
        <f>quantInv[[#This Row],[UNIT
VALUE]]/AUDtoGBP</f>
        <v>1.6998347582441267</v>
      </c>
      <c r="R939">
        <f>IFERROR(VLOOKUP(quantInv[[#This Row],[Assigned Item SKU]],skuQuantity[#All],2,FALSE),0)</f>
        <v>0</v>
      </c>
      <c r="S939" t="str">
        <f>PROPER(quantInv[[#This Row],[Metal]] &amp; " " &amp; quantInv[[#This Row],[Item Type]])</f>
        <v xml:space="preserve">925 Silver </v>
      </c>
      <c r="T939" s="33">
        <f>quantInv[[#This Row],[Quantity]]*quantInv[[#This Row],[WEIGHT]]</f>
        <v>0</v>
      </c>
      <c r="U939" s="33">
        <f>quantInv[[#This Row],[UNIT
VALUE]]*quantInv[[#This Row],[Quantity]]</f>
        <v>0</v>
      </c>
      <c r="V939" s="33">
        <f>quantInv[[#This Row],[Total Cost GBP]]/EURtoGBP</f>
        <v>0</v>
      </c>
      <c r="W939" s="33">
        <f>quantInv[[#This Row],[Total Cost GBP]]/USDtoGBP</f>
        <v>0</v>
      </c>
      <c r="X939" s="33">
        <f>quantInv[[#This Row],[Total Cost GBP]]/CADtoGBP</f>
        <v>0</v>
      </c>
      <c r="Y939" s="33">
        <f>quantInv[[#This Row],[Quantity]]*quantInv[[#This Row],[UNIT
VALUE AUD]]</f>
        <v>0</v>
      </c>
      <c r="Z939" s="33"/>
    </row>
    <row r="940" spans="1:26" x14ac:dyDescent="0.25">
      <c r="A940" t="s">
        <v>2348</v>
      </c>
      <c r="B940" t="s">
        <v>2349</v>
      </c>
      <c r="C940" t="s">
        <v>115</v>
      </c>
      <c r="D940" t="s">
        <v>2350</v>
      </c>
      <c r="E940">
        <v>0.25</v>
      </c>
      <c r="F940" s="33">
        <v>0.84499999999999997</v>
      </c>
      <c r="G940" s="33" t="s">
        <v>117</v>
      </c>
      <c r="H940" t="s">
        <v>2875</v>
      </c>
      <c r="I940" t="str">
        <f>IF(quantInv[[#This Row],[Metal]] = "925 Silver",  "7113.11.00"," 7113.19.00")</f>
        <v>7113.11.00</v>
      </c>
      <c r="J940" t="str">
        <f>IF(quantInv[[#This Row],[Metal]] = "925 Silver", "7113.11.10.00"," 7113.19.10.00")</f>
        <v>7113.11.10.00</v>
      </c>
      <c r="K940" t="str">
        <f>IF(quantInv[[#This Row],[Metal]] = "925 Silver",  "7113.11.00"," 7113.19.00")</f>
        <v>7113.11.00</v>
      </c>
      <c r="L940" t="str">
        <f>IFERROR(VLOOKUP(quantInv[[#This Row],[Description for New Invoice]],Map!$G$12:$H$32,2,FALSE), IF(quantInv[[#This Row],[Metal]] = "925 Silver", "7113.11.10.00", "7113.19.29.00"))</f>
        <v>7113.11.10.00</v>
      </c>
      <c r="M940" t="str">
        <f>quantInv[[#This Row],[ASIN]] &amp; " " &amp; quantInv[[#This Row],[Short Description]]</f>
        <v>B09C6JV3K6 Silver Bali ear cuff: Wire pattern</v>
      </c>
      <c r="N940" s="33">
        <f>quantInv[[#This Row],[UNIT
VALUE]] / EURtoGBP</f>
        <v>0.95917544964896451</v>
      </c>
      <c r="O940" s="33">
        <f>quantInv[[#This Row],[UNIT
VALUE]]/USDtoGBP</f>
        <v>1.1583546155290803</v>
      </c>
      <c r="P940" s="33">
        <f>quantInv[[#This Row],[UNIT
VALUE]] / CADtoGBP</f>
        <v>1.4827604964527805</v>
      </c>
      <c r="Q940" s="33">
        <f>quantInv[[#This Row],[UNIT
VALUE]]/AUDtoGBP</f>
        <v>1.5177096055751129</v>
      </c>
      <c r="R940">
        <f>IFERROR(VLOOKUP(quantInv[[#This Row],[Assigned Item SKU]],skuQuantity[#All],2,FALSE),0)</f>
        <v>0</v>
      </c>
      <c r="S940" t="str">
        <f>PROPER(quantInv[[#This Row],[Metal]] &amp; " " &amp; quantInv[[#This Row],[Item Type]])</f>
        <v xml:space="preserve">925 Silver </v>
      </c>
      <c r="T940" s="33">
        <f>quantInv[[#This Row],[Quantity]]*quantInv[[#This Row],[WEIGHT]]</f>
        <v>0</v>
      </c>
      <c r="U940" s="33">
        <f>quantInv[[#This Row],[UNIT
VALUE]]*quantInv[[#This Row],[Quantity]]</f>
        <v>0</v>
      </c>
      <c r="V940" s="33">
        <f>quantInv[[#This Row],[Total Cost GBP]]/EURtoGBP</f>
        <v>0</v>
      </c>
      <c r="W940" s="33">
        <f>quantInv[[#This Row],[Total Cost GBP]]/USDtoGBP</f>
        <v>0</v>
      </c>
      <c r="X940" s="33">
        <f>quantInv[[#This Row],[Total Cost GBP]]/CADtoGBP</f>
        <v>0</v>
      </c>
      <c r="Y940" s="33">
        <f>quantInv[[#This Row],[Quantity]]*quantInv[[#This Row],[UNIT
VALUE AUD]]</f>
        <v>0</v>
      </c>
      <c r="Z940" s="33"/>
    </row>
    <row r="941" spans="1:26" x14ac:dyDescent="0.25">
      <c r="A941" t="s">
        <v>2351</v>
      </c>
      <c r="B941" t="s">
        <v>2352</v>
      </c>
      <c r="C941" t="s">
        <v>115</v>
      </c>
      <c r="D941" t="s">
        <v>2353</v>
      </c>
      <c r="E941">
        <v>0.3</v>
      </c>
      <c r="F941" s="33">
        <v>0.90590000000000004</v>
      </c>
      <c r="G941" s="33" t="s">
        <v>117</v>
      </c>
      <c r="H941" t="s">
        <v>2875</v>
      </c>
      <c r="I941" t="str">
        <f>IF(quantInv[[#This Row],[Metal]] = "925 Silver",  "7113.11.00"," 7113.19.00")</f>
        <v>7113.11.00</v>
      </c>
      <c r="J941" t="str">
        <f>IF(quantInv[[#This Row],[Metal]] = "925 Silver", "7113.11.10.00"," 7113.19.10.00")</f>
        <v>7113.11.10.00</v>
      </c>
      <c r="K941" t="str">
        <f>IF(quantInv[[#This Row],[Metal]] = "925 Silver",  "7113.11.00"," 7113.19.00")</f>
        <v>7113.11.00</v>
      </c>
      <c r="L941" t="str">
        <f>IFERROR(VLOOKUP(quantInv[[#This Row],[Description for New Invoice]],Map!$G$12:$H$32,2,FALSE), IF(quantInv[[#This Row],[Metal]] = "925 Silver", "7113.11.10.00", "7113.19.29.00"))</f>
        <v>7113.11.10.00</v>
      </c>
      <c r="M941" t="str">
        <f>quantInv[[#This Row],[ASIN]] &amp; " " &amp; quantInv[[#This Row],[Short Description]]</f>
        <v>B09C6J57RJ Silver Bali ear cuff: Rope and Ball pattern</v>
      </c>
      <c r="N941" s="33">
        <f>quantInv[[#This Row],[UNIT
VALUE]] / EURtoGBP</f>
        <v>1.0283041891562095</v>
      </c>
      <c r="O941" s="33">
        <f>quantInv[[#This Row],[UNIT
VALUE]]/USDtoGBP</f>
        <v>1.2418383978790459</v>
      </c>
      <c r="P941" s="33">
        <f>quantInv[[#This Row],[UNIT
VALUE]] / CADtoGBP</f>
        <v>1.5896245369663597</v>
      </c>
      <c r="Q941" s="33">
        <f>quantInv[[#This Row],[UNIT
VALUE]]/AUDtoGBP</f>
        <v>1.6270924635390474</v>
      </c>
      <c r="R941">
        <f>IFERROR(VLOOKUP(quantInv[[#This Row],[Assigned Item SKU]],skuQuantity[#All],2,FALSE),0)</f>
        <v>0</v>
      </c>
      <c r="S941" t="str">
        <f>PROPER(quantInv[[#This Row],[Metal]] &amp; " " &amp; quantInv[[#This Row],[Item Type]])</f>
        <v xml:space="preserve">925 Silver </v>
      </c>
      <c r="T941" s="33">
        <f>quantInv[[#This Row],[Quantity]]*quantInv[[#This Row],[WEIGHT]]</f>
        <v>0</v>
      </c>
      <c r="U941" s="33">
        <f>quantInv[[#This Row],[UNIT
VALUE]]*quantInv[[#This Row],[Quantity]]</f>
        <v>0</v>
      </c>
      <c r="V941" s="33">
        <f>quantInv[[#This Row],[Total Cost GBP]]/EURtoGBP</f>
        <v>0</v>
      </c>
      <c r="W941" s="33">
        <f>quantInv[[#This Row],[Total Cost GBP]]/USDtoGBP</f>
        <v>0</v>
      </c>
      <c r="X941" s="33">
        <f>quantInv[[#This Row],[Total Cost GBP]]/CADtoGBP</f>
        <v>0</v>
      </c>
      <c r="Y941" s="33">
        <f>quantInv[[#This Row],[Quantity]]*quantInv[[#This Row],[UNIT
VALUE AUD]]</f>
        <v>0</v>
      </c>
      <c r="Z941" s="33"/>
    </row>
    <row r="942" spans="1:26" x14ac:dyDescent="0.25">
      <c r="A942" t="s">
        <v>2354</v>
      </c>
      <c r="B942" t="s">
        <v>2355</v>
      </c>
      <c r="C942" t="s">
        <v>115</v>
      </c>
      <c r="D942" t="s">
        <v>2356</v>
      </c>
      <c r="E942">
        <v>0.32</v>
      </c>
      <c r="F942" s="33">
        <v>0.90590000000000004</v>
      </c>
      <c r="G942" s="33" t="s">
        <v>117</v>
      </c>
      <c r="H942" t="s">
        <v>2875</v>
      </c>
      <c r="I942" t="str">
        <f>IF(quantInv[[#This Row],[Metal]] = "925 Silver",  "7113.11.00"," 7113.19.00")</f>
        <v>7113.11.00</v>
      </c>
      <c r="J942" t="str">
        <f>IF(quantInv[[#This Row],[Metal]] = "925 Silver", "7113.11.10.00"," 7113.19.10.00")</f>
        <v>7113.11.10.00</v>
      </c>
      <c r="K942" t="str">
        <f>IF(quantInv[[#This Row],[Metal]] = "925 Silver",  "7113.11.00"," 7113.19.00")</f>
        <v>7113.11.00</v>
      </c>
      <c r="L942" t="str">
        <f>IFERROR(VLOOKUP(quantInv[[#This Row],[Description for New Invoice]],Map!$G$12:$H$32,2,FALSE), IF(quantInv[[#This Row],[Metal]] = "925 Silver", "7113.11.10.00", "7113.19.29.00"))</f>
        <v>7113.11.10.00</v>
      </c>
      <c r="M942" t="str">
        <f>quantInv[[#This Row],[ASIN]] &amp; " " &amp; quantInv[[#This Row],[Short Description]]</f>
        <v>B09C6HTNQB Silver Bali ear cuff: 3 ropes pattern</v>
      </c>
      <c r="N942" s="33">
        <f>quantInv[[#This Row],[UNIT
VALUE]] / EURtoGBP</f>
        <v>1.0283041891562095</v>
      </c>
      <c r="O942" s="33">
        <f>quantInv[[#This Row],[UNIT
VALUE]]/USDtoGBP</f>
        <v>1.2418383978790459</v>
      </c>
      <c r="P942" s="33">
        <f>quantInv[[#This Row],[UNIT
VALUE]] / CADtoGBP</f>
        <v>1.5896245369663597</v>
      </c>
      <c r="Q942" s="33">
        <f>quantInv[[#This Row],[UNIT
VALUE]]/AUDtoGBP</f>
        <v>1.6270924635390474</v>
      </c>
      <c r="R942">
        <f>IFERROR(VLOOKUP(quantInv[[#This Row],[Assigned Item SKU]],skuQuantity[#All],2,FALSE),0)</f>
        <v>0</v>
      </c>
      <c r="S942" t="str">
        <f>PROPER(quantInv[[#This Row],[Metal]] &amp; " " &amp; quantInv[[#This Row],[Item Type]])</f>
        <v xml:space="preserve">925 Silver </v>
      </c>
      <c r="T942" s="33">
        <f>quantInv[[#This Row],[Quantity]]*quantInv[[#This Row],[WEIGHT]]</f>
        <v>0</v>
      </c>
      <c r="U942" s="33">
        <f>quantInv[[#This Row],[UNIT
VALUE]]*quantInv[[#This Row],[Quantity]]</f>
        <v>0</v>
      </c>
      <c r="V942" s="33">
        <f>quantInv[[#This Row],[Total Cost GBP]]/EURtoGBP</f>
        <v>0</v>
      </c>
      <c r="W942" s="33">
        <f>quantInv[[#This Row],[Total Cost GBP]]/USDtoGBP</f>
        <v>0</v>
      </c>
      <c r="X942" s="33">
        <f>quantInv[[#This Row],[Total Cost GBP]]/CADtoGBP</f>
        <v>0</v>
      </c>
      <c r="Y942" s="33">
        <f>quantInv[[#This Row],[Quantity]]*quantInv[[#This Row],[UNIT
VALUE AUD]]</f>
        <v>0</v>
      </c>
      <c r="Z942" s="33"/>
    </row>
    <row r="943" spans="1:26" x14ac:dyDescent="0.25">
      <c r="A943" t="s">
        <v>2357</v>
      </c>
      <c r="B943" t="s">
        <v>2358</v>
      </c>
      <c r="C943" t="s">
        <v>115</v>
      </c>
      <c r="D943" t="s">
        <v>2359</v>
      </c>
      <c r="E943">
        <v>0.35</v>
      </c>
      <c r="F943" s="33">
        <v>0.90590000000000004</v>
      </c>
      <c r="G943" s="33" t="s">
        <v>117</v>
      </c>
      <c r="H943" t="s">
        <v>2875</v>
      </c>
      <c r="I943" t="str">
        <f>IF(quantInv[[#This Row],[Metal]] = "925 Silver",  "7113.11.00"," 7113.19.00")</f>
        <v>7113.11.00</v>
      </c>
      <c r="J943" t="str">
        <f>IF(quantInv[[#This Row],[Metal]] = "925 Silver", "7113.11.10.00"," 7113.19.10.00")</f>
        <v>7113.11.10.00</v>
      </c>
      <c r="K943" t="str">
        <f>IF(quantInv[[#This Row],[Metal]] = "925 Silver",  "7113.11.00"," 7113.19.00")</f>
        <v>7113.11.00</v>
      </c>
      <c r="L943" t="str">
        <f>IFERROR(VLOOKUP(quantInv[[#This Row],[Description for New Invoice]],Map!$G$12:$H$32,2,FALSE), IF(quantInv[[#This Row],[Metal]] = "925 Silver", "7113.11.10.00", "7113.19.29.00"))</f>
        <v>7113.11.10.00</v>
      </c>
      <c r="M943" t="str">
        <f>quantInv[[#This Row],[ASIN]] &amp; " " &amp; quantInv[[#This Row],[Short Description]]</f>
        <v>B09C6JQF6R Silver Bali ear cuff: 3 wires patern</v>
      </c>
      <c r="N943" s="33">
        <f>quantInv[[#This Row],[UNIT
VALUE]] / EURtoGBP</f>
        <v>1.0283041891562095</v>
      </c>
      <c r="O943" s="33">
        <f>quantInv[[#This Row],[UNIT
VALUE]]/USDtoGBP</f>
        <v>1.2418383978790459</v>
      </c>
      <c r="P943" s="33">
        <f>quantInv[[#This Row],[UNIT
VALUE]] / CADtoGBP</f>
        <v>1.5896245369663597</v>
      </c>
      <c r="Q943" s="33">
        <f>quantInv[[#This Row],[UNIT
VALUE]]/AUDtoGBP</f>
        <v>1.6270924635390474</v>
      </c>
      <c r="R943">
        <f>IFERROR(VLOOKUP(quantInv[[#This Row],[Assigned Item SKU]],skuQuantity[#All],2,FALSE),0)</f>
        <v>0</v>
      </c>
      <c r="S943" t="str">
        <f>PROPER(quantInv[[#This Row],[Metal]] &amp; " " &amp; quantInv[[#This Row],[Item Type]])</f>
        <v xml:space="preserve">925 Silver </v>
      </c>
      <c r="T943" s="33">
        <f>quantInv[[#This Row],[Quantity]]*quantInv[[#This Row],[WEIGHT]]</f>
        <v>0</v>
      </c>
      <c r="U943" s="33">
        <f>quantInv[[#This Row],[UNIT
VALUE]]*quantInv[[#This Row],[Quantity]]</f>
        <v>0</v>
      </c>
      <c r="V943" s="33">
        <f>quantInv[[#This Row],[Total Cost GBP]]/EURtoGBP</f>
        <v>0</v>
      </c>
      <c r="W943" s="33">
        <f>quantInv[[#This Row],[Total Cost GBP]]/USDtoGBP</f>
        <v>0</v>
      </c>
      <c r="X943" s="33">
        <f>quantInv[[#This Row],[Total Cost GBP]]/CADtoGBP</f>
        <v>0</v>
      </c>
      <c r="Y943" s="33">
        <f>quantInv[[#This Row],[Quantity]]*quantInv[[#This Row],[UNIT
VALUE AUD]]</f>
        <v>0</v>
      </c>
      <c r="Z943" s="33"/>
    </row>
    <row r="944" spans="1:26" x14ac:dyDescent="0.25">
      <c r="A944" t="s">
        <v>2360</v>
      </c>
      <c r="B944" t="s">
        <v>2361</v>
      </c>
      <c r="C944" t="s">
        <v>115</v>
      </c>
      <c r="D944" t="s">
        <v>2362</v>
      </c>
      <c r="E944">
        <v>0.38</v>
      </c>
      <c r="F944" s="33">
        <v>0.94640000000000002</v>
      </c>
      <c r="G944" s="33" t="s">
        <v>117</v>
      </c>
      <c r="H944" t="s">
        <v>2875</v>
      </c>
      <c r="I944" t="str">
        <f>IF(quantInv[[#This Row],[Metal]] = "925 Silver",  "7113.11.00"," 7113.19.00")</f>
        <v>7113.11.00</v>
      </c>
      <c r="J944" t="str">
        <f>IF(quantInv[[#This Row],[Metal]] = "925 Silver", "7113.11.10.00"," 7113.19.10.00")</f>
        <v>7113.11.10.00</v>
      </c>
      <c r="K944" t="str">
        <f>IF(quantInv[[#This Row],[Metal]] = "925 Silver",  "7113.11.00"," 7113.19.00")</f>
        <v>7113.11.00</v>
      </c>
      <c r="L944" t="str">
        <f>IFERROR(VLOOKUP(quantInv[[#This Row],[Description for New Invoice]],Map!$G$12:$H$32,2,FALSE), IF(quantInv[[#This Row],[Metal]] = "925 Silver", "7113.11.10.00", "7113.19.29.00"))</f>
        <v>7113.11.10.00</v>
      </c>
      <c r="M944" t="str">
        <f>quantInv[[#This Row],[ASIN]] &amp; " " &amp; quantInv[[#This Row],[Short Description]]</f>
        <v>B09C6HFJPM Silver Bali ear cuff: 3 ropes and wire pattern</v>
      </c>
      <c r="N944" s="33">
        <f>quantInv[[#This Row],[UNIT
VALUE]] / EURtoGBP</f>
        <v>1.0742765036068402</v>
      </c>
      <c r="O944" s="33">
        <f>quantInv[[#This Row],[UNIT
VALUE]]/USDtoGBP</f>
        <v>1.2973571693925698</v>
      </c>
      <c r="P944" s="33">
        <f>quantInv[[#This Row],[UNIT
VALUE]] / CADtoGBP</f>
        <v>1.6606917560271144</v>
      </c>
      <c r="Q944" s="33">
        <f>quantInv[[#This Row],[UNIT
VALUE]]/AUDtoGBP</f>
        <v>1.6998347582441267</v>
      </c>
      <c r="R944">
        <f>IFERROR(VLOOKUP(quantInv[[#This Row],[Assigned Item SKU]],skuQuantity[#All],2,FALSE),0)</f>
        <v>0</v>
      </c>
      <c r="S944" t="str">
        <f>PROPER(quantInv[[#This Row],[Metal]] &amp; " " &amp; quantInv[[#This Row],[Item Type]])</f>
        <v xml:space="preserve">925 Silver </v>
      </c>
      <c r="T944" s="33">
        <f>quantInv[[#This Row],[Quantity]]*quantInv[[#This Row],[WEIGHT]]</f>
        <v>0</v>
      </c>
      <c r="U944" s="33">
        <f>quantInv[[#This Row],[UNIT
VALUE]]*quantInv[[#This Row],[Quantity]]</f>
        <v>0</v>
      </c>
      <c r="V944" s="33">
        <f>quantInv[[#This Row],[Total Cost GBP]]/EURtoGBP</f>
        <v>0</v>
      </c>
      <c r="W944" s="33">
        <f>quantInv[[#This Row],[Total Cost GBP]]/USDtoGBP</f>
        <v>0</v>
      </c>
      <c r="X944" s="33">
        <f>quantInv[[#This Row],[Total Cost GBP]]/CADtoGBP</f>
        <v>0</v>
      </c>
      <c r="Y944" s="33">
        <f>quantInv[[#This Row],[Quantity]]*quantInv[[#This Row],[UNIT
VALUE AUD]]</f>
        <v>0</v>
      </c>
      <c r="Z944" s="33"/>
    </row>
    <row r="945" spans="1:26" x14ac:dyDescent="0.25">
      <c r="A945" t="s">
        <v>2363</v>
      </c>
      <c r="C945" t="s">
        <v>115</v>
      </c>
      <c r="D945" t="s">
        <v>2364</v>
      </c>
      <c r="E945">
        <v>2.97</v>
      </c>
      <c r="F945" s="33">
        <v>6.2876000000000003</v>
      </c>
      <c r="G945" s="33" t="s">
        <v>117</v>
      </c>
      <c r="H945" t="s">
        <v>2875</v>
      </c>
      <c r="I945" t="str">
        <f>IF(quantInv[[#This Row],[Metal]] = "925 Silver",  "7113.11.00"," 7113.19.00")</f>
        <v>7113.11.00</v>
      </c>
      <c r="J945" t="str">
        <f>IF(quantInv[[#This Row],[Metal]] = "925 Silver", "7113.11.10.00"," 7113.19.10.00")</f>
        <v>7113.11.10.00</v>
      </c>
      <c r="K945" t="str">
        <f>IF(quantInv[[#This Row],[Metal]] = "925 Silver",  "7113.11.00"," 7113.19.00")</f>
        <v>7113.11.00</v>
      </c>
      <c r="L945" t="str">
        <f>IFERROR(VLOOKUP(quantInv[[#This Row],[Description for New Invoice]],Map!$G$12:$H$32,2,FALSE), IF(quantInv[[#This Row],[Metal]] = "925 Silver", "7113.11.10.00", "7113.19.29.00"))</f>
        <v>7113.11.10.00</v>
      </c>
      <c r="M945" t="str">
        <f>quantInv[[#This Row],[ASIN]] &amp; " " &amp; quantInv[[#This Row],[Short Description]]</f>
        <v xml:space="preserve"> Silver Hammered ring: Size K</v>
      </c>
      <c r="N945" s="33">
        <f>quantInv[[#This Row],[UNIT
VALUE]] / EURtoGBP</f>
        <v>7.1371734404885556</v>
      </c>
      <c r="O945" s="33">
        <f>quantInv[[#This Row],[UNIT
VALUE]]/USDtoGBP</f>
        <v>8.6192550066279825</v>
      </c>
      <c r="P945" s="33">
        <f>quantInv[[#This Row],[UNIT
VALUE]] / CADtoGBP</f>
        <v>11.033141890528407</v>
      </c>
      <c r="Q945" s="33">
        <f>quantInv[[#This Row],[UNIT
VALUE]]/AUDtoGBP</f>
        <v>11.293196350312522</v>
      </c>
      <c r="R945">
        <f>IFERROR(VLOOKUP(quantInv[[#This Row],[Assigned Item SKU]],skuQuantity[#All],2,FALSE),0)</f>
        <v>0</v>
      </c>
      <c r="S945" t="str">
        <f>PROPER(quantInv[[#This Row],[Metal]] &amp; " " &amp; quantInv[[#This Row],[Item Type]])</f>
        <v xml:space="preserve">925 Silver </v>
      </c>
      <c r="T945" s="33">
        <f>quantInv[[#This Row],[Quantity]]*quantInv[[#This Row],[WEIGHT]]</f>
        <v>0</v>
      </c>
      <c r="U945" s="33">
        <f>quantInv[[#This Row],[UNIT
VALUE]]*quantInv[[#This Row],[Quantity]]</f>
        <v>0</v>
      </c>
      <c r="V945" s="33">
        <f>quantInv[[#This Row],[Total Cost GBP]]/EURtoGBP</f>
        <v>0</v>
      </c>
      <c r="W945" s="33">
        <f>quantInv[[#This Row],[Total Cost GBP]]/USDtoGBP</f>
        <v>0</v>
      </c>
      <c r="X945" s="33">
        <f>quantInv[[#This Row],[Total Cost GBP]]/CADtoGBP</f>
        <v>0</v>
      </c>
      <c r="Y945" s="33">
        <f>quantInv[[#This Row],[Quantity]]*quantInv[[#This Row],[UNIT
VALUE AUD]]</f>
        <v>0</v>
      </c>
      <c r="Z945" s="33"/>
    </row>
    <row r="946" spans="1:26" x14ac:dyDescent="0.25">
      <c r="A946" t="s">
        <v>2365</v>
      </c>
      <c r="C946" t="s">
        <v>115</v>
      </c>
      <c r="D946" t="s">
        <v>2366</v>
      </c>
      <c r="E946">
        <v>3.23</v>
      </c>
      <c r="F946" s="33">
        <v>6.2876000000000003</v>
      </c>
      <c r="G946" s="33" t="s">
        <v>117</v>
      </c>
      <c r="H946" t="s">
        <v>2875</v>
      </c>
      <c r="I946" t="str">
        <f>IF(quantInv[[#This Row],[Metal]] = "925 Silver",  "7113.11.00"," 7113.19.00")</f>
        <v>7113.11.00</v>
      </c>
      <c r="J946" t="str">
        <f>IF(quantInv[[#This Row],[Metal]] = "925 Silver", "7113.11.10.00"," 7113.19.10.00")</f>
        <v>7113.11.10.00</v>
      </c>
      <c r="K946" t="str">
        <f>IF(quantInv[[#This Row],[Metal]] = "925 Silver",  "7113.11.00"," 7113.19.00")</f>
        <v>7113.11.00</v>
      </c>
      <c r="L946" t="str">
        <f>IFERROR(VLOOKUP(quantInv[[#This Row],[Description for New Invoice]],Map!$G$12:$H$32,2,FALSE), IF(quantInv[[#This Row],[Metal]] = "925 Silver", "7113.11.10.00", "7113.19.29.00"))</f>
        <v>7113.11.10.00</v>
      </c>
      <c r="M946" t="str">
        <f>quantInv[[#This Row],[ASIN]] &amp; " " &amp; quantInv[[#This Row],[Short Description]]</f>
        <v xml:space="preserve"> Silver Hammered ring: Size L</v>
      </c>
      <c r="N946" s="33">
        <f>quantInv[[#This Row],[UNIT
VALUE]] / EURtoGBP</f>
        <v>7.1371734404885556</v>
      </c>
      <c r="O946" s="33">
        <f>quantInv[[#This Row],[UNIT
VALUE]]/USDtoGBP</f>
        <v>8.6192550066279825</v>
      </c>
      <c r="P946" s="33">
        <f>quantInv[[#This Row],[UNIT
VALUE]] / CADtoGBP</f>
        <v>11.033141890528407</v>
      </c>
      <c r="Q946" s="33">
        <f>quantInv[[#This Row],[UNIT
VALUE]]/AUDtoGBP</f>
        <v>11.293196350312522</v>
      </c>
      <c r="R946">
        <f>IFERROR(VLOOKUP(quantInv[[#This Row],[Assigned Item SKU]],skuQuantity[#All],2,FALSE),0)</f>
        <v>0</v>
      </c>
      <c r="S946" t="str">
        <f>PROPER(quantInv[[#This Row],[Metal]] &amp; " " &amp; quantInv[[#This Row],[Item Type]])</f>
        <v xml:space="preserve">925 Silver </v>
      </c>
      <c r="T946" s="33">
        <f>quantInv[[#This Row],[Quantity]]*quantInv[[#This Row],[WEIGHT]]</f>
        <v>0</v>
      </c>
      <c r="U946" s="33">
        <f>quantInv[[#This Row],[UNIT
VALUE]]*quantInv[[#This Row],[Quantity]]</f>
        <v>0</v>
      </c>
      <c r="V946" s="33">
        <f>quantInv[[#This Row],[Total Cost GBP]]/EURtoGBP</f>
        <v>0</v>
      </c>
      <c r="W946" s="33">
        <f>quantInv[[#This Row],[Total Cost GBP]]/USDtoGBP</f>
        <v>0</v>
      </c>
      <c r="X946" s="33">
        <f>quantInv[[#This Row],[Total Cost GBP]]/CADtoGBP</f>
        <v>0</v>
      </c>
      <c r="Y946" s="33">
        <f>quantInv[[#This Row],[Quantity]]*quantInv[[#This Row],[UNIT
VALUE AUD]]</f>
        <v>0</v>
      </c>
      <c r="Z946" s="33"/>
    </row>
    <row r="947" spans="1:26" x14ac:dyDescent="0.25">
      <c r="A947" t="s">
        <v>2367</v>
      </c>
      <c r="C947" t="s">
        <v>115</v>
      </c>
      <c r="D947" t="s">
        <v>2368</v>
      </c>
      <c r="E947">
        <v>3.28</v>
      </c>
      <c r="F947" s="33">
        <v>6.2876000000000003</v>
      </c>
      <c r="G947" s="33" t="s">
        <v>117</v>
      </c>
      <c r="H947" t="s">
        <v>2875</v>
      </c>
      <c r="I947" t="str">
        <f>IF(quantInv[[#This Row],[Metal]] = "925 Silver",  "7113.11.00"," 7113.19.00")</f>
        <v>7113.11.00</v>
      </c>
      <c r="J947" t="str">
        <f>IF(quantInv[[#This Row],[Metal]] = "925 Silver", "7113.11.10.00"," 7113.19.10.00")</f>
        <v>7113.11.10.00</v>
      </c>
      <c r="K947" t="str">
        <f>IF(quantInv[[#This Row],[Metal]] = "925 Silver",  "7113.11.00"," 7113.19.00")</f>
        <v>7113.11.00</v>
      </c>
      <c r="L947" t="str">
        <f>IFERROR(VLOOKUP(quantInv[[#This Row],[Description for New Invoice]],Map!$G$12:$H$32,2,FALSE), IF(quantInv[[#This Row],[Metal]] = "925 Silver", "7113.11.10.00", "7113.19.29.00"))</f>
        <v>7113.11.10.00</v>
      </c>
      <c r="M947" t="str">
        <f>quantInv[[#This Row],[ASIN]] &amp; " " &amp; quantInv[[#This Row],[Short Description]]</f>
        <v xml:space="preserve"> Silver Hammered ring: Size M</v>
      </c>
      <c r="N947" s="33">
        <f>quantInv[[#This Row],[UNIT
VALUE]] / EURtoGBP</f>
        <v>7.1371734404885556</v>
      </c>
      <c r="O947" s="33">
        <f>quantInv[[#This Row],[UNIT
VALUE]]/USDtoGBP</f>
        <v>8.6192550066279825</v>
      </c>
      <c r="P947" s="33">
        <f>quantInv[[#This Row],[UNIT
VALUE]] / CADtoGBP</f>
        <v>11.033141890528407</v>
      </c>
      <c r="Q947" s="33">
        <f>quantInv[[#This Row],[UNIT
VALUE]]/AUDtoGBP</f>
        <v>11.293196350312522</v>
      </c>
      <c r="R947">
        <f>IFERROR(VLOOKUP(quantInv[[#This Row],[Assigned Item SKU]],skuQuantity[#All],2,FALSE),0)</f>
        <v>0</v>
      </c>
      <c r="S947" t="str">
        <f>PROPER(quantInv[[#This Row],[Metal]] &amp; " " &amp; quantInv[[#This Row],[Item Type]])</f>
        <v xml:space="preserve">925 Silver </v>
      </c>
      <c r="T947" s="33">
        <f>quantInv[[#This Row],[Quantity]]*quantInv[[#This Row],[WEIGHT]]</f>
        <v>0</v>
      </c>
      <c r="U947" s="33">
        <f>quantInv[[#This Row],[UNIT
VALUE]]*quantInv[[#This Row],[Quantity]]</f>
        <v>0</v>
      </c>
      <c r="V947" s="33">
        <f>quantInv[[#This Row],[Total Cost GBP]]/EURtoGBP</f>
        <v>0</v>
      </c>
      <c r="W947" s="33">
        <f>quantInv[[#This Row],[Total Cost GBP]]/USDtoGBP</f>
        <v>0</v>
      </c>
      <c r="X947" s="33">
        <f>quantInv[[#This Row],[Total Cost GBP]]/CADtoGBP</f>
        <v>0</v>
      </c>
      <c r="Y947" s="33">
        <f>quantInv[[#This Row],[Quantity]]*quantInv[[#This Row],[UNIT
VALUE AUD]]</f>
        <v>0</v>
      </c>
      <c r="Z947" s="33"/>
    </row>
    <row r="948" spans="1:26" x14ac:dyDescent="0.25">
      <c r="A948" t="s">
        <v>2369</v>
      </c>
      <c r="C948" t="s">
        <v>115</v>
      </c>
      <c r="D948" t="s">
        <v>2370</v>
      </c>
      <c r="E948">
        <v>3.33</v>
      </c>
      <c r="F948" s="33">
        <v>6.2876000000000003</v>
      </c>
      <c r="G948" s="33" t="s">
        <v>117</v>
      </c>
      <c r="H948" t="s">
        <v>2875</v>
      </c>
      <c r="I948" t="str">
        <f>IF(quantInv[[#This Row],[Metal]] = "925 Silver",  "7113.11.00"," 7113.19.00")</f>
        <v>7113.11.00</v>
      </c>
      <c r="J948" t="str">
        <f>IF(quantInv[[#This Row],[Metal]] = "925 Silver", "7113.11.10.00"," 7113.19.10.00")</f>
        <v>7113.11.10.00</v>
      </c>
      <c r="K948" t="str">
        <f>IF(quantInv[[#This Row],[Metal]] = "925 Silver",  "7113.11.00"," 7113.19.00")</f>
        <v>7113.11.00</v>
      </c>
      <c r="L948" t="str">
        <f>IFERROR(VLOOKUP(quantInv[[#This Row],[Description for New Invoice]],Map!$G$12:$H$32,2,FALSE), IF(quantInv[[#This Row],[Metal]] = "925 Silver", "7113.11.10.00", "7113.19.29.00"))</f>
        <v>7113.11.10.00</v>
      </c>
      <c r="M948" t="str">
        <f>quantInv[[#This Row],[ASIN]] &amp; " " &amp; quantInv[[#This Row],[Short Description]]</f>
        <v xml:space="preserve"> Silver Hammered ring: Size N</v>
      </c>
      <c r="N948" s="33">
        <f>quantInv[[#This Row],[UNIT
VALUE]] / EURtoGBP</f>
        <v>7.1371734404885556</v>
      </c>
      <c r="O948" s="33">
        <f>quantInv[[#This Row],[UNIT
VALUE]]/USDtoGBP</f>
        <v>8.6192550066279825</v>
      </c>
      <c r="P948" s="33">
        <f>quantInv[[#This Row],[UNIT
VALUE]] / CADtoGBP</f>
        <v>11.033141890528407</v>
      </c>
      <c r="Q948" s="33">
        <f>quantInv[[#This Row],[UNIT
VALUE]]/AUDtoGBP</f>
        <v>11.293196350312522</v>
      </c>
      <c r="R948">
        <f>IFERROR(VLOOKUP(quantInv[[#This Row],[Assigned Item SKU]],skuQuantity[#All],2,FALSE),0)</f>
        <v>0</v>
      </c>
      <c r="S948" t="str">
        <f>PROPER(quantInv[[#This Row],[Metal]] &amp; " " &amp; quantInv[[#This Row],[Item Type]])</f>
        <v xml:space="preserve">925 Silver </v>
      </c>
      <c r="T948" s="33">
        <f>quantInv[[#This Row],[Quantity]]*quantInv[[#This Row],[WEIGHT]]</f>
        <v>0</v>
      </c>
      <c r="U948" s="33">
        <f>quantInv[[#This Row],[UNIT
VALUE]]*quantInv[[#This Row],[Quantity]]</f>
        <v>0</v>
      </c>
      <c r="V948" s="33">
        <f>quantInv[[#This Row],[Total Cost GBP]]/EURtoGBP</f>
        <v>0</v>
      </c>
      <c r="W948" s="33">
        <f>quantInv[[#This Row],[Total Cost GBP]]/USDtoGBP</f>
        <v>0</v>
      </c>
      <c r="X948" s="33">
        <f>quantInv[[#This Row],[Total Cost GBP]]/CADtoGBP</f>
        <v>0</v>
      </c>
      <c r="Y948" s="33">
        <f>quantInv[[#This Row],[Quantity]]*quantInv[[#This Row],[UNIT
VALUE AUD]]</f>
        <v>0</v>
      </c>
      <c r="Z948" s="33"/>
    </row>
    <row r="949" spans="1:26" x14ac:dyDescent="0.25">
      <c r="A949" t="s">
        <v>2371</v>
      </c>
      <c r="C949" t="s">
        <v>115</v>
      </c>
      <c r="D949" t="s">
        <v>2372</v>
      </c>
      <c r="E949">
        <v>3.38</v>
      </c>
      <c r="F949" s="33">
        <v>6.2876000000000003</v>
      </c>
      <c r="G949" s="33" t="s">
        <v>117</v>
      </c>
      <c r="H949" t="s">
        <v>2875</v>
      </c>
      <c r="I949" t="str">
        <f>IF(quantInv[[#This Row],[Metal]] = "925 Silver",  "7113.11.00"," 7113.19.00")</f>
        <v>7113.11.00</v>
      </c>
      <c r="J949" t="str">
        <f>IF(quantInv[[#This Row],[Metal]] = "925 Silver", "7113.11.10.00"," 7113.19.10.00")</f>
        <v>7113.11.10.00</v>
      </c>
      <c r="K949" t="str">
        <f>IF(quantInv[[#This Row],[Metal]] = "925 Silver",  "7113.11.00"," 7113.19.00")</f>
        <v>7113.11.00</v>
      </c>
      <c r="L949" t="str">
        <f>IFERROR(VLOOKUP(quantInv[[#This Row],[Description for New Invoice]],Map!$G$12:$H$32,2,FALSE), IF(quantInv[[#This Row],[Metal]] = "925 Silver", "7113.11.10.00", "7113.19.29.00"))</f>
        <v>7113.11.10.00</v>
      </c>
      <c r="M949" t="str">
        <f>quantInv[[#This Row],[ASIN]] &amp; " " &amp; quantInv[[#This Row],[Short Description]]</f>
        <v xml:space="preserve"> Silver Hammered ring: Size O</v>
      </c>
      <c r="N949" s="33">
        <f>quantInv[[#This Row],[UNIT
VALUE]] / EURtoGBP</f>
        <v>7.1371734404885556</v>
      </c>
      <c r="O949" s="33">
        <f>quantInv[[#This Row],[UNIT
VALUE]]/USDtoGBP</f>
        <v>8.6192550066279825</v>
      </c>
      <c r="P949" s="33">
        <f>quantInv[[#This Row],[UNIT
VALUE]] / CADtoGBP</f>
        <v>11.033141890528407</v>
      </c>
      <c r="Q949" s="33">
        <f>quantInv[[#This Row],[UNIT
VALUE]]/AUDtoGBP</f>
        <v>11.293196350312522</v>
      </c>
      <c r="R949">
        <f>IFERROR(VLOOKUP(quantInv[[#This Row],[Assigned Item SKU]],skuQuantity[#All],2,FALSE),0)</f>
        <v>0</v>
      </c>
      <c r="S949" t="str">
        <f>PROPER(quantInv[[#This Row],[Metal]] &amp; " " &amp; quantInv[[#This Row],[Item Type]])</f>
        <v xml:space="preserve">925 Silver </v>
      </c>
      <c r="T949" s="33">
        <f>quantInv[[#This Row],[Quantity]]*quantInv[[#This Row],[WEIGHT]]</f>
        <v>0</v>
      </c>
      <c r="U949" s="33">
        <f>quantInv[[#This Row],[UNIT
VALUE]]*quantInv[[#This Row],[Quantity]]</f>
        <v>0</v>
      </c>
      <c r="V949" s="33">
        <f>quantInv[[#This Row],[Total Cost GBP]]/EURtoGBP</f>
        <v>0</v>
      </c>
      <c r="W949" s="33">
        <f>quantInv[[#This Row],[Total Cost GBP]]/USDtoGBP</f>
        <v>0</v>
      </c>
      <c r="X949" s="33">
        <f>quantInv[[#This Row],[Total Cost GBP]]/CADtoGBP</f>
        <v>0</v>
      </c>
      <c r="Y949" s="33">
        <f>quantInv[[#This Row],[Quantity]]*quantInv[[#This Row],[UNIT
VALUE AUD]]</f>
        <v>0</v>
      </c>
      <c r="Z949" s="33"/>
    </row>
    <row r="950" spans="1:26" x14ac:dyDescent="0.25">
      <c r="A950" t="s">
        <v>2373</v>
      </c>
      <c r="C950" t="s">
        <v>115</v>
      </c>
      <c r="D950" t="s">
        <v>2374</v>
      </c>
      <c r="E950">
        <v>3.42</v>
      </c>
      <c r="F950" s="33">
        <v>6.2876000000000003</v>
      </c>
      <c r="G950" s="33" t="s">
        <v>117</v>
      </c>
      <c r="H950" t="s">
        <v>2875</v>
      </c>
      <c r="I950" t="str">
        <f>IF(quantInv[[#This Row],[Metal]] = "925 Silver",  "7113.11.00"," 7113.19.00")</f>
        <v>7113.11.00</v>
      </c>
      <c r="J950" t="str">
        <f>IF(quantInv[[#This Row],[Metal]] = "925 Silver", "7113.11.10.00"," 7113.19.10.00")</f>
        <v>7113.11.10.00</v>
      </c>
      <c r="K950" t="str">
        <f>IF(quantInv[[#This Row],[Metal]] = "925 Silver",  "7113.11.00"," 7113.19.00")</f>
        <v>7113.11.00</v>
      </c>
      <c r="L950" t="str">
        <f>IFERROR(VLOOKUP(quantInv[[#This Row],[Description for New Invoice]],Map!$G$12:$H$32,2,FALSE), IF(quantInv[[#This Row],[Metal]] = "925 Silver", "7113.11.10.00", "7113.19.29.00"))</f>
        <v>7113.11.10.00</v>
      </c>
      <c r="M950" t="str">
        <f>quantInv[[#This Row],[ASIN]] &amp; " " &amp; quantInv[[#This Row],[Short Description]]</f>
        <v xml:space="preserve"> Silver Hammered ring: Size P</v>
      </c>
      <c r="N950" s="33">
        <f>quantInv[[#This Row],[UNIT
VALUE]] / EURtoGBP</f>
        <v>7.1371734404885556</v>
      </c>
      <c r="O950" s="33">
        <f>quantInv[[#This Row],[UNIT
VALUE]]/USDtoGBP</f>
        <v>8.6192550066279825</v>
      </c>
      <c r="P950" s="33">
        <f>quantInv[[#This Row],[UNIT
VALUE]] / CADtoGBP</f>
        <v>11.033141890528407</v>
      </c>
      <c r="Q950" s="33">
        <f>quantInv[[#This Row],[UNIT
VALUE]]/AUDtoGBP</f>
        <v>11.293196350312522</v>
      </c>
      <c r="R950">
        <f>IFERROR(VLOOKUP(quantInv[[#This Row],[Assigned Item SKU]],skuQuantity[#All],2,FALSE),0)</f>
        <v>0</v>
      </c>
      <c r="S950" t="str">
        <f>PROPER(quantInv[[#This Row],[Metal]] &amp; " " &amp; quantInv[[#This Row],[Item Type]])</f>
        <v xml:space="preserve">925 Silver </v>
      </c>
      <c r="T950" s="33">
        <f>quantInv[[#This Row],[Quantity]]*quantInv[[#This Row],[WEIGHT]]</f>
        <v>0</v>
      </c>
      <c r="U950" s="33">
        <f>quantInv[[#This Row],[UNIT
VALUE]]*quantInv[[#This Row],[Quantity]]</f>
        <v>0</v>
      </c>
      <c r="V950" s="33">
        <f>quantInv[[#This Row],[Total Cost GBP]]/EURtoGBP</f>
        <v>0</v>
      </c>
      <c r="W950" s="33">
        <f>quantInv[[#This Row],[Total Cost GBP]]/USDtoGBP</f>
        <v>0</v>
      </c>
      <c r="X950" s="33">
        <f>quantInv[[#This Row],[Total Cost GBP]]/CADtoGBP</f>
        <v>0</v>
      </c>
      <c r="Y950" s="33">
        <f>quantInv[[#This Row],[Quantity]]*quantInv[[#This Row],[UNIT
VALUE AUD]]</f>
        <v>0</v>
      </c>
      <c r="Z950" s="33"/>
    </row>
    <row r="951" spans="1:26" x14ac:dyDescent="0.25">
      <c r="A951" t="s">
        <v>2375</v>
      </c>
      <c r="C951" t="s">
        <v>115</v>
      </c>
      <c r="D951" t="s">
        <v>2376</v>
      </c>
      <c r="E951">
        <v>3.49</v>
      </c>
      <c r="F951" s="33">
        <v>6.2876000000000003</v>
      </c>
      <c r="G951" s="33" t="s">
        <v>117</v>
      </c>
      <c r="H951" t="s">
        <v>2875</v>
      </c>
      <c r="I951" t="str">
        <f>IF(quantInv[[#This Row],[Metal]] = "925 Silver",  "7113.11.00"," 7113.19.00")</f>
        <v>7113.11.00</v>
      </c>
      <c r="J951" t="str">
        <f>IF(quantInv[[#This Row],[Metal]] = "925 Silver", "7113.11.10.00"," 7113.19.10.00")</f>
        <v>7113.11.10.00</v>
      </c>
      <c r="K951" t="str">
        <f>IF(quantInv[[#This Row],[Metal]] = "925 Silver",  "7113.11.00"," 7113.19.00")</f>
        <v>7113.11.00</v>
      </c>
      <c r="L951" t="str">
        <f>IFERROR(VLOOKUP(quantInv[[#This Row],[Description for New Invoice]],Map!$G$12:$H$32,2,FALSE), IF(quantInv[[#This Row],[Metal]] = "925 Silver", "7113.11.10.00", "7113.19.29.00"))</f>
        <v>7113.11.10.00</v>
      </c>
      <c r="M951" t="str">
        <f>quantInv[[#This Row],[ASIN]] &amp; " " &amp; quantInv[[#This Row],[Short Description]]</f>
        <v xml:space="preserve"> Silver Hammered ring: Size Q</v>
      </c>
      <c r="N951" s="33">
        <f>quantInv[[#This Row],[UNIT
VALUE]] / EURtoGBP</f>
        <v>7.1371734404885556</v>
      </c>
      <c r="O951" s="33">
        <f>quantInv[[#This Row],[UNIT
VALUE]]/USDtoGBP</f>
        <v>8.6192550066279825</v>
      </c>
      <c r="P951" s="33">
        <f>quantInv[[#This Row],[UNIT
VALUE]] / CADtoGBP</f>
        <v>11.033141890528407</v>
      </c>
      <c r="Q951" s="33">
        <f>quantInv[[#This Row],[UNIT
VALUE]]/AUDtoGBP</f>
        <v>11.293196350312522</v>
      </c>
      <c r="R951">
        <f>IFERROR(VLOOKUP(quantInv[[#This Row],[Assigned Item SKU]],skuQuantity[#All],2,FALSE),0)</f>
        <v>0</v>
      </c>
      <c r="S951" t="str">
        <f>PROPER(quantInv[[#This Row],[Metal]] &amp; " " &amp; quantInv[[#This Row],[Item Type]])</f>
        <v xml:space="preserve">925 Silver </v>
      </c>
      <c r="T951" s="33">
        <f>quantInv[[#This Row],[Quantity]]*quantInv[[#This Row],[WEIGHT]]</f>
        <v>0</v>
      </c>
      <c r="U951" s="33">
        <f>quantInv[[#This Row],[UNIT
VALUE]]*quantInv[[#This Row],[Quantity]]</f>
        <v>0</v>
      </c>
      <c r="V951" s="33">
        <f>quantInv[[#This Row],[Total Cost GBP]]/EURtoGBP</f>
        <v>0</v>
      </c>
      <c r="W951" s="33">
        <f>quantInv[[#This Row],[Total Cost GBP]]/USDtoGBP</f>
        <v>0</v>
      </c>
      <c r="X951" s="33">
        <f>quantInv[[#This Row],[Total Cost GBP]]/CADtoGBP</f>
        <v>0</v>
      </c>
      <c r="Y951" s="33">
        <f>quantInv[[#This Row],[Quantity]]*quantInv[[#This Row],[UNIT
VALUE AUD]]</f>
        <v>0</v>
      </c>
      <c r="Z951" s="33"/>
    </row>
    <row r="952" spans="1:26" x14ac:dyDescent="0.25">
      <c r="A952" t="s">
        <v>2377</v>
      </c>
      <c r="C952" t="s">
        <v>115</v>
      </c>
      <c r="D952" t="s">
        <v>2378</v>
      </c>
      <c r="E952">
        <v>3.55</v>
      </c>
      <c r="F952" s="33">
        <v>6.2876000000000003</v>
      </c>
      <c r="G952" s="33" t="s">
        <v>117</v>
      </c>
      <c r="H952" t="s">
        <v>2875</v>
      </c>
      <c r="I952" t="str">
        <f>IF(quantInv[[#This Row],[Metal]] = "925 Silver",  "7113.11.00"," 7113.19.00")</f>
        <v>7113.11.00</v>
      </c>
      <c r="J952" t="str">
        <f>IF(quantInv[[#This Row],[Metal]] = "925 Silver", "7113.11.10.00"," 7113.19.10.00")</f>
        <v>7113.11.10.00</v>
      </c>
      <c r="K952" t="str">
        <f>IF(quantInv[[#This Row],[Metal]] = "925 Silver",  "7113.11.00"," 7113.19.00")</f>
        <v>7113.11.00</v>
      </c>
      <c r="L952" t="str">
        <f>IFERROR(VLOOKUP(quantInv[[#This Row],[Description for New Invoice]],Map!$G$12:$H$32,2,FALSE), IF(quantInv[[#This Row],[Metal]] = "925 Silver", "7113.11.10.00", "7113.19.29.00"))</f>
        <v>7113.11.10.00</v>
      </c>
      <c r="M952" t="str">
        <f>quantInv[[#This Row],[ASIN]] &amp; " " &amp; quantInv[[#This Row],[Short Description]]</f>
        <v xml:space="preserve"> Silver Hammered ring: Size R</v>
      </c>
      <c r="N952" s="33">
        <f>quantInv[[#This Row],[UNIT
VALUE]] / EURtoGBP</f>
        <v>7.1371734404885556</v>
      </c>
      <c r="O952" s="33">
        <f>quantInv[[#This Row],[UNIT
VALUE]]/USDtoGBP</f>
        <v>8.6192550066279825</v>
      </c>
      <c r="P952" s="33">
        <f>quantInv[[#This Row],[UNIT
VALUE]] / CADtoGBP</f>
        <v>11.033141890528407</v>
      </c>
      <c r="Q952" s="33">
        <f>quantInv[[#This Row],[UNIT
VALUE]]/AUDtoGBP</f>
        <v>11.293196350312522</v>
      </c>
      <c r="R952">
        <f>IFERROR(VLOOKUP(quantInv[[#This Row],[Assigned Item SKU]],skuQuantity[#All],2,FALSE),0)</f>
        <v>0</v>
      </c>
      <c r="S952" t="str">
        <f>PROPER(quantInv[[#This Row],[Metal]] &amp; " " &amp; quantInv[[#This Row],[Item Type]])</f>
        <v xml:space="preserve">925 Silver </v>
      </c>
      <c r="T952" s="33">
        <f>quantInv[[#This Row],[Quantity]]*quantInv[[#This Row],[WEIGHT]]</f>
        <v>0</v>
      </c>
      <c r="U952" s="33">
        <f>quantInv[[#This Row],[UNIT
VALUE]]*quantInv[[#This Row],[Quantity]]</f>
        <v>0</v>
      </c>
      <c r="V952" s="33">
        <f>quantInv[[#This Row],[Total Cost GBP]]/EURtoGBP</f>
        <v>0</v>
      </c>
      <c r="W952" s="33">
        <f>quantInv[[#This Row],[Total Cost GBP]]/USDtoGBP</f>
        <v>0</v>
      </c>
      <c r="X952" s="33">
        <f>quantInv[[#This Row],[Total Cost GBP]]/CADtoGBP</f>
        <v>0</v>
      </c>
      <c r="Y952" s="33">
        <f>quantInv[[#This Row],[Quantity]]*quantInv[[#This Row],[UNIT
VALUE AUD]]</f>
        <v>0</v>
      </c>
      <c r="Z952" s="33"/>
    </row>
    <row r="953" spans="1:26" x14ac:dyDescent="0.25">
      <c r="A953" t="s">
        <v>2379</v>
      </c>
      <c r="C953" t="s">
        <v>115</v>
      </c>
      <c r="D953" t="s">
        <v>2380</v>
      </c>
      <c r="E953">
        <v>3.63</v>
      </c>
      <c r="F953" s="33">
        <v>6.2876000000000003</v>
      </c>
      <c r="G953" s="33" t="s">
        <v>117</v>
      </c>
      <c r="H953" t="s">
        <v>2875</v>
      </c>
      <c r="I953" t="str">
        <f>IF(quantInv[[#This Row],[Metal]] = "925 Silver",  "7113.11.00"," 7113.19.00")</f>
        <v>7113.11.00</v>
      </c>
      <c r="J953" t="str">
        <f>IF(quantInv[[#This Row],[Metal]] = "925 Silver", "7113.11.10.00"," 7113.19.10.00")</f>
        <v>7113.11.10.00</v>
      </c>
      <c r="K953" t="str">
        <f>IF(quantInv[[#This Row],[Metal]] = "925 Silver",  "7113.11.00"," 7113.19.00")</f>
        <v>7113.11.00</v>
      </c>
      <c r="L953" t="str">
        <f>IFERROR(VLOOKUP(quantInv[[#This Row],[Description for New Invoice]],Map!$G$12:$H$32,2,FALSE), IF(quantInv[[#This Row],[Metal]] = "925 Silver", "7113.11.10.00", "7113.19.29.00"))</f>
        <v>7113.11.10.00</v>
      </c>
      <c r="M953" t="str">
        <f>quantInv[[#This Row],[ASIN]] &amp; " " &amp; quantInv[[#This Row],[Short Description]]</f>
        <v xml:space="preserve"> Silver Hammered ring: Size S</v>
      </c>
      <c r="N953" s="33">
        <f>quantInv[[#This Row],[UNIT
VALUE]] / EURtoGBP</f>
        <v>7.1371734404885556</v>
      </c>
      <c r="O953" s="33">
        <f>quantInv[[#This Row],[UNIT
VALUE]]/USDtoGBP</f>
        <v>8.6192550066279825</v>
      </c>
      <c r="P953" s="33">
        <f>quantInv[[#This Row],[UNIT
VALUE]] / CADtoGBP</f>
        <v>11.033141890528407</v>
      </c>
      <c r="Q953" s="33">
        <f>quantInv[[#This Row],[UNIT
VALUE]]/AUDtoGBP</f>
        <v>11.293196350312522</v>
      </c>
      <c r="R953">
        <f>IFERROR(VLOOKUP(quantInv[[#This Row],[Assigned Item SKU]],skuQuantity[#All],2,FALSE),0)</f>
        <v>0</v>
      </c>
      <c r="S953" t="str">
        <f>PROPER(quantInv[[#This Row],[Metal]] &amp; " " &amp; quantInv[[#This Row],[Item Type]])</f>
        <v xml:space="preserve">925 Silver </v>
      </c>
      <c r="T953" s="33">
        <f>quantInv[[#This Row],[Quantity]]*quantInv[[#This Row],[WEIGHT]]</f>
        <v>0</v>
      </c>
      <c r="U953" s="33">
        <f>quantInv[[#This Row],[UNIT
VALUE]]*quantInv[[#This Row],[Quantity]]</f>
        <v>0</v>
      </c>
      <c r="V953" s="33">
        <f>quantInv[[#This Row],[Total Cost GBP]]/EURtoGBP</f>
        <v>0</v>
      </c>
      <c r="W953" s="33">
        <f>quantInv[[#This Row],[Total Cost GBP]]/USDtoGBP</f>
        <v>0</v>
      </c>
      <c r="X953" s="33">
        <f>quantInv[[#This Row],[Total Cost GBP]]/CADtoGBP</f>
        <v>0</v>
      </c>
      <c r="Y953" s="33">
        <f>quantInv[[#This Row],[Quantity]]*quantInv[[#This Row],[UNIT
VALUE AUD]]</f>
        <v>0</v>
      </c>
      <c r="Z953" s="33"/>
    </row>
    <row r="954" spans="1:26" x14ac:dyDescent="0.25">
      <c r="A954" t="s">
        <v>2381</v>
      </c>
      <c r="B954" t="s">
        <v>2382</v>
      </c>
      <c r="C954" t="s">
        <v>115</v>
      </c>
      <c r="D954" t="s">
        <v>2383</v>
      </c>
      <c r="E954">
        <v>0.83</v>
      </c>
      <c r="F954" s="33">
        <v>2.9281999999999999</v>
      </c>
      <c r="G954" s="33" t="s">
        <v>117</v>
      </c>
      <c r="H954" t="s">
        <v>1310</v>
      </c>
      <c r="I954" t="str">
        <f>IF(quantInv[[#This Row],[Metal]] = "925 Silver",  "7113.11.00"," 7113.19.00")</f>
        <v>7113.11.00</v>
      </c>
      <c r="J954" t="str">
        <f>IF(quantInv[[#This Row],[Metal]] = "925 Silver", "7113.11.10.00"," 7113.19.10.00")</f>
        <v>7113.11.10.00</v>
      </c>
      <c r="K954" t="str">
        <f>IF(quantInv[[#This Row],[Metal]] = "925 Silver",  "7113.11.00"," 7113.19.00")</f>
        <v>7113.11.00</v>
      </c>
      <c r="L954" t="str">
        <f>IFERROR(VLOOKUP(quantInv[[#This Row],[Description for New Invoice]],Map!$G$12:$H$32,2,FALSE), IF(quantInv[[#This Row],[Metal]] = "925 Silver", "7113.11.10.00", "7113.19.29.00"))</f>
        <v>7113.11.50.00</v>
      </c>
      <c r="M954" t="str">
        <f>quantInv[[#This Row],[ASIN]] &amp; " " &amp; quantInv[[#This Row],[Short Description]]</f>
        <v>B09J5GPZC5 Silver Zodiac Stud: Aries</v>
      </c>
      <c r="N954" s="33">
        <f>quantInv[[#This Row],[UNIT
VALUE]] / EURtoGBP</f>
        <v>3.323855090724376</v>
      </c>
      <c r="O954" s="33">
        <f>quantInv[[#This Row],[UNIT
VALUE]]/USDtoGBP</f>
        <v>4.0140757221210093</v>
      </c>
      <c r="P954" s="33">
        <f>quantInv[[#This Row],[UNIT
VALUE]] / CADtoGBP</f>
        <v>5.1382476754000379</v>
      </c>
      <c r="Q954" s="33">
        <f>quantInv[[#This Row],[UNIT
VALUE]]/AUDtoGBP</f>
        <v>5.2593577124793445</v>
      </c>
      <c r="R954">
        <f>IFERROR(VLOOKUP(quantInv[[#This Row],[Assigned Item SKU]],skuQuantity[#All],2,FALSE),0)</f>
        <v>0</v>
      </c>
      <c r="S954" t="str">
        <f>PROPER(quantInv[[#This Row],[Metal]] &amp; " " &amp; quantInv[[#This Row],[Item Type]])</f>
        <v>925 Silver Earrings</v>
      </c>
      <c r="T954" s="33">
        <f>quantInv[[#This Row],[Quantity]]*quantInv[[#This Row],[WEIGHT]]</f>
        <v>0</v>
      </c>
      <c r="U954" s="33">
        <f>quantInv[[#This Row],[UNIT
VALUE]]*quantInv[[#This Row],[Quantity]]</f>
        <v>0</v>
      </c>
      <c r="V954" s="33">
        <f>quantInv[[#This Row],[Total Cost GBP]]/EURtoGBP</f>
        <v>0</v>
      </c>
      <c r="W954" s="33">
        <f>quantInv[[#This Row],[Total Cost GBP]]/USDtoGBP</f>
        <v>0</v>
      </c>
      <c r="X954" s="33">
        <f>quantInv[[#This Row],[Total Cost GBP]]/CADtoGBP</f>
        <v>0</v>
      </c>
      <c r="Y954" s="33">
        <f>quantInv[[#This Row],[Quantity]]*quantInv[[#This Row],[UNIT
VALUE AUD]]</f>
        <v>0</v>
      </c>
      <c r="Z954" s="33"/>
    </row>
    <row r="955" spans="1:26" x14ac:dyDescent="0.25">
      <c r="A955" t="s">
        <v>2384</v>
      </c>
      <c r="B955" t="s">
        <v>2385</v>
      </c>
      <c r="C955" t="s">
        <v>115</v>
      </c>
      <c r="D955" t="s">
        <v>2386</v>
      </c>
      <c r="E955">
        <v>0.88</v>
      </c>
      <c r="F955" s="33">
        <v>2.9281999999999999</v>
      </c>
      <c r="G955" s="33" t="s">
        <v>117</v>
      </c>
      <c r="H955" t="s">
        <v>1310</v>
      </c>
      <c r="I955" t="str">
        <f>IF(quantInv[[#This Row],[Metal]] = "925 Silver",  "7113.11.00"," 7113.19.00")</f>
        <v>7113.11.00</v>
      </c>
      <c r="J955" t="str">
        <f>IF(quantInv[[#This Row],[Metal]] = "925 Silver", "7113.11.10.00"," 7113.19.10.00")</f>
        <v>7113.11.10.00</v>
      </c>
      <c r="K955" t="str">
        <f>IF(quantInv[[#This Row],[Metal]] = "925 Silver",  "7113.11.00"," 7113.19.00")</f>
        <v>7113.11.00</v>
      </c>
      <c r="L955" t="str">
        <f>IFERROR(VLOOKUP(quantInv[[#This Row],[Description for New Invoice]],Map!$G$12:$H$32,2,FALSE), IF(quantInv[[#This Row],[Metal]] = "925 Silver", "7113.11.10.00", "7113.19.29.00"))</f>
        <v>7113.11.50.00</v>
      </c>
      <c r="M955" t="str">
        <f>quantInv[[#This Row],[ASIN]] &amp; " " &amp; quantInv[[#This Row],[Short Description]]</f>
        <v>B09J5G9MV3 Silver Zodiac Stud: Taurus</v>
      </c>
      <c r="N955" s="33">
        <f>quantInv[[#This Row],[UNIT
VALUE]] / EURtoGBP</f>
        <v>3.323855090724376</v>
      </c>
      <c r="O955" s="33">
        <f>quantInv[[#This Row],[UNIT
VALUE]]/USDtoGBP</f>
        <v>4.0140757221210093</v>
      </c>
      <c r="P955" s="33">
        <f>quantInv[[#This Row],[UNIT
VALUE]] / CADtoGBP</f>
        <v>5.1382476754000379</v>
      </c>
      <c r="Q955" s="33">
        <f>quantInv[[#This Row],[UNIT
VALUE]]/AUDtoGBP</f>
        <v>5.2593577124793445</v>
      </c>
      <c r="R955">
        <f>IFERROR(VLOOKUP(quantInv[[#This Row],[Assigned Item SKU]],skuQuantity[#All],2,FALSE),0)</f>
        <v>0</v>
      </c>
      <c r="S955" t="str">
        <f>PROPER(quantInv[[#This Row],[Metal]] &amp; " " &amp; quantInv[[#This Row],[Item Type]])</f>
        <v>925 Silver Earrings</v>
      </c>
      <c r="T955" s="33">
        <f>quantInv[[#This Row],[Quantity]]*quantInv[[#This Row],[WEIGHT]]</f>
        <v>0</v>
      </c>
      <c r="U955" s="33">
        <f>quantInv[[#This Row],[UNIT
VALUE]]*quantInv[[#This Row],[Quantity]]</f>
        <v>0</v>
      </c>
      <c r="V955" s="33">
        <f>quantInv[[#This Row],[Total Cost GBP]]/EURtoGBP</f>
        <v>0</v>
      </c>
      <c r="W955" s="33">
        <f>quantInv[[#This Row],[Total Cost GBP]]/USDtoGBP</f>
        <v>0</v>
      </c>
      <c r="X955" s="33">
        <f>quantInv[[#This Row],[Total Cost GBP]]/CADtoGBP</f>
        <v>0</v>
      </c>
      <c r="Y955" s="33">
        <f>quantInv[[#This Row],[Quantity]]*quantInv[[#This Row],[UNIT
VALUE AUD]]</f>
        <v>0</v>
      </c>
      <c r="Z955" s="33"/>
    </row>
    <row r="956" spans="1:26" x14ac:dyDescent="0.25">
      <c r="A956" t="s">
        <v>2387</v>
      </c>
      <c r="B956" t="s">
        <v>2388</v>
      </c>
      <c r="C956" t="s">
        <v>115</v>
      </c>
      <c r="D956" t="s">
        <v>2389</v>
      </c>
      <c r="E956">
        <v>0.97</v>
      </c>
      <c r="F956" s="33">
        <v>2.9281999999999999</v>
      </c>
      <c r="G956" s="33" t="s">
        <v>117</v>
      </c>
      <c r="H956" t="s">
        <v>1310</v>
      </c>
      <c r="I956" t="str">
        <f>IF(quantInv[[#This Row],[Metal]] = "925 Silver",  "7113.11.00"," 7113.19.00")</f>
        <v>7113.11.00</v>
      </c>
      <c r="J956" t="str">
        <f>IF(quantInv[[#This Row],[Metal]] = "925 Silver", "7113.11.10.00"," 7113.19.10.00")</f>
        <v>7113.11.10.00</v>
      </c>
      <c r="K956" t="str">
        <f>IF(quantInv[[#This Row],[Metal]] = "925 Silver",  "7113.11.00"," 7113.19.00")</f>
        <v>7113.11.00</v>
      </c>
      <c r="L956" t="str">
        <f>IFERROR(VLOOKUP(quantInv[[#This Row],[Description for New Invoice]],Map!$G$12:$H$32,2,FALSE), IF(quantInv[[#This Row],[Metal]] = "925 Silver", "7113.11.10.00", "7113.19.29.00"))</f>
        <v>7113.11.50.00</v>
      </c>
      <c r="M956" t="str">
        <f>quantInv[[#This Row],[ASIN]] &amp; " " &amp; quantInv[[#This Row],[Short Description]]</f>
        <v>B09J5T2J41 Silver Zodiac Stud: Gemini</v>
      </c>
      <c r="N956" s="33">
        <f>quantInv[[#This Row],[UNIT
VALUE]] / EURtoGBP</f>
        <v>3.323855090724376</v>
      </c>
      <c r="O956" s="33">
        <f>quantInv[[#This Row],[UNIT
VALUE]]/USDtoGBP</f>
        <v>4.0140757221210093</v>
      </c>
      <c r="P956" s="33">
        <f>quantInv[[#This Row],[UNIT
VALUE]] / CADtoGBP</f>
        <v>5.1382476754000379</v>
      </c>
      <c r="Q956" s="33">
        <f>quantInv[[#This Row],[UNIT
VALUE]]/AUDtoGBP</f>
        <v>5.2593577124793445</v>
      </c>
      <c r="R956">
        <f>IFERROR(VLOOKUP(quantInv[[#This Row],[Assigned Item SKU]],skuQuantity[#All],2,FALSE),0)</f>
        <v>0</v>
      </c>
      <c r="S956" t="str">
        <f>PROPER(quantInv[[#This Row],[Metal]] &amp; " " &amp; quantInv[[#This Row],[Item Type]])</f>
        <v>925 Silver Earrings</v>
      </c>
      <c r="T956" s="33">
        <f>quantInv[[#This Row],[Quantity]]*quantInv[[#This Row],[WEIGHT]]</f>
        <v>0</v>
      </c>
      <c r="U956" s="33">
        <f>quantInv[[#This Row],[UNIT
VALUE]]*quantInv[[#This Row],[Quantity]]</f>
        <v>0</v>
      </c>
      <c r="V956" s="33">
        <f>quantInv[[#This Row],[Total Cost GBP]]/EURtoGBP</f>
        <v>0</v>
      </c>
      <c r="W956" s="33">
        <f>quantInv[[#This Row],[Total Cost GBP]]/USDtoGBP</f>
        <v>0</v>
      </c>
      <c r="X956" s="33">
        <f>quantInv[[#This Row],[Total Cost GBP]]/CADtoGBP</f>
        <v>0</v>
      </c>
      <c r="Y956" s="33">
        <f>quantInv[[#This Row],[Quantity]]*quantInv[[#This Row],[UNIT
VALUE AUD]]</f>
        <v>0</v>
      </c>
      <c r="Z956" s="33"/>
    </row>
    <row r="957" spans="1:26" x14ac:dyDescent="0.25">
      <c r="A957" t="s">
        <v>2390</v>
      </c>
      <c r="B957" t="s">
        <v>2391</v>
      </c>
      <c r="C957" t="s">
        <v>115</v>
      </c>
      <c r="D957" t="s">
        <v>2392</v>
      </c>
      <c r="E957">
        <v>1.1000000000000001</v>
      </c>
      <c r="F957" s="33">
        <v>2.9281999999999999</v>
      </c>
      <c r="G957" s="33" t="s">
        <v>117</v>
      </c>
      <c r="H957" t="s">
        <v>2875</v>
      </c>
      <c r="I957" t="str">
        <f>IF(quantInv[[#This Row],[Metal]] = "925 Silver",  "7113.11.00"," 7113.19.00")</f>
        <v>7113.11.00</v>
      </c>
      <c r="J957" t="str">
        <f>IF(quantInv[[#This Row],[Metal]] = "925 Silver", "7113.11.10.00"," 7113.19.10.00")</f>
        <v>7113.11.10.00</v>
      </c>
      <c r="K957" t="str">
        <f>IF(quantInv[[#This Row],[Metal]] = "925 Silver",  "7113.11.00"," 7113.19.00")</f>
        <v>7113.11.00</v>
      </c>
      <c r="L957" t="str">
        <f>IFERROR(VLOOKUP(quantInv[[#This Row],[Description for New Invoice]],Map!$G$12:$H$32,2,FALSE), IF(quantInv[[#This Row],[Metal]] = "925 Silver", "7113.11.10.00", "7113.19.29.00"))</f>
        <v>7113.11.10.00</v>
      </c>
      <c r="M957" t="str">
        <f>quantInv[[#This Row],[ASIN]] &amp; " " &amp; quantInv[[#This Row],[Short Description]]</f>
        <v>B09J5GG193 Silver Zodiac Stud: Cancer</v>
      </c>
      <c r="N957" s="33">
        <f>quantInv[[#This Row],[UNIT
VALUE]] / EURtoGBP</f>
        <v>3.323855090724376</v>
      </c>
      <c r="O957" s="33">
        <f>quantInv[[#This Row],[UNIT
VALUE]]/USDtoGBP</f>
        <v>4.0140757221210093</v>
      </c>
      <c r="P957" s="33">
        <f>quantInv[[#This Row],[UNIT
VALUE]] / CADtoGBP</f>
        <v>5.1382476754000379</v>
      </c>
      <c r="Q957" s="33">
        <f>quantInv[[#This Row],[UNIT
VALUE]]/AUDtoGBP</f>
        <v>5.2593577124793445</v>
      </c>
      <c r="R957">
        <f>IFERROR(VLOOKUP(quantInv[[#This Row],[Assigned Item SKU]],skuQuantity[#All],2,FALSE),0)</f>
        <v>0</v>
      </c>
      <c r="S957" t="str">
        <f>PROPER(quantInv[[#This Row],[Metal]] &amp; " " &amp; quantInv[[#This Row],[Item Type]])</f>
        <v xml:space="preserve">925 Silver </v>
      </c>
      <c r="T957" s="33">
        <f>quantInv[[#This Row],[Quantity]]*quantInv[[#This Row],[WEIGHT]]</f>
        <v>0</v>
      </c>
      <c r="U957" s="33">
        <f>quantInv[[#This Row],[UNIT
VALUE]]*quantInv[[#This Row],[Quantity]]</f>
        <v>0</v>
      </c>
      <c r="V957" s="33">
        <f>quantInv[[#This Row],[Total Cost GBP]]/EURtoGBP</f>
        <v>0</v>
      </c>
      <c r="W957" s="33">
        <f>quantInv[[#This Row],[Total Cost GBP]]/USDtoGBP</f>
        <v>0</v>
      </c>
      <c r="X957" s="33">
        <f>quantInv[[#This Row],[Total Cost GBP]]/CADtoGBP</f>
        <v>0</v>
      </c>
      <c r="Y957" s="33">
        <f>quantInv[[#This Row],[Quantity]]*quantInv[[#This Row],[UNIT
VALUE AUD]]</f>
        <v>0</v>
      </c>
      <c r="Z957" s="33"/>
    </row>
    <row r="958" spans="1:26" x14ac:dyDescent="0.25">
      <c r="A958" t="s">
        <v>2393</v>
      </c>
      <c r="B958" t="s">
        <v>2394</v>
      </c>
      <c r="C958" t="s">
        <v>115</v>
      </c>
      <c r="D958" t="s">
        <v>2395</v>
      </c>
      <c r="E958">
        <v>1.1000000000000001</v>
      </c>
      <c r="F958" s="33">
        <v>2.9281999999999999</v>
      </c>
      <c r="G958" s="33" t="s">
        <v>117</v>
      </c>
      <c r="H958" t="s">
        <v>1310</v>
      </c>
      <c r="I958" t="str">
        <f>IF(quantInv[[#This Row],[Metal]] = "925 Silver",  "7113.11.00"," 7113.19.00")</f>
        <v>7113.11.00</v>
      </c>
      <c r="J958" t="str">
        <f>IF(quantInv[[#This Row],[Metal]] = "925 Silver", "7113.11.10.00"," 7113.19.10.00")</f>
        <v>7113.11.10.00</v>
      </c>
      <c r="K958" t="str">
        <f>IF(quantInv[[#This Row],[Metal]] = "925 Silver",  "7113.11.00"," 7113.19.00")</f>
        <v>7113.11.00</v>
      </c>
      <c r="L958" t="str">
        <f>IFERROR(VLOOKUP(quantInv[[#This Row],[Description for New Invoice]],Map!$G$12:$H$32,2,FALSE), IF(quantInv[[#This Row],[Metal]] = "925 Silver", "7113.11.10.00", "7113.19.29.00"))</f>
        <v>7113.11.50.00</v>
      </c>
      <c r="M958" t="str">
        <f>quantInv[[#This Row],[ASIN]] &amp; " " &amp; quantInv[[#This Row],[Short Description]]</f>
        <v>B09J5J8H6Y Silver Zodiac Stud: Leo</v>
      </c>
      <c r="N958" s="33">
        <f>quantInv[[#This Row],[UNIT
VALUE]] / EURtoGBP</f>
        <v>3.323855090724376</v>
      </c>
      <c r="O958" s="33">
        <f>quantInv[[#This Row],[UNIT
VALUE]]/USDtoGBP</f>
        <v>4.0140757221210093</v>
      </c>
      <c r="P958" s="33">
        <f>quantInv[[#This Row],[UNIT
VALUE]] / CADtoGBP</f>
        <v>5.1382476754000379</v>
      </c>
      <c r="Q958" s="33">
        <f>quantInv[[#This Row],[UNIT
VALUE]]/AUDtoGBP</f>
        <v>5.2593577124793445</v>
      </c>
      <c r="R958">
        <f>IFERROR(VLOOKUP(quantInv[[#This Row],[Assigned Item SKU]],skuQuantity[#All],2,FALSE),0)</f>
        <v>0</v>
      </c>
      <c r="S958" t="str">
        <f>PROPER(quantInv[[#This Row],[Metal]] &amp; " " &amp; quantInv[[#This Row],[Item Type]])</f>
        <v>925 Silver Earrings</v>
      </c>
      <c r="T958" s="33">
        <f>quantInv[[#This Row],[Quantity]]*quantInv[[#This Row],[WEIGHT]]</f>
        <v>0</v>
      </c>
      <c r="U958" s="33">
        <f>quantInv[[#This Row],[UNIT
VALUE]]*quantInv[[#This Row],[Quantity]]</f>
        <v>0</v>
      </c>
      <c r="V958" s="33">
        <f>quantInv[[#This Row],[Total Cost GBP]]/EURtoGBP</f>
        <v>0</v>
      </c>
      <c r="W958" s="33">
        <f>quantInv[[#This Row],[Total Cost GBP]]/USDtoGBP</f>
        <v>0</v>
      </c>
      <c r="X958" s="33">
        <f>quantInv[[#This Row],[Total Cost GBP]]/CADtoGBP</f>
        <v>0</v>
      </c>
      <c r="Y958" s="33">
        <f>quantInv[[#This Row],[Quantity]]*quantInv[[#This Row],[UNIT
VALUE AUD]]</f>
        <v>0</v>
      </c>
      <c r="Z958" s="33"/>
    </row>
    <row r="959" spans="1:26" x14ac:dyDescent="0.25">
      <c r="A959" t="s">
        <v>2396</v>
      </c>
      <c r="B959" t="s">
        <v>2397</v>
      </c>
      <c r="C959" t="s">
        <v>115</v>
      </c>
      <c r="D959" t="s">
        <v>2398</v>
      </c>
      <c r="E959">
        <v>1</v>
      </c>
      <c r="F959" s="33">
        <v>2.9281999999999999</v>
      </c>
      <c r="G959" s="33" t="s">
        <v>117</v>
      </c>
      <c r="H959" t="s">
        <v>1310</v>
      </c>
      <c r="I959" t="str">
        <f>IF(quantInv[[#This Row],[Metal]] = "925 Silver",  "7113.11.00"," 7113.19.00")</f>
        <v>7113.11.00</v>
      </c>
      <c r="J959" t="str">
        <f>IF(quantInv[[#This Row],[Metal]] = "925 Silver", "7113.11.10.00"," 7113.19.10.00")</f>
        <v>7113.11.10.00</v>
      </c>
      <c r="K959" t="str">
        <f>IF(quantInv[[#This Row],[Metal]] = "925 Silver",  "7113.11.00"," 7113.19.00")</f>
        <v>7113.11.00</v>
      </c>
      <c r="L959" t="str">
        <f>IFERROR(VLOOKUP(quantInv[[#This Row],[Description for New Invoice]],Map!$G$12:$H$32,2,FALSE), IF(quantInv[[#This Row],[Metal]] = "925 Silver", "7113.11.10.00", "7113.19.29.00"))</f>
        <v>7113.11.50.00</v>
      </c>
      <c r="M959" t="str">
        <f>quantInv[[#This Row],[ASIN]] &amp; " " &amp; quantInv[[#This Row],[Short Description]]</f>
        <v>B09J5GT8LJ Silver Zodiac Stud: Virgo</v>
      </c>
      <c r="N959" s="33">
        <f>quantInv[[#This Row],[UNIT
VALUE]] / EURtoGBP</f>
        <v>3.323855090724376</v>
      </c>
      <c r="O959" s="33">
        <f>quantInv[[#This Row],[UNIT
VALUE]]/USDtoGBP</f>
        <v>4.0140757221210093</v>
      </c>
      <c r="P959" s="33">
        <f>quantInv[[#This Row],[UNIT
VALUE]] / CADtoGBP</f>
        <v>5.1382476754000379</v>
      </c>
      <c r="Q959" s="33">
        <f>quantInv[[#This Row],[UNIT
VALUE]]/AUDtoGBP</f>
        <v>5.2593577124793445</v>
      </c>
      <c r="R959">
        <f>IFERROR(VLOOKUP(quantInv[[#This Row],[Assigned Item SKU]],skuQuantity[#All],2,FALSE),0)</f>
        <v>0</v>
      </c>
      <c r="S959" t="str">
        <f>PROPER(quantInv[[#This Row],[Metal]] &amp; " " &amp; quantInv[[#This Row],[Item Type]])</f>
        <v>925 Silver Earrings</v>
      </c>
      <c r="T959" s="33">
        <f>quantInv[[#This Row],[Quantity]]*quantInv[[#This Row],[WEIGHT]]</f>
        <v>0</v>
      </c>
      <c r="U959" s="33">
        <f>quantInv[[#This Row],[UNIT
VALUE]]*quantInv[[#This Row],[Quantity]]</f>
        <v>0</v>
      </c>
      <c r="V959" s="33">
        <f>quantInv[[#This Row],[Total Cost GBP]]/EURtoGBP</f>
        <v>0</v>
      </c>
      <c r="W959" s="33">
        <f>quantInv[[#This Row],[Total Cost GBP]]/USDtoGBP</f>
        <v>0</v>
      </c>
      <c r="X959" s="33">
        <f>quantInv[[#This Row],[Total Cost GBP]]/CADtoGBP</f>
        <v>0</v>
      </c>
      <c r="Y959" s="33">
        <f>quantInv[[#This Row],[Quantity]]*quantInv[[#This Row],[UNIT
VALUE AUD]]</f>
        <v>0</v>
      </c>
      <c r="Z959" s="33"/>
    </row>
    <row r="960" spans="1:26" x14ac:dyDescent="0.25">
      <c r="A960" t="s">
        <v>2399</v>
      </c>
      <c r="B960" t="s">
        <v>2400</v>
      </c>
      <c r="C960" t="s">
        <v>115</v>
      </c>
      <c r="D960" t="s">
        <v>2401</v>
      </c>
      <c r="E960">
        <v>1.21</v>
      </c>
      <c r="F960" s="33">
        <v>2.9281999999999999</v>
      </c>
      <c r="G960" s="33" t="s">
        <v>117</v>
      </c>
      <c r="H960" t="s">
        <v>2875</v>
      </c>
      <c r="I960" t="str">
        <f>IF(quantInv[[#This Row],[Metal]] = "925 Silver",  "7113.11.00"," 7113.19.00")</f>
        <v>7113.11.00</v>
      </c>
      <c r="J960" t="str">
        <f>IF(quantInv[[#This Row],[Metal]] = "925 Silver", "7113.11.10.00"," 7113.19.10.00")</f>
        <v>7113.11.10.00</v>
      </c>
      <c r="K960" t="str">
        <f>IF(quantInv[[#This Row],[Metal]] = "925 Silver",  "7113.11.00"," 7113.19.00")</f>
        <v>7113.11.00</v>
      </c>
      <c r="L960" t="str">
        <f>IFERROR(VLOOKUP(quantInv[[#This Row],[Description for New Invoice]],Map!$G$12:$H$32,2,FALSE), IF(quantInv[[#This Row],[Metal]] = "925 Silver", "7113.11.10.00", "7113.19.29.00"))</f>
        <v>7113.11.10.00</v>
      </c>
      <c r="M960" t="str">
        <f>quantInv[[#This Row],[ASIN]] &amp; " " &amp; quantInv[[#This Row],[Short Description]]</f>
        <v>B09J5JHY8Y Silver Zodiac Stud: Libra</v>
      </c>
      <c r="N960" s="33">
        <f>quantInv[[#This Row],[UNIT
VALUE]] / EURtoGBP</f>
        <v>3.323855090724376</v>
      </c>
      <c r="O960" s="33">
        <f>quantInv[[#This Row],[UNIT
VALUE]]/USDtoGBP</f>
        <v>4.0140757221210093</v>
      </c>
      <c r="P960" s="33">
        <f>quantInv[[#This Row],[UNIT
VALUE]] / CADtoGBP</f>
        <v>5.1382476754000379</v>
      </c>
      <c r="Q960" s="33">
        <f>quantInv[[#This Row],[UNIT
VALUE]]/AUDtoGBP</f>
        <v>5.2593577124793445</v>
      </c>
      <c r="R960">
        <f>IFERROR(VLOOKUP(quantInv[[#This Row],[Assigned Item SKU]],skuQuantity[#All],2,FALSE),0)</f>
        <v>0</v>
      </c>
      <c r="S960" t="str">
        <f>PROPER(quantInv[[#This Row],[Metal]] &amp; " " &amp; quantInv[[#This Row],[Item Type]])</f>
        <v xml:space="preserve">925 Silver </v>
      </c>
      <c r="T960" s="33">
        <f>quantInv[[#This Row],[Quantity]]*quantInv[[#This Row],[WEIGHT]]</f>
        <v>0</v>
      </c>
      <c r="U960" s="33">
        <f>quantInv[[#This Row],[UNIT
VALUE]]*quantInv[[#This Row],[Quantity]]</f>
        <v>0</v>
      </c>
      <c r="V960" s="33">
        <f>quantInv[[#This Row],[Total Cost GBP]]/EURtoGBP</f>
        <v>0</v>
      </c>
      <c r="W960" s="33">
        <f>quantInv[[#This Row],[Total Cost GBP]]/USDtoGBP</f>
        <v>0</v>
      </c>
      <c r="X960" s="33">
        <f>quantInv[[#This Row],[Total Cost GBP]]/CADtoGBP</f>
        <v>0</v>
      </c>
      <c r="Y960" s="33">
        <f>quantInv[[#This Row],[Quantity]]*quantInv[[#This Row],[UNIT
VALUE AUD]]</f>
        <v>0</v>
      </c>
      <c r="Z960" s="33"/>
    </row>
    <row r="961" spans="1:26" x14ac:dyDescent="0.25">
      <c r="A961" t="s">
        <v>1679</v>
      </c>
      <c r="B961" t="s">
        <v>1680</v>
      </c>
      <c r="C961" t="s">
        <v>114</v>
      </c>
      <c r="D961" t="s">
        <v>1681</v>
      </c>
      <c r="E961">
        <v>2.1</v>
      </c>
      <c r="F961" s="33">
        <v>45.610199999999999</v>
      </c>
      <c r="G961" s="33" t="s">
        <v>3304</v>
      </c>
      <c r="H961" t="s">
        <v>1414</v>
      </c>
      <c r="I961" t="str">
        <f>IF(quantInv[[#This Row],[Metal]] = "925 Silver",  "7113.11.00"," 7113.19.00")</f>
        <v xml:space="preserve"> 7113.19.00</v>
      </c>
      <c r="J961" t="str">
        <f>IF(quantInv[[#This Row],[Metal]] = "925 Silver", "7113.11.10.00"," 7113.19.10.00")</f>
        <v xml:space="preserve"> 7113.19.10.00</v>
      </c>
      <c r="K961" t="str">
        <f>IF(quantInv[[#This Row],[Metal]] = "925 Silver",  "7113.11.00"," 7113.19.00")</f>
        <v xml:space="preserve"> 7113.19.00</v>
      </c>
      <c r="L961" t="str">
        <f>IFERROR(VLOOKUP(quantInv[[#This Row],[Description for New Invoice]],Map!$G$12:$H$32,2,FALSE), IF(quantInv[[#This Row],[Metal]] = "925 Silver", "7113.11.10.00", "7113.19.29.00"))</f>
        <v>7113.19.10.00</v>
      </c>
      <c r="M961" t="str">
        <f>quantInv[[#This Row],[ASIN]] &amp; " " &amp; quantInv[[#This Row],[Short Description]]</f>
        <v>B085QKYDGJ Chain Bracelet - Heart - 9K Gold White</v>
      </c>
      <c r="N961" s="33">
        <f>quantInv[[#This Row],[UNIT
VALUE]] / EURtoGBP</f>
        <v>51.772998927312663</v>
      </c>
      <c r="O961" s="33">
        <f>quantInv[[#This Row],[UNIT
VALUE]]/USDtoGBP</f>
        <v>62.524006728052605</v>
      </c>
      <c r="P961" s="33">
        <f>quantInv[[#This Row],[UNIT
VALUE]] / CADtoGBP</f>
        <v>80.034322834687117</v>
      </c>
      <c r="Q961" s="33">
        <f>quantInv[[#This Row],[UNIT
VALUE]]/AUDtoGBP</f>
        <v>81.920755801422516</v>
      </c>
      <c r="R961">
        <f>IFERROR(VLOOKUP(quantInv[[#This Row],[Assigned Item SKU]],skuQuantity[#All],2,FALSE),0)</f>
        <v>0</v>
      </c>
      <c r="S961" t="str">
        <f>PROPER(quantInv[[#This Row],[Metal]] &amp; " " &amp; quantInv[[#This Row],[Item Type]])</f>
        <v>9K Gold Bracelet</v>
      </c>
      <c r="T961" s="33">
        <f>quantInv[[#This Row],[Quantity]]*quantInv[[#This Row],[WEIGHT]]</f>
        <v>0</v>
      </c>
      <c r="U961" s="33">
        <f>quantInv[[#This Row],[UNIT
VALUE]]*quantInv[[#This Row],[Quantity]]</f>
        <v>0</v>
      </c>
      <c r="V961" s="33">
        <f>quantInv[[#This Row],[Total Cost GBP]]/EURtoGBP</f>
        <v>0</v>
      </c>
      <c r="W961" s="33">
        <f>quantInv[[#This Row],[Total Cost GBP]]/USDtoGBP</f>
        <v>0</v>
      </c>
      <c r="X961" s="33">
        <f>quantInv[[#This Row],[Total Cost GBP]]/CADtoGBP</f>
        <v>0</v>
      </c>
      <c r="Y961" s="33">
        <f>quantInv[[#This Row],[Quantity]]*quantInv[[#This Row],[UNIT
VALUE AUD]]</f>
        <v>0</v>
      </c>
      <c r="Z961" s="33"/>
    </row>
    <row r="962" spans="1:26" x14ac:dyDescent="0.25">
      <c r="A962" t="s">
        <v>2405</v>
      </c>
      <c r="B962" t="s">
        <v>2406</v>
      </c>
      <c r="C962" t="s">
        <v>115</v>
      </c>
      <c r="D962" t="s">
        <v>2407</v>
      </c>
      <c r="E962">
        <v>1</v>
      </c>
      <c r="F962" s="33">
        <v>2.9281999999999999</v>
      </c>
      <c r="G962" s="33" t="s">
        <v>117</v>
      </c>
      <c r="H962" t="s">
        <v>1310</v>
      </c>
      <c r="I962" t="str">
        <f>IF(quantInv[[#This Row],[Metal]] = "925 Silver",  "7113.11.00"," 7113.19.00")</f>
        <v>7113.11.00</v>
      </c>
      <c r="J962" t="str">
        <f>IF(quantInv[[#This Row],[Metal]] = "925 Silver", "7113.11.10.00"," 7113.19.10.00")</f>
        <v>7113.11.10.00</v>
      </c>
      <c r="K962" t="str">
        <f>IF(quantInv[[#This Row],[Metal]] = "925 Silver",  "7113.11.00"," 7113.19.00")</f>
        <v>7113.11.00</v>
      </c>
      <c r="L962" t="str">
        <f>IFERROR(VLOOKUP(quantInv[[#This Row],[Description for New Invoice]],Map!$G$12:$H$32,2,FALSE), IF(quantInv[[#This Row],[Metal]] = "925 Silver", "7113.11.10.00", "7113.19.29.00"))</f>
        <v>7113.11.50.00</v>
      </c>
      <c r="M962" t="str">
        <f>quantInv[[#This Row],[ASIN]] &amp; " " &amp; quantInv[[#This Row],[Short Description]]</f>
        <v>B09J5GX7TF Silver Zodiac Stud: Sagittarius</v>
      </c>
      <c r="N962" s="33">
        <f>quantInv[[#This Row],[UNIT
VALUE]] / EURtoGBP</f>
        <v>3.323855090724376</v>
      </c>
      <c r="O962" s="33">
        <f>quantInv[[#This Row],[UNIT
VALUE]]/USDtoGBP</f>
        <v>4.0140757221210093</v>
      </c>
      <c r="P962" s="33">
        <f>quantInv[[#This Row],[UNIT
VALUE]] / CADtoGBP</f>
        <v>5.1382476754000379</v>
      </c>
      <c r="Q962" s="33">
        <f>quantInv[[#This Row],[UNIT
VALUE]]/AUDtoGBP</f>
        <v>5.2593577124793445</v>
      </c>
      <c r="R962">
        <f>IFERROR(VLOOKUP(quantInv[[#This Row],[Assigned Item SKU]],skuQuantity[#All],2,FALSE),0)</f>
        <v>0</v>
      </c>
      <c r="S962" t="str">
        <f>PROPER(quantInv[[#This Row],[Metal]] &amp; " " &amp; quantInv[[#This Row],[Item Type]])</f>
        <v>925 Silver Earrings</v>
      </c>
      <c r="T962" s="33">
        <f>quantInv[[#This Row],[Quantity]]*quantInv[[#This Row],[WEIGHT]]</f>
        <v>0</v>
      </c>
      <c r="U962" s="33">
        <f>quantInv[[#This Row],[UNIT
VALUE]]*quantInv[[#This Row],[Quantity]]</f>
        <v>0</v>
      </c>
      <c r="V962" s="33">
        <f>quantInv[[#This Row],[Total Cost GBP]]/EURtoGBP</f>
        <v>0</v>
      </c>
      <c r="W962" s="33">
        <f>quantInv[[#This Row],[Total Cost GBP]]/USDtoGBP</f>
        <v>0</v>
      </c>
      <c r="X962" s="33">
        <f>quantInv[[#This Row],[Total Cost GBP]]/CADtoGBP</f>
        <v>0</v>
      </c>
      <c r="Y962" s="33">
        <f>quantInv[[#This Row],[Quantity]]*quantInv[[#This Row],[UNIT
VALUE AUD]]</f>
        <v>0</v>
      </c>
      <c r="Z962" s="33"/>
    </row>
    <row r="963" spans="1:26" x14ac:dyDescent="0.25">
      <c r="A963" t="s">
        <v>2408</v>
      </c>
      <c r="B963" t="s">
        <v>2409</v>
      </c>
      <c r="C963" t="s">
        <v>115</v>
      </c>
      <c r="D963" t="s">
        <v>2410</v>
      </c>
      <c r="E963">
        <v>0.99</v>
      </c>
      <c r="F963" s="33">
        <v>2.9281999999999999</v>
      </c>
      <c r="G963" s="33" t="s">
        <v>117</v>
      </c>
      <c r="H963" t="s">
        <v>1310</v>
      </c>
      <c r="I963" t="str">
        <f>IF(quantInv[[#This Row],[Metal]] = "925 Silver",  "7113.11.00"," 7113.19.00")</f>
        <v>7113.11.00</v>
      </c>
      <c r="J963" t="str">
        <f>IF(quantInv[[#This Row],[Metal]] = "925 Silver", "7113.11.10.00"," 7113.19.10.00")</f>
        <v>7113.11.10.00</v>
      </c>
      <c r="K963" t="str">
        <f>IF(quantInv[[#This Row],[Metal]] = "925 Silver",  "7113.11.00"," 7113.19.00")</f>
        <v>7113.11.00</v>
      </c>
      <c r="L963" t="str">
        <f>IFERROR(VLOOKUP(quantInv[[#This Row],[Description for New Invoice]],Map!$G$12:$H$32,2,FALSE), IF(quantInv[[#This Row],[Metal]] = "925 Silver", "7113.11.10.00", "7113.19.29.00"))</f>
        <v>7113.11.50.00</v>
      </c>
      <c r="M963" t="str">
        <f>quantInv[[#This Row],[ASIN]] &amp; " " &amp; quantInv[[#This Row],[Short Description]]</f>
        <v>B09J5GWWBG Silver Zodiac Stud: Capricorn</v>
      </c>
      <c r="N963" s="33">
        <f>quantInv[[#This Row],[UNIT
VALUE]] / EURtoGBP</f>
        <v>3.323855090724376</v>
      </c>
      <c r="O963" s="33">
        <f>quantInv[[#This Row],[UNIT
VALUE]]/USDtoGBP</f>
        <v>4.0140757221210093</v>
      </c>
      <c r="P963" s="33">
        <f>quantInv[[#This Row],[UNIT
VALUE]] / CADtoGBP</f>
        <v>5.1382476754000379</v>
      </c>
      <c r="Q963" s="33">
        <f>quantInv[[#This Row],[UNIT
VALUE]]/AUDtoGBP</f>
        <v>5.2593577124793445</v>
      </c>
      <c r="R963">
        <f>IFERROR(VLOOKUP(quantInv[[#This Row],[Assigned Item SKU]],skuQuantity[#All],2,FALSE),0)</f>
        <v>0</v>
      </c>
      <c r="S963" t="str">
        <f>PROPER(quantInv[[#This Row],[Metal]] &amp; " " &amp; quantInv[[#This Row],[Item Type]])</f>
        <v>925 Silver Earrings</v>
      </c>
      <c r="T963" s="33">
        <f>quantInv[[#This Row],[Quantity]]*quantInv[[#This Row],[WEIGHT]]</f>
        <v>0</v>
      </c>
      <c r="U963" s="33">
        <f>quantInv[[#This Row],[UNIT
VALUE]]*quantInv[[#This Row],[Quantity]]</f>
        <v>0</v>
      </c>
      <c r="V963" s="33">
        <f>quantInv[[#This Row],[Total Cost GBP]]/EURtoGBP</f>
        <v>0</v>
      </c>
      <c r="W963" s="33">
        <f>quantInv[[#This Row],[Total Cost GBP]]/USDtoGBP</f>
        <v>0</v>
      </c>
      <c r="X963" s="33">
        <f>quantInv[[#This Row],[Total Cost GBP]]/CADtoGBP</f>
        <v>0</v>
      </c>
      <c r="Y963" s="33">
        <f>quantInv[[#This Row],[Quantity]]*quantInv[[#This Row],[UNIT
VALUE AUD]]</f>
        <v>0</v>
      </c>
      <c r="Z963" s="33"/>
    </row>
    <row r="964" spans="1:26" x14ac:dyDescent="0.25">
      <c r="A964" t="s">
        <v>2411</v>
      </c>
      <c r="B964" t="s">
        <v>2412</v>
      </c>
      <c r="C964" t="s">
        <v>115</v>
      </c>
      <c r="D964" t="s">
        <v>2413</v>
      </c>
      <c r="E964">
        <v>1.1399999999999999</v>
      </c>
      <c r="F964" s="33">
        <v>2.9281999999999999</v>
      </c>
      <c r="G964" s="33" t="s">
        <v>117</v>
      </c>
      <c r="H964" t="s">
        <v>1310</v>
      </c>
      <c r="I964" t="str">
        <f>IF(quantInv[[#This Row],[Metal]] = "925 Silver",  "7113.11.00"," 7113.19.00")</f>
        <v>7113.11.00</v>
      </c>
      <c r="J964" t="str">
        <f>IF(quantInv[[#This Row],[Metal]] = "925 Silver", "7113.11.10.00"," 7113.19.10.00")</f>
        <v>7113.11.10.00</v>
      </c>
      <c r="K964" t="str">
        <f>IF(quantInv[[#This Row],[Metal]] = "925 Silver",  "7113.11.00"," 7113.19.00")</f>
        <v>7113.11.00</v>
      </c>
      <c r="L964" t="str">
        <f>IFERROR(VLOOKUP(quantInv[[#This Row],[Description for New Invoice]],Map!$G$12:$H$32,2,FALSE), IF(quantInv[[#This Row],[Metal]] = "925 Silver", "7113.11.10.00", "7113.19.29.00"))</f>
        <v>7113.11.50.00</v>
      </c>
      <c r="M964" t="str">
        <f>quantInv[[#This Row],[ASIN]] &amp; " " &amp; quantInv[[#This Row],[Short Description]]</f>
        <v>B09J5H66LH Silver Zodiac Stud: Aquarius</v>
      </c>
      <c r="N964" s="33">
        <f>quantInv[[#This Row],[UNIT
VALUE]] / EURtoGBP</f>
        <v>3.323855090724376</v>
      </c>
      <c r="O964" s="33">
        <f>quantInv[[#This Row],[UNIT
VALUE]]/USDtoGBP</f>
        <v>4.0140757221210093</v>
      </c>
      <c r="P964" s="33">
        <f>quantInv[[#This Row],[UNIT
VALUE]] / CADtoGBP</f>
        <v>5.1382476754000379</v>
      </c>
      <c r="Q964" s="33">
        <f>quantInv[[#This Row],[UNIT
VALUE]]/AUDtoGBP</f>
        <v>5.2593577124793445</v>
      </c>
      <c r="R964">
        <f>IFERROR(VLOOKUP(quantInv[[#This Row],[Assigned Item SKU]],skuQuantity[#All],2,FALSE),0)</f>
        <v>0</v>
      </c>
      <c r="S964" t="str">
        <f>PROPER(quantInv[[#This Row],[Metal]] &amp; " " &amp; quantInv[[#This Row],[Item Type]])</f>
        <v>925 Silver Earrings</v>
      </c>
      <c r="T964" s="33">
        <f>quantInv[[#This Row],[Quantity]]*quantInv[[#This Row],[WEIGHT]]</f>
        <v>0</v>
      </c>
      <c r="U964" s="33">
        <f>quantInv[[#This Row],[UNIT
VALUE]]*quantInv[[#This Row],[Quantity]]</f>
        <v>0</v>
      </c>
      <c r="V964" s="33">
        <f>quantInv[[#This Row],[Total Cost GBP]]/EURtoGBP</f>
        <v>0</v>
      </c>
      <c r="W964" s="33">
        <f>quantInv[[#This Row],[Total Cost GBP]]/USDtoGBP</f>
        <v>0</v>
      </c>
      <c r="X964" s="33">
        <f>quantInv[[#This Row],[Total Cost GBP]]/CADtoGBP</f>
        <v>0</v>
      </c>
      <c r="Y964" s="33">
        <f>quantInv[[#This Row],[Quantity]]*quantInv[[#This Row],[UNIT
VALUE AUD]]</f>
        <v>0</v>
      </c>
      <c r="Z964" s="33"/>
    </row>
    <row r="965" spans="1:26" x14ac:dyDescent="0.25">
      <c r="A965" t="s">
        <v>2414</v>
      </c>
      <c r="B965" t="s">
        <v>2415</v>
      </c>
      <c r="C965" t="s">
        <v>115</v>
      </c>
      <c r="D965" t="s">
        <v>2416</v>
      </c>
      <c r="E965">
        <v>0.96</v>
      </c>
      <c r="F965" s="33">
        <v>2.9281999999999999</v>
      </c>
      <c r="G965" s="33" t="s">
        <v>117</v>
      </c>
      <c r="H965" t="s">
        <v>1310</v>
      </c>
      <c r="I965" t="str">
        <f>IF(quantInv[[#This Row],[Metal]] = "925 Silver",  "7113.11.00"," 7113.19.00")</f>
        <v>7113.11.00</v>
      </c>
      <c r="J965" t="str">
        <f>IF(quantInv[[#This Row],[Metal]] = "925 Silver", "7113.11.10.00"," 7113.19.10.00")</f>
        <v>7113.11.10.00</v>
      </c>
      <c r="K965" t="str">
        <f>IF(quantInv[[#This Row],[Metal]] = "925 Silver",  "7113.11.00"," 7113.19.00")</f>
        <v>7113.11.00</v>
      </c>
      <c r="L965" t="str">
        <f>IFERROR(VLOOKUP(quantInv[[#This Row],[Description for New Invoice]],Map!$G$12:$H$32,2,FALSE), IF(quantInv[[#This Row],[Metal]] = "925 Silver", "7113.11.10.00", "7113.19.29.00"))</f>
        <v>7113.11.50.00</v>
      </c>
      <c r="M965" t="str">
        <f>quantInv[[#This Row],[ASIN]] &amp; " " &amp; quantInv[[#This Row],[Short Description]]</f>
        <v>B09J5J23HH Silver Zodiac Stud: Pisces</v>
      </c>
      <c r="N965" s="33">
        <f>quantInv[[#This Row],[UNIT
VALUE]] / EURtoGBP</f>
        <v>3.323855090724376</v>
      </c>
      <c r="O965" s="33">
        <f>quantInv[[#This Row],[UNIT
VALUE]]/USDtoGBP</f>
        <v>4.0140757221210093</v>
      </c>
      <c r="P965" s="33">
        <f>quantInv[[#This Row],[UNIT
VALUE]] / CADtoGBP</f>
        <v>5.1382476754000379</v>
      </c>
      <c r="Q965" s="33">
        <f>quantInv[[#This Row],[UNIT
VALUE]]/AUDtoGBP</f>
        <v>5.2593577124793445</v>
      </c>
      <c r="R965">
        <f>IFERROR(VLOOKUP(quantInv[[#This Row],[Assigned Item SKU]],skuQuantity[#All],2,FALSE),0)</f>
        <v>0</v>
      </c>
      <c r="S965" t="str">
        <f>PROPER(quantInv[[#This Row],[Metal]] &amp; " " &amp; quantInv[[#This Row],[Item Type]])</f>
        <v>925 Silver Earrings</v>
      </c>
      <c r="T965" s="33">
        <f>quantInv[[#This Row],[Quantity]]*quantInv[[#This Row],[WEIGHT]]</f>
        <v>0</v>
      </c>
      <c r="U965" s="33">
        <f>quantInv[[#This Row],[UNIT
VALUE]]*quantInv[[#This Row],[Quantity]]</f>
        <v>0</v>
      </c>
      <c r="V965" s="33">
        <f>quantInv[[#This Row],[Total Cost GBP]]/EURtoGBP</f>
        <v>0</v>
      </c>
      <c r="W965" s="33">
        <f>quantInv[[#This Row],[Total Cost GBP]]/USDtoGBP</f>
        <v>0</v>
      </c>
      <c r="X965" s="33">
        <f>quantInv[[#This Row],[Total Cost GBP]]/CADtoGBP</f>
        <v>0</v>
      </c>
      <c r="Y965" s="33">
        <f>quantInv[[#This Row],[Quantity]]*quantInv[[#This Row],[UNIT
VALUE AUD]]</f>
        <v>0</v>
      </c>
      <c r="Z965" s="33"/>
    </row>
    <row r="966" spans="1:26" x14ac:dyDescent="0.25">
      <c r="A966" t="s">
        <v>2417</v>
      </c>
      <c r="C966" t="s">
        <v>114</v>
      </c>
      <c r="E966">
        <v>0.6179</v>
      </c>
      <c r="F966" s="33">
        <v>13.2599</v>
      </c>
      <c r="G966" s="33" t="s">
        <v>3304</v>
      </c>
      <c r="H966" t="s">
        <v>2875</v>
      </c>
      <c r="I966" t="str">
        <f>IF(quantInv[[#This Row],[Metal]] = "925 Silver",  "7113.11.00"," 7113.19.00")</f>
        <v xml:space="preserve"> 7113.19.00</v>
      </c>
      <c r="J966" t="str">
        <f>IF(quantInv[[#This Row],[Metal]] = "925 Silver", "7113.11.10.00"," 7113.19.10.00")</f>
        <v xml:space="preserve"> 7113.19.10.00</v>
      </c>
      <c r="K966" t="str">
        <f>IF(quantInv[[#This Row],[Metal]] = "925 Silver",  "7113.11.00"," 7113.19.00")</f>
        <v xml:space="preserve"> 7113.19.00</v>
      </c>
      <c r="L966" t="str">
        <f>IFERROR(VLOOKUP(quantInv[[#This Row],[Description for New Invoice]],Map!$G$12:$H$32,2,FALSE), IF(quantInv[[#This Row],[Metal]] = "925 Silver", "7113.11.10.00", "7113.19.29.00"))</f>
        <v>7113.19.29.00</v>
      </c>
      <c r="M966" t="str">
        <f>quantInv[[#This Row],[ASIN]] &amp; " " &amp; quantInv[[#This Row],[Short Description]]</f>
        <v xml:space="preserve"> </v>
      </c>
      <c r="N966" s="33">
        <f>quantInv[[#This Row],[UNIT
VALUE]] / EURtoGBP</f>
        <v>15.051562774911602</v>
      </c>
      <c r="O966" s="33">
        <f>quantInv[[#This Row],[UNIT
VALUE]]/USDtoGBP</f>
        <v>18.177119960300651</v>
      </c>
      <c r="P966" s="33">
        <f>quantInv[[#This Row],[UNIT
VALUE]] / CADtoGBP</f>
        <v>23.267758469720977</v>
      </c>
      <c r="Q966" s="33">
        <f>quantInv[[#This Row],[UNIT
VALUE]]/AUDtoGBP</f>
        <v>23.816186507651409</v>
      </c>
      <c r="R966">
        <f>IFERROR(VLOOKUP(quantInv[[#This Row],[Assigned Item SKU]],skuQuantity[#All],2,FALSE),0)</f>
        <v>0</v>
      </c>
      <c r="S966" t="str">
        <f>PROPER(quantInv[[#This Row],[Metal]] &amp; " " &amp; quantInv[[#This Row],[Item Type]])</f>
        <v xml:space="preserve">9K Gold </v>
      </c>
      <c r="T966" s="33">
        <f>quantInv[[#This Row],[Quantity]]*quantInv[[#This Row],[WEIGHT]]</f>
        <v>0</v>
      </c>
      <c r="U966" s="33">
        <f>quantInv[[#This Row],[UNIT
VALUE]]*quantInv[[#This Row],[Quantity]]</f>
        <v>0</v>
      </c>
      <c r="V966" s="33">
        <f>quantInv[[#This Row],[Total Cost GBP]]/EURtoGBP</f>
        <v>0</v>
      </c>
      <c r="W966" s="33">
        <f>quantInv[[#This Row],[Total Cost GBP]]/USDtoGBP</f>
        <v>0</v>
      </c>
      <c r="X966" s="33">
        <f>quantInv[[#This Row],[Total Cost GBP]]/CADtoGBP</f>
        <v>0</v>
      </c>
      <c r="Y966" s="33">
        <f>quantInv[[#This Row],[Quantity]]*quantInv[[#This Row],[UNIT
VALUE AUD]]</f>
        <v>0</v>
      </c>
      <c r="Z966" s="33"/>
    </row>
    <row r="967" spans="1:26" x14ac:dyDescent="0.25">
      <c r="A967" t="s">
        <v>2418</v>
      </c>
      <c r="C967" t="s">
        <v>114</v>
      </c>
      <c r="E967">
        <v>0.67330000000000001</v>
      </c>
      <c r="F967" s="33">
        <v>14.438800000000001</v>
      </c>
      <c r="G967" s="33" t="s">
        <v>3304</v>
      </c>
      <c r="H967" t="s">
        <v>2875</v>
      </c>
      <c r="I967" t="str">
        <f>IF(quantInv[[#This Row],[Metal]] = "925 Silver",  "7113.11.00"," 7113.19.00")</f>
        <v xml:space="preserve"> 7113.19.00</v>
      </c>
      <c r="J967" t="str">
        <f>IF(quantInv[[#This Row],[Metal]] = "925 Silver", "7113.11.10.00"," 7113.19.10.00")</f>
        <v xml:space="preserve"> 7113.19.10.00</v>
      </c>
      <c r="K967" t="str">
        <f>IF(quantInv[[#This Row],[Metal]] = "925 Silver",  "7113.11.00"," 7113.19.00")</f>
        <v xml:space="preserve"> 7113.19.00</v>
      </c>
      <c r="L967" t="str">
        <f>IFERROR(VLOOKUP(quantInv[[#This Row],[Description for New Invoice]],Map!$G$12:$H$32,2,FALSE), IF(quantInv[[#This Row],[Metal]] = "925 Silver", "7113.11.10.00", "7113.19.29.00"))</f>
        <v>7113.19.29.00</v>
      </c>
      <c r="M967" t="str">
        <f>quantInv[[#This Row],[ASIN]] &amp; " " &amp; quantInv[[#This Row],[Short Description]]</f>
        <v xml:space="preserve"> </v>
      </c>
      <c r="N967" s="33">
        <f>quantInv[[#This Row],[UNIT
VALUE]] / EURtoGBP</f>
        <v>16.389754417031323</v>
      </c>
      <c r="O967" s="33">
        <f>quantInv[[#This Row],[UNIT
VALUE]]/USDtoGBP</f>
        <v>19.793196003196787</v>
      </c>
      <c r="P967" s="33">
        <f>quantInv[[#This Row],[UNIT
VALUE]] / CADtoGBP</f>
        <v>25.336428705541312</v>
      </c>
      <c r="Q967" s="33">
        <f>quantInv[[#This Row],[UNIT
VALUE]]/AUDtoGBP</f>
        <v>25.933615920683955</v>
      </c>
      <c r="R967">
        <f>IFERROR(VLOOKUP(quantInv[[#This Row],[Assigned Item SKU]],skuQuantity[#All],2,FALSE),0)</f>
        <v>0</v>
      </c>
      <c r="S967" t="str">
        <f>PROPER(quantInv[[#This Row],[Metal]] &amp; " " &amp; quantInv[[#This Row],[Item Type]])</f>
        <v xml:space="preserve">9K Gold </v>
      </c>
      <c r="T967" s="33">
        <f>quantInv[[#This Row],[Quantity]]*quantInv[[#This Row],[WEIGHT]]</f>
        <v>0</v>
      </c>
      <c r="U967" s="33">
        <f>quantInv[[#This Row],[UNIT
VALUE]]*quantInv[[#This Row],[Quantity]]</f>
        <v>0</v>
      </c>
      <c r="V967" s="33">
        <f>quantInv[[#This Row],[Total Cost GBP]]/EURtoGBP</f>
        <v>0</v>
      </c>
      <c r="W967" s="33">
        <f>quantInv[[#This Row],[Total Cost GBP]]/USDtoGBP</f>
        <v>0</v>
      </c>
      <c r="X967" s="33">
        <f>quantInv[[#This Row],[Total Cost GBP]]/CADtoGBP</f>
        <v>0</v>
      </c>
      <c r="Y967" s="33">
        <f>quantInv[[#This Row],[Quantity]]*quantInv[[#This Row],[UNIT
VALUE AUD]]</f>
        <v>0</v>
      </c>
      <c r="Z967" s="33"/>
    </row>
    <row r="968" spans="1:26" x14ac:dyDescent="0.25">
      <c r="A968" t="s">
        <v>2419</v>
      </c>
      <c r="C968" t="s">
        <v>114</v>
      </c>
      <c r="E968">
        <v>0.74250000000000005</v>
      </c>
      <c r="F968" s="33">
        <v>15.9115</v>
      </c>
      <c r="G968" s="33" t="s">
        <v>3304</v>
      </c>
      <c r="H968" t="s">
        <v>2875</v>
      </c>
      <c r="I968" t="str">
        <f>IF(quantInv[[#This Row],[Metal]] = "925 Silver",  "7113.11.00"," 7113.19.00")</f>
        <v xml:space="preserve"> 7113.19.00</v>
      </c>
      <c r="J968" t="str">
        <f>IF(quantInv[[#This Row],[Metal]] = "925 Silver", "7113.11.10.00"," 7113.19.10.00")</f>
        <v xml:space="preserve"> 7113.19.10.00</v>
      </c>
      <c r="K968" t="str">
        <f>IF(quantInv[[#This Row],[Metal]] = "925 Silver",  "7113.11.00"," 7113.19.00")</f>
        <v xml:space="preserve"> 7113.19.00</v>
      </c>
      <c r="L968" t="str">
        <f>IFERROR(VLOOKUP(quantInv[[#This Row],[Description for New Invoice]],Map!$G$12:$H$32,2,FALSE), IF(quantInv[[#This Row],[Metal]] = "925 Silver", "7113.11.10.00", "7113.19.29.00"))</f>
        <v>7113.19.29.00</v>
      </c>
      <c r="M968" t="str">
        <f>quantInv[[#This Row],[ASIN]] &amp; " " &amp; quantInv[[#This Row],[Short Description]]</f>
        <v xml:space="preserve"> </v>
      </c>
      <c r="N968" s="33">
        <f>quantInv[[#This Row],[UNIT
VALUE]] / EURtoGBP</f>
        <v>18.061443984721301</v>
      </c>
      <c r="O968" s="33">
        <f>quantInv[[#This Row],[UNIT
VALUE]]/USDtoGBP</f>
        <v>21.81202303549226</v>
      </c>
      <c r="P968" s="33">
        <f>quantInv[[#This Row],[UNIT
VALUE]] / CADtoGBP</f>
        <v>27.920643360128306</v>
      </c>
      <c r="Q968" s="33">
        <f>quantInv[[#This Row],[UNIT
VALUE]]/AUDtoGBP</f>
        <v>28.578741288885695</v>
      </c>
      <c r="R968">
        <f>IFERROR(VLOOKUP(quantInv[[#This Row],[Assigned Item SKU]],skuQuantity[#All],2,FALSE),0)</f>
        <v>0</v>
      </c>
      <c r="S968" t="str">
        <f>PROPER(quantInv[[#This Row],[Metal]] &amp; " " &amp; quantInv[[#This Row],[Item Type]])</f>
        <v xml:space="preserve">9K Gold </v>
      </c>
      <c r="T968" s="33">
        <f>quantInv[[#This Row],[Quantity]]*quantInv[[#This Row],[WEIGHT]]</f>
        <v>0</v>
      </c>
      <c r="U968" s="33">
        <f>quantInv[[#This Row],[UNIT
VALUE]]*quantInv[[#This Row],[Quantity]]</f>
        <v>0</v>
      </c>
      <c r="V968" s="33">
        <f>quantInv[[#This Row],[Total Cost GBP]]/EURtoGBP</f>
        <v>0</v>
      </c>
      <c r="W968" s="33">
        <f>quantInv[[#This Row],[Total Cost GBP]]/USDtoGBP</f>
        <v>0</v>
      </c>
      <c r="X968" s="33">
        <f>quantInv[[#This Row],[Total Cost GBP]]/CADtoGBP</f>
        <v>0</v>
      </c>
      <c r="Y968" s="33">
        <f>quantInv[[#This Row],[Quantity]]*quantInv[[#This Row],[UNIT
VALUE AUD]]</f>
        <v>0</v>
      </c>
      <c r="Z968" s="33"/>
    </row>
    <row r="969" spans="1:26" x14ac:dyDescent="0.25">
      <c r="A969" t="s">
        <v>2420</v>
      </c>
      <c r="C969" t="s">
        <v>114</v>
      </c>
      <c r="E969">
        <v>0.67079999999999995</v>
      </c>
      <c r="F969" s="33">
        <v>14.3856</v>
      </c>
      <c r="G969" s="33" t="s">
        <v>3304</v>
      </c>
      <c r="H969" t="s">
        <v>2875</v>
      </c>
      <c r="I969" t="str">
        <f>IF(quantInv[[#This Row],[Metal]] = "925 Silver",  "7113.11.00"," 7113.19.00")</f>
        <v xml:space="preserve"> 7113.19.00</v>
      </c>
      <c r="J969" t="str">
        <f>IF(quantInv[[#This Row],[Metal]] = "925 Silver", "7113.11.10.00"," 7113.19.10.00")</f>
        <v xml:space="preserve"> 7113.19.10.00</v>
      </c>
      <c r="K969" t="str">
        <f>IF(quantInv[[#This Row],[Metal]] = "925 Silver",  "7113.11.00"," 7113.19.00")</f>
        <v xml:space="preserve"> 7113.19.00</v>
      </c>
      <c r="L969" t="str">
        <f>IFERROR(VLOOKUP(quantInv[[#This Row],[Description for New Invoice]],Map!$G$12:$H$32,2,FALSE), IF(quantInv[[#This Row],[Metal]] = "925 Silver", "7113.11.10.00", "7113.19.29.00"))</f>
        <v>7113.19.29.00</v>
      </c>
      <c r="M969" t="str">
        <f>quantInv[[#This Row],[ASIN]] &amp; " " &amp; quantInv[[#This Row],[Short Description]]</f>
        <v xml:space="preserve"> </v>
      </c>
      <c r="N969" s="33">
        <f>quantInv[[#This Row],[UNIT
VALUE]] / EURtoGBP</f>
        <v>16.329366092864074</v>
      </c>
      <c r="O969" s="33">
        <f>quantInv[[#This Row],[UNIT
VALUE]]/USDtoGBP</f>
        <v>19.720267641603712</v>
      </c>
      <c r="P969" s="33">
        <f>quantInv[[#This Row],[UNIT
VALUE]] / CADtoGBP</f>
        <v>25.243076210380025</v>
      </c>
      <c r="Q969" s="33">
        <f>quantInv[[#This Row],[UNIT
VALUE]]/AUDtoGBP</f>
        <v>25.838063079244197</v>
      </c>
      <c r="R969">
        <f>IFERROR(VLOOKUP(quantInv[[#This Row],[Assigned Item SKU]],skuQuantity[#All],2,FALSE),0)</f>
        <v>0</v>
      </c>
      <c r="S969" t="str">
        <f>PROPER(quantInv[[#This Row],[Metal]] &amp; " " &amp; quantInv[[#This Row],[Item Type]])</f>
        <v xml:space="preserve">9K Gold </v>
      </c>
      <c r="T969" s="33">
        <f>quantInv[[#This Row],[Quantity]]*quantInv[[#This Row],[WEIGHT]]</f>
        <v>0</v>
      </c>
      <c r="U969" s="33">
        <f>quantInv[[#This Row],[UNIT
VALUE]]*quantInv[[#This Row],[Quantity]]</f>
        <v>0</v>
      </c>
      <c r="V969" s="33">
        <f>quantInv[[#This Row],[Total Cost GBP]]/EURtoGBP</f>
        <v>0</v>
      </c>
      <c r="W969" s="33">
        <f>quantInv[[#This Row],[Total Cost GBP]]/USDtoGBP</f>
        <v>0</v>
      </c>
      <c r="X969" s="33">
        <f>quantInv[[#This Row],[Total Cost GBP]]/CADtoGBP</f>
        <v>0</v>
      </c>
      <c r="Y969" s="33">
        <f>quantInv[[#This Row],[Quantity]]*quantInv[[#This Row],[UNIT
VALUE AUD]]</f>
        <v>0</v>
      </c>
      <c r="Z969" s="33"/>
    </row>
    <row r="970" spans="1:26" x14ac:dyDescent="0.25">
      <c r="A970" t="s">
        <v>2421</v>
      </c>
      <c r="C970" t="s">
        <v>114</v>
      </c>
      <c r="E970">
        <v>0.73229999999999995</v>
      </c>
      <c r="F970" s="33">
        <v>15.6944</v>
      </c>
      <c r="G970" s="33" t="s">
        <v>3304</v>
      </c>
      <c r="H970" t="s">
        <v>2875</v>
      </c>
      <c r="I970" t="str">
        <f>IF(quantInv[[#This Row],[Metal]] = "925 Silver",  "7113.11.00"," 7113.19.00")</f>
        <v xml:space="preserve"> 7113.19.00</v>
      </c>
      <c r="J970" t="str">
        <f>IF(quantInv[[#This Row],[Metal]] = "925 Silver", "7113.11.10.00"," 7113.19.10.00")</f>
        <v xml:space="preserve"> 7113.19.10.00</v>
      </c>
      <c r="K970" t="str">
        <f>IF(quantInv[[#This Row],[Metal]] = "925 Silver",  "7113.11.00"," 7113.19.00")</f>
        <v xml:space="preserve"> 7113.19.00</v>
      </c>
      <c r="L970" t="str">
        <f>IFERROR(VLOOKUP(quantInv[[#This Row],[Description for New Invoice]],Map!$G$12:$H$32,2,FALSE), IF(quantInv[[#This Row],[Metal]] = "925 Silver", "7113.11.10.00", "7113.19.29.00"))</f>
        <v>7113.19.29.00</v>
      </c>
      <c r="M970" t="str">
        <f>quantInv[[#This Row],[ASIN]] &amp; " " &amp; quantInv[[#This Row],[Short Description]]</f>
        <v xml:space="preserve"> </v>
      </c>
      <c r="N970" s="33">
        <f>quantInv[[#This Row],[UNIT
VALUE]] / EURtoGBP</f>
        <v>17.815009676888412</v>
      </c>
      <c r="O970" s="33">
        <f>quantInv[[#This Row],[UNIT
VALUE]]/USDtoGBP</f>
        <v>21.514415003502481</v>
      </c>
      <c r="P970" s="33">
        <f>quantInv[[#This Row],[UNIT
VALUE]] / CADtoGBP</f>
        <v>27.539687971039669</v>
      </c>
      <c r="Q970" s="33">
        <f>quantInv[[#This Row],[UNIT
VALUE]]/AUDtoGBP</f>
        <v>28.188806667145627</v>
      </c>
      <c r="R970">
        <f>IFERROR(VLOOKUP(quantInv[[#This Row],[Assigned Item SKU]],skuQuantity[#All],2,FALSE),0)</f>
        <v>0</v>
      </c>
      <c r="S970" t="str">
        <f>PROPER(quantInv[[#This Row],[Metal]] &amp; " " &amp; quantInv[[#This Row],[Item Type]])</f>
        <v xml:space="preserve">9K Gold </v>
      </c>
      <c r="T970" s="33">
        <f>quantInv[[#This Row],[Quantity]]*quantInv[[#This Row],[WEIGHT]]</f>
        <v>0</v>
      </c>
      <c r="U970" s="33">
        <f>quantInv[[#This Row],[UNIT
VALUE]]*quantInv[[#This Row],[Quantity]]</f>
        <v>0</v>
      </c>
      <c r="V970" s="33">
        <f>quantInv[[#This Row],[Total Cost GBP]]/EURtoGBP</f>
        <v>0</v>
      </c>
      <c r="W970" s="33">
        <f>quantInv[[#This Row],[Total Cost GBP]]/USDtoGBP</f>
        <v>0</v>
      </c>
      <c r="X970" s="33">
        <f>quantInv[[#This Row],[Total Cost GBP]]/CADtoGBP</f>
        <v>0</v>
      </c>
      <c r="Y970" s="33">
        <f>quantInv[[#This Row],[Quantity]]*quantInv[[#This Row],[UNIT
VALUE AUD]]</f>
        <v>0</v>
      </c>
      <c r="Z970" s="33"/>
    </row>
    <row r="971" spans="1:26" x14ac:dyDescent="0.25">
      <c r="A971" t="s">
        <v>2422</v>
      </c>
      <c r="C971" t="s">
        <v>114</v>
      </c>
      <c r="E971">
        <v>0.80910000000000004</v>
      </c>
      <c r="F971" s="33">
        <v>17.328800000000001</v>
      </c>
      <c r="G971" s="33" t="s">
        <v>3304</v>
      </c>
      <c r="H971" t="s">
        <v>2875</v>
      </c>
      <c r="I971" t="str">
        <f>IF(quantInv[[#This Row],[Metal]] = "925 Silver",  "7113.11.00"," 7113.19.00")</f>
        <v xml:space="preserve"> 7113.19.00</v>
      </c>
      <c r="J971" t="str">
        <f>IF(quantInv[[#This Row],[Metal]] = "925 Silver", "7113.11.10.00"," 7113.19.10.00")</f>
        <v xml:space="preserve"> 7113.19.10.00</v>
      </c>
      <c r="K971" t="str">
        <f>IF(quantInv[[#This Row],[Metal]] = "925 Silver",  "7113.11.00"," 7113.19.00")</f>
        <v xml:space="preserve"> 7113.19.00</v>
      </c>
      <c r="L971" t="str">
        <f>IFERROR(VLOOKUP(quantInv[[#This Row],[Description for New Invoice]],Map!$G$12:$H$32,2,FALSE), IF(quantInv[[#This Row],[Metal]] = "925 Silver", "7113.11.10.00", "7113.19.29.00"))</f>
        <v>7113.19.29.00</v>
      </c>
      <c r="M971" t="str">
        <f>quantInv[[#This Row],[ASIN]] &amp; " " &amp; quantInv[[#This Row],[Short Description]]</f>
        <v xml:space="preserve"> </v>
      </c>
      <c r="N971" s="33">
        <f>quantInv[[#This Row],[UNIT
VALUE]] / EURtoGBP</f>
        <v>19.670247966718314</v>
      </c>
      <c r="O971" s="33">
        <f>quantInv[[#This Row],[UNIT
VALUE]]/USDtoGBP</f>
        <v>23.754905871692692</v>
      </c>
      <c r="P971" s="33">
        <f>quantInv[[#This Row],[UNIT
VALUE]] / CADtoGBP</f>
        <v>30.407645078024789</v>
      </c>
      <c r="Q971" s="33">
        <f>quantInv[[#This Row],[UNIT
VALUE]]/AUDtoGBP</f>
        <v>31.124362382355056</v>
      </c>
      <c r="R971">
        <f>IFERROR(VLOOKUP(quantInv[[#This Row],[Assigned Item SKU]],skuQuantity[#All],2,FALSE),0)</f>
        <v>0</v>
      </c>
      <c r="S971" t="str">
        <f>PROPER(quantInv[[#This Row],[Metal]] &amp; " " &amp; quantInv[[#This Row],[Item Type]])</f>
        <v xml:space="preserve">9K Gold </v>
      </c>
      <c r="T971" s="33">
        <f>quantInv[[#This Row],[Quantity]]*quantInv[[#This Row],[WEIGHT]]</f>
        <v>0</v>
      </c>
      <c r="U971" s="33">
        <f>quantInv[[#This Row],[UNIT
VALUE]]*quantInv[[#This Row],[Quantity]]</f>
        <v>0</v>
      </c>
      <c r="V971" s="33">
        <f>quantInv[[#This Row],[Total Cost GBP]]/EURtoGBP</f>
        <v>0</v>
      </c>
      <c r="W971" s="33">
        <f>quantInv[[#This Row],[Total Cost GBP]]/USDtoGBP</f>
        <v>0</v>
      </c>
      <c r="X971" s="33">
        <f>quantInv[[#This Row],[Total Cost GBP]]/CADtoGBP</f>
        <v>0</v>
      </c>
      <c r="Y971" s="33">
        <f>quantInv[[#This Row],[Quantity]]*quantInv[[#This Row],[UNIT
VALUE AUD]]</f>
        <v>0</v>
      </c>
      <c r="Z971" s="33"/>
    </row>
    <row r="972" spans="1:26" x14ac:dyDescent="0.25">
      <c r="A972" t="s">
        <v>2423</v>
      </c>
      <c r="C972" t="s">
        <v>114</v>
      </c>
      <c r="E972">
        <v>0.67390000000000005</v>
      </c>
      <c r="F972" s="33">
        <v>14.451599999999999</v>
      </c>
      <c r="G972" s="33" t="s">
        <v>3304</v>
      </c>
      <c r="H972" t="s">
        <v>2875</v>
      </c>
      <c r="I972" t="str">
        <f>IF(quantInv[[#This Row],[Metal]] = "925 Silver",  "7113.11.00"," 7113.19.00")</f>
        <v xml:space="preserve"> 7113.19.00</v>
      </c>
      <c r="J972" t="str">
        <f>IF(quantInv[[#This Row],[Metal]] = "925 Silver", "7113.11.10.00"," 7113.19.10.00")</f>
        <v xml:space="preserve"> 7113.19.10.00</v>
      </c>
      <c r="K972" t="str">
        <f>IF(quantInv[[#This Row],[Metal]] = "925 Silver",  "7113.11.00"," 7113.19.00")</f>
        <v xml:space="preserve"> 7113.19.00</v>
      </c>
      <c r="L972" t="str">
        <f>IFERROR(VLOOKUP(quantInv[[#This Row],[Description for New Invoice]],Map!$G$12:$H$32,2,FALSE), IF(quantInv[[#This Row],[Metal]] = "925 Silver", "7113.11.10.00", "7113.19.29.00"))</f>
        <v>7113.19.29.00</v>
      </c>
      <c r="M972" t="str">
        <f>quantInv[[#This Row],[ASIN]] &amp; " " &amp; quantInv[[#This Row],[Short Description]]</f>
        <v xml:space="preserve"> </v>
      </c>
      <c r="N972" s="33">
        <f>quantInv[[#This Row],[UNIT
VALUE]] / EURtoGBP</f>
        <v>16.404283938635473</v>
      </c>
      <c r="O972" s="33">
        <f>quantInv[[#This Row],[UNIT
VALUE]]/USDtoGBP</f>
        <v>19.810742676662787</v>
      </c>
      <c r="P972" s="33">
        <f>quantInv[[#This Row],[UNIT
VALUE]] / CADtoGBP</f>
        <v>25.358889456256808</v>
      </c>
      <c r="Q972" s="33">
        <f>quantInv[[#This Row],[UNIT
VALUE]]/AUDtoGBP</f>
        <v>25.956606078022844</v>
      </c>
      <c r="R972">
        <f>IFERROR(VLOOKUP(quantInv[[#This Row],[Assigned Item SKU]],skuQuantity[#All],2,FALSE),0)</f>
        <v>0</v>
      </c>
      <c r="S972" t="str">
        <f>PROPER(quantInv[[#This Row],[Metal]] &amp; " " &amp; quantInv[[#This Row],[Item Type]])</f>
        <v xml:space="preserve">9K Gold </v>
      </c>
      <c r="T972" s="33">
        <f>quantInv[[#This Row],[Quantity]]*quantInv[[#This Row],[WEIGHT]]</f>
        <v>0</v>
      </c>
      <c r="U972" s="33">
        <f>quantInv[[#This Row],[UNIT
VALUE]]*quantInv[[#This Row],[Quantity]]</f>
        <v>0</v>
      </c>
      <c r="V972" s="33">
        <f>quantInv[[#This Row],[Total Cost GBP]]/EURtoGBP</f>
        <v>0</v>
      </c>
      <c r="W972" s="33">
        <f>quantInv[[#This Row],[Total Cost GBP]]/USDtoGBP</f>
        <v>0</v>
      </c>
      <c r="X972" s="33">
        <f>quantInv[[#This Row],[Total Cost GBP]]/CADtoGBP</f>
        <v>0</v>
      </c>
      <c r="Y972" s="33">
        <f>quantInv[[#This Row],[Quantity]]*quantInv[[#This Row],[UNIT
VALUE AUD]]</f>
        <v>0</v>
      </c>
      <c r="Z972" s="33"/>
    </row>
    <row r="973" spans="1:26" x14ac:dyDescent="0.25">
      <c r="A973" t="s">
        <v>2424</v>
      </c>
      <c r="C973" t="s">
        <v>114</v>
      </c>
      <c r="E973">
        <v>0.73570000000000002</v>
      </c>
      <c r="F973" s="33">
        <v>15.7668</v>
      </c>
      <c r="G973" s="33" t="s">
        <v>3304</v>
      </c>
      <c r="H973" t="s">
        <v>2875</v>
      </c>
      <c r="I973" t="str">
        <f>IF(quantInv[[#This Row],[Metal]] = "925 Silver",  "7113.11.00"," 7113.19.00")</f>
        <v xml:space="preserve"> 7113.19.00</v>
      </c>
      <c r="J973" t="str">
        <f>IF(quantInv[[#This Row],[Metal]] = "925 Silver", "7113.11.10.00"," 7113.19.10.00")</f>
        <v xml:space="preserve"> 7113.19.10.00</v>
      </c>
      <c r="K973" t="str">
        <f>IF(quantInv[[#This Row],[Metal]] = "925 Silver",  "7113.11.00"," 7113.19.00")</f>
        <v xml:space="preserve"> 7113.19.00</v>
      </c>
      <c r="L973" t="str">
        <f>IFERROR(VLOOKUP(quantInv[[#This Row],[Description for New Invoice]],Map!$G$12:$H$32,2,FALSE), IF(quantInv[[#This Row],[Metal]] = "925 Silver", "7113.11.10.00", "7113.19.29.00"))</f>
        <v>7113.19.29.00</v>
      </c>
      <c r="M973" t="str">
        <f>quantInv[[#This Row],[ASIN]] &amp; " " &amp; quantInv[[#This Row],[Short Description]]</f>
        <v xml:space="preserve"> </v>
      </c>
      <c r="N973" s="33">
        <f>quantInv[[#This Row],[UNIT
VALUE]] / EURtoGBP</f>
        <v>17.897192283461884</v>
      </c>
      <c r="O973" s="33">
        <f>quantInv[[#This Row],[UNIT
VALUE]]/USDtoGBP</f>
        <v>21.613663375294557</v>
      </c>
      <c r="P973" s="33">
        <f>quantInv[[#This Row],[UNIT
VALUE]] / CADtoGBP</f>
        <v>27.666731592274203</v>
      </c>
      <c r="Q973" s="33">
        <f>quantInv[[#This Row],[UNIT
VALUE]]/AUDtoGBP</f>
        <v>28.318844744593719</v>
      </c>
      <c r="R973">
        <f>IFERROR(VLOOKUP(quantInv[[#This Row],[Assigned Item SKU]],skuQuantity[#All],2,FALSE),0)</f>
        <v>0</v>
      </c>
      <c r="S973" t="str">
        <f>PROPER(quantInv[[#This Row],[Metal]] &amp; " " &amp; quantInv[[#This Row],[Item Type]])</f>
        <v xml:space="preserve">9K Gold </v>
      </c>
      <c r="T973" s="33">
        <f>quantInv[[#This Row],[Quantity]]*quantInv[[#This Row],[WEIGHT]]</f>
        <v>0</v>
      </c>
      <c r="U973" s="33">
        <f>quantInv[[#This Row],[UNIT
VALUE]]*quantInv[[#This Row],[Quantity]]</f>
        <v>0</v>
      </c>
      <c r="V973" s="33">
        <f>quantInv[[#This Row],[Total Cost GBP]]/EURtoGBP</f>
        <v>0</v>
      </c>
      <c r="W973" s="33">
        <f>quantInv[[#This Row],[Total Cost GBP]]/USDtoGBP</f>
        <v>0</v>
      </c>
      <c r="X973" s="33">
        <f>quantInv[[#This Row],[Total Cost GBP]]/CADtoGBP</f>
        <v>0</v>
      </c>
      <c r="Y973" s="33">
        <f>quantInv[[#This Row],[Quantity]]*quantInv[[#This Row],[UNIT
VALUE AUD]]</f>
        <v>0</v>
      </c>
      <c r="Z973" s="33"/>
    </row>
    <row r="974" spans="1:26" x14ac:dyDescent="0.25">
      <c r="A974" t="s">
        <v>2425</v>
      </c>
      <c r="C974" t="s">
        <v>114</v>
      </c>
      <c r="E974">
        <v>0.81299999999999994</v>
      </c>
      <c r="F974" s="33">
        <v>17.411799999999999</v>
      </c>
      <c r="G974" s="33" t="s">
        <v>3304</v>
      </c>
      <c r="H974" t="s">
        <v>2875</v>
      </c>
      <c r="I974" t="str">
        <f>IF(quantInv[[#This Row],[Metal]] = "925 Silver",  "7113.11.00"," 7113.19.00")</f>
        <v xml:space="preserve"> 7113.19.00</v>
      </c>
      <c r="J974" t="str">
        <f>IF(quantInv[[#This Row],[Metal]] = "925 Silver", "7113.11.10.00"," 7113.19.10.00")</f>
        <v xml:space="preserve"> 7113.19.10.00</v>
      </c>
      <c r="K974" t="str">
        <f>IF(quantInv[[#This Row],[Metal]] = "925 Silver",  "7113.11.00"," 7113.19.00")</f>
        <v xml:space="preserve"> 7113.19.00</v>
      </c>
      <c r="L974" t="str">
        <f>IFERROR(VLOOKUP(quantInv[[#This Row],[Description for New Invoice]],Map!$G$12:$H$32,2,FALSE), IF(quantInv[[#This Row],[Metal]] = "925 Silver", "7113.11.10.00", "7113.19.29.00"))</f>
        <v>7113.19.29.00</v>
      </c>
      <c r="M974" t="str">
        <f>quantInv[[#This Row],[ASIN]] &amp; " " &amp; quantInv[[#This Row],[Short Description]]</f>
        <v xml:space="preserve"> </v>
      </c>
      <c r="N974" s="33">
        <f>quantInv[[#This Row],[UNIT
VALUE]] / EURtoGBP</f>
        <v>19.764462833370224</v>
      </c>
      <c r="O974" s="33">
        <f>quantInv[[#This Row],[UNIT
VALUE]]/USDtoGBP</f>
        <v>23.868685082448803</v>
      </c>
      <c r="P974" s="33">
        <f>quantInv[[#This Row],[UNIT
VALUE]] / CADtoGBP</f>
        <v>30.553289008445592</v>
      </c>
      <c r="Q974" s="33">
        <f>quantInv[[#This Row],[UNIT
VALUE]]/AUDtoGBP</f>
        <v>31.273439183849412</v>
      </c>
      <c r="R974">
        <f>IFERROR(VLOOKUP(quantInv[[#This Row],[Assigned Item SKU]],skuQuantity[#All],2,FALSE),0)</f>
        <v>0</v>
      </c>
      <c r="S974" t="str">
        <f>PROPER(quantInv[[#This Row],[Metal]] &amp; " " &amp; quantInv[[#This Row],[Item Type]])</f>
        <v xml:space="preserve">9K Gold </v>
      </c>
      <c r="T974" s="33">
        <f>quantInv[[#This Row],[Quantity]]*quantInv[[#This Row],[WEIGHT]]</f>
        <v>0</v>
      </c>
      <c r="U974" s="33">
        <f>quantInv[[#This Row],[UNIT
VALUE]]*quantInv[[#This Row],[Quantity]]</f>
        <v>0</v>
      </c>
      <c r="V974" s="33">
        <f>quantInv[[#This Row],[Total Cost GBP]]/EURtoGBP</f>
        <v>0</v>
      </c>
      <c r="W974" s="33">
        <f>quantInv[[#This Row],[Total Cost GBP]]/USDtoGBP</f>
        <v>0</v>
      </c>
      <c r="X974" s="33">
        <f>quantInv[[#This Row],[Total Cost GBP]]/CADtoGBP</f>
        <v>0</v>
      </c>
      <c r="Y974" s="33">
        <f>quantInv[[#This Row],[Quantity]]*quantInv[[#This Row],[UNIT
VALUE AUD]]</f>
        <v>0</v>
      </c>
      <c r="Z974" s="33"/>
    </row>
    <row r="975" spans="1:26" x14ac:dyDescent="0.25">
      <c r="A975" t="s">
        <v>2426</v>
      </c>
      <c r="C975" t="s">
        <v>115</v>
      </c>
      <c r="E975">
        <v>0</v>
      </c>
      <c r="F975" s="33">
        <v>15.249000000000001</v>
      </c>
      <c r="G975" s="33" t="s">
        <v>117</v>
      </c>
      <c r="H975" t="s">
        <v>2875</v>
      </c>
      <c r="I975" t="str">
        <f>IF(quantInv[[#This Row],[Metal]] = "925 Silver",  "7113.11.00"," 7113.19.00")</f>
        <v>7113.11.00</v>
      </c>
      <c r="J975" t="str">
        <f>IF(quantInv[[#This Row],[Metal]] = "925 Silver", "7113.11.10.00"," 7113.19.10.00")</f>
        <v>7113.11.10.00</v>
      </c>
      <c r="K975" t="str">
        <f>IF(quantInv[[#This Row],[Metal]] = "925 Silver",  "7113.11.00"," 7113.19.00")</f>
        <v>7113.11.00</v>
      </c>
      <c r="L975" t="str">
        <f>IFERROR(VLOOKUP(quantInv[[#This Row],[Description for New Invoice]],Map!$G$12:$H$32,2,FALSE), IF(quantInv[[#This Row],[Metal]] = "925 Silver", "7113.11.10.00", "7113.19.29.00"))</f>
        <v>7113.11.10.00</v>
      </c>
      <c r="M975" t="str">
        <f>quantInv[[#This Row],[ASIN]] &amp; " " &amp; quantInv[[#This Row],[Short Description]]</f>
        <v xml:space="preserve"> </v>
      </c>
      <c r="N975" s="33">
        <f>quantInv[[#This Row],[UNIT
VALUE]] / EURtoGBP</f>
        <v>17.309427729819006</v>
      </c>
      <c r="O975" s="33">
        <f>quantInv[[#This Row],[UNIT
VALUE]]/USDtoGBP</f>
        <v>20.903845600240171</v>
      </c>
      <c r="P975" s="33">
        <f>quantInv[[#This Row],[UNIT
VALUE]] / CADtoGBP</f>
        <v>26.758124035986334</v>
      </c>
      <c r="Q975" s="33">
        <f>quantInv[[#This Row],[UNIT
VALUE]]/AUDtoGBP</f>
        <v>27.388821035993963</v>
      </c>
      <c r="R975">
        <f>IFERROR(VLOOKUP(quantInv[[#This Row],[Assigned Item SKU]],skuQuantity[#All],2,FALSE),0)</f>
        <v>0</v>
      </c>
      <c r="S975" t="str">
        <f>PROPER(quantInv[[#This Row],[Metal]] &amp; " " &amp; quantInv[[#This Row],[Item Type]])</f>
        <v xml:space="preserve">925 Silver </v>
      </c>
      <c r="T975" s="33">
        <f>quantInv[[#This Row],[Quantity]]*quantInv[[#This Row],[WEIGHT]]</f>
        <v>0</v>
      </c>
      <c r="U975" s="33">
        <f>quantInv[[#This Row],[UNIT
VALUE]]*quantInv[[#This Row],[Quantity]]</f>
        <v>0</v>
      </c>
      <c r="V975" s="33">
        <f>quantInv[[#This Row],[Total Cost GBP]]/EURtoGBP</f>
        <v>0</v>
      </c>
      <c r="W975" s="33">
        <f>quantInv[[#This Row],[Total Cost GBP]]/USDtoGBP</f>
        <v>0</v>
      </c>
      <c r="X975" s="33">
        <f>quantInv[[#This Row],[Total Cost GBP]]/CADtoGBP</f>
        <v>0</v>
      </c>
      <c r="Y975" s="33">
        <f>quantInv[[#This Row],[Quantity]]*quantInv[[#This Row],[UNIT
VALUE AUD]]</f>
        <v>0</v>
      </c>
      <c r="Z975" s="33"/>
    </row>
    <row r="976" spans="1:26" x14ac:dyDescent="0.25">
      <c r="A976" t="s">
        <v>2427</v>
      </c>
      <c r="C976" t="s">
        <v>115</v>
      </c>
      <c r="E976">
        <v>0</v>
      </c>
      <c r="F976" s="33">
        <v>15.249000000000001</v>
      </c>
      <c r="G976" s="33" t="s">
        <v>117</v>
      </c>
      <c r="H976" t="s">
        <v>2875</v>
      </c>
      <c r="I976" t="str">
        <f>IF(quantInv[[#This Row],[Metal]] = "925 Silver",  "7113.11.00"," 7113.19.00")</f>
        <v>7113.11.00</v>
      </c>
      <c r="J976" t="str">
        <f>IF(quantInv[[#This Row],[Metal]] = "925 Silver", "7113.11.10.00"," 7113.19.10.00")</f>
        <v>7113.11.10.00</v>
      </c>
      <c r="K976" t="str">
        <f>IF(quantInv[[#This Row],[Metal]] = "925 Silver",  "7113.11.00"," 7113.19.00")</f>
        <v>7113.11.00</v>
      </c>
      <c r="L976" t="str">
        <f>IFERROR(VLOOKUP(quantInv[[#This Row],[Description for New Invoice]],Map!$G$12:$H$32,2,FALSE), IF(quantInv[[#This Row],[Metal]] = "925 Silver", "7113.11.10.00", "7113.19.29.00"))</f>
        <v>7113.11.10.00</v>
      </c>
      <c r="M976" t="str">
        <f>quantInv[[#This Row],[ASIN]] &amp; " " &amp; quantInv[[#This Row],[Short Description]]</f>
        <v xml:space="preserve"> </v>
      </c>
      <c r="N976" s="33">
        <f>quantInv[[#This Row],[UNIT
VALUE]] / EURtoGBP</f>
        <v>17.309427729819006</v>
      </c>
      <c r="O976" s="33">
        <f>quantInv[[#This Row],[UNIT
VALUE]]/USDtoGBP</f>
        <v>20.903845600240171</v>
      </c>
      <c r="P976" s="33">
        <f>quantInv[[#This Row],[UNIT
VALUE]] / CADtoGBP</f>
        <v>26.758124035986334</v>
      </c>
      <c r="Q976" s="33">
        <f>quantInv[[#This Row],[UNIT
VALUE]]/AUDtoGBP</f>
        <v>27.388821035993963</v>
      </c>
      <c r="R976">
        <f>IFERROR(VLOOKUP(quantInv[[#This Row],[Assigned Item SKU]],skuQuantity[#All],2,FALSE),0)</f>
        <v>0</v>
      </c>
      <c r="S976" t="str">
        <f>PROPER(quantInv[[#This Row],[Metal]] &amp; " " &amp; quantInv[[#This Row],[Item Type]])</f>
        <v xml:space="preserve">925 Silver </v>
      </c>
      <c r="T976" s="33">
        <f>quantInv[[#This Row],[Quantity]]*quantInv[[#This Row],[WEIGHT]]</f>
        <v>0</v>
      </c>
      <c r="U976" s="33">
        <f>quantInv[[#This Row],[UNIT
VALUE]]*quantInv[[#This Row],[Quantity]]</f>
        <v>0</v>
      </c>
      <c r="V976" s="33">
        <f>quantInv[[#This Row],[Total Cost GBP]]/EURtoGBP</f>
        <v>0</v>
      </c>
      <c r="W976" s="33">
        <f>quantInv[[#This Row],[Total Cost GBP]]/USDtoGBP</f>
        <v>0</v>
      </c>
      <c r="X976" s="33">
        <f>quantInv[[#This Row],[Total Cost GBP]]/CADtoGBP</f>
        <v>0</v>
      </c>
      <c r="Y976" s="33">
        <f>quantInv[[#This Row],[Quantity]]*quantInv[[#This Row],[UNIT
VALUE AUD]]</f>
        <v>0</v>
      </c>
      <c r="Z976" s="33"/>
    </row>
    <row r="977" spans="1:26" x14ac:dyDescent="0.25">
      <c r="A977" t="s">
        <v>2428</v>
      </c>
      <c r="C977" t="s">
        <v>115</v>
      </c>
      <c r="E977">
        <v>0</v>
      </c>
      <c r="F977" s="33">
        <v>15.249000000000001</v>
      </c>
      <c r="G977" s="33" t="s">
        <v>117</v>
      </c>
      <c r="H977" t="s">
        <v>2875</v>
      </c>
      <c r="I977" t="str">
        <f>IF(quantInv[[#This Row],[Metal]] = "925 Silver",  "7113.11.00"," 7113.19.00")</f>
        <v>7113.11.00</v>
      </c>
      <c r="J977" t="str">
        <f>IF(quantInv[[#This Row],[Metal]] = "925 Silver", "7113.11.10.00"," 7113.19.10.00")</f>
        <v>7113.11.10.00</v>
      </c>
      <c r="K977" t="str">
        <f>IF(quantInv[[#This Row],[Metal]] = "925 Silver",  "7113.11.00"," 7113.19.00")</f>
        <v>7113.11.00</v>
      </c>
      <c r="L977" t="str">
        <f>IFERROR(VLOOKUP(quantInv[[#This Row],[Description for New Invoice]],Map!$G$12:$H$32,2,FALSE), IF(quantInv[[#This Row],[Metal]] = "925 Silver", "7113.11.10.00", "7113.19.29.00"))</f>
        <v>7113.11.10.00</v>
      </c>
      <c r="M977" t="str">
        <f>quantInv[[#This Row],[ASIN]] &amp; " " &amp; quantInv[[#This Row],[Short Description]]</f>
        <v xml:space="preserve"> </v>
      </c>
      <c r="N977" s="33">
        <f>quantInv[[#This Row],[UNIT
VALUE]] / EURtoGBP</f>
        <v>17.309427729819006</v>
      </c>
      <c r="O977" s="33">
        <f>quantInv[[#This Row],[UNIT
VALUE]]/USDtoGBP</f>
        <v>20.903845600240171</v>
      </c>
      <c r="P977" s="33">
        <f>quantInv[[#This Row],[UNIT
VALUE]] / CADtoGBP</f>
        <v>26.758124035986334</v>
      </c>
      <c r="Q977" s="33">
        <f>quantInv[[#This Row],[UNIT
VALUE]]/AUDtoGBP</f>
        <v>27.388821035993963</v>
      </c>
      <c r="R977">
        <f>IFERROR(VLOOKUP(quantInv[[#This Row],[Assigned Item SKU]],skuQuantity[#All],2,FALSE),0)</f>
        <v>0</v>
      </c>
      <c r="S977" t="str">
        <f>PROPER(quantInv[[#This Row],[Metal]] &amp; " " &amp; quantInv[[#This Row],[Item Type]])</f>
        <v xml:space="preserve">925 Silver </v>
      </c>
      <c r="T977" s="33">
        <f>quantInv[[#This Row],[Quantity]]*quantInv[[#This Row],[WEIGHT]]</f>
        <v>0</v>
      </c>
      <c r="U977" s="33">
        <f>quantInv[[#This Row],[UNIT
VALUE]]*quantInv[[#This Row],[Quantity]]</f>
        <v>0</v>
      </c>
      <c r="V977" s="33">
        <f>quantInv[[#This Row],[Total Cost GBP]]/EURtoGBP</f>
        <v>0</v>
      </c>
      <c r="W977" s="33">
        <f>quantInv[[#This Row],[Total Cost GBP]]/USDtoGBP</f>
        <v>0</v>
      </c>
      <c r="X977" s="33">
        <f>quantInv[[#This Row],[Total Cost GBP]]/CADtoGBP</f>
        <v>0</v>
      </c>
      <c r="Y977" s="33">
        <f>quantInv[[#This Row],[Quantity]]*quantInv[[#This Row],[UNIT
VALUE AUD]]</f>
        <v>0</v>
      </c>
      <c r="Z977" s="33"/>
    </row>
    <row r="978" spans="1:26" x14ac:dyDescent="0.25">
      <c r="A978" t="s">
        <v>2429</v>
      </c>
      <c r="C978" t="s">
        <v>115</v>
      </c>
      <c r="E978">
        <v>0</v>
      </c>
      <c r="F978" s="33">
        <v>15.249000000000001</v>
      </c>
      <c r="G978" s="33" t="s">
        <v>117</v>
      </c>
      <c r="H978" t="s">
        <v>2875</v>
      </c>
      <c r="I978" t="str">
        <f>IF(quantInv[[#This Row],[Metal]] = "925 Silver",  "7113.11.00"," 7113.19.00")</f>
        <v>7113.11.00</v>
      </c>
      <c r="J978" t="str">
        <f>IF(quantInv[[#This Row],[Metal]] = "925 Silver", "7113.11.10.00"," 7113.19.10.00")</f>
        <v>7113.11.10.00</v>
      </c>
      <c r="K978" t="str">
        <f>IF(quantInv[[#This Row],[Metal]] = "925 Silver",  "7113.11.00"," 7113.19.00")</f>
        <v>7113.11.00</v>
      </c>
      <c r="L978" t="str">
        <f>IFERROR(VLOOKUP(quantInv[[#This Row],[Description for New Invoice]],Map!$G$12:$H$32,2,FALSE), IF(quantInv[[#This Row],[Metal]] = "925 Silver", "7113.11.10.00", "7113.19.29.00"))</f>
        <v>7113.11.10.00</v>
      </c>
      <c r="M978" t="str">
        <f>quantInv[[#This Row],[ASIN]] &amp; " " &amp; quantInv[[#This Row],[Short Description]]</f>
        <v xml:space="preserve"> </v>
      </c>
      <c r="N978" s="33">
        <f>quantInv[[#This Row],[UNIT
VALUE]] / EURtoGBP</f>
        <v>17.309427729819006</v>
      </c>
      <c r="O978" s="33">
        <f>quantInv[[#This Row],[UNIT
VALUE]]/USDtoGBP</f>
        <v>20.903845600240171</v>
      </c>
      <c r="P978" s="33">
        <f>quantInv[[#This Row],[UNIT
VALUE]] / CADtoGBP</f>
        <v>26.758124035986334</v>
      </c>
      <c r="Q978" s="33">
        <f>quantInv[[#This Row],[UNIT
VALUE]]/AUDtoGBP</f>
        <v>27.388821035993963</v>
      </c>
      <c r="R978">
        <f>IFERROR(VLOOKUP(quantInv[[#This Row],[Assigned Item SKU]],skuQuantity[#All],2,FALSE),0)</f>
        <v>0</v>
      </c>
      <c r="S978" t="str">
        <f>PROPER(quantInv[[#This Row],[Metal]] &amp; " " &amp; quantInv[[#This Row],[Item Type]])</f>
        <v xml:space="preserve">925 Silver </v>
      </c>
      <c r="T978" s="33">
        <f>quantInv[[#This Row],[Quantity]]*quantInv[[#This Row],[WEIGHT]]</f>
        <v>0</v>
      </c>
      <c r="U978" s="33">
        <f>quantInv[[#This Row],[UNIT
VALUE]]*quantInv[[#This Row],[Quantity]]</f>
        <v>0</v>
      </c>
      <c r="V978" s="33">
        <f>quantInv[[#This Row],[Total Cost GBP]]/EURtoGBP</f>
        <v>0</v>
      </c>
      <c r="W978" s="33">
        <f>quantInv[[#This Row],[Total Cost GBP]]/USDtoGBP</f>
        <v>0</v>
      </c>
      <c r="X978" s="33">
        <f>quantInv[[#This Row],[Total Cost GBP]]/CADtoGBP</f>
        <v>0</v>
      </c>
      <c r="Y978" s="33">
        <f>quantInv[[#This Row],[Quantity]]*quantInv[[#This Row],[UNIT
VALUE AUD]]</f>
        <v>0</v>
      </c>
      <c r="Z978" s="33"/>
    </row>
    <row r="979" spans="1:26" x14ac:dyDescent="0.25">
      <c r="A979" t="s">
        <v>2430</v>
      </c>
      <c r="C979" t="s">
        <v>115</v>
      </c>
      <c r="E979">
        <v>0</v>
      </c>
      <c r="F979" s="33">
        <v>7.4401000000000002</v>
      </c>
      <c r="G979" s="33" t="s">
        <v>117</v>
      </c>
      <c r="H979" t="s">
        <v>2875</v>
      </c>
      <c r="I979" t="str">
        <f>IF(quantInv[[#This Row],[Metal]] = "925 Silver",  "7113.11.00"," 7113.19.00")</f>
        <v>7113.11.00</v>
      </c>
      <c r="J979" t="str">
        <f>IF(quantInv[[#This Row],[Metal]] = "925 Silver", "7113.11.10.00"," 7113.19.10.00")</f>
        <v>7113.11.10.00</v>
      </c>
      <c r="K979" t="str">
        <f>IF(quantInv[[#This Row],[Metal]] = "925 Silver",  "7113.11.00"," 7113.19.00")</f>
        <v>7113.11.00</v>
      </c>
      <c r="L979" t="str">
        <f>IFERROR(VLOOKUP(quantInv[[#This Row],[Description for New Invoice]],Map!$G$12:$H$32,2,FALSE), IF(quantInv[[#This Row],[Metal]] = "925 Silver", "7113.11.10.00", "7113.19.29.00"))</f>
        <v>7113.11.10.00</v>
      </c>
      <c r="M979" t="str">
        <f>quantInv[[#This Row],[ASIN]] &amp; " " &amp; quantInv[[#This Row],[Short Description]]</f>
        <v xml:space="preserve"> </v>
      </c>
      <c r="N979" s="33">
        <f>quantInv[[#This Row],[UNIT
VALUE]] / EURtoGBP</f>
        <v>8.4453979442997174</v>
      </c>
      <c r="O979" s="33">
        <f>quantInv[[#This Row],[UNIT
VALUE]]/USDtoGBP</f>
        <v>10.199141035500485</v>
      </c>
      <c r="P979" s="33">
        <f>quantInv[[#This Row],[UNIT
VALUE]] / CADtoGBP</f>
        <v>13.055486827998028</v>
      </c>
      <c r="Q979" s="33">
        <f>quantInv[[#This Row],[UNIT
VALUE]]/AUDtoGBP</f>
        <v>13.363208563833608</v>
      </c>
      <c r="R979">
        <f>IFERROR(VLOOKUP(quantInv[[#This Row],[Assigned Item SKU]],skuQuantity[#All],2,FALSE),0)</f>
        <v>0</v>
      </c>
      <c r="S979" t="str">
        <f>PROPER(quantInv[[#This Row],[Metal]] &amp; " " &amp; quantInv[[#This Row],[Item Type]])</f>
        <v xml:space="preserve">925 Silver </v>
      </c>
      <c r="T979" s="33">
        <f>quantInv[[#This Row],[Quantity]]*quantInv[[#This Row],[WEIGHT]]</f>
        <v>0</v>
      </c>
      <c r="U979" s="33">
        <f>quantInv[[#This Row],[UNIT
VALUE]]*quantInv[[#This Row],[Quantity]]</f>
        <v>0</v>
      </c>
      <c r="V979" s="33">
        <f>quantInv[[#This Row],[Total Cost GBP]]/EURtoGBP</f>
        <v>0</v>
      </c>
      <c r="W979" s="33">
        <f>quantInv[[#This Row],[Total Cost GBP]]/USDtoGBP</f>
        <v>0</v>
      </c>
      <c r="X979" s="33">
        <f>quantInv[[#This Row],[Total Cost GBP]]/CADtoGBP</f>
        <v>0</v>
      </c>
      <c r="Y979" s="33">
        <f>quantInv[[#This Row],[Quantity]]*quantInv[[#This Row],[UNIT
VALUE AUD]]</f>
        <v>0</v>
      </c>
      <c r="Z979" s="33"/>
    </row>
    <row r="980" spans="1:26" x14ac:dyDescent="0.25">
      <c r="A980" t="s">
        <v>2431</v>
      </c>
      <c r="C980" t="s">
        <v>115</v>
      </c>
      <c r="E980">
        <v>0</v>
      </c>
      <c r="F980" s="33">
        <v>7.4401000000000002</v>
      </c>
      <c r="G980" s="33" t="s">
        <v>117</v>
      </c>
      <c r="H980" t="s">
        <v>2875</v>
      </c>
      <c r="I980" t="str">
        <f>IF(quantInv[[#This Row],[Metal]] = "925 Silver",  "7113.11.00"," 7113.19.00")</f>
        <v>7113.11.00</v>
      </c>
      <c r="J980" t="str">
        <f>IF(quantInv[[#This Row],[Metal]] = "925 Silver", "7113.11.10.00"," 7113.19.10.00")</f>
        <v>7113.11.10.00</v>
      </c>
      <c r="K980" t="str">
        <f>IF(quantInv[[#This Row],[Metal]] = "925 Silver",  "7113.11.00"," 7113.19.00")</f>
        <v>7113.11.00</v>
      </c>
      <c r="L980" t="str">
        <f>IFERROR(VLOOKUP(quantInv[[#This Row],[Description for New Invoice]],Map!$G$12:$H$32,2,FALSE), IF(quantInv[[#This Row],[Metal]] = "925 Silver", "7113.11.10.00", "7113.19.29.00"))</f>
        <v>7113.11.10.00</v>
      </c>
      <c r="M980" t="str">
        <f>quantInv[[#This Row],[ASIN]] &amp; " " &amp; quantInv[[#This Row],[Short Description]]</f>
        <v xml:space="preserve"> </v>
      </c>
      <c r="N980" s="33">
        <f>quantInv[[#This Row],[UNIT
VALUE]] / EURtoGBP</f>
        <v>8.4453979442997174</v>
      </c>
      <c r="O980" s="33">
        <f>quantInv[[#This Row],[UNIT
VALUE]]/USDtoGBP</f>
        <v>10.199141035500485</v>
      </c>
      <c r="P980" s="33">
        <f>quantInv[[#This Row],[UNIT
VALUE]] / CADtoGBP</f>
        <v>13.055486827998028</v>
      </c>
      <c r="Q980" s="33">
        <f>quantInv[[#This Row],[UNIT
VALUE]]/AUDtoGBP</f>
        <v>13.363208563833608</v>
      </c>
      <c r="R980">
        <f>IFERROR(VLOOKUP(quantInv[[#This Row],[Assigned Item SKU]],skuQuantity[#All],2,FALSE),0)</f>
        <v>0</v>
      </c>
      <c r="S980" t="str">
        <f>PROPER(quantInv[[#This Row],[Metal]] &amp; " " &amp; quantInv[[#This Row],[Item Type]])</f>
        <v xml:space="preserve">925 Silver </v>
      </c>
      <c r="T980" s="33">
        <f>quantInv[[#This Row],[Quantity]]*quantInv[[#This Row],[WEIGHT]]</f>
        <v>0</v>
      </c>
      <c r="U980" s="33">
        <f>quantInv[[#This Row],[UNIT
VALUE]]*quantInv[[#This Row],[Quantity]]</f>
        <v>0</v>
      </c>
      <c r="V980" s="33">
        <f>quantInv[[#This Row],[Total Cost GBP]]/EURtoGBP</f>
        <v>0</v>
      </c>
      <c r="W980" s="33">
        <f>quantInv[[#This Row],[Total Cost GBP]]/USDtoGBP</f>
        <v>0</v>
      </c>
      <c r="X980" s="33">
        <f>quantInv[[#This Row],[Total Cost GBP]]/CADtoGBP</f>
        <v>0</v>
      </c>
      <c r="Y980" s="33">
        <f>quantInv[[#This Row],[Quantity]]*quantInv[[#This Row],[UNIT
VALUE AUD]]</f>
        <v>0</v>
      </c>
      <c r="Z980" s="33"/>
    </row>
    <row r="981" spans="1:26" x14ac:dyDescent="0.25">
      <c r="A981" t="s">
        <v>2432</v>
      </c>
      <c r="C981" t="s">
        <v>115</v>
      </c>
      <c r="E981">
        <v>0</v>
      </c>
      <c r="F981" s="33">
        <v>7.4401000000000002</v>
      </c>
      <c r="G981" s="33" t="s">
        <v>117</v>
      </c>
      <c r="H981" t="s">
        <v>2875</v>
      </c>
      <c r="I981" t="str">
        <f>IF(quantInv[[#This Row],[Metal]] = "925 Silver",  "7113.11.00"," 7113.19.00")</f>
        <v>7113.11.00</v>
      </c>
      <c r="J981" t="str">
        <f>IF(quantInv[[#This Row],[Metal]] = "925 Silver", "7113.11.10.00"," 7113.19.10.00")</f>
        <v>7113.11.10.00</v>
      </c>
      <c r="K981" t="str">
        <f>IF(quantInv[[#This Row],[Metal]] = "925 Silver",  "7113.11.00"," 7113.19.00")</f>
        <v>7113.11.00</v>
      </c>
      <c r="L981" t="str">
        <f>IFERROR(VLOOKUP(quantInv[[#This Row],[Description for New Invoice]],Map!$G$12:$H$32,2,FALSE), IF(quantInv[[#This Row],[Metal]] = "925 Silver", "7113.11.10.00", "7113.19.29.00"))</f>
        <v>7113.11.10.00</v>
      </c>
      <c r="M981" t="str">
        <f>quantInv[[#This Row],[ASIN]] &amp; " " &amp; quantInv[[#This Row],[Short Description]]</f>
        <v xml:space="preserve"> </v>
      </c>
      <c r="N981" s="33">
        <f>quantInv[[#This Row],[UNIT
VALUE]] / EURtoGBP</f>
        <v>8.4453979442997174</v>
      </c>
      <c r="O981" s="33">
        <f>quantInv[[#This Row],[UNIT
VALUE]]/USDtoGBP</f>
        <v>10.199141035500485</v>
      </c>
      <c r="P981" s="33">
        <f>quantInv[[#This Row],[UNIT
VALUE]] / CADtoGBP</f>
        <v>13.055486827998028</v>
      </c>
      <c r="Q981" s="33">
        <f>quantInv[[#This Row],[UNIT
VALUE]]/AUDtoGBP</f>
        <v>13.363208563833608</v>
      </c>
      <c r="R981">
        <f>IFERROR(VLOOKUP(quantInv[[#This Row],[Assigned Item SKU]],skuQuantity[#All],2,FALSE),0)</f>
        <v>0</v>
      </c>
      <c r="S981" t="str">
        <f>PROPER(quantInv[[#This Row],[Metal]] &amp; " " &amp; quantInv[[#This Row],[Item Type]])</f>
        <v xml:space="preserve">925 Silver </v>
      </c>
      <c r="T981" s="33">
        <f>quantInv[[#This Row],[Quantity]]*quantInv[[#This Row],[WEIGHT]]</f>
        <v>0</v>
      </c>
      <c r="U981" s="33">
        <f>quantInv[[#This Row],[UNIT
VALUE]]*quantInv[[#This Row],[Quantity]]</f>
        <v>0</v>
      </c>
      <c r="V981" s="33">
        <f>quantInv[[#This Row],[Total Cost GBP]]/EURtoGBP</f>
        <v>0</v>
      </c>
      <c r="W981" s="33">
        <f>quantInv[[#This Row],[Total Cost GBP]]/USDtoGBP</f>
        <v>0</v>
      </c>
      <c r="X981" s="33">
        <f>quantInv[[#This Row],[Total Cost GBP]]/CADtoGBP</f>
        <v>0</v>
      </c>
      <c r="Y981" s="33">
        <f>quantInv[[#This Row],[Quantity]]*quantInv[[#This Row],[UNIT
VALUE AUD]]</f>
        <v>0</v>
      </c>
      <c r="Z981" s="33"/>
    </row>
    <row r="982" spans="1:26" x14ac:dyDescent="0.25">
      <c r="A982" t="s">
        <v>2433</v>
      </c>
      <c r="C982" t="s">
        <v>114</v>
      </c>
      <c r="E982">
        <v>0</v>
      </c>
      <c r="F982" s="33">
        <v>7.0499999999999993E-2</v>
      </c>
      <c r="G982" s="33" t="s">
        <v>117</v>
      </c>
      <c r="H982" t="s">
        <v>2875</v>
      </c>
      <c r="I982" t="str">
        <f>IF(quantInv[[#This Row],[Metal]] = "925 Silver",  "7113.11.00"," 7113.19.00")</f>
        <v>7113.11.00</v>
      </c>
      <c r="J982" t="str">
        <f>IF(quantInv[[#This Row],[Metal]] = "925 Silver", "7113.11.10.00"," 7113.19.10.00")</f>
        <v>7113.11.10.00</v>
      </c>
      <c r="K982" t="str">
        <f>IF(quantInv[[#This Row],[Metal]] = "925 Silver",  "7113.11.00"," 7113.19.00")</f>
        <v>7113.11.00</v>
      </c>
      <c r="L982" t="str">
        <f>IFERROR(VLOOKUP(quantInv[[#This Row],[Description for New Invoice]],Map!$G$12:$H$32,2,FALSE), IF(quantInv[[#This Row],[Metal]] = "925 Silver", "7113.11.10.00", "7113.19.29.00"))</f>
        <v>7113.11.10.00</v>
      </c>
      <c r="M982" t="str">
        <f>quantInv[[#This Row],[ASIN]] &amp; " " &amp; quantInv[[#This Row],[Short Description]]</f>
        <v xml:space="preserve"> </v>
      </c>
      <c r="N982" s="33">
        <f>quantInv[[#This Row],[UNIT
VALUE]] / EURtoGBP</f>
        <v>8.0025880710357392E-2</v>
      </c>
      <c r="O982" s="33">
        <f>quantInv[[#This Row],[UNIT
VALUE]]/USDtoGBP</f>
        <v>9.6643787449467625E-2</v>
      </c>
      <c r="P982" s="33">
        <f>quantInv[[#This Row],[UNIT
VALUE]] / CADtoGBP</f>
        <v>0.1237096035502024</v>
      </c>
      <c r="Q982" s="33">
        <f>quantInv[[#This Row],[UNIT
VALUE]]/AUDtoGBP</f>
        <v>0.12662547596810114</v>
      </c>
      <c r="R982">
        <f>IFERROR(VLOOKUP(quantInv[[#This Row],[Assigned Item SKU]],skuQuantity[#All],2,FALSE),0)</f>
        <v>0</v>
      </c>
      <c r="S982" t="str">
        <f>PROPER(quantInv[[#This Row],[Metal]] &amp; " " &amp; quantInv[[#This Row],[Item Type]])</f>
        <v xml:space="preserve">925 Silver </v>
      </c>
      <c r="T982" s="33">
        <f>quantInv[[#This Row],[Quantity]]*quantInv[[#This Row],[WEIGHT]]</f>
        <v>0</v>
      </c>
      <c r="U982" s="33">
        <f>quantInv[[#This Row],[UNIT
VALUE]]*quantInv[[#This Row],[Quantity]]</f>
        <v>0</v>
      </c>
      <c r="V982" s="33">
        <f>quantInv[[#This Row],[Total Cost GBP]]/EURtoGBP</f>
        <v>0</v>
      </c>
      <c r="W982" s="33">
        <f>quantInv[[#This Row],[Total Cost GBP]]/USDtoGBP</f>
        <v>0</v>
      </c>
      <c r="X982" s="33">
        <f>quantInv[[#This Row],[Total Cost GBP]]/CADtoGBP</f>
        <v>0</v>
      </c>
      <c r="Y982" s="33">
        <f>quantInv[[#This Row],[Quantity]]*quantInv[[#This Row],[UNIT
VALUE AUD]]</f>
        <v>0</v>
      </c>
      <c r="Z982" s="33"/>
    </row>
    <row r="983" spans="1:26" x14ac:dyDescent="0.25">
      <c r="A983" t="s">
        <v>2434</v>
      </c>
      <c r="C983" t="s">
        <v>114</v>
      </c>
      <c r="E983">
        <v>0</v>
      </c>
      <c r="F983" s="33">
        <v>7.0499999999999993E-2</v>
      </c>
      <c r="G983" s="33" t="s">
        <v>117</v>
      </c>
      <c r="H983" t="s">
        <v>2875</v>
      </c>
      <c r="I983" t="str">
        <f>IF(quantInv[[#This Row],[Metal]] = "925 Silver",  "7113.11.00"," 7113.19.00")</f>
        <v>7113.11.00</v>
      </c>
      <c r="J983" t="str">
        <f>IF(quantInv[[#This Row],[Metal]] = "925 Silver", "7113.11.10.00"," 7113.19.10.00")</f>
        <v>7113.11.10.00</v>
      </c>
      <c r="K983" t="str">
        <f>IF(quantInv[[#This Row],[Metal]] = "925 Silver",  "7113.11.00"," 7113.19.00")</f>
        <v>7113.11.00</v>
      </c>
      <c r="L983" t="str">
        <f>IFERROR(VLOOKUP(quantInv[[#This Row],[Description for New Invoice]],Map!$G$12:$H$32,2,FALSE), IF(quantInv[[#This Row],[Metal]] = "925 Silver", "7113.11.10.00", "7113.19.29.00"))</f>
        <v>7113.11.10.00</v>
      </c>
      <c r="M983" t="str">
        <f>quantInv[[#This Row],[ASIN]] &amp; " " &amp; quantInv[[#This Row],[Short Description]]</f>
        <v xml:space="preserve"> </v>
      </c>
      <c r="N983" s="33">
        <f>quantInv[[#This Row],[UNIT
VALUE]] / EURtoGBP</f>
        <v>8.0025880710357392E-2</v>
      </c>
      <c r="O983" s="33">
        <f>quantInv[[#This Row],[UNIT
VALUE]]/USDtoGBP</f>
        <v>9.6643787449467625E-2</v>
      </c>
      <c r="P983" s="33">
        <f>quantInv[[#This Row],[UNIT
VALUE]] / CADtoGBP</f>
        <v>0.1237096035502024</v>
      </c>
      <c r="Q983" s="33">
        <f>quantInv[[#This Row],[UNIT
VALUE]]/AUDtoGBP</f>
        <v>0.12662547596810114</v>
      </c>
      <c r="R983">
        <f>IFERROR(VLOOKUP(quantInv[[#This Row],[Assigned Item SKU]],skuQuantity[#All],2,FALSE),0)</f>
        <v>0</v>
      </c>
      <c r="S983" t="str">
        <f>PROPER(quantInv[[#This Row],[Metal]] &amp; " " &amp; quantInv[[#This Row],[Item Type]])</f>
        <v xml:space="preserve">925 Silver </v>
      </c>
      <c r="T983" s="33">
        <f>quantInv[[#This Row],[Quantity]]*quantInv[[#This Row],[WEIGHT]]</f>
        <v>0</v>
      </c>
      <c r="U983" s="33">
        <f>quantInv[[#This Row],[UNIT
VALUE]]*quantInv[[#This Row],[Quantity]]</f>
        <v>0</v>
      </c>
      <c r="V983" s="33">
        <f>quantInv[[#This Row],[Total Cost GBP]]/EURtoGBP</f>
        <v>0</v>
      </c>
      <c r="W983" s="33">
        <f>quantInv[[#This Row],[Total Cost GBP]]/USDtoGBP</f>
        <v>0</v>
      </c>
      <c r="X983" s="33">
        <f>quantInv[[#This Row],[Total Cost GBP]]/CADtoGBP</f>
        <v>0</v>
      </c>
      <c r="Y983" s="33">
        <f>quantInv[[#This Row],[Quantity]]*quantInv[[#This Row],[UNIT
VALUE AUD]]</f>
        <v>0</v>
      </c>
      <c r="Z983" s="33"/>
    </row>
    <row r="984" spans="1:26" x14ac:dyDescent="0.25">
      <c r="A984" t="s">
        <v>2435</v>
      </c>
      <c r="C984" t="s">
        <v>114</v>
      </c>
      <c r="E984">
        <v>0</v>
      </c>
      <c r="F984" s="33">
        <v>7.0499999999999993E-2</v>
      </c>
      <c r="G984" s="33" t="s">
        <v>117</v>
      </c>
      <c r="H984" t="s">
        <v>2875</v>
      </c>
      <c r="I984" t="str">
        <f>IF(quantInv[[#This Row],[Metal]] = "925 Silver",  "7113.11.00"," 7113.19.00")</f>
        <v>7113.11.00</v>
      </c>
      <c r="J984" t="str">
        <f>IF(quantInv[[#This Row],[Metal]] = "925 Silver", "7113.11.10.00"," 7113.19.10.00")</f>
        <v>7113.11.10.00</v>
      </c>
      <c r="K984" t="str">
        <f>IF(quantInv[[#This Row],[Metal]] = "925 Silver",  "7113.11.00"," 7113.19.00")</f>
        <v>7113.11.00</v>
      </c>
      <c r="L984" t="str">
        <f>IFERROR(VLOOKUP(quantInv[[#This Row],[Description for New Invoice]],Map!$G$12:$H$32,2,FALSE), IF(quantInv[[#This Row],[Metal]] = "925 Silver", "7113.11.10.00", "7113.19.29.00"))</f>
        <v>7113.11.10.00</v>
      </c>
      <c r="M984" t="str">
        <f>quantInv[[#This Row],[ASIN]] &amp; " " &amp; quantInv[[#This Row],[Short Description]]</f>
        <v xml:space="preserve"> </v>
      </c>
      <c r="N984" s="33">
        <f>quantInv[[#This Row],[UNIT
VALUE]] / EURtoGBP</f>
        <v>8.0025880710357392E-2</v>
      </c>
      <c r="O984" s="33">
        <f>quantInv[[#This Row],[UNIT
VALUE]]/USDtoGBP</f>
        <v>9.6643787449467625E-2</v>
      </c>
      <c r="P984" s="33">
        <f>quantInv[[#This Row],[UNIT
VALUE]] / CADtoGBP</f>
        <v>0.1237096035502024</v>
      </c>
      <c r="Q984" s="33">
        <f>quantInv[[#This Row],[UNIT
VALUE]]/AUDtoGBP</f>
        <v>0.12662547596810114</v>
      </c>
      <c r="R984">
        <f>IFERROR(VLOOKUP(quantInv[[#This Row],[Assigned Item SKU]],skuQuantity[#All],2,FALSE),0)</f>
        <v>0</v>
      </c>
      <c r="S984" t="str">
        <f>PROPER(quantInv[[#This Row],[Metal]] &amp; " " &amp; quantInv[[#This Row],[Item Type]])</f>
        <v xml:space="preserve">925 Silver </v>
      </c>
      <c r="T984" s="33">
        <f>quantInv[[#This Row],[Quantity]]*quantInv[[#This Row],[WEIGHT]]</f>
        <v>0</v>
      </c>
      <c r="U984" s="33">
        <f>quantInv[[#This Row],[UNIT
VALUE]]*quantInv[[#This Row],[Quantity]]</f>
        <v>0</v>
      </c>
      <c r="V984" s="33">
        <f>quantInv[[#This Row],[Total Cost GBP]]/EURtoGBP</f>
        <v>0</v>
      </c>
      <c r="W984" s="33">
        <f>quantInv[[#This Row],[Total Cost GBP]]/USDtoGBP</f>
        <v>0</v>
      </c>
      <c r="X984" s="33">
        <f>quantInv[[#This Row],[Total Cost GBP]]/CADtoGBP</f>
        <v>0</v>
      </c>
      <c r="Y984" s="33">
        <f>quantInv[[#This Row],[Quantity]]*quantInv[[#This Row],[UNIT
VALUE AUD]]</f>
        <v>0</v>
      </c>
      <c r="Z984" s="33"/>
    </row>
    <row r="985" spans="1:26" x14ac:dyDescent="0.25">
      <c r="A985" t="s">
        <v>2436</v>
      </c>
      <c r="C985" t="s">
        <v>114</v>
      </c>
      <c r="E985">
        <v>0</v>
      </c>
      <c r="F985" s="33">
        <v>7.0499999999999993E-2</v>
      </c>
      <c r="G985" s="33" t="s">
        <v>117</v>
      </c>
      <c r="H985" t="s">
        <v>2875</v>
      </c>
      <c r="I985" t="str">
        <f>IF(quantInv[[#This Row],[Metal]] = "925 Silver",  "7113.11.00"," 7113.19.00")</f>
        <v>7113.11.00</v>
      </c>
      <c r="J985" t="str">
        <f>IF(quantInv[[#This Row],[Metal]] = "925 Silver", "7113.11.10.00"," 7113.19.10.00")</f>
        <v>7113.11.10.00</v>
      </c>
      <c r="K985" t="str">
        <f>IF(quantInv[[#This Row],[Metal]] = "925 Silver",  "7113.11.00"," 7113.19.00")</f>
        <v>7113.11.00</v>
      </c>
      <c r="L985" t="str">
        <f>IFERROR(VLOOKUP(quantInv[[#This Row],[Description for New Invoice]],Map!$G$12:$H$32,2,FALSE), IF(quantInv[[#This Row],[Metal]] = "925 Silver", "7113.11.10.00", "7113.19.29.00"))</f>
        <v>7113.11.10.00</v>
      </c>
      <c r="M985" t="str">
        <f>quantInv[[#This Row],[ASIN]] &amp; " " &amp; quantInv[[#This Row],[Short Description]]</f>
        <v xml:space="preserve"> </v>
      </c>
      <c r="N985" s="33">
        <f>quantInv[[#This Row],[UNIT
VALUE]] / EURtoGBP</f>
        <v>8.0025880710357392E-2</v>
      </c>
      <c r="O985" s="33">
        <f>quantInv[[#This Row],[UNIT
VALUE]]/USDtoGBP</f>
        <v>9.6643787449467625E-2</v>
      </c>
      <c r="P985" s="33">
        <f>quantInv[[#This Row],[UNIT
VALUE]] / CADtoGBP</f>
        <v>0.1237096035502024</v>
      </c>
      <c r="Q985" s="33">
        <f>quantInv[[#This Row],[UNIT
VALUE]]/AUDtoGBP</f>
        <v>0.12662547596810114</v>
      </c>
      <c r="R985">
        <f>IFERROR(VLOOKUP(quantInv[[#This Row],[Assigned Item SKU]],skuQuantity[#All],2,FALSE),0)</f>
        <v>0</v>
      </c>
      <c r="S985" t="str">
        <f>PROPER(quantInv[[#This Row],[Metal]] &amp; " " &amp; quantInv[[#This Row],[Item Type]])</f>
        <v xml:space="preserve">925 Silver </v>
      </c>
      <c r="T985" s="33">
        <f>quantInv[[#This Row],[Quantity]]*quantInv[[#This Row],[WEIGHT]]</f>
        <v>0</v>
      </c>
      <c r="U985" s="33">
        <f>quantInv[[#This Row],[UNIT
VALUE]]*quantInv[[#This Row],[Quantity]]</f>
        <v>0</v>
      </c>
      <c r="V985" s="33">
        <f>quantInv[[#This Row],[Total Cost GBP]]/EURtoGBP</f>
        <v>0</v>
      </c>
      <c r="W985" s="33">
        <f>quantInv[[#This Row],[Total Cost GBP]]/USDtoGBP</f>
        <v>0</v>
      </c>
      <c r="X985" s="33">
        <f>quantInv[[#This Row],[Total Cost GBP]]/CADtoGBP</f>
        <v>0</v>
      </c>
      <c r="Y985" s="33">
        <f>quantInv[[#This Row],[Quantity]]*quantInv[[#This Row],[UNIT
VALUE AUD]]</f>
        <v>0</v>
      </c>
      <c r="Z985" s="33"/>
    </row>
    <row r="986" spans="1:26" x14ac:dyDescent="0.25">
      <c r="A986" t="s">
        <v>2437</v>
      </c>
      <c r="C986" t="s">
        <v>114</v>
      </c>
      <c r="E986">
        <v>0</v>
      </c>
      <c r="F986" s="33">
        <v>7.0499999999999993E-2</v>
      </c>
      <c r="G986" s="33" t="s">
        <v>117</v>
      </c>
      <c r="H986" t="s">
        <v>2875</v>
      </c>
      <c r="I986" t="str">
        <f>IF(quantInv[[#This Row],[Metal]] = "925 Silver",  "7113.11.00"," 7113.19.00")</f>
        <v>7113.11.00</v>
      </c>
      <c r="J986" t="str">
        <f>IF(quantInv[[#This Row],[Metal]] = "925 Silver", "7113.11.10.00"," 7113.19.10.00")</f>
        <v>7113.11.10.00</v>
      </c>
      <c r="K986" t="str">
        <f>IF(quantInv[[#This Row],[Metal]] = "925 Silver",  "7113.11.00"," 7113.19.00")</f>
        <v>7113.11.00</v>
      </c>
      <c r="L986" t="str">
        <f>IFERROR(VLOOKUP(quantInv[[#This Row],[Description for New Invoice]],Map!$G$12:$H$32,2,FALSE), IF(quantInv[[#This Row],[Metal]] = "925 Silver", "7113.11.10.00", "7113.19.29.00"))</f>
        <v>7113.11.10.00</v>
      </c>
      <c r="M986" t="str">
        <f>quantInv[[#This Row],[ASIN]] &amp; " " &amp; quantInv[[#This Row],[Short Description]]</f>
        <v xml:space="preserve"> </v>
      </c>
      <c r="N986" s="33">
        <f>quantInv[[#This Row],[UNIT
VALUE]] / EURtoGBP</f>
        <v>8.0025880710357392E-2</v>
      </c>
      <c r="O986" s="33">
        <f>quantInv[[#This Row],[UNIT
VALUE]]/USDtoGBP</f>
        <v>9.6643787449467625E-2</v>
      </c>
      <c r="P986" s="33">
        <f>quantInv[[#This Row],[UNIT
VALUE]] / CADtoGBP</f>
        <v>0.1237096035502024</v>
      </c>
      <c r="Q986" s="33">
        <f>quantInv[[#This Row],[UNIT
VALUE]]/AUDtoGBP</f>
        <v>0.12662547596810114</v>
      </c>
      <c r="R986">
        <f>IFERROR(VLOOKUP(quantInv[[#This Row],[Assigned Item SKU]],skuQuantity[#All],2,FALSE),0)</f>
        <v>0</v>
      </c>
      <c r="S986" t="str">
        <f>PROPER(quantInv[[#This Row],[Metal]] &amp; " " &amp; quantInv[[#This Row],[Item Type]])</f>
        <v xml:space="preserve">925 Silver </v>
      </c>
      <c r="T986" s="33">
        <f>quantInv[[#This Row],[Quantity]]*quantInv[[#This Row],[WEIGHT]]</f>
        <v>0</v>
      </c>
      <c r="U986" s="33">
        <f>quantInv[[#This Row],[UNIT
VALUE]]*quantInv[[#This Row],[Quantity]]</f>
        <v>0</v>
      </c>
      <c r="V986" s="33">
        <f>quantInv[[#This Row],[Total Cost GBP]]/EURtoGBP</f>
        <v>0</v>
      </c>
      <c r="W986" s="33">
        <f>quantInv[[#This Row],[Total Cost GBP]]/USDtoGBP</f>
        <v>0</v>
      </c>
      <c r="X986" s="33">
        <f>quantInv[[#This Row],[Total Cost GBP]]/CADtoGBP</f>
        <v>0</v>
      </c>
      <c r="Y986" s="33">
        <f>quantInv[[#This Row],[Quantity]]*quantInv[[#This Row],[UNIT
VALUE AUD]]</f>
        <v>0</v>
      </c>
      <c r="Z986" s="33"/>
    </row>
    <row r="987" spans="1:26" x14ac:dyDescent="0.25">
      <c r="A987" t="s">
        <v>2438</v>
      </c>
      <c r="C987" t="s">
        <v>114</v>
      </c>
      <c r="E987">
        <v>0</v>
      </c>
      <c r="F987" s="33">
        <v>7.0499999999999993E-2</v>
      </c>
      <c r="G987" s="33" t="s">
        <v>117</v>
      </c>
      <c r="H987" t="s">
        <v>2875</v>
      </c>
      <c r="I987" t="str">
        <f>IF(quantInv[[#This Row],[Metal]] = "925 Silver",  "7113.11.00"," 7113.19.00")</f>
        <v>7113.11.00</v>
      </c>
      <c r="J987" t="str">
        <f>IF(quantInv[[#This Row],[Metal]] = "925 Silver", "7113.11.10.00"," 7113.19.10.00")</f>
        <v>7113.11.10.00</v>
      </c>
      <c r="K987" t="str">
        <f>IF(quantInv[[#This Row],[Metal]] = "925 Silver",  "7113.11.00"," 7113.19.00")</f>
        <v>7113.11.00</v>
      </c>
      <c r="L987" t="str">
        <f>IFERROR(VLOOKUP(quantInv[[#This Row],[Description for New Invoice]],Map!$G$12:$H$32,2,FALSE), IF(quantInv[[#This Row],[Metal]] = "925 Silver", "7113.11.10.00", "7113.19.29.00"))</f>
        <v>7113.11.10.00</v>
      </c>
      <c r="M987" t="str">
        <f>quantInv[[#This Row],[ASIN]] &amp; " " &amp; quantInv[[#This Row],[Short Description]]</f>
        <v xml:space="preserve"> </v>
      </c>
      <c r="N987" s="33">
        <f>quantInv[[#This Row],[UNIT
VALUE]] / EURtoGBP</f>
        <v>8.0025880710357392E-2</v>
      </c>
      <c r="O987" s="33">
        <f>quantInv[[#This Row],[UNIT
VALUE]]/USDtoGBP</f>
        <v>9.6643787449467625E-2</v>
      </c>
      <c r="P987" s="33">
        <f>quantInv[[#This Row],[UNIT
VALUE]] / CADtoGBP</f>
        <v>0.1237096035502024</v>
      </c>
      <c r="Q987" s="33">
        <f>quantInv[[#This Row],[UNIT
VALUE]]/AUDtoGBP</f>
        <v>0.12662547596810114</v>
      </c>
      <c r="R987">
        <f>IFERROR(VLOOKUP(quantInv[[#This Row],[Assigned Item SKU]],skuQuantity[#All],2,FALSE),0)</f>
        <v>0</v>
      </c>
      <c r="S987" t="str">
        <f>PROPER(quantInv[[#This Row],[Metal]] &amp; " " &amp; quantInv[[#This Row],[Item Type]])</f>
        <v xml:space="preserve">925 Silver </v>
      </c>
      <c r="T987" s="33">
        <f>quantInv[[#This Row],[Quantity]]*quantInv[[#This Row],[WEIGHT]]</f>
        <v>0</v>
      </c>
      <c r="U987" s="33">
        <f>quantInv[[#This Row],[UNIT
VALUE]]*quantInv[[#This Row],[Quantity]]</f>
        <v>0</v>
      </c>
      <c r="V987" s="33">
        <f>quantInv[[#This Row],[Total Cost GBP]]/EURtoGBP</f>
        <v>0</v>
      </c>
      <c r="W987" s="33">
        <f>quantInv[[#This Row],[Total Cost GBP]]/USDtoGBP</f>
        <v>0</v>
      </c>
      <c r="X987" s="33">
        <f>quantInv[[#This Row],[Total Cost GBP]]/CADtoGBP</f>
        <v>0</v>
      </c>
      <c r="Y987" s="33">
        <f>quantInv[[#This Row],[Quantity]]*quantInv[[#This Row],[UNIT
VALUE AUD]]</f>
        <v>0</v>
      </c>
      <c r="Z987" s="33"/>
    </row>
    <row r="988" spans="1:26" x14ac:dyDescent="0.25">
      <c r="A988" t="s">
        <v>2439</v>
      </c>
      <c r="C988" t="s">
        <v>114</v>
      </c>
      <c r="E988">
        <v>0</v>
      </c>
      <c r="F988" s="33">
        <v>7.0499999999999993E-2</v>
      </c>
      <c r="G988" s="33" t="s">
        <v>117</v>
      </c>
      <c r="H988" t="s">
        <v>2875</v>
      </c>
      <c r="I988" t="str">
        <f>IF(quantInv[[#This Row],[Metal]] = "925 Silver",  "7113.11.00"," 7113.19.00")</f>
        <v>7113.11.00</v>
      </c>
      <c r="J988" t="str">
        <f>IF(quantInv[[#This Row],[Metal]] = "925 Silver", "7113.11.10.00"," 7113.19.10.00")</f>
        <v>7113.11.10.00</v>
      </c>
      <c r="K988" t="str">
        <f>IF(quantInv[[#This Row],[Metal]] = "925 Silver",  "7113.11.00"," 7113.19.00")</f>
        <v>7113.11.00</v>
      </c>
      <c r="L988" t="str">
        <f>IFERROR(VLOOKUP(quantInv[[#This Row],[Description for New Invoice]],Map!$G$12:$H$32,2,FALSE), IF(quantInv[[#This Row],[Metal]] = "925 Silver", "7113.11.10.00", "7113.19.29.00"))</f>
        <v>7113.11.10.00</v>
      </c>
      <c r="M988" t="str">
        <f>quantInv[[#This Row],[ASIN]] &amp; " " &amp; quantInv[[#This Row],[Short Description]]</f>
        <v xml:space="preserve"> </v>
      </c>
      <c r="N988" s="33">
        <f>quantInv[[#This Row],[UNIT
VALUE]] / EURtoGBP</f>
        <v>8.0025880710357392E-2</v>
      </c>
      <c r="O988" s="33">
        <f>quantInv[[#This Row],[UNIT
VALUE]]/USDtoGBP</f>
        <v>9.6643787449467625E-2</v>
      </c>
      <c r="P988" s="33">
        <f>quantInv[[#This Row],[UNIT
VALUE]] / CADtoGBP</f>
        <v>0.1237096035502024</v>
      </c>
      <c r="Q988" s="33">
        <f>quantInv[[#This Row],[UNIT
VALUE]]/AUDtoGBP</f>
        <v>0.12662547596810114</v>
      </c>
      <c r="R988">
        <f>IFERROR(VLOOKUP(quantInv[[#This Row],[Assigned Item SKU]],skuQuantity[#All],2,FALSE),0)</f>
        <v>0</v>
      </c>
      <c r="S988" t="str">
        <f>PROPER(quantInv[[#This Row],[Metal]] &amp; " " &amp; quantInv[[#This Row],[Item Type]])</f>
        <v xml:space="preserve">925 Silver </v>
      </c>
      <c r="T988" s="33">
        <f>quantInv[[#This Row],[Quantity]]*quantInv[[#This Row],[WEIGHT]]</f>
        <v>0</v>
      </c>
      <c r="U988" s="33">
        <f>quantInv[[#This Row],[UNIT
VALUE]]*quantInv[[#This Row],[Quantity]]</f>
        <v>0</v>
      </c>
      <c r="V988" s="33">
        <f>quantInv[[#This Row],[Total Cost GBP]]/EURtoGBP</f>
        <v>0</v>
      </c>
      <c r="W988" s="33">
        <f>quantInv[[#This Row],[Total Cost GBP]]/USDtoGBP</f>
        <v>0</v>
      </c>
      <c r="X988" s="33">
        <f>quantInv[[#This Row],[Total Cost GBP]]/CADtoGBP</f>
        <v>0</v>
      </c>
      <c r="Y988" s="33">
        <f>quantInv[[#This Row],[Quantity]]*quantInv[[#This Row],[UNIT
VALUE AUD]]</f>
        <v>0</v>
      </c>
      <c r="Z988" s="33"/>
    </row>
    <row r="989" spans="1:26" x14ac:dyDescent="0.25">
      <c r="A989" t="s">
        <v>2440</v>
      </c>
      <c r="C989" t="s">
        <v>114</v>
      </c>
      <c r="E989">
        <v>0</v>
      </c>
      <c r="F989" s="33">
        <v>7.0499999999999993E-2</v>
      </c>
      <c r="G989" s="33" t="s">
        <v>117</v>
      </c>
      <c r="H989" t="s">
        <v>2875</v>
      </c>
      <c r="I989" t="str">
        <f>IF(quantInv[[#This Row],[Metal]] = "925 Silver",  "7113.11.00"," 7113.19.00")</f>
        <v>7113.11.00</v>
      </c>
      <c r="J989" t="str">
        <f>IF(quantInv[[#This Row],[Metal]] = "925 Silver", "7113.11.10.00"," 7113.19.10.00")</f>
        <v>7113.11.10.00</v>
      </c>
      <c r="K989" t="str">
        <f>IF(quantInv[[#This Row],[Metal]] = "925 Silver",  "7113.11.00"," 7113.19.00")</f>
        <v>7113.11.00</v>
      </c>
      <c r="L989" t="str">
        <f>IFERROR(VLOOKUP(quantInv[[#This Row],[Description for New Invoice]],Map!$G$12:$H$32,2,FALSE), IF(quantInv[[#This Row],[Metal]] = "925 Silver", "7113.11.10.00", "7113.19.29.00"))</f>
        <v>7113.11.10.00</v>
      </c>
      <c r="M989" t="str">
        <f>quantInv[[#This Row],[ASIN]] &amp; " " &amp; quantInv[[#This Row],[Short Description]]</f>
        <v xml:space="preserve"> </v>
      </c>
      <c r="N989" s="33">
        <f>quantInv[[#This Row],[UNIT
VALUE]] / EURtoGBP</f>
        <v>8.0025880710357392E-2</v>
      </c>
      <c r="O989" s="33">
        <f>quantInv[[#This Row],[UNIT
VALUE]]/USDtoGBP</f>
        <v>9.6643787449467625E-2</v>
      </c>
      <c r="P989" s="33">
        <f>quantInv[[#This Row],[UNIT
VALUE]] / CADtoGBP</f>
        <v>0.1237096035502024</v>
      </c>
      <c r="Q989" s="33">
        <f>quantInv[[#This Row],[UNIT
VALUE]]/AUDtoGBP</f>
        <v>0.12662547596810114</v>
      </c>
      <c r="R989">
        <f>IFERROR(VLOOKUP(quantInv[[#This Row],[Assigned Item SKU]],skuQuantity[#All],2,FALSE),0)</f>
        <v>0</v>
      </c>
      <c r="S989" t="str">
        <f>PROPER(quantInv[[#This Row],[Metal]] &amp; " " &amp; quantInv[[#This Row],[Item Type]])</f>
        <v xml:space="preserve">925 Silver </v>
      </c>
      <c r="T989" s="33">
        <f>quantInv[[#This Row],[Quantity]]*quantInv[[#This Row],[WEIGHT]]</f>
        <v>0</v>
      </c>
      <c r="U989" s="33">
        <f>quantInv[[#This Row],[UNIT
VALUE]]*quantInv[[#This Row],[Quantity]]</f>
        <v>0</v>
      </c>
      <c r="V989" s="33">
        <f>quantInv[[#This Row],[Total Cost GBP]]/EURtoGBP</f>
        <v>0</v>
      </c>
      <c r="W989" s="33">
        <f>quantInv[[#This Row],[Total Cost GBP]]/USDtoGBP</f>
        <v>0</v>
      </c>
      <c r="X989" s="33">
        <f>quantInv[[#This Row],[Total Cost GBP]]/CADtoGBP</f>
        <v>0</v>
      </c>
      <c r="Y989" s="33">
        <f>quantInv[[#This Row],[Quantity]]*quantInv[[#This Row],[UNIT
VALUE AUD]]</f>
        <v>0</v>
      </c>
      <c r="Z989" s="33"/>
    </row>
    <row r="990" spans="1:26" x14ac:dyDescent="0.25">
      <c r="A990" t="s">
        <v>2441</v>
      </c>
      <c r="C990" t="s">
        <v>149</v>
      </c>
      <c r="D990" t="s">
        <v>2442</v>
      </c>
      <c r="E990">
        <v>0</v>
      </c>
      <c r="F990" s="33">
        <v>7.0499999999999993E-2</v>
      </c>
      <c r="G990" s="33" t="s">
        <v>3304</v>
      </c>
      <c r="H990" t="s">
        <v>2875</v>
      </c>
      <c r="I990" t="str">
        <f>IF(quantInv[[#This Row],[Metal]] = "925 Silver",  "7113.11.00"," 7113.19.00")</f>
        <v xml:space="preserve"> 7113.19.00</v>
      </c>
      <c r="J990" t="str">
        <f>IF(quantInv[[#This Row],[Metal]] = "925 Silver", "7113.11.10.00"," 7113.19.10.00")</f>
        <v xml:space="preserve"> 7113.19.10.00</v>
      </c>
      <c r="K990" t="str">
        <f>IF(quantInv[[#This Row],[Metal]] = "925 Silver",  "7113.11.00"," 7113.19.00")</f>
        <v xml:space="preserve"> 7113.19.00</v>
      </c>
      <c r="L990" t="str">
        <f>IFERROR(VLOOKUP(quantInv[[#This Row],[Description for New Invoice]],Map!$G$12:$H$32,2,FALSE), IF(quantInv[[#This Row],[Metal]] = "925 Silver", "7113.11.10.00", "7113.19.29.00"))</f>
        <v>7113.19.29.00</v>
      </c>
      <c r="M990" t="str">
        <f>quantInv[[#This Row],[ASIN]] &amp; " " &amp; quantInv[[#This Row],[Short Description]]</f>
        <v xml:space="preserve"> 9kt gold studs with 4-claws 3mm CZ. Screwback</v>
      </c>
      <c r="N990" s="33">
        <f>quantInv[[#This Row],[UNIT
VALUE]] / EURtoGBP</f>
        <v>8.0025880710357392E-2</v>
      </c>
      <c r="O990" s="33">
        <f>quantInv[[#This Row],[UNIT
VALUE]]/USDtoGBP</f>
        <v>9.6643787449467625E-2</v>
      </c>
      <c r="P990" s="33">
        <f>quantInv[[#This Row],[UNIT
VALUE]] / CADtoGBP</f>
        <v>0.1237096035502024</v>
      </c>
      <c r="Q990" s="33">
        <f>quantInv[[#This Row],[UNIT
VALUE]]/AUDtoGBP</f>
        <v>0.12662547596810114</v>
      </c>
      <c r="R990">
        <f>IFERROR(VLOOKUP(quantInv[[#This Row],[Assigned Item SKU]],skuQuantity[#All],2,FALSE),0)</f>
        <v>0</v>
      </c>
      <c r="S990" t="str">
        <f>PROPER(quantInv[[#This Row],[Metal]] &amp; " " &amp; quantInv[[#This Row],[Item Type]])</f>
        <v xml:space="preserve">9K Gold </v>
      </c>
      <c r="T990" s="33">
        <f>quantInv[[#This Row],[Quantity]]*quantInv[[#This Row],[WEIGHT]]</f>
        <v>0</v>
      </c>
      <c r="U990" s="33">
        <f>quantInv[[#This Row],[UNIT
VALUE]]*quantInv[[#This Row],[Quantity]]</f>
        <v>0</v>
      </c>
      <c r="V990" s="33">
        <f>quantInv[[#This Row],[Total Cost GBP]]/EURtoGBP</f>
        <v>0</v>
      </c>
      <c r="W990" s="33">
        <f>quantInv[[#This Row],[Total Cost GBP]]/USDtoGBP</f>
        <v>0</v>
      </c>
      <c r="X990" s="33">
        <f>quantInv[[#This Row],[Total Cost GBP]]/CADtoGBP</f>
        <v>0</v>
      </c>
      <c r="Y990" s="33">
        <f>quantInv[[#This Row],[Quantity]]*quantInv[[#This Row],[UNIT
VALUE AUD]]</f>
        <v>0</v>
      </c>
      <c r="Z990" s="33"/>
    </row>
    <row r="991" spans="1:26" x14ac:dyDescent="0.25">
      <c r="A991" t="s">
        <v>2443</v>
      </c>
      <c r="C991" t="s">
        <v>149</v>
      </c>
      <c r="D991" t="s">
        <v>2444</v>
      </c>
      <c r="E991">
        <v>0</v>
      </c>
      <c r="F991" s="33">
        <v>7.0499999999999993E-2</v>
      </c>
      <c r="G991" s="33" t="s">
        <v>3304</v>
      </c>
      <c r="H991" t="s">
        <v>2875</v>
      </c>
      <c r="I991" t="str">
        <f>IF(quantInv[[#This Row],[Metal]] = "925 Silver",  "7113.11.00"," 7113.19.00")</f>
        <v xml:space="preserve"> 7113.19.00</v>
      </c>
      <c r="J991" t="str">
        <f>IF(quantInv[[#This Row],[Metal]] = "925 Silver", "7113.11.10.00"," 7113.19.10.00")</f>
        <v xml:space="preserve"> 7113.19.10.00</v>
      </c>
      <c r="K991" t="str">
        <f>IF(quantInv[[#This Row],[Metal]] = "925 Silver",  "7113.11.00"," 7113.19.00")</f>
        <v xml:space="preserve"> 7113.19.00</v>
      </c>
      <c r="L991" t="str">
        <f>IFERROR(VLOOKUP(quantInv[[#This Row],[Description for New Invoice]],Map!$G$12:$H$32,2,FALSE), IF(quantInv[[#This Row],[Metal]] = "925 Silver", "7113.11.10.00", "7113.19.29.00"))</f>
        <v>7113.19.29.00</v>
      </c>
      <c r="M991" t="str">
        <f>quantInv[[#This Row],[ASIN]] &amp; " " &amp; quantInv[[#This Row],[Short Description]]</f>
        <v xml:space="preserve"> 9kt gold studs with 4-claws 3.75mm CZ. Normal butterfly</v>
      </c>
      <c r="N991" s="33">
        <f>quantInv[[#This Row],[UNIT
VALUE]] / EURtoGBP</f>
        <v>8.0025880710357392E-2</v>
      </c>
      <c r="O991" s="33">
        <f>quantInv[[#This Row],[UNIT
VALUE]]/USDtoGBP</f>
        <v>9.6643787449467625E-2</v>
      </c>
      <c r="P991" s="33">
        <f>quantInv[[#This Row],[UNIT
VALUE]] / CADtoGBP</f>
        <v>0.1237096035502024</v>
      </c>
      <c r="Q991" s="33">
        <f>quantInv[[#This Row],[UNIT
VALUE]]/AUDtoGBP</f>
        <v>0.12662547596810114</v>
      </c>
      <c r="R991">
        <f>IFERROR(VLOOKUP(quantInv[[#This Row],[Assigned Item SKU]],skuQuantity[#All],2,FALSE),0)</f>
        <v>0</v>
      </c>
      <c r="S991" t="str">
        <f>PROPER(quantInv[[#This Row],[Metal]] &amp; " " &amp; quantInv[[#This Row],[Item Type]])</f>
        <v xml:space="preserve">9K Gold </v>
      </c>
      <c r="T991" s="33">
        <f>quantInv[[#This Row],[Quantity]]*quantInv[[#This Row],[WEIGHT]]</f>
        <v>0</v>
      </c>
      <c r="U991" s="33">
        <f>quantInv[[#This Row],[UNIT
VALUE]]*quantInv[[#This Row],[Quantity]]</f>
        <v>0</v>
      </c>
      <c r="V991" s="33">
        <f>quantInv[[#This Row],[Total Cost GBP]]/EURtoGBP</f>
        <v>0</v>
      </c>
      <c r="W991" s="33">
        <f>quantInv[[#This Row],[Total Cost GBP]]/USDtoGBP</f>
        <v>0</v>
      </c>
      <c r="X991" s="33">
        <f>quantInv[[#This Row],[Total Cost GBP]]/CADtoGBP</f>
        <v>0</v>
      </c>
      <c r="Y991" s="33">
        <f>quantInv[[#This Row],[Quantity]]*quantInv[[#This Row],[UNIT
VALUE AUD]]</f>
        <v>0</v>
      </c>
      <c r="Z991" s="33"/>
    </row>
    <row r="992" spans="1:26" x14ac:dyDescent="0.25">
      <c r="A992" t="s">
        <v>2445</v>
      </c>
      <c r="C992" t="s">
        <v>149</v>
      </c>
      <c r="D992" t="s">
        <v>2446</v>
      </c>
      <c r="E992">
        <v>0</v>
      </c>
      <c r="F992" s="33">
        <v>7.0499999999999993E-2</v>
      </c>
      <c r="G992" s="33" t="s">
        <v>3304</v>
      </c>
      <c r="H992" t="s">
        <v>2875</v>
      </c>
      <c r="I992" t="str">
        <f>IF(quantInv[[#This Row],[Metal]] = "925 Silver",  "7113.11.00"," 7113.19.00")</f>
        <v xml:space="preserve"> 7113.19.00</v>
      </c>
      <c r="J992" t="str">
        <f>IF(quantInv[[#This Row],[Metal]] = "925 Silver", "7113.11.10.00"," 7113.19.10.00")</f>
        <v xml:space="preserve"> 7113.19.10.00</v>
      </c>
      <c r="K992" t="str">
        <f>IF(quantInv[[#This Row],[Metal]] = "925 Silver",  "7113.11.00"," 7113.19.00")</f>
        <v xml:space="preserve"> 7113.19.00</v>
      </c>
      <c r="L992" t="str">
        <f>IFERROR(VLOOKUP(quantInv[[#This Row],[Description for New Invoice]],Map!$G$12:$H$32,2,FALSE), IF(quantInv[[#This Row],[Metal]] = "925 Silver", "7113.11.10.00", "7113.19.29.00"))</f>
        <v>7113.19.29.00</v>
      </c>
      <c r="M992" t="str">
        <f>quantInv[[#This Row],[ASIN]] &amp; " " &amp; quantInv[[#This Row],[Short Description]]</f>
        <v xml:space="preserve"> 9kt gold studs with 4-claws 5mm CZ. Normal butterfly</v>
      </c>
      <c r="N992" s="33">
        <f>quantInv[[#This Row],[UNIT
VALUE]] / EURtoGBP</f>
        <v>8.0025880710357392E-2</v>
      </c>
      <c r="O992" s="33">
        <f>quantInv[[#This Row],[UNIT
VALUE]]/USDtoGBP</f>
        <v>9.6643787449467625E-2</v>
      </c>
      <c r="P992" s="33">
        <f>quantInv[[#This Row],[UNIT
VALUE]] / CADtoGBP</f>
        <v>0.1237096035502024</v>
      </c>
      <c r="Q992" s="33">
        <f>quantInv[[#This Row],[UNIT
VALUE]]/AUDtoGBP</f>
        <v>0.12662547596810114</v>
      </c>
      <c r="R992">
        <f>IFERROR(VLOOKUP(quantInv[[#This Row],[Assigned Item SKU]],skuQuantity[#All],2,FALSE),0)</f>
        <v>0</v>
      </c>
      <c r="S992" t="str">
        <f>PROPER(quantInv[[#This Row],[Metal]] &amp; " " &amp; quantInv[[#This Row],[Item Type]])</f>
        <v xml:space="preserve">9K Gold </v>
      </c>
      <c r="T992" s="33">
        <f>quantInv[[#This Row],[Quantity]]*quantInv[[#This Row],[WEIGHT]]</f>
        <v>0</v>
      </c>
      <c r="U992" s="33">
        <f>quantInv[[#This Row],[UNIT
VALUE]]*quantInv[[#This Row],[Quantity]]</f>
        <v>0</v>
      </c>
      <c r="V992" s="33">
        <f>quantInv[[#This Row],[Total Cost GBP]]/EURtoGBP</f>
        <v>0</v>
      </c>
      <c r="W992" s="33">
        <f>quantInv[[#This Row],[Total Cost GBP]]/USDtoGBP</f>
        <v>0</v>
      </c>
      <c r="X992" s="33">
        <f>quantInv[[#This Row],[Total Cost GBP]]/CADtoGBP</f>
        <v>0</v>
      </c>
      <c r="Y992" s="33">
        <f>quantInv[[#This Row],[Quantity]]*quantInv[[#This Row],[UNIT
VALUE AUD]]</f>
        <v>0</v>
      </c>
      <c r="Z992" s="33"/>
    </row>
    <row r="993" spans="1:26" x14ac:dyDescent="0.25">
      <c r="A993" t="s">
        <v>2447</v>
      </c>
      <c r="C993" t="s">
        <v>149</v>
      </c>
      <c r="D993" t="s">
        <v>2448</v>
      </c>
      <c r="E993">
        <v>0</v>
      </c>
      <c r="F993" s="33">
        <v>7.0499999999999993E-2</v>
      </c>
      <c r="G993" s="33" t="s">
        <v>3304</v>
      </c>
      <c r="H993" t="s">
        <v>2875</v>
      </c>
      <c r="I993" t="str">
        <f>IF(quantInv[[#This Row],[Metal]] = "925 Silver",  "7113.11.00"," 7113.19.00")</f>
        <v xml:space="preserve"> 7113.19.00</v>
      </c>
      <c r="J993" t="str">
        <f>IF(quantInv[[#This Row],[Metal]] = "925 Silver", "7113.11.10.00"," 7113.19.10.00")</f>
        <v xml:space="preserve"> 7113.19.10.00</v>
      </c>
      <c r="K993" t="str">
        <f>IF(quantInv[[#This Row],[Metal]] = "925 Silver",  "7113.11.00"," 7113.19.00")</f>
        <v xml:space="preserve"> 7113.19.00</v>
      </c>
      <c r="L993" t="str">
        <f>IFERROR(VLOOKUP(quantInv[[#This Row],[Description for New Invoice]],Map!$G$12:$H$32,2,FALSE), IF(quantInv[[#This Row],[Metal]] = "925 Silver", "7113.11.10.00", "7113.19.29.00"))</f>
        <v>7113.19.29.00</v>
      </c>
      <c r="M993" t="str">
        <f>quantInv[[#This Row],[ASIN]] &amp; " " &amp; quantInv[[#This Row],[Short Description]]</f>
        <v xml:space="preserve"> 9kt gold studs with 4-claws 6mm CZ. Normal butterfly</v>
      </c>
      <c r="N993" s="33">
        <f>quantInv[[#This Row],[UNIT
VALUE]] / EURtoGBP</f>
        <v>8.0025880710357392E-2</v>
      </c>
      <c r="O993" s="33">
        <f>quantInv[[#This Row],[UNIT
VALUE]]/USDtoGBP</f>
        <v>9.6643787449467625E-2</v>
      </c>
      <c r="P993" s="33">
        <f>quantInv[[#This Row],[UNIT
VALUE]] / CADtoGBP</f>
        <v>0.1237096035502024</v>
      </c>
      <c r="Q993" s="33">
        <f>quantInv[[#This Row],[UNIT
VALUE]]/AUDtoGBP</f>
        <v>0.12662547596810114</v>
      </c>
      <c r="R993">
        <f>IFERROR(VLOOKUP(quantInv[[#This Row],[Assigned Item SKU]],skuQuantity[#All],2,FALSE),0)</f>
        <v>0</v>
      </c>
      <c r="S993" t="str">
        <f>PROPER(quantInv[[#This Row],[Metal]] &amp; " " &amp; quantInv[[#This Row],[Item Type]])</f>
        <v xml:space="preserve">9K Gold </v>
      </c>
      <c r="T993" s="33">
        <f>quantInv[[#This Row],[Quantity]]*quantInv[[#This Row],[WEIGHT]]</f>
        <v>0</v>
      </c>
      <c r="U993" s="33">
        <f>quantInv[[#This Row],[UNIT
VALUE]]*quantInv[[#This Row],[Quantity]]</f>
        <v>0</v>
      </c>
      <c r="V993" s="33">
        <f>quantInv[[#This Row],[Total Cost GBP]]/EURtoGBP</f>
        <v>0</v>
      </c>
      <c r="W993" s="33">
        <f>quantInv[[#This Row],[Total Cost GBP]]/USDtoGBP</f>
        <v>0</v>
      </c>
      <c r="X993" s="33">
        <f>quantInv[[#This Row],[Total Cost GBP]]/CADtoGBP</f>
        <v>0</v>
      </c>
      <c r="Y993" s="33">
        <f>quantInv[[#This Row],[Quantity]]*quantInv[[#This Row],[UNIT
VALUE AUD]]</f>
        <v>0</v>
      </c>
      <c r="Z993" s="33"/>
    </row>
    <row r="994" spans="1:26" x14ac:dyDescent="0.25">
      <c r="A994" t="s">
        <v>2449</v>
      </c>
      <c r="C994" t="s">
        <v>149</v>
      </c>
      <c r="D994" t="s">
        <v>2450</v>
      </c>
      <c r="E994">
        <v>0</v>
      </c>
      <c r="F994" s="33">
        <v>7.0499999999999993E-2</v>
      </c>
      <c r="G994" s="33" t="s">
        <v>3304</v>
      </c>
      <c r="H994" t="s">
        <v>2875</v>
      </c>
      <c r="I994" t="str">
        <f>IF(quantInv[[#This Row],[Metal]] = "925 Silver",  "7113.11.00"," 7113.19.00")</f>
        <v xml:space="preserve"> 7113.19.00</v>
      </c>
      <c r="J994" t="str">
        <f>IF(quantInv[[#This Row],[Metal]] = "925 Silver", "7113.11.10.00"," 7113.19.10.00")</f>
        <v xml:space="preserve"> 7113.19.10.00</v>
      </c>
      <c r="K994" t="str">
        <f>IF(quantInv[[#This Row],[Metal]] = "925 Silver",  "7113.11.00"," 7113.19.00")</f>
        <v xml:space="preserve"> 7113.19.00</v>
      </c>
      <c r="L994" t="str">
        <f>IFERROR(VLOOKUP(quantInv[[#This Row],[Description for New Invoice]],Map!$G$12:$H$32,2,FALSE), IF(quantInv[[#This Row],[Metal]] = "925 Silver", "7113.11.10.00", "7113.19.29.00"))</f>
        <v>7113.19.29.00</v>
      </c>
      <c r="M994" t="str">
        <f>quantInv[[#This Row],[ASIN]] &amp; " " &amp; quantInv[[#This Row],[Short Description]]</f>
        <v xml:space="preserve"> 9kt gold stud with freshwater pearl (3-3.5mm). Screwback</v>
      </c>
      <c r="N994" s="33">
        <f>quantInv[[#This Row],[UNIT
VALUE]] / EURtoGBP</f>
        <v>8.0025880710357392E-2</v>
      </c>
      <c r="O994" s="33">
        <f>quantInv[[#This Row],[UNIT
VALUE]]/USDtoGBP</f>
        <v>9.6643787449467625E-2</v>
      </c>
      <c r="P994" s="33">
        <f>quantInv[[#This Row],[UNIT
VALUE]] / CADtoGBP</f>
        <v>0.1237096035502024</v>
      </c>
      <c r="Q994" s="33">
        <f>quantInv[[#This Row],[UNIT
VALUE]]/AUDtoGBP</f>
        <v>0.12662547596810114</v>
      </c>
      <c r="R994">
        <f>IFERROR(VLOOKUP(quantInv[[#This Row],[Assigned Item SKU]],skuQuantity[#All],2,FALSE),0)</f>
        <v>0</v>
      </c>
      <c r="S994" t="str">
        <f>PROPER(quantInv[[#This Row],[Metal]] &amp; " " &amp; quantInv[[#This Row],[Item Type]])</f>
        <v xml:space="preserve">9K Gold </v>
      </c>
      <c r="T994" s="33">
        <f>quantInv[[#This Row],[Quantity]]*quantInv[[#This Row],[WEIGHT]]</f>
        <v>0</v>
      </c>
      <c r="U994" s="33">
        <f>quantInv[[#This Row],[UNIT
VALUE]]*quantInv[[#This Row],[Quantity]]</f>
        <v>0</v>
      </c>
      <c r="V994" s="33">
        <f>quantInv[[#This Row],[Total Cost GBP]]/EURtoGBP</f>
        <v>0</v>
      </c>
      <c r="W994" s="33">
        <f>quantInv[[#This Row],[Total Cost GBP]]/USDtoGBP</f>
        <v>0</v>
      </c>
      <c r="X994" s="33">
        <f>quantInv[[#This Row],[Total Cost GBP]]/CADtoGBP</f>
        <v>0</v>
      </c>
      <c r="Y994" s="33">
        <f>quantInv[[#This Row],[Quantity]]*quantInv[[#This Row],[UNIT
VALUE AUD]]</f>
        <v>0</v>
      </c>
      <c r="Z994" s="33"/>
    </row>
    <row r="995" spans="1:26" x14ac:dyDescent="0.25">
      <c r="A995" t="s">
        <v>2451</v>
      </c>
      <c r="C995" t="s">
        <v>149</v>
      </c>
      <c r="D995" t="s">
        <v>2452</v>
      </c>
      <c r="E995">
        <v>0</v>
      </c>
      <c r="F995" s="33">
        <v>7.0499999999999993E-2</v>
      </c>
      <c r="G995" s="33" t="s">
        <v>3304</v>
      </c>
      <c r="H995" t="s">
        <v>2875</v>
      </c>
      <c r="I995" t="str">
        <f>IF(quantInv[[#This Row],[Metal]] = "925 Silver",  "7113.11.00"," 7113.19.00")</f>
        <v xml:space="preserve"> 7113.19.00</v>
      </c>
      <c r="J995" t="str">
        <f>IF(quantInv[[#This Row],[Metal]] = "925 Silver", "7113.11.10.00"," 7113.19.10.00")</f>
        <v xml:space="preserve"> 7113.19.10.00</v>
      </c>
      <c r="K995" t="str">
        <f>IF(quantInv[[#This Row],[Metal]] = "925 Silver",  "7113.11.00"," 7113.19.00")</f>
        <v xml:space="preserve"> 7113.19.00</v>
      </c>
      <c r="L995" t="str">
        <f>IFERROR(VLOOKUP(quantInv[[#This Row],[Description for New Invoice]],Map!$G$12:$H$32,2,FALSE), IF(quantInv[[#This Row],[Metal]] = "925 Silver", "7113.11.10.00", "7113.19.29.00"))</f>
        <v>7113.19.29.00</v>
      </c>
      <c r="M995" t="str">
        <f>quantInv[[#This Row],[ASIN]] &amp; " " &amp; quantInv[[#This Row],[Short Description]]</f>
        <v xml:space="preserve"> 9kt gold stud with freshwater pearl (6-6.5mm)</v>
      </c>
      <c r="N995" s="33">
        <f>quantInv[[#This Row],[UNIT
VALUE]] / EURtoGBP</f>
        <v>8.0025880710357392E-2</v>
      </c>
      <c r="O995" s="33">
        <f>quantInv[[#This Row],[UNIT
VALUE]]/USDtoGBP</f>
        <v>9.6643787449467625E-2</v>
      </c>
      <c r="P995" s="33">
        <f>quantInv[[#This Row],[UNIT
VALUE]] / CADtoGBP</f>
        <v>0.1237096035502024</v>
      </c>
      <c r="Q995" s="33">
        <f>quantInv[[#This Row],[UNIT
VALUE]]/AUDtoGBP</f>
        <v>0.12662547596810114</v>
      </c>
      <c r="R995">
        <f>IFERROR(VLOOKUP(quantInv[[#This Row],[Assigned Item SKU]],skuQuantity[#All],2,FALSE),0)</f>
        <v>0</v>
      </c>
      <c r="S995" t="str">
        <f>PROPER(quantInv[[#This Row],[Metal]] &amp; " " &amp; quantInv[[#This Row],[Item Type]])</f>
        <v xml:space="preserve">9K Gold </v>
      </c>
      <c r="T995" s="33">
        <f>quantInv[[#This Row],[Quantity]]*quantInv[[#This Row],[WEIGHT]]</f>
        <v>0</v>
      </c>
      <c r="U995" s="33">
        <f>quantInv[[#This Row],[UNIT
VALUE]]*quantInv[[#This Row],[Quantity]]</f>
        <v>0</v>
      </c>
      <c r="V995" s="33">
        <f>quantInv[[#This Row],[Total Cost GBP]]/EURtoGBP</f>
        <v>0</v>
      </c>
      <c r="W995" s="33">
        <f>quantInv[[#This Row],[Total Cost GBP]]/USDtoGBP</f>
        <v>0</v>
      </c>
      <c r="X995" s="33">
        <f>quantInv[[#This Row],[Total Cost GBP]]/CADtoGBP</f>
        <v>0</v>
      </c>
      <c r="Y995" s="33">
        <f>quantInv[[#This Row],[Quantity]]*quantInv[[#This Row],[UNIT
VALUE AUD]]</f>
        <v>0</v>
      </c>
      <c r="Z995" s="33"/>
    </row>
    <row r="996" spans="1:26" x14ac:dyDescent="0.25">
      <c r="A996" t="s">
        <v>2453</v>
      </c>
      <c r="C996" t="s">
        <v>149</v>
      </c>
      <c r="D996" t="s">
        <v>2454</v>
      </c>
      <c r="E996">
        <v>0</v>
      </c>
      <c r="F996" s="33">
        <v>7.0499999999999993E-2</v>
      </c>
      <c r="G996" s="33" t="s">
        <v>3304</v>
      </c>
      <c r="H996" t="s">
        <v>2875</v>
      </c>
      <c r="I996" t="str">
        <f>IF(quantInv[[#This Row],[Metal]] = "925 Silver",  "7113.11.00"," 7113.19.00")</f>
        <v xml:space="preserve"> 7113.19.00</v>
      </c>
      <c r="J996" t="str">
        <f>IF(quantInv[[#This Row],[Metal]] = "925 Silver", "7113.11.10.00"," 7113.19.10.00")</f>
        <v xml:space="preserve"> 7113.19.10.00</v>
      </c>
      <c r="K996" t="str">
        <f>IF(quantInv[[#This Row],[Metal]] = "925 Silver",  "7113.11.00"," 7113.19.00")</f>
        <v xml:space="preserve"> 7113.19.00</v>
      </c>
      <c r="L996" t="str">
        <f>IFERROR(VLOOKUP(quantInv[[#This Row],[Description for New Invoice]],Map!$G$12:$H$32,2,FALSE), IF(quantInv[[#This Row],[Metal]] = "925 Silver", "7113.11.10.00", "7113.19.29.00"))</f>
        <v>7113.19.29.00</v>
      </c>
      <c r="M996" t="str">
        <f>quantInv[[#This Row],[ASIN]] &amp; " " &amp; quantInv[[#This Row],[Short Description]]</f>
        <v xml:space="preserve"> 9kt gold stud with freshwater pearl (7-7.5mm)</v>
      </c>
      <c r="N996" s="33">
        <f>quantInv[[#This Row],[UNIT
VALUE]] / EURtoGBP</f>
        <v>8.0025880710357392E-2</v>
      </c>
      <c r="O996" s="33">
        <f>quantInv[[#This Row],[UNIT
VALUE]]/USDtoGBP</f>
        <v>9.6643787449467625E-2</v>
      </c>
      <c r="P996" s="33">
        <f>quantInv[[#This Row],[UNIT
VALUE]] / CADtoGBP</f>
        <v>0.1237096035502024</v>
      </c>
      <c r="Q996" s="33">
        <f>quantInv[[#This Row],[UNIT
VALUE]]/AUDtoGBP</f>
        <v>0.12662547596810114</v>
      </c>
      <c r="R996">
        <f>IFERROR(VLOOKUP(quantInv[[#This Row],[Assigned Item SKU]],skuQuantity[#All],2,FALSE),0)</f>
        <v>0</v>
      </c>
      <c r="S996" t="str">
        <f>PROPER(quantInv[[#This Row],[Metal]] &amp; " " &amp; quantInv[[#This Row],[Item Type]])</f>
        <v xml:space="preserve">9K Gold </v>
      </c>
      <c r="T996" s="33">
        <f>quantInv[[#This Row],[Quantity]]*quantInv[[#This Row],[WEIGHT]]</f>
        <v>0</v>
      </c>
      <c r="U996" s="33">
        <f>quantInv[[#This Row],[UNIT
VALUE]]*quantInv[[#This Row],[Quantity]]</f>
        <v>0</v>
      </c>
      <c r="V996" s="33">
        <f>quantInv[[#This Row],[Total Cost GBP]]/EURtoGBP</f>
        <v>0</v>
      </c>
      <c r="W996" s="33">
        <f>quantInv[[#This Row],[Total Cost GBP]]/USDtoGBP</f>
        <v>0</v>
      </c>
      <c r="X996" s="33">
        <f>quantInv[[#This Row],[Total Cost GBP]]/CADtoGBP</f>
        <v>0</v>
      </c>
      <c r="Y996" s="33">
        <f>quantInv[[#This Row],[Quantity]]*quantInv[[#This Row],[UNIT
VALUE AUD]]</f>
        <v>0</v>
      </c>
      <c r="Z996" s="33"/>
    </row>
    <row r="997" spans="1:26" x14ac:dyDescent="0.25">
      <c r="A997" t="s">
        <v>2455</v>
      </c>
      <c r="C997" t="s">
        <v>149</v>
      </c>
      <c r="D997" t="s">
        <v>2456</v>
      </c>
      <c r="E997">
        <v>0</v>
      </c>
      <c r="F997" s="33">
        <v>7.0499999999999993E-2</v>
      </c>
      <c r="G997" s="33" t="s">
        <v>3304</v>
      </c>
      <c r="H997" t="s">
        <v>2875</v>
      </c>
      <c r="I997" t="str">
        <f>IF(quantInv[[#This Row],[Metal]] = "925 Silver",  "7113.11.00"," 7113.19.00")</f>
        <v xml:space="preserve"> 7113.19.00</v>
      </c>
      <c r="J997" t="str">
        <f>IF(quantInv[[#This Row],[Metal]] = "925 Silver", "7113.11.10.00"," 7113.19.10.00")</f>
        <v xml:space="preserve"> 7113.19.10.00</v>
      </c>
      <c r="K997" t="str">
        <f>IF(quantInv[[#This Row],[Metal]] = "925 Silver",  "7113.11.00"," 7113.19.00")</f>
        <v xml:space="preserve"> 7113.19.00</v>
      </c>
      <c r="L997" t="str">
        <f>IFERROR(VLOOKUP(quantInv[[#This Row],[Description for New Invoice]],Map!$G$12:$H$32,2,FALSE), IF(quantInv[[#This Row],[Metal]] = "925 Silver", "7113.11.10.00", "7113.19.29.00"))</f>
        <v>7113.19.29.00</v>
      </c>
      <c r="M997" t="str">
        <f>quantInv[[#This Row],[ASIN]] &amp; " " &amp; quantInv[[#This Row],[Short Description]]</f>
        <v xml:space="preserve"> 9kt gold 3mm ball stud with screwback</v>
      </c>
      <c r="N997" s="33">
        <f>quantInv[[#This Row],[UNIT
VALUE]] / EURtoGBP</f>
        <v>8.0025880710357392E-2</v>
      </c>
      <c r="O997" s="33">
        <f>quantInv[[#This Row],[UNIT
VALUE]]/USDtoGBP</f>
        <v>9.6643787449467625E-2</v>
      </c>
      <c r="P997" s="33">
        <f>quantInv[[#This Row],[UNIT
VALUE]] / CADtoGBP</f>
        <v>0.1237096035502024</v>
      </c>
      <c r="Q997" s="33">
        <f>quantInv[[#This Row],[UNIT
VALUE]]/AUDtoGBP</f>
        <v>0.12662547596810114</v>
      </c>
      <c r="R997">
        <f>IFERROR(VLOOKUP(quantInv[[#This Row],[Assigned Item SKU]],skuQuantity[#All],2,FALSE),0)</f>
        <v>0</v>
      </c>
      <c r="S997" t="str">
        <f>PROPER(quantInv[[#This Row],[Metal]] &amp; " " &amp; quantInv[[#This Row],[Item Type]])</f>
        <v xml:space="preserve">9K Gold </v>
      </c>
      <c r="T997" s="33">
        <f>quantInv[[#This Row],[Quantity]]*quantInv[[#This Row],[WEIGHT]]</f>
        <v>0</v>
      </c>
      <c r="U997" s="33">
        <f>quantInv[[#This Row],[UNIT
VALUE]]*quantInv[[#This Row],[Quantity]]</f>
        <v>0</v>
      </c>
      <c r="V997" s="33">
        <f>quantInv[[#This Row],[Total Cost GBP]]/EURtoGBP</f>
        <v>0</v>
      </c>
      <c r="W997" s="33">
        <f>quantInv[[#This Row],[Total Cost GBP]]/USDtoGBP</f>
        <v>0</v>
      </c>
      <c r="X997" s="33">
        <f>quantInv[[#This Row],[Total Cost GBP]]/CADtoGBP</f>
        <v>0</v>
      </c>
      <c r="Y997" s="33">
        <f>quantInv[[#This Row],[Quantity]]*quantInv[[#This Row],[UNIT
VALUE AUD]]</f>
        <v>0</v>
      </c>
      <c r="Z997" s="33"/>
    </row>
    <row r="998" spans="1:26" x14ac:dyDescent="0.25">
      <c r="A998" t="s">
        <v>2457</v>
      </c>
      <c r="C998" t="s">
        <v>149</v>
      </c>
      <c r="D998" t="s">
        <v>2458</v>
      </c>
      <c r="E998">
        <v>0</v>
      </c>
      <c r="F998" s="33">
        <v>7.0499999999999993E-2</v>
      </c>
      <c r="G998" s="33" t="s">
        <v>3304</v>
      </c>
      <c r="H998" t="s">
        <v>2875</v>
      </c>
      <c r="I998" t="str">
        <f>IF(quantInv[[#This Row],[Metal]] = "925 Silver",  "7113.11.00"," 7113.19.00")</f>
        <v xml:space="preserve"> 7113.19.00</v>
      </c>
      <c r="J998" t="str">
        <f>IF(quantInv[[#This Row],[Metal]] = "925 Silver", "7113.11.10.00"," 7113.19.10.00")</f>
        <v xml:space="preserve"> 7113.19.10.00</v>
      </c>
      <c r="K998" t="str">
        <f>IF(quantInv[[#This Row],[Metal]] = "925 Silver",  "7113.11.00"," 7113.19.00")</f>
        <v xml:space="preserve"> 7113.19.00</v>
      </c>
      <c r="L998" t="str">
        <f>IFERROR(VLOOKUP(quantInv[[#This Row],[Description for New Invoice]],Map!$G$12:$H$32,2,FALSE), IF(quantInv[[#This Row],[Metal]] = "925 Silver", "7113.11.10.00", "7113.19.29.00"))</f>
        <v>7113.19.29.00</v>
      </c>
      <c r="M998" t="str">
        <f>quantInv[[#This Row],[ASIN]] &amp; " " &amp; quantInv[[#This Row],[Short Description]]</f>
        <v xml:space="preserve"> 9kt gold 4mm ball stud with normal butterfly</v>
      </c>
      <c r="N998" s="33">
        <f>quantInv[[#This Row],[UNIT
VALUE]] / EURtoGBP</f>
        <v>8.0025880710357392E-2</v>
      </c>
      <c r="O998" s="33">
        <f>quantInv[[#This Row],[UNIT
VALUE]]/USDtoGBP</f>
        <v>9.6643787449467625E-2</v>
      </c>
      <c r="P998" s="33">
        <f>quantInv[[#This Row],[UNIT
VALUE]] / CADtoGBP</f>
        <v>0.1237096035502024</v>
      </c>
      <c r="Q998" s="33">
        <f>quantInv[[#This Row],[UNIT
VALUE]]/AUDtoGBP</f>
        <v>0.12662547596810114</v>
      </c>
      <c r="R998">
        <f>IFERROR(VLOOKUP(quantInv[[#This Row],[Assigned Item SKU]],skuQuantity[#All],2,FALSE),0)</f>
        <v>0</v>
      </c>
      <c r="S998" t="str">
        <f>PROPER(quantInv[[#This Row],[Metal]] &amp; " " &amp; quantInv[[#This Row],[Item Type]])</f>
        <v xml:space="preserve">9K Gold </v>
      </c>
      <c r="T998" s="33">
        <f>quantInv[[#This Row],[Quantity]]*quantInv[[#This Row],[WEIGHT]]</f>
        <v>0</v>
      </c>
      <c r="U998" s="33">
        <f>quantInv[[#This Row],[UNIT
VALUE]]*quantInv[[#This Row],[Quantity]]</f>
        <v>0</v>
      </c>
      <c r="V998" s="33">
        <f>quantInv[[#This Row],[Total Cost GBP]]/EURtoGBP</f>
        <v>0</v>
      </c>
      <c r="W998" s="33">
        <f>quantInv[[#This Row],[Total Cost GBP]]/USDtoGBP</f>
        <v>0</v>
      </c>
      <c r="X998" s="33">
        <f>quantInv[[#This Row],[Total Cost GBP]]/CADtoGBP</f>
        <v>0</v>
      </c>
      <c r="Y998" s="33">
        <f>quantInv[[#This Row],[Quantity]]*quantInv[[#This Row],[UNIT
VALUE AUD]]</f>
        <v>0</v>
      </c>
      <c r="Z998" s="33"/>
    </row>
    <row r="999" spans="1:26" x14ac:dyDescent="0.25">
      <c r="A999" t="s">
        <v>2459</v>
      </c>
      <c r="C999" t="s">
        <v>149</v>
      </c>
      <c r="D999" t="s">
        <v>2460</v>
      </c>
      <c r="E999">
        <v>0</v>
      </c>
      <c r="F999" s="33">
        <v>7.0499999999999993E-2</v>
      </c>
      <c r="G999" s="33" t="s">
        <v>3304</v>
      </c>
      <c r="H999" t="s">
        <v>2875</v>
      </c>
      <c r="I999" t="str">
        <f>IF(quantInv[[#This Row],[Metal]] = "925 Silver",  "7113.11.00"," 7113.19.00")</f>
        <v xml:space="preserve"> 7113.19.00</v>
      </c>
      <c r="J999" t="str">
        <f>IF(quantInv[[#This Row],[Metal]] = "925 Silver", "7113.11.10.00"," 7113.19.10.00")</f>
        <v xml:space="preserve"> 7113.19.10.00</v>
      </c>
      <c r="K999" t="str">
        <f>IF(quantInv[[#This Row],[Metal]] = "925 Silver",  "7113.11.00"," 7113.19.00")</f>
        <v xml:space="preserve"> 7113.19.00</v>
      </c>
      <c r="L999" t="str">
        <f>IFERROR(VLOOKUP(quantInv[[#This Row],[Description for New Invoice]],Map!$G$12:$H$32,2,FALSE), IF(quantInv[[#This Row],[Metal]] = "925 Silver", "7113.11.10.00", "7113.19.29.00"))</f>
        <v>7113.19.29.00</v>
      </c>
      <c r="M999" t="str">
        <f>quantInv[[#This Row],[ASIN]] &amp; " " &amp; quantInv[[#This Row],[Short Description]]</f>
        <v xml:space="preserve"> 9kt gold 5mm ball stud with normal butterfly</v>
      </c>
      <c r="N999" s="33">
        <f>quantInv[[#This Row],[UNIT
VALUE]] / EURtoGBP</f>
        <v>8.0025880710357392E-2</v>
      </c>
      <c r="O999" s="33">
        <f>quantInv[[#This Row],[UNIT
VALUE]]/USDtoGBP</f>
        <v>9.6643787449467625E-2</v>
      </c>
      <c r="P999" s="33">
        <f>quantInv[[#This Row],[UNIT
VALUE]] / CADtoGBP</f>
        <v>0.1237096035502024</v>
      </c>
      <c r="Q999" s="33">
        <f>quantInv[[#This Row],[UNIT
VALUE]]/AUDtoGBP</f>
        <v>0.12662547596810114</v>
      </c>
      <c r="R999">
        <f>IFERROR(VLOOKUP(quantInv[[#This Row],[Assigned Item SKU]],skuQuantity[#All],2,FALSE),0)</f>
        <v>0</v>
      </c>
      <c r="S999" t="str">
        <f>PROPER(quantInv[[#This Row],[Metal]] &amp; " " &amp; quantInv[[#This Row],[Item Type]])</f>
        <v xml:space="preserve">9K Gold </v>
      </c>
      <c r="T999" s="33">
        <f>quantInv[[#This Row],[Quantity]]*quantInv[[#This Row],[WEIGHT]]</f>
        <v>0</v>
      </c>
      <c r="U999" s="33">
        <f>quantInv[[#This Row],[UNIT
VALUE]]*quantInv[[#This Row],[Quantity]]</f>
        <v>0</v>
      </c>
      <c r="V999" s="33">
        <f>quantInv[[#This Row],[Total Cost GBP]]/EURtoGBP</f>
        <v>0</v>
      </c>
      <c r="W999" s="33">
        <f>quantInv[[#This Row],[Total Cost GBP]]/USDtoGBP</f>
        <v>0</v>
      </c>
      <c r="X999" s="33">
        <f>quantInv[[#This Row],[Total Cost GBP]]/CADtoGBP</f>
        <v>0</v>
      </c>
      <c r="Y999" s="33">
        <f>quantInv[[#This Row],[Quantity]]*quantInv[[#This Row],[UNIT
VALUE AUD]]</f>
        <v>0</v>
      </c>
      <c r="Z999" s="33"/>
    </row>
    <row r="1000" spans="1:26" x14ac:dyDescent="0.25">
      <c r="A1000" t="s">
        <v>2461</v>
      </c>
      <c r="C1000" t="s">
        <v>149</v>
      </c>
      <c r="D1000" t="s">
        <v>2462</v>
      </c>
      <c r="E1000">
        <v>0</v>
      </c>
      <c r="F1000" s="33">
        <v>7.0499999999999993E-2</v>
      </c>
      <c r="G1000" s="33" t="s">
        <v>3304</v>
      </c>
      <c r="H1000" t="s">
        <v>2875</v>
      </c>
      <c r="I1000" t="str">
        <f>IF(quantInv[[#This Row],[Metal]] = "925 Silver",  "7113.11.00"," 7113.19.00")</f>
        <v xml:space="preserve"> 7113.19.00</v>
      </c>
      <c r="J1000" t="str">
        <f>IF(quantInv[[#This Row],[Metal]] = "925 Silver", "7113.11.10.00"," 7113.19.10.00")</f>
        <v xml:space="preserve"> 7113.19.10.00</v>
      </c>
      <c r="K1000" t="str">
        <f>IF(quantInv[[#This Row],[Metal]] = "925 Silver",  "7113.11.00"," 7113.19.00")</f>
        <v xml:space="preserve"> 7113.19.00</v>
      </c>
      <c r="L1000" t="str">
        <f>IFERROR(VLOOKUP(quantInv[[#This Row],[Description for New Invoice]],Map!$G$12:$H$32,2,FALSE), IF(quantInv[[#This Row],[Metal]] = "925 Silver", "7113.11.10.00", "7113.19.29.00"))</f>
        <v>7113.19.29.00</v>
      </c>
      <c r="M1000" t="str">
        <f>quantInv[[#This Row],[ASIN]] &amp; " " &amp; quantInv[[#This Row],[Short Description]]</f>
        <v xml:space="preserve"> 9kt gold 6mm ball stud with normal butterfly</v>
      </c>
      <c r="N1000" s="33">
        <f>quantInv[[#This Row],[UNIT
VALUE]] / EURtoGBP</f>
        <v>8.0025880710357392E-2</v>
      </c>
      <c r="O1000" s="33">
        <f>quantInv[[#This Row],[UNIT
VALUE]]/USDtoGBP</f>
        <v>9.6643787449467625E-2</v>
      </c>
      <c r="P1000" s="33">
        <f>quantInv[[#This Row],[UNIT
VALUE]] / CADtoGBP</f>
        <v>0.1237096035502024</v>
      </c>
      <c r="Q1000" s="33">
        <f>quantInv[[#This Row],[UNIT
VALUE]]/AUDtoGBP</f>
        <v>0.12662547596810114</v>
      </c>
      <c r="R1000">
        <f>IFERROR(VLOOKUP(quantInv[[#This Row],[Assigned Item SKU]],skuQuantity[#All],2,FALSE),0)</f>
        <v>0</v>
      </c>
      <c r="S1000" t="str">
        <f>PROPER(quantInv[[#This Row],[Metal]] &amp; " " &amp; quantInv[[#This Row],[Item Type]])</f>
        <v xml:space="preserve">9K Gold </v>
      </c>
      <c r="T1000" s="33">
        <f>quantInv[[#This Row],[Quantity]]*quantInv[[#This Row],[WEIGHT]]</f>
        <v>0</v>
      </c>
      <c r="U1000" s="33">
        <f>quantInv[[#This Row],[UNIT
VALUE]]*quantInv[[#This Row],[Quantity]]</f>
        <v>0</v>
      </c>
      <c r="V1000" s="33">
        <f>quantInv[[#This Row],[Total Cost GBP]]/EURtoGBP</f>
        <v>0</v>
      </c>
      <c r="W1000" s="33">
        <f>quantInv[[#This Row],[Total Cost GBP]]/USDtoGBP</f>
        <v>0</v>
      </c>
      <c r="X1000" s="33">
        <f>quantInv[[#This Row],[Total Cost GBP]]/CADtoGBP</f>
        <v>0</v>
      </c>
      <c r="Y1000" s="33">
        <f>quantInv[[#This Row],[Quantity]]*quantInv[[#This Row],[UNIT
VALUE AUD]]</f>
        <v>0</v>
      </c>
      <c r="Z1000" s="33"/>
    </row>
    <row r="1001" spans="1:26" x14ac:dyDescent="0.25">
      <c r="A1001" t="s">
        <v>2463</v>
      </c>
      <c r="C1001" t="s">
        <v>149</v>
      </c>
      <c r="D1001" t="s">
        <v>2464</v>
      </c>
      <c r="E1001">
        <v>0</v>
      </c>
      <c r="F1001" s="33">
        <v>7.0499999999999993E-2</v>
      </c>
      <c r="G1001" s="33" t="s">
        <v>3304</v>
      </c>
      <c r="H1001" t="s">
        <v>2875</v>
      </c>
      <c r="I1001" t="str">
        <f>IF(quantInv[[#This Row],[Metal]] = "925 Silver",  "7113.11.00"," 7113.19.00")</f>
        <v xml:space="preserve"> 7113.19.00</v>
      </c>
      <c r="J1001" t="str">
        <f>IF(quantInv[[#This Row],[Metal]] = "925 Silver", "7113.11.10.00"," 7113.19.10.00")</f>
        <v xml:space="preserve"> 7113.19.10.00</v>
      </c>
      <c r="K1001" t="str">
        <f>IF(quantInv[[#This Row],[Metal]] = "925 Silver",  "7113.11.00"," 7113.19.00")</f>
        <v xml:space="preserve"> 7113.19.00</v>
      </c>
      <c r="L1001" t="str">
        <f>IFERROR(VLOOKUP(quantInv[[#This Row],[Description for New Invoice]],Map!$G$12:$H$32,2,FALSE), IF(quantInv[[#This Row],[Metal]] = "925 Silver", "7113.11.10.00", "7113.19.29.00"))</f>
        <v>7113.19.29.00</v>
      </c>
      <c r="M1001" t="str">
        <f>quantInv[[#This Row],[ASIN]] &amp; " " &amp; quantInv[[#This Row],[Short Description]]</f>
        <v xml:space="preserve"> 9kt gold heart pendant</v>
      </c>
      <c r="N1001" s="33">
        <f>quantInv[[#This Row],[UNIT
VALUE]] / EURtoGBP</f>
        <v>8.0025880710357392E-2</v>
      </c>
      <c r="O1001" s="33">
        <f>quantInv[[#This Row],[UNIT
VALUE]]/USDtoGBP</f>
        <v>9.6643787449467625E-2</v>
      </c>
      <c r="P1001" s="33">
        <f>quantInv[[#This Row],[UNIT
VALUE]] / CADtoGBP</f>
        <v>0.1237096035502024</v>
      </c>
      <c r="Q1001" s="33">
        <f>quantInv[[#This Row],[UNIT
VALUE]]/AUDtoGBP</f>
        <v>0.12662547596810114</v>
      </c>
      <c r="R1001">
        <f>IFERROR(VLOOKUP(quantInv[[#This Row],[Assigned Item SKU]],skuQuantity[#All],2,FALSE),0)</f>
        <v>0</v>
      </c>
      <c r="S1001" t="str">
        <f>PROPER(quantInv[[#This Row],[Metal]] &amp; " " &amp; quantInv[[#This Row],[Item Type]])</f>
        <v xml:space="preserve">9K Gold </v>
      </c>
      <c r="T1001" s="33">
        <f>quantInv[[#This Row],[Quantity]]*quantInv[[#This Row],[WEIGHT]]</f>
        <v>0</v>
      </c>
      <c r="U1001" s="33">
        <f>quantInv[[#This Row],[UNIT
VALUE]]*quantInv[[#This Row],[Quantity]]</f>
        <v>0</v>
      </c>
      <c r="V1001" s="33">
        <f>quantInv[[#This Row],[Total Cost GBP]]/EURtoGBP</f>
        <v>0</v>
      </c>
      <c r="W1001" s="33">
        <f>quantInv[[#This Row],[Total Cost GBP]]/USDtoGBP</f>
        <v>0</v>
      </c>
      <c r="X1001" s="33">
        <f>quantInv[[#This Row],[Total Cost GBP]]/CADtoGBP</f>
        <v>0</v>
      </c>
      <c r="Y1001" s="33">
        <f>quantInv[[#This Row],[Quantity]]*quantInv[[#This Row],[UNIT
VALUE AUD]]</f>
        <v>0</v>
      </c>
      <c r="Z1001" s="33"/>
    </row>
    <row r="1002" spans="1:26" x14ac:dyDescent="0.25">
      <c r="A1002" t="s">
        <v>2465</v>
      </c>
      <c r="C1002" t="s">
        <v>149</v>
      </c>
      <c r="D1002" t="s">
        <v>2466</v>
      </c>
      <c r="E1002">
        <v>0</v>
      </c>
      <c r="F1002" s="33">
        <v>7.0499999999999993E-2</v>
      </c>
      <c r="G1002" s="33" t="s">
        <v>3304</v>
      </c>
      <c r="H1002" t="s">
        <v>2875</v>
      </c>
      <c r="I1002" t="str">
        <f>IF(quantInv[[#This Row],[Metal]] = "925 Silver",  "7113.11.00"," 7113.19.00")</f>
        <v xml:space="preserve"> 7113.19.00</v>
      </c>
      <c r="J1002" t="str">
        <f>IF(quantInv[[#This Row],[Metal]] = "925 Silver", "7113.11.10.00"," 7113.19.10.00")</f>
        <v xml:space="preserve"> 7113.19.10.00</v>
      </c>
      <c r="K1002" t="str">
        <f>IF(quantInv[[#This Row],[Metal]] = "925 Silver",  "7113.11.00"," 7113.19.00")</f>
        <v xml:space="preserve"> 7113.19.00</v>
      </c>
      <c r="L1002" t="str">
        <f>IFERROR(VLOOKUP(quantInv[[#This Row],[Description for New Invoice]],Map!$G$12:$H$32,2,FALSE), IF(quantInv[[#This Row],[Metal]] = "925 Silver", "7113.11.10.00", "7113.19.29.00"))</f>
        <v>7113.19.29.00</v>
      </c>
      <c r="M1002" t="str">
        <f>quantInv[[#This Row],[ASIN]] &amp; " " &amp; quantInv[[#This Row],[Short Description]]</f>
        <v xml:space="preserve"> 9k gold solitaire heart pendant with CZ</v>
      </c>
      <c r="N1002" s="33">
        <f>quantInv[[#This Row],[UNIT
VALUE]] / EURtoGBP</f>
        <v>8.0025880710357392E-2</v>
      </c>
      <c r="O1002" s="33">
        <f>quantInv[[#This Row],[UNIT
VALUE]]/USDtoGBP</f>
        <v>9.6643787449467625E-2</v>
      </c>
      <c r="P1002" s="33">
        <f>quantInv[[#This Row],[UNIT
VALUE]] / CADtoGBP</f>
        <v>0.1237096035502024</v>
      </c>
      <c r="Q1002" s="33">
        <f>quantInv[[#This Row],[UNIT
VALUE]]/AUDtoGBP</f>
        <v>0.12662547596810114</v>
      </c>
      <c r="R1002">
        <f>IFERROR(VLOOKUP(quantInv[[#This Row],[Assigned Item SKU]],skuQuantity[#All],2,FALSE),0)</f>
        <v>0</v>
      </c>
      <c r="S1002" t="str">
        <f>PROPER(quantInv[[#This Row],[Metal]] &amp; " " &amp; quantInv[[#This Row],[Item Type]])</f>
        <v xml:space="preserve">9K Gold </v>
      </c>
      <c r="T1002" s="33">
        <f>quantInv[[#This Row],[Quantity]]*quantInv[[#This Row],[WEIGHT]]</f>
        <v>0</v>
      </c>
      <c r="U1002" s="33">
        <f>quantInv[[#This Row],[UNIT
VALUE]]*quantInv[[#This Row],[Quantity]]</f>
        <v>0</v>
      </c>
      <c r="V1002" s="33">
        <f>quantInv[[#This Row],[Total Cost GBP]]/EURtoGBP</f>
        <v>0</v>
      </c>
      <c r="W1002" s="33">
        <f>quantInv[[#This Row],[Total Cost GBP]]/USDtoGBP</f>
        <v>0</v>
      </c>
      <c r="X1002" s="33">
        <f>quantInv[[#This Row],[Total Cost GBP]]/CADtoGBP</f>
        <v>0</v>
      </c>
      <c r="Y1002" s="33">
        <f>quantInv[[#This Row],[Quantity]]*quantInv[[#This Row],[UNIT
VALUE AUD]]</f>
        <v>0</v>
      </c>
      <c r="Z1002" s="33"/>
    </row>
    <row r="1003" spans="1:26" x14ac:dyDescent="0.25">
      <c r="A1003" t="s">
        <v>2467</v>
      </c>
      <c r="C1003" t="s">
        <v>149</v>
      </c>
      <c r="D1003" t="s">
        <v>2468</v>
      </c>
      <c r="E1003">
        <v>0</v>
      </c>
      <c r="F1003" s="33">
        <v>7.0499999999999993E-2</v>
      </c>
      <c r="G1003" s="33" t="s">
        <v>3304</v>
      </c>
      <c r="H1003" t="s">
        <v>2875</v>
      </c>
      <c r="I1003" t="str">
        <f>IF(quantInv[[#This Row],[Metal]] = "925 Silver",  "7113.11.00"," 7113.19.00")</f>
        <v xml:space="preserve"> 7113.19.00</v>
      </c>
      <c r="J1003" t="str">
        <f>IF(quantInv[[#This Row],[Metal]] = "925 Silver", "7113.11.10.00"," 7113.19.10.00")</f>
        <v xml:space="preserve"> 7113.19.10.00</v>
      </c>
      <c r="K1003" t="str">
        <f>IF(quantInv[[#This Row],[Metal]] = "925 Silver",  "7113.11.00"," 7113.19.00")</f>
        <v xml:space="preserve"> 7113.19.00</v>
      </c>
      <c r="L1003" t="str">
        <f>IFERROR(VLOOKUP(quantInv[[#This Row],[Description for New Invoice]],Map!$G$12:$H$32,2,FALSE), IF(quantInv[[#This Row],[Metal]] = "925 Silver", "7113.11.10.00", "7113.19.29.00"))</f>
        <v>7113.19.29.00</v>
      </c>
      <c r="M1003" t="str">
        <f>quantInv[[#This Row],[ASIN]] &amp; " " &amp; quantInv[[#This Row],[Short Description]]</f>
        <v xml:space="preserve"> 9K gold solitaire circle pendant with CZ</v>
      </c>
      <c r="N1003" s="33">
        <f>quantInv[[#This Row],[UNIT
VALUE]] / EURtoGBP</f>
        <v>8.0025880710357392E-2</v>
      </c>
      <c r="O1003" s="33">
        <f>quantInv[[#This Row],[UNIT
VALUE]]/USDtoGBP</f>
        <v>9.6643787449467625E-2</v>
      </c>
      <c r="P1003" s="33">
        <f>quantInv[[#This Row],[UNIT
VALUE]] / CADtoGBP</f>
        <v>0.1237096035502024</v>
      </c>
      <c r="Q1003" s="33">
        <f>quantInv[[#This Row],[UNIT
VALUE]]/AUDtoGBP</f>
        <v>0.12662547596810114</v>
      </c>
      <c r="R1003">
        <f>IFERROR(VLOOKUP(quantInv[[#This Row],[Assigned Item SKU]],skuQuantity[#All],2,FALSE),0)</f>
        <v>0</v>
      </c>
      <c r="S1003" t="str">
        <f>PROPER(quantInv[[#This Row],[Metal]] &amp; " " &amp; quantInv[[#This Row],[Item Type]])</f>
        <v xml:space="preserve">9K Gold </v>
      </c>
      <c r="T1003" s="33">
        <f>quantInv[[#This Row],[Quantity]]*quantInv[[#This Row],[WEIGHT]]</f>
        <v>0</v>
      </c>
      <c r="U1003" s="33">
        <f>quantInv[[#This Row],[UNIT
VALUE]]*quantInv[[#This Row],[Quantity]]</f>
        <v>0</v>
      </c>
      <c r="V1003" s="33">
        <f>quantInv[[#This Row],[Total Cost GBP]]/EURtoGBP</f>
        <v>0</v>
      </c>
      <c r="W1003" s="33">
        <f>quantInv[[#This Row],[Total Cost GBP]]/USDtoGBP</f>
        <v>0</v>
      </c>
      <c r="X1003" s="33">
        <f>quantInv[[#This Row],[Total Cost GBP]]/CADtoGBP</f>
        <v>0</v>
      </c>
      <c r="Y1003" s="33">
        <f>quantInv[[#This Row],[Quantity]]*quantInv[[#This Row],[UNIT
VALUE AUD]]</f>
        <v>0</v>
      </c>
      <c r="Z1003" s="33"/>
    </row>
    <row r="1004" spans="1:26" x14ac:dyDescent="0.25">
      <c r="A1004" t="s">
        <v>2469</v>
      </c>
      <c r="C1004" t="s">
        <v>149</v>
      </c>
      <c r="D1004" t="s">
        <v>2470</v>
      </c>
      <c r="E1004">
        <v>0</v>
      </c>
      <c r="F1004" s="33">
        <v>7.0499999999999993E-2</v>
      </c>
      <c r="G1004" s="33" t="s">
        <v>3304</v>
      </c>
      <c r="H1004" t="s">
        <v>2875</v>
      </c>
      <c r="I1004" t="str">
        <f>IF(quantInv[[#This Row],[Metal]] = "925 Silver",  "7113.11.00"," 7113.19.00")</f>
        <v xml:space="preserve"> 7113.19.00</v>
      </c>
      <c r="J1004" t="str">
        <f>IF(quantInv[[#This Row],[Metal]] = "925 Silver", "7113.11.10.00"," 7113.19.10.00")</f>
        <v xml:space="preserve"> 7113.19.10.00</v>
      </c>
      <c r="K1004" t="str">
        <f>IF(quantInv[[#This Row],[Metal]] = "925 Silver",  "7113.11.00"," 7113.19.00")</f>
        <v xml:space="preserve"> 7113.19.00</v>
      </c>
      <c r="L1004" t="str">
        <f>IFERROR(VLOOKUP(quantInv[[#This Row],[Description for New Invoice]],Map!$G$12:$H$32,2,FALSE), IF(quantInv[[#This Row],[Metal]] = "925 Silver", "7113.11.10.00", "7113.19.29.00"))</f>
        <v>7113.19.29.00</v>
      </c>
      <c r="M1004" t="str">
        <f>quantInv[[#This Row],[ASIN]] &amp; " " &amp; quantInv[[#This Row],[Short Description]]</f>
        <v xml:space="preserve"> 9kt gold hoops with 10mm external diameter</v>
      </c>
      <c r="N1004" s="33">
        <f>quantInv[[#This Row],[UNIT
VALUE]] / EURtoGBP</f>
        <v>8.0025880710357392E-2</v>
      </c>
      <c r="O1004" s="33">
        <f>quantInv[[#This Row],[UNIT
VALUE]]/USDtoGBP</f>
        <v>9.6643787449467625E-2</v>
      </c>
      <c r="P1004" s="33">
        <f>quantInv[[#This Row],[UNIT
VALUE]] / CADtoGBP</f>
        <v>0.1237096035502024</v>
      </c>
      <c r="Q1004" s="33">
        <f>quantInv[[#This Row],[UNIT
VALUE]]/AUDtoGBP</f>
        <v>0.12662547596810114</v>
      </c>
      <c r="R1004">
        <f>IFERROR(VLOOKUP(quantInv[[#This Row],[Assigned Item SKU]],skuQuantity[#All],2,FALSE),0)</f>
        <v>0</v>
      </c>
      <c r="S1004" t="str">
        <f>PROPER(quantInv[[#This Row],[Metal]] &amp; " " &amp; quantInv[[#This Row],[Item Type]])</f>
        <v xml:space="preserve">9K Gold </v>
      </c>
      <c r="T1004" s="33">
        <f>quantInv[[#This Row],[Quantity]]*quantInv[[#This Row],[WEIGHT]]</f>
        <v>0</v>
      </c>
      <c r="U1004" s="33">
        <f>quantInv[[#This Row],[UNIT
VALUE]]*quantInv[[#This Row],[Quantity]]</f>
        <v>0</v>
      </c>
      <c r="V1004" s="33">
        <f>quantInv[[#This Row],[Total Cost GBP]]/EURtoGBP</f>
        <v>0</v>
      </c>
      <c r="W1004" s="33">
        <f>quantInv[[#This Row],[Total Cost GBP]]/USDtoGBP</f>
        <v>0</v>
      </c>
      <c r="X1004" s="33">
        <f>quantInv[[#This Row],[Total Cost GBP]]/CADtoGBP</f>
        <v>0</v>
      </c>
      <c r="Y1004" s="33">
        <f>quantInv[[#This Row],[Quantity]]*quantInv[[#This Row],[UNIT
VALUE AUD]]</f>
        <v>0</v>
      </c>
      <c r="Z1004" s="33"/>
    </row>
    <row r="1005" spans="1:26" x14ac:dyDescent="0.25">
      <c r="A1005" t="s">
        <v>2471</v>
      </c>
      <c r="C1005" t="s">
        <v>149</v>
      </c>
      <c r="D1005" t="s">
        <v>2472</v>
      </c>
      <c r="E1005">
        <v>0</v>
      </c>
      <c r="F1005" s="33">
        <v>7.0499999999999993E-2</v>
      </c>
      <c r="G1005" s="33" t="s">
        <v>3304</v>
      </c>
      <c r="H1005" t="s">
        <v>2875</v>
      </c>
      <c r="I1005" t="str">
        <f>IF(quantInv[[#This Row],[Metal]] = "925 Silver",  "7113.11.00"," 7113.19.00")</f>
        <v xml:space="preserve"> 7113.19.00</v>
      </c>
      <c r="J1005" t="str">
        <f>IF(quantInv[[#This Row],[Metal]] = "925 Silver", "7113.11.10.00"," 7113.19.10.00")</f>
        <v xml:space="preserve"> 7113.19.10.00</v>
      </c>
      <c r="K1005" t="str">
        <f>IF(quantInv[[#This Row],[Metal]] = "925 Silver",  "7113.11.00"," 7113.19.00")</f>
        <v xml:space="preserve"> 7113.19.00</v>
      </c>
      <c r="L1005" t="str">
        <f>IFERROR(VLOOKUP(quantInv[[#This Row],[Description for New Invoice]],Map!$G$12:$H$32,2,FALSE), IF(quantInv[[#This Row],[Metal]] = "925 Silver", "7113.11.10.00", "7113.19.29.00"))</f>
        <v>7113.19.29.00</v>
      </c>
      <c r="M1005" t="str">
        <f>quantInv[[#This Row],[ASIN]] &amp; " " &amp; quantInv[[#This Row],[Short Description]]</f>
        <v xml:space="preserve"> 9kt gold hoops with 15mm external diameter</v>
      </c>
      <c r="N1005" s="33">
        <f>quantInv[[#This Row],[UNIT
VALUE]] / EURtoGBP</f>
        <v>8.0025880710357392E-2</v>
      </c>
      <c r="O1005" s="33">
        <f>quantInv[[#This Row],[UNIT
VALUE]]/USDtoGBP</f>
        <v>9.6643787449467625E-2</v>
      </c>
      <c r="P1005" s="33">
        <f>quantInv[[#This Row],[UNIT
VALUE]] / CADtoGBP</f>
        <v>0.1237096035502024</v>
      </c>
      <c r="Q1005" s="33">
        <f>quantInv[[#This Row],[UNIT
VALUE]]/AUDtoGBP</f>
        <v>0.12662547596810114</v>
      </c>
      <c r="R1005">
        <f>IFERROR(VLOOKUP(quantInv[[#This Row],[Assigned Item SKU]],skuQuantity[#All],2,FALSE),0)</f>
        <v>0</v>
      </c>
      <c r="S1005" t="str">
        <f>PROPER(quantInv[[#This Row],[Metal]] &amp; " " &amp; quantInv[[#This Row],[Item Type]])</f>
        <v xml:space="preserve">9K Gold </v>
      </c>
      <c r="T1005" s="33">
        <f>quantInv[[#This Row],[Quantity]]*quantInv[[#This Row],[WEIGHT]]</f>
        <v>0</v>
      </c>
      <c r="U1005" s="33">
        <f>quantInv[[#This Row],[UNIT
VALUE]]*quantInv[[#This Row],[Quantity]]</f>
        <v>0</v>
      </c>
      <c r="V1005" s="33">
        <f>quantInv[[#This Row],[Total Cost GBP]]/EURtoGBP</f>
        <v>0</v>
      </c>
      <c r="W1005" s="33">
        <f>quantInv[[#This Row],[Total Cost GBP]]/USDtoGBP</f>
        <v>0</v>
      </c>
      <c r="X1005" s="33">
        <f>quantInv[[#This Row],[Total Cost GBP]]/CADtoGBP</f>
        <v>0</v>
      </c>
      <c r="Y1005" s="33">
        <f>quantInv[[#This Row],[Quantity]]*quantInv[[#This Row],[UNIT
VALUE AUD]]</f>
        <v>0</v>
      </c>
      <c r="Z1005" s="33"/>
    </row>
    <row r="1006" spans="1:26" x14ac:dyDescent="0.25">
      <c r="A1006" t="s">
        <v>2473</v>
      </c>
      <c r="C1006" t="s">
        <v>149</v>
      </c>
      <c r="D1006" t="s">
        <v>2474</v>
      </c>
      <c r="E1006">
        <v>0</v>
      </c>
      <c r="F1006" s="33">
        <v>7.0499999999999993E-2</v>
      </c>
      <c r="G1006" s="33" t="s">
        <v>3304</v>
      </c>
      <c r="H1006" t="s">
        <v>2875</v>
      </c>
      <c r="I1006" t="str">
        <f>IF(quantInv[[#This Row],[Metal]] = "925 Silver",  "7113.11.00"," 7113.19.00")</f>
        <v xml:space="preserve"> 7113.19.00</v>
      </c>
      <c r="J1006" t="str">
        <f>IF(quantInv[[#This Row],[Metal]] = "925 Silver", "7113.11.10.00"," 7113.19.10.00")</f>
        <v xml:space="preserve"> 7113.19.10.00</v>
      </c>
      <c r="K1006" t="str">
        <f>IF(quantInv[[#This Row],[Metal]] = "925 Silver",  "7113.11.00"," 7113.19.00")</f>
        <v xml:space="preserve"> 7113.19.00</v>
      </c>
      <c r="L1006" t="str">
        <f>IFERROR(VLOOKUP(quantInv[[#This Row],[Description for New Invoice]],Map!$G$12:$H$32,2,FALSE), IF(quantInv[[#This Row],[Metal]] = "925 Silver", "7113.11.10.00", "7113.19.29.00"))</f>
        <v>7113.19.29.00</v>
      </c>
      <c r="M1006" t="str">
        <f>quantInv[[#This Row],[ASIN]] &amp; " " &amp; quantInv[[#This Row],[Short Description]]</f>
        <v xml:space="preserve"> 9kt gold hoops with 20mm external diameter</v>
      </c>
      <c r="N1006" s="33">
        <f>quantInv[[#This Row],[UNIT
VALUE]] / EURtoGBP</f>
        <v>8.0025880710357392E-2</v>
      </c>
      <c r="O1006" s="33">
        <f>quantInv[[#This Row],[UNIT
VALUE]]/USDtoGBP</f>
        <v>9.6643787449467625E-2</v>
      </c>
      <c r="P1006" s="33">
        <f>quantInv[[#This Row],[UNIT
VALUE]] / CADtoGBP</f>
        <v>0.1237096035502024</v>
      </c>
      <c r="Q1006" s="33">
        <f>quantInv[[#This Row],[UNIT
VALUE]]/AUDtoGBP</f>
        <v>0.12662547596810114</v>
      </c>
      <c r="R1006">
        <f>IFERROR(VLOOKUP(quantInv[[#This Row],[Assigned Item SKU]],skuQuantity[#All],2,FALSE),0)</f>
        <v>0</v>
      </c>
      <c r="S1006" t="str">
        <f>PROPER(quantInv[[#This Row],[Metal]] &amp; " " &amp; quantInv[[#This Row],[Item Type]])</f>
        <v xml:space="preserve">9K Gold </v>
      </c>
      <c r="T1006" s="33">
        <f>quantInv[[#This Row],[Quantity]]*quantInv[[#This Row],[WEIGHT]]</f>
        <v>0</v>
      </c>
      <c r="U1006" s="33">
        <f>quantInv[[#This Row],[UNIT
VALUE]]*quantInv[[#This Row],[Quantity]]</f>
        <v>0</v>
      </c>
      <c r="V1006" s="33">
        <f>quantInv[[#This Row],[Total Cost GBP]]/EURtoGBP</f>
        <v>0</v>
      </c>
      <c r="W1006" s="33">
        <f>quantInv[[#This Row],[Total Cost GBP]]/USDtoGBP</f>
        <v>0</v>
      </c>
      <c r="X1006" s="33">
        <f>quantInv[[#This Row],[Total Cost GBP]]/CADtoGBP</f>
        <v>0</v>
      </c>
      <c r="Y1006" s="33">
        <f>quantInv[[#This Row],[Quantity]]*quantInv[[#This Row],[UNIT
VALUE AUD]]</f>
        <v>0</v>
      </c>
      <c r="Z1006" s="33"/>
    </row>
    <row r="1007" spans="1:26" x14ac:dyDescent="0.25">
      <c r="A1007" t="s">
        <v>2475</v>
      </c>
      <c r="C1007" t="s">
        <v>114</v>
      </c>
      <c r="D1007" t="s">
        <v>2476</v>
      </c>
      <c r="E1007">
        <v>0</v>
      </c>
      <c r="F1007" s="33">
        <v>7.0499999999999993E-2</v>
      </c>
      <c r="G1007" s="33" t="s">
        <v>117</v>
      </c>
      <c r="H1007" t="s">
        <v>2875</v>
      </c>
      <c r="I1007" t="str">
        <f>IF(quantInv[[#This Row],[Metal]] = "925 Silver",  "7113.11.00"," 7113.19.00")</f>
        <v>7113.11.00</v>
      </c>
      <c r="J1007" t="str">
        <f>IF(quantInv[[#This Row],[Metal]] = "925 Silver", "7113.11.10.00"," 7113.19.10.00")</f>
        <v>7113.11.10.00</v>
      </c>
      <c r="K1007" t="str">
        <f>IF(quantInv[[#This Row],[Metal]] = "925 Silver",  "7113.11.00"," 7113.19.00")</f>
        <v>7113.11.00</v>
      </c>
      <c r="L1007" t="str">
        <f>IFERROR(VLOOKUP(quantInv[[#This Row],[Description for New Invoice]],Map!$G$12:$H$32,2,FALSE), IF(quantInv[[#This Row],[Metal]] = "925 Silver", "7113.11.10.00", "7113.19.29.00"))</f>
        <v>7113.11.10.00</v>
      </c>
      <c r="M1007" t="str">
        <f>quantInv[[#This Row],[ASIN]] &amp; " " &amp; quantInv[[#This Row],[Short Description]]</f>
        <v xml:space="preserve"> Silver click-down hoop with leaf pendant (10mm internal)</v>
      </c>
      <c r="N1007" s="33">
        <f>quantInv[[#This Row],[UNIT
VALUE]] / EURtoGBP</f>
        <v>8.0025880710357392E-2</v>
      </c>
      <c r="O1007" s="33">
        <f>quantInv[[#This Row],[UNIT
VALUE]]/USDtoGBP</f>
        <v>9.6643787449467625E-2</v>
      </c>
      <c r="P1007" s="33">
        <f>quantInv[[#This Row],[UNIT
VALUE]] / CADtoGBP</f>
        <v>0.1237096035502024</v>
      </c>
      <c r="Q1007" s="33">
        <f>quantInv[[#This Row],[UNIT
VALUE]]/AUDtoGBP</f>
        <v>0.12662547596810114</v>
      </c>
      <c r="R1007">
        <f>IFERROR(VLOOKUP(quantInv[[#This Row],[Assigned Item SKU]],skuQuantity[#All],2,FALSE),0)</f>
        <v>0</v>
      </c>
      <c r="S1007" t="str">
        <f>PROPER(quantInv[[#This Row],[Metal]] &amp; " " &amp; quantInv[[#This Row],[Item Type]])</f>
        <v xml:space="preserve">925 Silver </v>
      </c>
      <c r="T1007" s="33">
        <f>quantInv[[#This Row],[Quantity]]*quantInv[[#This Row],[WEIGHT]]</f>
        <v>0</v>
      </c>
      <c r="U1007" s="33">
        <f>quantInv[[#This Row],[UNIT
VALUE]]*quantInv[[#This Row],[Quantity]]</f>
        <v>0</v>
      </c>
      <c r="V1007" s="33">
        <f>quantInv[[#This Row],[Total Cost GBP]]/EURtoGBP</f>
        <v>0</v>
      </c>
      <c r="W1007" s="33">
        <f>quantInv[[#This Row],[Total Cost GBP]]/USDtoGBP</f>
        <v>0</v>
      </c>
      <c r="X1007" s="33">
        <f>quantInv[[#This Row],[Total Cost GBP]]/CADtoGBP</f>
        <v>0</v>
      </c>
      <c r="Y1007" s="33">
        <f>quantInv[[#This Row],[Quantity]]*quantInv[[#This Row],[UNIT
VALUE AUD]]</f>
        <v>0</v>
      </c>
      <c r="Z1007" s="33"/>
    </row>
    <row r="1008" spans="1:26" x14ac:dyDescent="0.25">
      <c r="A1008" t="s">
        <v>2477</v>
      </c>
      <c r="C1008" t="s">
        <v>114</v>
      </c>
      <c r="D1008" t="s">
        <v>2478</v>
      </c>
      <c r="E1008">
        <v>0</v>
      </c>
      <c r="F1008" s="33">
        <v>7.0499999999999993E-2</v>
      </c>
      <c r="G1008" s="33" t="s">
        <v>117</v>
      </c>
      <c r="H1008" t="s">
        <v>2875</v>
      </c>
      <c r="I1008" t="str">
        <f>IF(quantInv[[#This Row],[Metal]] = "925 Silver",  "7113.11.00"," 7113.19.00")</f>
        <v>7113.11.00</v>
      </c>
      <c r="J1008" t="str">
        <f>IF(quantInv[[#This Row],[Metal]] = "925 Silver", "7113.11.10.00"," 7113.19.10.00")</f>
        <v>7113.11.10.00</v>
      </c>
      <c r="K1008" t="str">
        <f>IF(quantInv[[#This Row],[Metal]] = "925 Silver",  "7113.11.00"," 7113.19.00")</f>
        <v>7113.11.00</v>
      </c>
      <c r="L1008" t="str">
        <f>IFERROR(VLOOKUP(quantInv[[#This Row],[Description for New Invoice]],Map!$G$12:$H$32,2,FALSE), IF(quantInv[[#This Row],[Metal]] = "925 Silver", "7113.11.10.00", "7113.19.29.00"))</f>
        <v>7113.11.10.00</v>
      </c>
      <c r="M1008" t="str">
        <f>quantInv[[#This Row],[ASIN]] &amp; " " &amp; quantInv[[#This Row],[Short Description]]</f>
        <v xml:space="preserve"> Silver click-down hoop with lotus silhouette pendant (10mm internal)</v>
      </c>
      <c r="N1008" s="33">
        <f>quantInv[[#This Row],[UNIT
VALUE]] / EURtoGBP</f>
        <v>8.0025880710357392E-2</v>
      </c>
      <c r="O1008" s="33">
        <f>quantInv[[#This Row],[UNIT
VALUE]]/USDtoGBP</f>
        <v>9.6643787449467625E-2</v>
      </c>
      <c r="P1008" s="33">
        <f>quantInv[[#This Row],[UNIT
VALUE]] / CADtoGBP</f>
        <v>0.1237096035502024</v>
      </c>
      <c r="Q1008" s="33">
        <f>quantInv[[#This Row],[UNIT
VALUE]]/AUDtoGBP</f>
        <v>0.12662547596810114</v>
      </c>
      <c r="R1008">
        <f>IFERROR(VLOOKUP(quantInv[[#This Row],[Assigned Item SKU]],skuQuantity[#All],2,FALSE),0)</f>
        <v>0</v>
      </c>
      <c r="S1008" t="str">
        <f>PROPER(quantInv[[#This Row],[Metal]] &amp; " " &amp; quantInv[[#This Row],[Item Type]])</f>
        <v xml:space="preserve">925 Silver </v>
      </c>
      <c r="T1008" s="33">
        <f>quantInv[[#This Row],[Quantity]]*quantInv[[#This Row],[WEIGHT]]</f>
        <v>0</v>
      </c>
      <c r="U1008" s="33">
        <f>quantInv[[#This Row],[UNIT
VALUE]]*quantInv[[#This Row],[Quantity]]</f>
        <v>0</v>
      </c>
      <c r="V1008" s="33">
        <f>quantInv[[#This Row],[Total Cost GBP]]/EURtoGBP</f>
        <v>0</v>
      </c>
      <c r="W1008" s="33">
        <f>quantInv[[#This Row],[Total Cost GBP]]/USDtoGBP</f>
        <v>0</v>
      </c>
      <c r="X1008" s="33">
        <f>quantInv[[#This Row],[Total Cost GBP]]/CADtoGBP</f>
        <v>0</v>
      </c>
      <c r="Y1008" s="33">
        <f>quantInv[[#This Row],[Quantity]]*quantInv[[#This Row],[UNIT
VALUE AUD]]</f>
        <v>0</v>
      </c>
      <c r="Z1008" s="33"/>
    </row>
    <row r="1009" spans="1:26" x14ac:dyDescent="0.25">
      <c r="A1009" t="s">
        <v>2479</v>
      </c>
      <c r="C1009" t="s">
        <v>114</v>
      </c>
      <c r="D1009" t="s">
        <v>2480</v>
      </c>
      <c r="E1009">
        <v>0</v>
      </c>
      <c r="F1009" s="33">
        <v>7.0499999999999993E-2</v>
      </c>
      <c r="G1009" s="33" t="s">
        <v>117</v>
      </c>
      <c r="H1009" t="s">
        <v>2875</v>
      </c>
      <c r="I1009" t="str">
        <f>IF(quantInv[[#This Row],[Metal]] = "925 Silver",  "7113.11.00"," 7113.19.00")</f>
        <v>7113.11.00</v>
      </c>
      <c r="J1009" t="str">
        <f>IF(quantInv[[#This Row],[Metal]] = "925 Silver", "7113.11.10.00"," 7113.19.10.00")</f>
        <v>7113.11.10.00</v>
      </c>
      <c r="K1009" t="str">
        <f>IF(quantInv[[#This Row],[Metal]] = "925 Silver",  "7113.11.00"," 7113.19.00")</f>
        <v>7113.11.00</v>
      </c>
      <c r="L1009" t="str">
        <f>IFERROR(VLOOKUP(quantInv[[#This Row],[Description for New Invoice]],Map!$G$12:$H$32,2,FALSE), IF(quantInv[[#This Row],[Metal]] = "925 Silver", "7113.11.10.00", "7113.19.29.00"))</f>
        <v>7113.11.10.00</v>
      </c>
      <c r="M1009" t="str">
        <f>quantInv[[#This Row],[ASIN]] &amp; " " &amp; quantInv[[#This Row],[Short Description]]</f>
        <v xml:space="preserve"> Silver click-down hoop with puzzle piece pendant (10mm internal)</v>
      </c>
      <c r="N1009" s="33">
        <f>quantInv[[#This Row],[UNIT
VALUE]] / EURtoGBP</f>
        <v>8.0025880710357392E-2</v>
      </c>
      <c r="O1009" s="33">
        <f>quantInv[[#This Row],[UNIT
VALUE]]/USDtoGBP</f>
        <v>9.6643787449467625E-2</v>
      </c>
      <c r="P1009" s="33">
        <f>quantInv[[#This Row],[UNIT
VALUE]] / CADtoGBP</f>
        <v>0.1237096035502024</v>
      </c>
      <c r="Q1009" s="33">
        <f>quantInv[[#This Row],[UNIT
VALUE]]/AUDtoGBP</f>
        <v>0.12662547596810114</v>
      </c>
      <c r="R1009">
        <f>IFERROR(VLOOKUP(quantInv[[#This Row],[Assigned Item SKU]],skuQuantity[#All],2,FALSE),0)</f>
        <v>0</v>
      </c>
      <c r="S1009" t="str">
        <f>PROPER(quantInv[[#This Row],[Metal]] &amp; " " &amp; quantInv[[#This Row],[Item Type]])</f>
        <v xml:space="preserve">925 Silver </v>
      </c>
      <c r="T1009" s="33">
        <f>quantInv[[#This Row],[Quantity]]*quantInv[[#This Row],[WEIGHT]]</f>
        <v>0</v>
      </c>
      <c r="U1009" s="33">
        <f>quantInv[[#This Row],[UNIT
VALUE]]*quantInv[[#This Row],[Quantity]]</f>
        <v>0</v>
      </c>
      <c r="V1009" s="33">
        <f>quantInv[[#This Row],[Total Cost GBP]]/EURtoGBP</f>
        <v>0</v>
      </c>
      <c r="W1009" s="33">
        <f>quantInv[[#This Row],[Total Cost GBP]]/USDtoGBP</f>
        <v>0</v>
      </c>
      <c r="X1009" s="33">
        <f>quantInv[[#This Row],[Total Cost GBP]]/CADtoGBP</f>
        <v>0</v>
      </c>
      <c r="Y1009" s="33">
        <f>quantInv[[#This Row],[Quantity]]*quantInv[[#This Row],[UNIT
VALUE AUD]]</f>
        <v>0</v>
      </c>
      <c r="Z1009" s="33"/>
    </row>
    <row r="1010" spans="1:26" x14ac:dyDescent="0.25">
      <c r="A1010" t="s">
        <v>2481</v>
      </c>
      <c r="C1010" t="s">
        <v>114</v>
      </c>
      <c r="D1010" t="s">
        <v>2482</v>
      </c>
      <c r="E1010">
        <v>0</v>
      </c>
      <c r="F1010" s="33">
        <v>7.0499999999999993E-2</v>
      </c>
      <c r="G1010" s="33" t="s">
        <v>117</v>
      </c>
      <c r="H1010" t="s">
        <v>2875</v>
      </c>
      <c r="I1010" t="str">
        <f>IF(quantInv[[#This Row],[Metal]] = "925 Silver",  "7113.11.00"," 7113.19.00")</f>
        <v>7113.11.00</v>
      </c>
      <c r="J1010" t="str">
        <f>IF(quantInv[[#This Row],[Metal]] = "925 Silver", "7113.11.10.00"," 7113.19.10.00")</f>
        <v>7113.11.10.00</v>
      </c>
      <c r="K1010" t="str">
        <f>IF(quantInv[[#This Row],[Metal]] = "925 Silver",  "7113.11.00"," 7113.19.00")</f>
        <v>7113.11.00</v>
      </c>
      <c r="L1010" t="str">
        <f>IFERROR(VLOOKUP(quantInv[[#This Row],[Description for New Invoice]],Map!$G$12:$H$32,2,FALSE), IF(quantInv[[#This Row],[Metal]] = "925 Silver", "7113.11.10.00", "7113.19.29.00"))</f>
        <v>7113.11.10.00</v>
      </c>
      <c r="M1010" t="str">
        <f>quantInv[[#This Row],[ASIN]] &amp; " " &amp; quantInv[[#This Row],[Short Description]]</f>
        <v xml:space="preserve"> Silver click-down hoop with roman coin pendant (12mm internal)</v>
      </c>
      <c r="N1010" s="33">
        <f>quantInv[[#This Row],[UNIT
VALUE]] / EURtoGBP</f>
        <v>8.0025880710357392E-2</v>
      </c>
      <c r="O1010" s="33">
        <f>quantInv[[#This Row],[UNIT
VALUE]]/USDtoGBP</f>
        <v>9.6643787449467625E-2</v>
      </c>
      <c r="P1010" s="33">
        <f>quantInv[[#This Row],[UNIT
VALUE]] / CADtoGBP</f>
        <v>0.1237096035502024</v>
      </c>
      <c r="Q1010" s="33">
        <f>quantInv[[#This Row],[UNIT
VALUE]]/AUDtoGBP</f>
        <v>0.12662547596810114</v>
      </c>
      <c r="R1010">
        <f>IFERROR(VLOOKUP(quantInv[[#This Row],[Assigned Item SKU]],skuQuantity[#All],2,FALSE),0)</f>
        <v>0</v>
      </c>
      <c r="S1010" t="str">
        <f>PROPER(quantInv[[#This Row],[Metal]] &amp; " " &amp; quantInv[[#This Row],[Item Type]])</f>
        <v xml:space="preserve">925 Silver </v>
      </c>
      <c r="T1010" s="33">
        <f>quantInv[[#This Row],[Quantity]]*quantInv[[#This Row],[WEIGHT]]</f>
        <v>0</v>
      </c>
      <c r="U1010" s="33">
        <f>quantInv[[#This Row],[UNIT
VALUE]]*quantInv[[#This Row],[Quantity]]</f>
        <v>0</v>
      </c>
      <c r="V1010" s="33">
        <f>quantInv[[#This Row],[Total Cost GBP]]/EURtoGBP</f>
        <v>0</v>
      </c>
      <c r="W1010" s="33">
        <f>quantInv[[#This Row],[Total Cost GBP]]/USDtoGBP</f>
        <v>0</v>
      </c>
      <c r="X1010" s="33">
        <f>quantInv[[#This Row],[Total Cost GBP]]/CADtoGBP</f>
        <v>0</v>
      </c>
      <c r="Y1010" s="33">
        <f>quantInv[[#This Row],[Quantity]]*quantInv[[#This Row],[UNIT
VALUE AUD]]</f>
        <v>0</v>
      </c>
      <c r="Z1010" s="33"/>
    </row>
    <row r="1011" spans="1:26" x14ac:dyDescent="0.25">
      <c r="A1011" t="s">
        <v>2483</v>
      </c>
      <c r="C1011" t="s">
        <v>114</v>
      </c>
      <c r="D1011" t="s">
        <v>2484</v>
      </c>
      <c r="E1011">
        <v>0</v>
      </c>
      <c r="F1011" s="33">
        <v>7.0499999999999993E-2</v>
      </c>
      <c r="G1011" s="33" t="s">
        <v>117</v>
      </c>
      <c r="H1011" t="s">
        <v>2875</v>
      </c>
      <c r="I1011" t="str">
        <f>IF(quantInv[[#This Row],[Metal]] = "925 Silver",  "7113.11.00"," 7113.19.00")</f>
        <v>7113.11.00</v>
      </c>
      <c r="J1011" t="str">
        <f>IF(quantInv[[#This Row],[Metal]] = "925 Silver", "7113.11.10.00"," 7113.19.10.00")</f>
        <v>7113.11.10.00</v>
      </c>
      <c r="K1011" t="str">
        <f>IF(quantInv[[#This Row],[Metal]] = "925 Silver",  "7113.11.00"," 7113.19.00")</f>
        <v>7113.11.00</v>
      </c>
      <c r="L1011" t="str">
        <f>IFERROR(VLOOKUP(quantInv[[#This Row],[Description for New Invoice]],Map!$G$12:$H$32,2,FALSE), IF(quantInv[[#This Row],[Metal]] = "925 Silver", "7113.11.10.00", "7113.19.29.00"))</f>
        <v>7113.11.10.00</v>
      </c>
      <c r="M1011" t="str">
        <f>quantInv[[#This Row],[ASIN]] &amp; " " &amp; quantInv[[#This Row],[Short Description]]</f>
        <v xml:space="preserve"> Silver click-down hoop with rounded star pendant (10mm internal)</v>
      </c>
      <c r="N1011" s="33">
        <f>quantInv[[#This Row],[UNIT
VALUE]] / EURtoGBP</f>
        <v>8.0025880710357392E-2</v>
      </c>
      <c r="O1011" s="33">
        <f>quantInv[[#This Row],[UNIT
VALUE]]/USDtoGBP</f>
        <v>9.6643787449467625E-2</v>
      </c>
      <c r="P1011" s="33">
        <f>quantInv[[#This Row],[UNIT
VALUE]] / CADtoGBP</f>
        <v>0.1237096035502024</v>
      </c>
      <c r="Q1011" s="33">
        <f>quantInv[[#This Row],[UNIT
VALUE]]/AUDtoGBP</f>
        <v>0.12662547596810114</v>
      </c>
      <c r="R1011">
        <f>IFERROR(VLOOKUP(quantInv[[#This Row],[Assigned Item SKU]],skuQuantity[#All],2,FALSE),0)</f>
        <v>0</v>
      </c>
      <c r="S1011" t="str">
        <f>PROPER(quantInv[[#This Row],[Metal]] &amp; " " &amp; quantInv[[#This Row],[Item Type]])</f>
        <v xml:space="preserve">925 Silver </v>
      </c>
      <c r="T1011" s="33">
        <f>quantInv[[#This Row],[Quantity]]*quantInv[[#This Row],[WEIGHT]]</f>
        <v>0</v>
      </c>
      <c r="U1011" s="33">
        <f>quantInv[[#This Row],[UNIT
VALUE]]*quantInv[[#This Row],[Quantity]]</f>
        <v>0</v>
      </c>
      <c r="V1011" s="33">
        <f>quantInv[[#This Row],[Total Cost GBP]]/EURtoGBP</f>
        <v>0</v>
      </c>
      <c r="W1011" s="33">
        <f>quantInv[[#This Row],[Total Cost GBP]]/USDtoGBP</f>
        <v>0</v>
      </c>
      <c r="X1011" s="33">
        <f>quantInv[[#This Row],[Total Cost GBP]]/CADtoGBP</f>
        <v>0</v>
      </c>
      <c r="Y1011" s="33">
        <f>quantInv[[#This Row],[Quantity]]*quantInv[[#This Row],[UNIT
VALUE AUD]]</f>
        <v>0</v>
      </c>
      <c r="Z1011" s="33"/>
    </row>
    <row r="1012" spans="1:26" x14ac:dyDescent="0.25">
      <c r="A1012" t="s">
        <v>2485</v>
      </c>
      <c r="C1012" t="s">
        <v>114</v>
      </c>
      <c r="D1012" t="s">
        <v>2486</v>
      </c>
      <c r="E1012">
        <v>0</v>
      </c>
      <c r="F1012" s="33">
        <v>7.0499999999999993E-2</v>
      </c>
      <c r="G1012" s="33" t="s">
        <v>117</v>
      </c>
      <c r="H1012" t="s">
        <v>2875</v>
      </c>
      <c r="I1012" t="str">
        <f>IF(quantInv[[#This Row],[Metal]] = "925 Silver",  "7113.11.00"," 7113.19.00")</f>
        <v>7113.11.00</v>
      </c>
      <c r="J1012" t="str">
        <f>IF(quantInv[[#This Row],[Metal]] = "925 Silver", "7113.11.10.00"," 7113.19.10.00")</f>
        <v>7113.11.10.00</v>
      </c>
      <c r="K1012" t="str">
        <f>IF(quantInv[[#This Row],[Metal]] = "925 Silver",  "7113.11.00"," 7113.19.00")</f>
        <v>7113.11.00</v>
      </c>
      <c r="L1012" t="str">
        <f>IFERROR(VLOOKUP(quantInv[[#This Row],[Description for New Invoice]],Map!$G$12:$H$32,2,FALSE), IF(quantInv[[#This Row],[Metal]] = "925 Silver", "7113.11.10.00", "7113.19.29.00"))</f>
        <v>7113.11.10.00</v>
      </c>
      <c r="M1012" t="str">
        <f>quantInv[[#This Row],[ASIN]] &amp; " " &amp; quantInv[[#This Row],[Short Description]]</f>
        <v xml:space="preserve"> Silver click-down hoop with moon pendant (10mm internal)</v>
      </c>
      <c r="N1012" s="33">
        <f>quantInv[[#This Row],[UNIT
VALUE]] / EURtoGBP</f>
        <v>8.0025880710357392E-2</v>
      </c>
      <c r="O1012" s="33">
        <f>quantInv[[#This Row],[UNIT
VALUE]]/USDtoGBP</f>
        <v>9.6643787449467625E-2</v>
      </c>
      <c r="P1012" s="33">
        <f>quantInv[[#This Row],[UNIT
VALUE]] / CADtoGBP</f>
        <v>0.1237096035502024</v>
      </c>
      <c r="Q1012" s="33">
        <f>quantInv[[#This Row],[UNIT
VALUE]]/AUDtoGBP</f>
        <v>0.12662547596810114</v>
      </c>
      <c r="R1012">
        <f>IFERROR(VLOOKUP(quantInv[[#This Row],[Assigned Item SKU]],skuQuantity[#All],2,FALSE),0)</f>
        <v>0</v>
      </c>
      <c r="S1012" t="str">
        <f>PROPER(quantInv[[#This Row],[Metal]] &amp; " " &amp; quantInv[[#This Row],[Item Type]])</f>
        <v xml:space="preserve">925 Silver </v>
      </c>
      <c r="T1012" s="33">
        <f>quantInv[[#This Row],[Quantity]]*quantInv[[#This Row],[WEIGHT]]</f>
        <v>0</v>
      </c>
      <c r="U1012" s="33">
        <f>quantInv[[#This Row],[UNIT
VALUE]]*quantInv[[#This Row],[Quantity]]</f>
        <v>0</v>
      </c>
      <c r="V1012" s="33">
        <f>quantInv[[#This Row],[Total Cost GBP]]/EURtoGBP</f>
        <v>0</v>
      </c>
      <c r="W1012" s="33">
        <f>quantInv[[#This Row],[Total Cost GBP]]/USDtoGBP</f>
        <v>0</v>
      </c>
      <c r="X1012" s="33">
        <f>quantInv[[#This Row],[Total Cost GBP]]/CADtoGBP</f>
        <v>0</v>
      </c>
      <c r="Y1012" s="33">
        <f>quantInv[[#This Row],[Quantity]]*quantInv[[#This Row],[UNIT
VALUE AUD]]</f>
        <v>0</v>
      </c>
      <c r="Z1012" s="33"/>
    </row>
    <row r="1013" spans="1:26" x14ac:dyDescent="0.25">
      <c r="A1013" t="s">
        <v>2487</v>
      </c>
      <c r="C1013" t="s">
        <v>114</v>
      </c>
      <c r="D1013" t="s">
        <v>2488</v>
      </c>
      <c r="E1013">
        <v>0</v>
      </c>
      <c r="F1013" s="33">
        <v>7.0499999999999993E-2</v>
      </c>
      <c r="G1013" s="33" t="s">
        <v>117</v>
      </c>
      <c r="H1013" t="s">
        <v>2875</v>
      </c>
      <c r="I1013" t="str">
        <f>IF(quantInv[[#This Row],[Metal]] = "925 Silver",  "7113.11.00"," 7113.19.00")</f>
        <v>7113.11.00</v>
      </c>
      <c r="J1013" t="str">
        <f>IF(quantInv[[#This Row],[Metal]] = "925 Silver", "7113.11.10.00"," 7113.19.10.00")</f>
        <v>7113.11.10.00</v>
      </c>
      <c r="K1013" t="str">
        <f>IF(quantInv[[#This Row],[Metal]] = "925 Silver",  "7113.11.00"," 7113.19.00")</f>
        <v>7113.11.00</v>
      </c>
      <c r="L1013" t="str">
        <f>IFERROR(VLOOKUP(quantInv[[#This Row],[Description for New Invoice]],Map!$G$12:$H$32,2,FALSE), IF(quantInv[[#This Row],[Metal]] = "925 Silver", "7113.11.10.00", "7113.19.29.00"))</f>
        <v>7113.11.10.00</v>
      </c>
      <c r="M1013" t="str">
        <f>quantInv[[#This Row],[ASIN]] &amp; " " &amp; quantInv[[#This Row],[Short Description]]</f>
        <v xml:space="preserve"> Silver click-down hoop with clover pendant (12mm internal)</v>
      </c>
      <c r="N1013" s="33">
        <f>quantInv[[#This Row],[UNIT
VALUE]] / EURtoGBP</f>
        <v>8.0025880710357392E-2</v>
      </c>
      <c r="O1013" s="33">
        <f>quantInv[[#This Row],[UNIT
VALUE]]/USDtoGBP</f>
        <v>9.6643787449467625E-2</v>
      </c>
      <c r="P1013" s="33">
        <f>quantInv[[#This Row],[UNIT
VALUE]] / CADtoGBP</f>
        <v>0.1237096035502024</v>
      </c>
      <c r="Q1013" s="33">
        <f>quantInv[[#This Row],[UNIT
VALUE]]/AUDtoGBP</f>
        <v>0.12662547596810114</v>
      </c>
      <c r="R1013">
        <f>IFERROR(VLOOKUP(quantInv[[#This Row],[Assigned Item SKU]],skuQuantity[#All],2,FALSE),0)</f>
        <v>0</v>
      </c>
      <c r="S1013" t="str">
        <f>PROPER(quantInv[[#This Row],[Metal]] &amp; " " &amp; quantInv[[#This Row],[Item Type]])</f>
        <v xml:space="preserve">925 Silver </v>
      </c>
      <c r="T1013" s="33">
        <f>quantInv[[#This Row],[Quantity]]*quantInv[[#This Row],[WEIGHT]]</f>
        <v>0</v>
      </c>
      <c r="U1013" s="33">
        <f>quantInv[[#This Row],[UNIT
VALUE]]*quantInv[[#This Row],[Quantity]]</f>
        <v>0</v>
      </c>
      <c r="V1013" s="33">
        <f>quantInv[[#This Row],[Total Cost GBP]]/EURtoGBP</f>
        <v>0</v>
      </c>
      <c r="W1013" s="33">
        <f>quantInv[[#This Row],[Total Cost GBP]]/USDtoGBP</f>
        <v>0</v>
      </c>
      <c r="X1013" s="33">
        <f>quantInv[[#This Row],[Total Cost GBP]]/CADtoGBP</f>
        <v>0</v>
      </c>
      <c r="Y1013" s="33">
        <f>quantInv[[#This Row],[Quantity]]*quantInv[[#This Row],[UNIT
VALUE AUD]]</f>
        <v>0</v>
      </c>
      <c r="Z1013" s="33"/>
    </row>
    <row r="1014" spans="1:26" x14ac:dyDescent="0.25">
      <c r="A1014" t="s">
        <v>2489</v>
      </c>
      <c r="C1014" t="s">
        <v>114</v>
      </c>
      <c r="D1014" t="s">
        <v>2490</v>
      </c>
      <c r="E1014">
        <v>0</v>
      </c>
      <c r="F1014" s="33">
        <v>7.0499999999999993E-2</v>
      </c>
      <c r="G1014" s="33" t="s">
        <v>117</v>
      </c>
      <c r="H1014" t="s">
        <v>2875</v>
      </c>
      <c r="I1014" t="str">
        <f>IF(quantInv[[#This Row],[Metal]] = "925 Silver",  "7113.11.00"," 7113.19.00")</f>
        <v>7113.11.00</v>
      </c>
      <c r="J1014" t="str">
        <f>IF(quantInv[[#This Row],[Metal]] = "925 Silver", "7113.11.10.00"," 7113.19.10.00")</f>
        <v>7113.11.10.00</v>
      </c>
      <c r="K1014" t="str">
        <f>IF(quantInv[[#This Row],[Metal]] = "925 Silver",  "7113.11.00"," 7113.19.00")</f>
        <v>7113.11.00</v>
      </c>
      <c r="L1014" t="str">
        <f>IFERROR(VLOOKUP(quantInv[[#This Row],[Description for New Invoice]],Map!$G$12:$H$32,2,FALSE), IF(quantInv[[#This Row],[Metal]] = "925 Silver", "7113.11.10.00", "7113.19.29.00"))</f>
        <v>7113.11.10.00</v>
      </c>
      <c r="M1014" t="str">
        <f>quantInv[[#This Row],[ASIN]] &amp; " " &amp; quantInv[[#This Row],[Short Description]]</f>
        <v xml:space="preserve"> Silver click-down hoop with star silhouette pendant (12mm internal)</v>
      </c>
      <c r="N1014" s="33">
        <f>quantInv[[#This Row],[UNIT
VALUE]] / EURtoGBP</f>
        <v>8.0025880710357392E-2</v>
      </c>
      <c r="O1014" s="33">
        <f>quantInv[[#This Row],[UNIT
VALUE]]/USDtoGBP</f>
        <v>9.6643787449467625E-2</v>
      </c>
      <c r="P1014" s="33">
        <f>quantInv[[#This Row],[UNIT
VALUE]] / CADtoGBP</f>
        <v>0.1237096035502024</v>
      </c>
      <c r="Q1014" s="33">
        <f>quantInv[[#This Row],[UNIT
VALUE]]/AUDtoGBP</f>
        <v>0.12662547596810114</v>
      </c>
      <c r="R1014">
        <f>IFERROR(VLOOKUP(quantInv[[#This Row],[Assigned Item SKU]],skuQuantity[#All],2,FALSE),0)</f>
        <v>0</v>
      </c>
      <c r="S1014" t="str">
        <f>PROPER(quantInv[[#This Row],[Metal]] &amp; " " &amp; quantInv[[#This Row],[Item Type]])</f>
        <v xml:space="preserve">925 Silver </v>
      </c>
      <c r="T1014" s="33">
        <f>quantInv[[#This Row],[Quantity]]*quantInv[[#This Row],[WEIGHT]]</f>
        <v>0</v>
      </c>
      <c r="U1014" s="33">
        <f>quantInv[[#This Row],[UNIT
VALUE]]*quantInv[[#This Row],[Quantity]]</f>
        <v>0</v>
      </c>
      <c r="V1014" s="33">
        <f>quantInv[[#This Row],[Total Cost GBP]]/EURtoGBP</f>
        <v>0</v>
      </c>
      <c r="W1014" s="33">
        <f>quantInv[[#This Row],[Total Cost GBP]]/USDtoGBP</f>
        <v>0</v>
      </c>
      <c r="X1014" s="33">
        <f>quantInv[[#This Row],[Total Cost GBP]]/CADtoGBP</f>
        <v>0</v>
      </c>
      <c r="Y1014" s="33">
        <f>quantInv[[#This Row],[Quantity]]*quantInv[[#This Row],[UNIT
VALUE AUD]]</f>
        <v>0</v>
      </c>
      <c r="Z1014" s="33"/>
    </row>
    <row r="1015" spans="1:26" x14ac:dyDescent="0.25">
      <c r="A1015" t="s">
        <v>2491</v>
      </c>
      <c r="C1015" t="s">
        <v>114</v>
      </c>
      <c r="D1015" t="s">
        <v>2492</v>
      </c>
      <c r="E1015">
        <v>0</v>
      </c>
      <c r="F1015" s="33">
        <v>7.0499999999999993E-2</v>
      </c>
      <c r="G1015" s="33" t="s">
        <v>117</v>
      </c>
      <c r="H1015" t="s">
        <v>2875</v>
      </c>
      <c r="I1015" t="str">
        <f>IF(quantInv[[#This Row],[Metal]] = "925 Silver",  "7113.11.00"," 7113.19.00")</f>
        <v>7113.11.00</v>
      </c>
      <c r="J1015" t="str">
        <f>IF(quantInv[[#This Row],[Metal]] = "925 Silver", "7113.11.10.00"," 7113.19.10.00")</f>
        <v>7113.11.10.00</v>
      </c>
      <c r="K1015" t="str">
        <f>IF(quantInv[[#This Row],[Metal]] = "925 Silver",  "7113.11.00"," 7113.19.00")</f>
        <v>7113.11.00</v>
      </c>
      <c r="L1015" t="str">
        <f>IFERROR(VLOOKUP(quantInv[[#This Row],[Description for New Invoice]],Map!$G$12:$H$32,2,FALSE), IF(quantInv[[#This Row],[Metal]] = "925 Silver", "7113.11.10.00", "7113.19.29.00"))</f>
        <v>7113.11.10.00</v>
      </c>
      <c r="M1015" t="str">
        <f>quantInv[[#This Row],[ASIN]] &amp; " " &amp; quantInv[[#This Row],[Short Description]]</f>
        <v xml:space="preserve"> Silver click-down hoop with flat star pendant (12mm internal)</v>
      </c>
      <c r="N1015" s="33">
        <f>quantInv[[#This Row],[UNIT
VALUE]] / EURtoGBP</f>
        <v>8.0025880710357392E-2</v>
      </c>
      <c r="O1015" s="33">
        <f>quantInv[[#This Row],[UNIT
VALUE]]/USDtoGBP</f>
        <v>9.6643787449467625E-2</v>
      </c>
      <c r="P1015" s="33">
        <f>quantInv[[#This Row],[UNIT
VALUE]] / CADtoGBP</f>
        <v>0.1237096035502024</v>
      </c>
      <c r="Q1015" s="33">
        <f>quantInv[[#This Row],[UNIT
VALUE]]/AUDtoGBP</f>
        <v>0.12662547596810114</v>
      </c>
      <c r="R1015">
        <f>IFERROR(VLOOKUP(quantInv[[#This Row],[Assigned Item SKU]],skuQuantity[#All],2,FALSE),0)</f>
        <v>0</v>
      </c>
      <c r="S1015" t="str">
        <f>PROPER(quantInv[[#This Row],[Metal]] &amp; " " &amp; quantInv[[#This Row],[Item Type]])</f>
        <v xml:space="preserve">925 Silver </v>
      </c>
      <c r="T1015" s="33">
        <f>quantInv[[#This Row],[Quantity]]*quantInv[[#This Row],[WEIGHT]]</f>
        <v>0</v>
      </c>
      <c r="U1015" s="33">
        <f>quantInv[[#This Row],[UNIT
VALUE]]*quantInv[[#This Row],[Quantity]]</f>
        <v>0</v>
      </c>
      <c r="V1015" s="33">
        <f>quantInv[[#This Row],[Total Cost GBP]]/EURtoGBP</f>
        <v>0</v>
      </c>
      <c r="W1015" s="33">
        <f>quantInv[[#This Row],[Total Cost GBP]]/USDtoGBP</f>
        <v>0</v>
      </c>
      <c r="X1015" s="33">
        <f>quantInv[[#This Row],[Total Cost GBP]]/CADtoGBP</f>
        <v>0</v>
      </c>
      <c r="Y1015" s="33">
        <f>quantInv[[#This Row],[Quantity]]*quantInv[[#This Row],[UNIT
VALUE AUD]]</f>
        <v>0</v>
      </c>
      <c r="Z1015" s="33"/>
    </row>
    <row r="1016" spans="1:26" x14ac:dyDescent="0.25">
      <c r="A1016" t="s">
        <v>2493</v>
      </c>
      <c r="C1016" t="s">
        <v>114</v>
      </c>
      <c r="D1016" t="s">
        <v>2494</v>
      </c>
      <c r="E1016">
        <v>0</v>
      </c>
      <c r="F1016" s="33">
        <v>7.0499999999999993E-2</v>
      </c>
      <c r="G1016" s="33" t="s">
        <v>117</v>
      </c>
      <c r="H1016" t="s">
        <v>2875</v>
      </c>
      <c r="I1016" t="str">
        <f>IF(quantInv[[#This Row],[Metal]] = "925 Silver",  "7113.11.00"," 7113.19.00")</f>
        <v>7113.11.00</v>
      </c>
      <c r="J1016" t="str">
        <f>IF(quantInv[[#This Row],[Metal]] = "925 Silver", "7113.11.10.00"," 7113.19.10.00")</f>
        <v>7113.11.10.00</v>
      </c>
      <c r="K1016" t="str">
        <f>IF(quantInv[[#This Row],[Metal]] = "925 Silver",  "7113.11.00"," 7113.19.00")</f>
        <v>7113.11.00</v>
      </c>
      <c r="L1016" t="str">
        <f>IFERROR(VLOOKUP(quantInv[[#This Row],[Description for New Invoice]],Map!$G$12:$H$32,2,FALSE), IF(quantInv[[#This Row],[Metal]] = "925 Silver", "7113.11.10.00", "7113.19.29.00"))</f>
        <v>7113.11.10.00</v>
      </c>
      <c r="M1016" t="str">
        <f>quantInv[[#This Row],[ASIN]] &amp; " " &amp; quantInv[[#This Row],[Short Description]]</f>
        <v xml:space="preserve"> Silver click-down hoop with CZ cross pendant (12mm internal)</v>
      </c>
      <c r="N1016" s="33">
        <f>quantInv[[#This Row],[UNIT
VALUE]] / EURtoGBP</f>
        <v>8.0025880710357392E-2</v>
      </c>
      <c r="O1016" s="33">
        <f>quantInv[[#This Row],[UNIT
VALUE]]/USDtoGBP</f>
        <v>9.6643787449467625E-2</v>
      </c>
      <c r="P1016" s="33">
        <f>quantInv[[#This Row],[UNIT
VALUE]] / CADtoGBP</f>
        <v>0.1237096035502024</v>
      </c>
      <c r="Q1016" s="33">
        <f>quantInv[[#This Row],[UNIT
VALUE]]/AUDtoGBP</f>
        <v>0.12662547596810114</v>
      </c>
      <c r="R1016">
        <f>IFERROR(VLOOKUP(quantInv[[#This Row],[Assigned Item SKU]],skuQuantity[#All],2,FALSE),0)</f>
        <v>0</v>
      </c>
      <c r="S1016" t="str">
        <f>PROPER(quantInv[[#This Row],[Metal]] &amp; " " &amp; quantInv[[#This Row],[Item Type]])</f>
        <v xml:space="preserve">925 Silver </v>
      </c>
      <c r="T1016" s="33">
        <f>quantInv[[#This Row],[Quantity]]*quantInv[[#This Row],[WEIGHT]]</f>
        <v>0</v>
      </c>
      <c r="U1016" s="33">
        <f>quantInv[[#This Row],[UNIT
VALUE]]*quantInv[[#This Row],[Quantity]]</f>
        <v>0</v>
      </c>
      <c r="V1016" s="33">
        <f>quantInv[[#This Row],[Total Cost GBP]]/EURtoGBP</f>
        <v>0</v>
      </c>
      <c r="W1016" s="33">
        <f>quantInv[[#This Row],[Total Cost GBP]]/USDtoGBP</f>
        <v>0</v>
      </c>
      <c r="X1016" s="33">
        <f>quantInv[[#This Row],[Total Cost GBP]]/CADtoGBP</f>
        <v>0</v>
      </c>
      <c r="Y1016" s="33">
        <f>quantInv[[#This Row],[Quantity]]*quantInv[[#This Row],[UNIT
VALUE AUD]]</f>
        <v>0</v>
      </c>
      <c r="Z1016" s="33"/>
    </row>
    <row r="1017" spans="1:26" x14ac:dyDescent="0.25">
      <c r="A1017" t="s">
        <v>2495</v>
      </c>
      <c r="C1017" t="s">
        <v>114</v>
      </c>
      <c r="D1017" t="s">
        <v>2496</v>
      </c>
      <c r="E1017">
        <v>0</v>
      </c>
      <c r="F1017" s="33">
        <v>7.0499999999999993E-2</v>
      </c>
      <c r="G1017" s="33" t="s">
        <v>117</v>
      </c>
      <c r="H1017" t="s">
        <v>2875</v>
      </c>
      <c r="I1017" t="str">
        <f>IF(quantInv[[#This Row],[Metal]] = "925 Silver",  "7113.11.00"," 7113.19.00")</f>
        <v>7113.11.00</v>
      </c>
      <c r="J1017" t="str">
        <f>IF(quantInv[[#This Row],[Metal]] = "925 Silver", "7113.11.10.00"," 7113.19.10.00")</f>
        <v>7113.11.10.00</v>
      </c>
      <c r="K1017" t="str">
        <f>IF(quantInv[[#This Row],[Metal]] = "925 Silver",  "7113.11.00"," 7113.19.00")</f>
        <v>7113.11.00</v>
      </c>
      <c r="L1017" t="str">
        <f>IFERROR(VLOOKUP(quantInv[[#This Row],[Description for New Invoice]],Map!$G$12:$H$32,2,FALSE), IF(quantInv[[#This Row],[Metal]] = "925 Silver", "7113.11.10.00", "7113.19.29.00"))</f>
        <v>7113.11.10.00</v>
      </c>
      <c r="M1017" t="str">
        <f>quantInv[[#This Row],[ASIN]] &amp; " " &amp; quantInv[[#This Row],[Short Description]]</f>
        <v xml:space="preserve"> Silver click-down hoop with CZ heart silhouette pendant (12mm internal)</v>
      </c>
      <c r="N1017" s="33">
        <f>quantInv[[#This Row],[UNIT
VALUE]] / EURtoGBP</f>
        <v>8.0025880710357392E-2</v>
      </c>
      <c r="O1017" s="33">
        <f>quantInv[[#This Row],[UNIT
VALUE]]/USDtoGBP</f>
        <v>9.6643787449467625E-2</v>
      </c>
      <c r="P1017" s="33">
        <f>quantInv[[#This Row],[UNIT
VALUE]] / CADtoGBP</f>
        <v>0.1237096035502024</v>
      </c>
      <c r="Q1017" s="33">
        <f>quantInv[[#This Row],[UNIT
VALUE]]/AUDtoGBP</f>
        <v>0.12662547596810114</v>
      </c>
      <c r="R1017">
        <f>IFERROR(VLOOKUP(quantInv[[#This Row],[Assigned Item SKU]],skuQuantity[#All],2,FALSE),0)</f>
        <v>0</v>
      </c>
      <c r="S1017" t="str">
        <f>PROPER(quantInv[[#This Row],[Metal]] &amp; " " &amp; quantInv[[#This Row],[Item Type]])</f>
        <v xml:space="preserve">925 Silver </v>
      </c>
      <c r="T1017" s="33">
        <f>quantInv[[#This Row],[Quantity]]*quantInv[[#This Row],[WEIGHT]]</f>
        <v>0</v>
      </c>
      <c r="U1017" s="33">
        <f>quantInv[[#This Row],[UNIT
VALUE]]*quantInv[[#This Row],[Quantity]]</f>
        <v>0</v>
      </c>
      <c r="V1017" s="33">
        <f>quantInv[[#This Row],[Total Cost GBP]]/EURtoGBP</f>
        <v>0</v>
      </c>
      <c r="W1017" s="33">
        <f>quantInv[[#This Row],[Total Cost GBP]]/USDtoGBP</f>
        <v>0</v>
      </c>
      <c r="X1017" s="33">
        <f>quantInv[[#This Row],[Total Cost GBP]]/CADtoGBP</f>
        <v>0</v>
      </c>
      <c r="Y1017" s="33">
        <f>quantInv[[#This Row],[Quantity]]*quantInv[[#This Row],[UNIT
VALUE AUD]]</f>
        <v>0</v>
      </c>
      <c r="Z1017" s="33"/>
    </row>
    <row r="1018" spans="1:26" x14ac:dyDescent="0.25">
      <c r="A1018" t="s">
        <v>2497</v>
      </c>
      <c r="C1018" t="s">
        <v>114</v>
      </c>
      <c r="D1018" t="s">
        <v>2498</v>
      </c>
      <c r="E1018">
        <v>0</v>
      </c>
      <c r="F1018" s="33">
        <v>7.0499999999999993E-2</v>
      </c>
      <c r="G1018" s="33" t="s">
        <v>117</v>
      </c>
      <c r="H1018" t="s">
        <v>2875</v>
      </c>
      <c r="I1018" t="str">
        <f>IF(quantInv[[#This Row],[Metal]] = "925 Silver",  "7113.11.00"," 7113.19.00")</f>
        <v>7113.11.00</v>
      </c>
      <c r="J1018" t="str">
        <f>IF(quantInv[[#This Row],[Metal]] = "925 Silver", "7113.11.10.00"," 7113.19.10.00")</f>
        <v>7113.11.10.00</v>
      </c>
      <c r="K1018" t="str">
        <f>IF(quantInv[[#This Row],[Metal]] = "925 Silver",  "7113.11.00"," 7113.19.00")</f>
        <v>7113.11.00</v>
      </c>
      <c r="L1018" t="str">
        <f>IFERROR(VLOOKUP(quantInv[[#This Row],[Description for New Invoice]],Map!$G$12:$H$32,2,FALSE), IF(quantInv[[#This Row],[Metal]] = "925 Silver", "7113.11.10.00", "7113.19.29.00"))</f>
        <v>7113.11.10.00</v>
      </c>
      <c r="M1018" t="str">
        <f>quantInv[[#This Row],[ASIN]] &amp; " " &amp; quantInv[[#This Row],[Short Description]]</f>
        <v xml:space="preserve"> Silver click-down hoop with CZ snake pendant (12mm internal)</v>
      </c>
      <c r="N1018" s="33">
        <f>quantInv[[#This Row],[UNIT
VALUE]] / EURtoGBP</f>
        <v>8.0025880710357392E-2</v>
      </c>
      <c r="O1018" s="33">
        <f>quantInv[[#This Row],[UNIT
VALUE]]/USDtoGBP</f>
        <v>9.6643787449467625E-2</v>
      </c>
      <c r="P1018" s="33">
        <f>quantInv[[#This Row],[UNIT
VALUE]] / CADtoGBP</f>
        <v>0.1237096035502024</v>
      </c>
      <c r="Q1018" s="33">
        <f>quantInv[[#This Row],[UNIT
VALUE]]/AUDtoGBP</f>
        <v>0.12662547596810114</v>
      </c>
      <c r="R1018">
        <f>IFERROR(VLOOKUP(quantInv[[#This Row],[Assigned Item SKU]],skuQuantity[#All],2,FALSE),0)</f>
        <v>0</v>
      </c>
      <c r="S1018" t="str">
        <f>PROPER(quantInv[[#This Row],[Metal]] &amp; " " &amp; quantInv[[#This Row],[Item Type]])</f>
        <v xml:space="preserve">925 Silver </v>
      </c>
      <c r="T1018" s="33">
        <f>quantInv[[#This Row],[Quantity]]*quantInv[[#This Row],[WEIGHT]]</f>
        <v>0</v>
      </c>
      <c r="U1018" s="33">
        <f>quantInv[[#This Row],[UNIT
VALUE]]*quantInv[[#This Row],[Quantity]]</f>
        <v>0</v>
      </c>
      <c r="V1018" s="33">
        <f>quantInv[[#This Row],[Total Cost GBP]]/EURtoGBP</f>
        <v>0</v>
      </c>
      <c r="W1018" s="33">
        <f>quantInv[[#This Row],[Total Cost GBP]]/USDtoGBP</f>
        <v>0</v>
      </c>
      <c r="X1018" s="33">
        <f>quantInv[[#This Row],[Total Cost GBP]]/CADtoGBP</f>
        <v>0</v>
      </c>
      <c r="Y1018" s="33">
        <f>quantInv[[#This Row],[Quantity]]*quantInv[[#This Row],[UNIT
VALUE AUD]]</f>
        <v>0</v>
      </c>
      <c r="Z1018" s="33"/>
    </row>
    <row r="1019" spans="1:26" x14ac:dyDescent="0.25">
      <c r="A1019" t="s">
        <v>2499</v>
      </c>
      <c r="C1019" t="s">
        <v>114</v>
      </c>
      <c r="D1019" t="s">
        <v>2500</v>
      </c>
      <c r="E1019">
        <v>0</v>
      </c>
      <c r="F1019" s="33">
        <v>7.0499999999999993E-2</v>
      </c>
      <c r="G1019" s="33" t="s">
        <v>117</v>
      </c>
      <c r="H1019" t="s">
        <v>2875</v>
      </c>
      <c r="I1019" t="str">
        <f>IF(quantInv[[#This Row],[Metal]] = "925 Silver",  "7113.11.00"," 7113.19.00")</f>
        <v>7113.11.00</v>
      </c>
      <c r="J1019" t="str">
        <f>IF(quantInv[[#This Row],[Metal]] = "925 Silver", "7113.11.10.00"," 7113.19.10.00")</f>
        <v>7113.11.10.00</v>
      </c>
      <c r="K1019" t="str">
        <f>IF(quantInv[[#This Row],[Metal]] = "925 Silver",  "7113.11.00"," 7113.19.00")</f>
        <v>7113.11.00</v>
      </c>
      <c r="L1019" t="str">
        <f>IFERROR(VLOOKUP(quantInv[[#This Row],[Description for New Invoice]],Map!$G$12:$H$32,2,FALSE), IF(quantInv[[#This Row],[Metal]] = "925 Silver", "7113.11.10.00", "7113.19.29.00"))</f>
        <v>7113.11.10.00</v>
      </c>
      <c r="M1019" t="str">
        <f>quantInv[[#This Row],[ASIN]] &amp; " " &amp; quantInv[[#This Row],[Short Description]]</f>
        <v xml:space="preserve"> Silver click-down hoop with pearl pendant (12mm internal)</v>
      </c>
      <c r="N1019" s="33">
        <f>quantInv[[#This Row],[UNIT
VALUE]] / EURtoGBP</f>
        <v>8.0025880710357392E-2</v>
      </c>
      <c r="O1019" s="33">
        <f>quantInv[[#This Row],[UNIT
VALUE]]/USDtoGBP</f>
        <v>9.6643787449467625E-2</v>
      </c>
      <c r="P1019" s="33">
        <f>quantInv[[#This Row],[UNIT
VALUE]] / CADtoGBP</f>
        <v>0.1237096035502024</v>
      </c>
      <c r="Q1019" s="33">
        <f>quantInv[[#This Row],[UNIT
VALUE]]/AUDtoGBP</f>
        <v>0.12662547596810114</v>
      </c>
      <c r="R1019">
        <f>IFERROR(VLOOKUP(quantInv[[#This Row],[Assigned Item SKU]],skuQuantity[#All],2,FALSE),0)</f>
        <v>0</v>
      </c>
      <c r="S1019" t="str">
        <f>PROPER(quantInv[[#This Row],[Metal]] &amp; " " &amp; quantInv[[#This Row],[Item Type]])</f>
        <v xml:space="preserve">925 Silver </v>
      </c>
      <c r="T1019" s="33">
        <f>quantInv[[#This Row],[Quantity]]*quantInv[[#This Row],[WEIGHT]]</f>
        <v>0</v>
      </c>
      <c r="U1019" s="33">
        <f>quantInv[[#This Row],[UNIT
VALUE]]*quantInv[[#This Row],[Quantity]]</f>
        <v>0</v>
      </c>
      <c r="V1019" s="33">
        <f>quantInv[[#This Row],[Total Cost GBP]]/EURtoGBP</f>
        <v>0</v>
      </c>
      <c r="W1019" s="33">
        <f>quantInv[[#This Row],[Total Cost GBP]]/USDtoGBP</f>
        <v>0</v>
      </c>
      <c r="X1019" s="33">
        <f>quantInv[[#This Row],[Total Cost GBP]]/CADtoGBP</f>
        <v>0</v>
      </c>
      <c r="Y1019" s="33">
        <f>quantInv[[#This Row],[Quantity]]*quantInv[[#This Row],[UNIT
VALUE AUD]]</f>
        <v>0</v>
      </c>
      <c r="Z1019" s="33"/>
    </row>
    <row r="1020" spans="1:26" x14ac:dyDescent="0.25">
      <c r="A1020" t="s">
        <v>2501</v>
      </c>
      <c r="C1020" t="s">
        <v>114</v>
      </c>
      <c r="D1020" t="s">
        <v>2502</v>
      </c>
      <c r="E1020">
        <v>0</v>
      </c>
      <c r="F1020" s="33">
        <v>7.0499999999999993E-2</v>
      </c>
      <c r="G1020" s="33" t="s">
        <v>117</v>
      </c>
      <c r="H1020" t="s">
        <v>2875</v>
      </c>
      <c r="I1020" t="str">
        <f>IF(quantInv[[#This Row],[Metal]] = "925 Silver",  "7113.11.00"," 7113.19.00")</f>
        <v>7113.11.00</v>
      </c>
      <c r="J1020" t="str">
        <f>IF(quantInv[[#This Row],[Metal]] = "925 Silver", "7113.11.10.00"," 7113.19.10.00")</f>
        <v>7113.11.10.00</v>
      </c>
      <c r="K1020" t="str">
        <f>IF(quantInv[[#This Row],[Metal]] = "925 Silver",  "7113.11.00"," 7113.19.00")</f>
        <v>7113.11.00</v>
      </c>
      <c r="L1020" t="str">
        <f>IFERROR(VLOOKUP(quantInv[[#This Row],[Description for New Invoice]],Map!$G$12:$H$32,2,FALSE), IF(quantInv[[#This Row],[Metal]] = "925 Silver", "7113.11.10.00", "7113.19.29.00"))</f>
        <v>7113.11.10.00</v>
      </c>
      <c r="M1020" t="str">
        <f>quantInv[[#This Row],[ASIN]] &amp; " " &amp; quantInv[[#This Row],[Short Description]]</f>
        <v xml:space="preserve"> Open thin hammered bangle in silver</v>
      </c>
      <c r="N1020" s="33">
        <f>quantInv[[#This Row],[UNIT
VALUE]] / EURtoGBP</f>
        <v>8.0025880710357392E-2</v>
      </c>
      <c r="O1020" s="33">
        <f>quantInv[[#This Row],[UNIT
VALUE]]/USDtoGBP</f>
        <v>9.6643787449467625E-2</v>
      </c>
      <c r="P1020" s="33">
        <f>quantInv[[#This Row],[UNIT
VALUE]] / CADtoGBP</f>
        <v>0.1237096035502024</v>
      </c>
      <c r="Q1020" s="33">
        <f>quantInv[[#This Row],[UNIT
VALUE]]/AUDtoGBP</f>
        <v>0.12662547596810114</v>
      </c>
      <c r="R1020">
        <f>IFERROR(VLOOKUP(quantInv[[#This Row],[Assigned Item SKU]],skuQuantity[#All],2,FALSE),0)</f>
        <v>0</v>
      </c>
      <c r="S1020" t="str">
        <f>PROPER(quantInv[[#This Row],[Metal]] &amp; " " &amp; quantInv[[#This Row],[Item Type]])</f>
        <v xml:space="preserve">925 Silver </v>
      </c>
      <c r="T1020" s="33">
        <f>quantInv[[#This Row],[Quantity]]*quantInv[[#This Row],[WEIGHT]]</f>
        <v>0</v>
      </c>
      <c r="U1020" s="33">
        <f>quantInv[[#This Row],[UNIT
VALUE]]*quantInv[[#This Row],[Quantity]]</f>
        <v>0</v>
      </c>
      <c r="V1020" s="33">
        <f>quantInv[[#This Row],[Total Cost GBP]]/EURtoGBP</f>
        <v>0</v>
      </c>
      <c r="W1020" s="33">
        <f>quantInv[[#This Row],[Total Cost GBP]]/USDtoGBP</f>
        <v>0</v>
      </c>
      <c r="X1020" s="33">
        <f>quantInv[[#This Row],[Total Cost GBP]]/CADtoGBP</f>
        <v>0</v>
      </c>
      <c r="Y1020" s="33">
        <f>quantInv[[#This Row],[Quantity]]*quantInv[[#This Row],[UNIT
VALUE AUD]]</f>
        <v>0</v>
      </c>
      <c r="Z1020" s="33"/>
    </row>
    <row r="1021" spans="1:26" x14ac:dyDescent="0.25">
      <c r="A1021" t="s">
        <v>2503</v>
      </c>
      <c r="C1021" t="s">
        <v>114</v>
      </c>
      <c r="D1021" t="s">
        <v>2504</v>
      </c>
      <c r="E1021">
        <v>0</v>
      </c>
      <c r="F1021" s="33">
        <v>7.0499999999999993E-2</v>
      </c>
      <c r="G1021" s="33" t="s">
        <v>117</v>
      </c>
      <c r="H1021" t="s">
        <v>2875</v>
      </c>
      <c r="I1021" t="str">
        <f>IF(quantInv[[#This Row],[Metal]] = "925 Silver",  "7113.11.00"," 7113.19.00")</f>
        <v>7113.11.00</v>
      </c>
      <c r="J1021" t="str">
        <f>IF(quantInv[[#This Row],[Metal]] = "925 Silver", "7113.11.10.00"," 7113.19.10.00")</f>
        <v>7113.11.10.00</v>
      </c>
      <c r="K1021" t="str">
        <f>IF(quantInv[[#This Row],[Metal]] = "925 Silver",  "7113.11.00"," 7113.19.00")</f>
        <v>7113.11.00</v>
      </c>
      <c r="L1021" t="str">
        <f>IFERROR(VLOOKUP(quantInv[[#This Row],[Description for New Invoice]],Map!$G$12:$H$32,2,FALSE), IF(quantInv[[#This Row],[Metal]] = "925 Silver", "7113.11.10.00", "7113.19.29.00"))</f>
        <v>7113.11.10.00</v>
      </c>
      <c r="M1021" t="str">
        <f>quantInv[[#This Row],[ASIN]] &amp; " " &amp; quantInv[[#This Row],[Short Description]]</f>
        <v xml:space="preserve"> Open thin hammered bangle in GP</v>
      </c>
      <c r="N1021" s="33">
        <f>quantInv[[#This Row],[UNIT
VALUE]] / EURtoGBP</f>
        <v>8.0025880710357392E-2</v>
      </c>
      <c r="O1021" s="33">
        <f>quantInv[[#This Row],[UNIT
VALUE]]/USDtoGBP</f>
        <v>9.6643787449467625E-2</v>
      </c>
      <c r="P1021" s="33">
        <f>quantInv[[#This Row],[UNIT
VALUE]] / CADtoGBP</f>
        <v>0.1237096035502024</v>
      </c>
      <c r="Q1021" s="33">
        <f>quantInv[[#This Row],[UNIT
VALUE]]/AUDtoGBP</f>
        <v>0.12662547596810114</v>
      </c>
      <c r="R1021">
        <f>IFERROR(VLOOKUP(quantInv[[#This Row],[Assigned Item SKU]],skuQuantity[#All],2,FALSE),0)</f>
        <v>0</v>
      </c>
      <c r="S1021" t="str">
        <f>PROPER(quantInv[[#This Row],[Metal]] &amp; " " &amp; quantInv[[#This Row],[Item Type]])</f>
        <v xml:space="preserve">925 Silver </v>
      </c>
      <c r="T1021" s="33">
        <f>quantInv[[#This Row],[Quantity]]*quantInv[[#This Row],[WEIGHT]]</f>
        <v>0</v>
      </c>
      <c r="U1021" s="33">
        <f>quantInv[[#This Row],[UNIT
VALUE]]*quantInv[[#This Row],[Quantity]]</f>
        <v>0</v>
      </c>
      <c r="V1021" s="33">
        <f>quantInv[[#This Row],[Total Cost GBP]]/EURtoGBP</f>
        <v>0</v>
      </c>
      <c r="W1021" s="33">
        <f>quantInv[[#This Row],[Total Cost GBP]]/USDtoGBP</f>
        <v>0</v>
      </c>
      <c r="X1021" s="33">
        <f>quantInv[[#This Row],[Total Cost GBP]]/CADtoGBP</f>
        <v>0</v>
      </c>
      <c r="Y1021" s="33">
        <f>quantInv[[#This Row],[Quantity]]*quantInv[[#This Row],[UNIT
VALUE AUD]]</f>
        <v>0</v>
      </c>
      <c r="Z1021" s="33"/>
    </row>
    <row r="1022" spans="1:26" x14ac:dyDescent="0.25">
      <c r="A1022" t="s">
        <v>2505</v>
      </c>
      <c r="C1022" t="s">
        <v>114</v>
      </c>
      <c r="D1022" t="s">
        <v>2506</v>
      </c>
      <c r="E1022">
        <v>0</v>
      </c>
      <c r="F1022" s="33">
        <v>7.0499999999999993E-2</v>
      </c>
      <c r="G1022" s="33" t="s">
        <v>117</v>
      </c>
      <c r="H1022" t="s">
        <v>2875</v>
      </c>
      <c r="I1022" t="str">
        <f>IF(quantInv[[#This Row],[Metal]] = "925 Silver",  "7113.11.00"," 7113.19.00")</f>
        <v>7113.11.00</v>
      </c>
      <c r="J1022" t="str">
        <f>IF(quantInv[[#This Row],[Metal]] = "925 Silver", "7113.11.10.00"," 7113.19.10.00")</f>
        <v>7113.11.10.00</v>
      </c>
      <c r="K1022" t="str">
        <f>IF(quantInv[[#This Row],[Metal]] = "925 Silver",  "7113.11.00"," 7113.19.00")</f>
        <v>7113.11.00</v>
      </c>
      <c r="L1022" t="str">
        <f>IFERROR(VLOOKUP(quantInv[[#This Row],[Description for New Invoice]],Map!$G$12:$H$32,2,FALSE), IF(quantInv[[#This Row],[Metal]] = "925 Silver", "7113.11.10.00", "7113.19.29.00"))</f>
        <v>7113.11.10.00</v>
      </c>
      <c r="M1022" t="str">
        <f>quantInv[[#This Row],[ASIN]] &amp; " " &amp; quantInv[[#This Row],[Short Description]]</f>
        <v xml:space="preserve"> Open thick hammered bangle in silver</v>
      </c>
      <c r="N1022" s="33">
        <f>quantInv[[#This Row],[UNIT
VALUE]] / EURtoGBP</f>
        <v>8.0025880710357392E-2</v>
      </c>
      <c r="O1022" s="33">
        <f>quantInv[[#This Row],[UNIT
VALUE]]/USDtoGBP</f>
        <v>9.6643787449467625E-2</v>
      </c>
      <c r="P1022" s="33">
        <f>quantInv[[#This Row],[UNIT
VALUE]] / CADtoGBP</f>
        <v>0.1237096035502024</v>
      </c>
      <c r="Q1022" s="33">
        <f>quantInv[[#This Row],[UNIT
VALUE]]/AUDtoGBP</f>
        <v>0.12662547596810114</v>
      </c>
      <c r="R1022">
        <f>IFERROR(VLOOKUP(quantInv[[#This Row],[Assigned Item SKU]],skuQuantity[#All],2,FALSE),0)</f>
        <v>0</v>
      </c>
      <c r="S1022" t="str">
        <f>PROPER(quantInv[[#This Row],[Metal]] &amp; " " &amp; quantInv[[#This Row],[Item Type]])</f>
        <v xml:space="preserve">925 Silver </v>
      </c>
      <c r="T1022" s="33">
        <f>quantInv[[#This Row],[Quantity]]*quantInv[[#This Row],[WEIGHT]]</f>
        <v>0</v>
      </c>
      <c r="U1022" s="33">
        <f>quantInv[[#This Row],[UNIT
VALUE]]*quantInv[[#This Row],[Quantity]]</f>
        <v>0</v>
      </c>
      <c r="V1022" s="33">
        <f>quantInv[[#This Row],[Total Cost GBP]]/EURtoGBP</f>
        <v>0</v>
      </c>
      <c r="W1022" s="33">
        <f>quantInv[[#This Row],[Total Cost GBP]]/USDtoGBP</f>
        <v>0</v>
      </c>
      <c r="X1022" s="33">
        <f>quantInv[[#This Row],[Total Cost GBP]]/CADtoGBP</f>
        <v>0</v>
      </c>
      <c r="Y1022" s="33">
        <f>quantInv[[#This Row],[Quantity]]*quantInv[[#This Row],[UNIT
VALUE AUD]]</f>
        <v>0</v>
      </c>
      <c r="Z1022" s="33"/>
    </row>
    <row r="1023" spans="1:26" x14ac:dyDescent="0.25">
      <c r="A1023" t="s">
        <v>2507</v>
      </c>
      <c r="C1023" t="s">
        <v>114</v>
      </c>
      <c r="D1023" t="s">
        <v>2508</v>
      </c>
      <c r="E1023">
        <v>0</v>
      </c>
      <c r="F1023" s="33">
        <v>7.0499999999999993E-2</v>
      </c>
      <c r="G1023" s="33" t="s">
        <v>117</v>
      </c>
      <c r="H1023" t="s">
        <v>2875</v>
      </c>
      <c r="I1023" t="str">
        <f>IF(quantInv[[#This Row],[Metal]] = "925 Silver",  "7113.11.00"," 7113.19.00")</f>
        <v>7113.11.00</v>
      </c>
      <c r="J1023" t="str">
        <f>IF(quantInv[[#This Row],[Metal]] = "925 Silver", "7113.11.10.00"," 7113.19.10.00")</f>
        <v>7113.11.10.00</v>
      </c>
      <c r="K1023" t="str">
        <f>IF(quantInv[[#This Row],[Metal]] = "925 Silver",  "7113.11.00"," 7113.19.00")</f>
        <v>7113.11.00</v>
      </c>
      <c r="L1023" t="str">
        <f>IFERROR(VLOOKUP(quantInv[[#This Row],[Description for New Invoice]],Map!$G$12:$H$32,2,FALSE), IF(quantInv[[#This Row],[Metal]] = "925 Silver", "7113.11.10.00", "7113.19.29.00"))</f>
        <v>7113.11.10.00</v>
      </c>
      <c r="M1023" t="str">
        <f>quantInv[[#This Row],[ASIN]] &amp; " " &amp; quantInv[[#This Row],[Short Description]]</f>
        <v xml:space="preserve"> Open thick hammered bangle in GP</v>
      </c>
      <c r="N1023" s="33">
        <f>quantInv[[#This Row],[UNIT
VALUE]] / EURtoGBP</f>
        <v>8.0025880710357392E-2</v>
      </c>
      <c r="O1023" s="33">
        <f>quantInv[[#This Row],[UNIT
VALUE]]/USDtoGBP</f>
        <v>9.6643787449467625E-2</v>
      </c>
      <c r="P1023" s="33">
        <f>quantInv[[#This Row],[UNIT
VALUE]] / CADtoGBP</f>
        <v>0.1237096035502024</v>
      </c>
      <c r="Q1023" s="33">
        <f>quantInv[[#This Row],[UNIT
VALUE]]/AUDtoGBP</f>
        <v>0.12662547596810114</v>
      </c>
      <c r="R1023">
        <f>IFERROR(VLOOKUP(quantInv[[#This Row],[Assigned Item SKU]],skuQuantity[#All],2,FALSE),0)</f>
        <v>0</v>
      </c>
      <c r="S1023" t="str">
        <f>PROPER(quantInv[[#This Row],[Metal]] &amp; " " &amp; quantInv[[#This Row],[Item Type]])</f>
        <v xml:space="preserve">925 Silver </v>
      </c>
      <c r="T1023" s="33">
        <f>quantInv[[#This Row],[Quantity]]*quantInv[[#This Row],[WEIGHT]]</f>
        <v>0</v>
      </c>
      <c r="U1023" s="33">
        <f>quantInv[[#This Row],[UNIT
VALUE]]*quantInv[[#This Row],[Quantity]]</f>
        <v>0</v>
      </c>
      <c r="V1023" s="33">
        <f>quantInv[[#This Row],[Total Cost GBP]]/EURtoGBP</f>
        <v>0</v>
      </c>
      <c r="W1023" s="33">
        <f>quantInv[[#This Row],[Total Cost GBP]]/USDtoGBP</f>
        <v>0</v>
      </c>
      <c r="X1023" s="33">
        <f>quantInv[[#This Row],[Total Cost GBP]]/CADtoGBP</f>
        <v>0</v>
      </c>
      <c r="Y1023" s="33">
        <f>quantInv[[#This Row],[Quantity]]*quantInv[[#This Row],[UNIT
VALUE AUD]]</f>
        <v>0</v>
      </c>
      <c r="Z1023" s="33"/>
    </row>
    <row r="1024" spans="1:26" x14ac:dyDescent="0.25">
      <c r="A1024" t="s">
        <v>2509</v>
      </c>
      <c r="C1024" t="s">
        <v>114</v>
      </c>
      <c r="D1024" t="s">
        <v>2510</v>
      </c>
      <c r="E1024">
        <v>0</v>
      </c>
      <c r="F1024" s="33">
        <v>7.0499999999999993E-2</v>
      </c>
      <c r="G1024" s="33" t="s">
        <v>2875</v>
      </c>
      <c r="H1024" t="s">
        <v>2875</v>
      </c>
      <c r="I1024" t="str">
        <f>IF(quantInv[[#This Row],[Metal]] = "925 Silver",  "7113.11.00"," 7113.19.00")</f>
        <v xml:space="preserve"> 7113.19.00</v>
      </c>
      <c r="J1024" t="str">
        <f>IF(quantInv[[#This Row],[Metal]] = "925 Silver", "7113.11.10.00"," 7113.19.10.00")</f>
        <v xml:space="preserve"> 7113.19.10.00</v>
      </c>
      <c r="K1024" t="str">
        <f>IF(quantInv[[#This Row],[Metal]] = "925 Silver",  "7113.11.00"," 7113.19.00")</f>
        <v xml:space="preserve"> 7113.19.00</v>
      </c>
      <c r="L1024" t="str">
        <f>IFERROR(VLOOKUP(quantInv[[#This Row],[Description for New Invoice]],Map!$G$12:$H$32,2,FALSE), IF(quantInv[[#This Row],[Metal]] = "925 Silver", "7113.11.10.00", "7113.19.29.00"))</f>
        <v>7113.19.29.00</v>
      </c>
      <c r="M1024" t="str">
        <f>quantInv[[#This Row],[ASIN]] &amp; " " &amp; quantInv[[#This Row],[Short Description]]</f>
        <v xml:space="preserve"> 9k Flat curb hollow chain bracelet 6mm - 20.5cm</v>
      </c>
      <c r="N1024" s="33">
        <f>quantInv[[#This Row],[UNIT
VALUE]] / EURtoGBP</f>
        <v>8.0025880710357392E-2</v>
      </c>
      <c r="O1024" s="33">
        <f>quantInv[[#This Row],[UNIT
VALUE]]/USDtoGBP</f>
        <v>9.6643787449467625E-2</v>
      </c>
      <c r="P1024" s="33">
        <f>quantInv[[#This Row],[UNIT
VALUE]] / CADtoGBP</f>
        <v>0.1237096035502024</v>
      </c>
      <c r="Q1024" s="33">
        <f>quantInv[[#This Row],[UNIT
VALUE]]/AUDtoGBP</f>
        <v>0.12662547596810114</v>
      </c>
      <c r="R1024">
        <f>IFERROR(VLOOKUP(quantInv[[#This Row],[Assigned Item SKU]],skuQuantity[#All],2,FALSE),0)</f>
        <v>0</v>
      </c>
      <c r="S1024" t="str">
        <f>PROPER(quantInv[[#This Row],[Metal]] &amp; " " &amp; quantInv[[#This Row],[Item Type]])</f>
        <v xml:space="preserve"> </v>
      </c>
      <c r="T1024" s="33">
        <f>quantInv[[#This Row],[Quantity]]*quantInv[[#This Row],[WEIGHT]]</f>
        <v>0</v>
      </c>
      <c r="U1024" s="33">
        <f>quantInv[[#This Row],[UNIT
VALUE]]*quantInv[[#This Row],[Quantity]]</f>
        <v>0</v>
      </c>
      <c r="V1024" s="33">
        <f>quantInv[[#This Row],[Total Cost GBP]]/EURtoGBP</f>
        <v>0</v>
      </c>
      <c r="W1024" s="33">
        <f>quantInv[[#This Row],[Total Cost GBP]]/USDtoGBP</f>
        <v>0</v>
      </c>
      <c r="X1024" s="33">
        <f>quantInv[[#This Row],[Total Cost GBP]]/CADtoGBP</f>
        <v>0</v>
      </c>
      <c r="Y1024" s="33">
        <f>quantInv[[#This Row],[Quantity]]*quantInv[[#This Row],[UNIT
VALUE AUD]]</f>
        <v>0</v>
      </c>
      <c r="Z1024" s="33"/>
    </row>
    <row r="1025" spans="1:26" x14ac:dyDescent="0.25">
      <c r="A1025" t="s">
        <v>2511</v>
      </c>
      <c r="C1025" t="s">
        <v>114</v>
      </c>
      <c r="D1025" t="s">
        <v>2512</v>
      </c>
      <c r="E1025">
        <v>0</v>
      </c>
      <c r="F1025" s="33">
        <v>7.0499999999999993E-2</v>
      </c>
      <c r="G1025" s="33" t="s">
        <v>2875</v>
      </c>
      <c r="H1025" t="s">
        <v>2875</v>
      </c>
      <c r="I1025" t="str">
        <f>IF(quantInv[[#This Row],[Metal]] = "925 Silver",  "7113.11.00"," 7113.19.00")</f>
        <v xml:space="preserve"> 7113.19.00</v>
      </c>
      <c r="J1025" t="str">
        <f>IF(quantInv[[#This Row],[Metal]] = "925 Silver", "7113.11.10.00"," 7113.19.10.00")</f>
        <v xml:space="preserve"> 7113.19.10.00</v>
      </c>
      <c r="K1025" t="str">
        <f>IF(quantInv[[#This Row],[Metal]] = "925 Silver",  "7113.11.00"," 7113.19.00")</f>
        <v xml:space="preserve"> 7113.19.00</v>
      </c>
      <c r="L1025" t="str">
        <f>IFERROR(VLOOKUP(quantInv[[#This Row],[Description for New Invoice]],Map!$G$12:$H$32,2,FALSE), IF(quantInv[[#This Row],[Metal]] = "925 Silver", "7113.11.10.00", "7113.19.29.00"))</f>
        <v>7113.19.29.00</v>
      </c>
      <c r="M1025" t="str">
        <f>quantInv[[#This Row],[ASIN]] &amp; " " &amp; quantInv[[#This Row],[Short Description]]</f>
        <v xml:space="preserve"> 9k Flat curb hollow chain bracelet 9mm - 20.5cm</v>
      </c>
      <c r="N1025" s="33">
        <f>quantInv[[#This Row],[UNIT
VALUE]] / EURtoGBP</f>
        <v>8.0025880710357392E-2</v>
      </c>
      <c r="O1025" s="33">
        <f>quantInv[[#This Row],[UNIT
VALUE]]/USDtoGBP</f>
        <v>9.6643787449467625E-2</v>
      </c>
      <c r="P1025" s="33">
        <f>quantInv[[#This Row],[UNIT
VALUE]] / CADtoGBP</f>
        <v>0.1237096035502024</v>
      </c>
      <c r="Q1025" s="33">
        <f>quantInv[[#This Row],[UNIT
VALUE]]/AUDtoGBP</f>
        <v>0.12662547596810114</v>
      </c>
      <c r="R1025">
        <f>IFERROR(VLOOKUP(quantInv[[#This Row],[Assigned Item SKU]],skuQuantity[#All],2,FALSE),0)</f>
        <v>0</v>
      </c>
      <c r="S1025" t="str">
        <f>PROPER(quantInv[[#This Row],[Metal]] &amp; " " &amp; quantInv[[#This Row],[Item Type]])</f>
        <v xml:space="preserve"> </v>
      </c>
      <c r="T1025" s="33">
        <f>quantInv[[#This Row],[Quantity]]*quantInv[[#This Row],[WEIGHT]]</f>
        <v>0</v>
      </c>
      <c r="U1025" s="33">
        <f>quantInv[[#This Row],[UNIT
VALUE]]*quantInv[[#This Row],[Quantity]]</f>
        <v>0</v>
      </c>
      <c r="V1025" s="33">
        <f>quantInv[[#This Row],[Total Cost GBP]]/EURtoGBP</f>
        <v>0</v>
      </c>
      <c r="W1025" s="33">
        <f>quantInv[[#This Row],[Total Cost GBP]]/USDtoGBP</f>
        <v>0</v>
      </c>
      <c r="X1025" s="33">
        <f>quantInv[[#This Row],[Total Cost GBP]]/CADtoGBP</f>
        <v>0</v>
      </c>
      <c r="Y1025" s="33">
        <f>quantInv[[#This Row],[Quantity]]*quantInv[[#This Row],[UNIT
VALUE AUD]]</f>
        <v>0</v>
      </c>
      <c r="Z1025" s="33"/>
    </row>
    <row r="1026" spans="1:26" x14ac:dyDescent="0.25">
      <c r="A1026" t="s">
        <v>2513</v>
      </c>
      <c r="C1026" t="s">
        <v>114</v>
      </c>
      <c r="D1026" t="s">
        <v>2514</v>
      </c>
      <c r="E1026">
        <v>0</v>
      </c>
      <c r="F1026" s="33">
        <v>7.0499999999999993E-2</v>
      </c>
      <c r="G1026" s="33" t="s">
        <v>2875</v>
      </c>
      <c r="H1026" t="s">
        <v>2875</v>
      </c>
      <c r="I1026" t="str">
        <f>IF(quantInv[[#This Row],[Metal]] = "925 Silver",  "7113.11.00"," 7113.19.00")</f>
        <v xml:space="preserve"> 7113.19.00</v>
      </c>
      <c r="J1026" t="str">
        <f>IF(quantInv[[#This Row],[Metal]] = "925 Silver", "7113.11.10.00"," 7113.19.10.00")</f>
        <v xml:space="preserve"> 7113.19.10.00</v>
      </c>
      <c r="K1026" t="str">
        <f>IF(quantInv[[#This Row],[Metal]] = "925 Silver",  "7113.11.00"," 7113.19.00")</f>
        <v xml:space="preserve"> 7113.19.00</v>
      </c>
      <c r="L1026" t="str">
        <f>IFERROR(VLOOKUP(quantInv[[#This Row],[Description for New Invoice]],Map!$G$12:$H$32,2,FALSE), IF(quantInv[[#This Row],[Metal]] = "925 Silver", "7113.11.10.00", "7113.19.29.00"))</f>
        <v>7113.19.29.00</v>
      </c>
      <c r="M1026" t="str">
        <f>quantInv[[#This Row],[ASIN]] &amp; " " &amp; quantInv[[#This Row],[Short Description]]</f>
        <v xml:space="preserve"> 9k Flat curb hollow chain necklace 6mm - 50cm</v>
      </c>
      <c r="N1026" s="33">
        <f>quantInv[[#This Row],[UNIT
VALUE]] / EURtoGBP</f>
        <v>8.0025880710357392E-2</v>
      </c>
      <c r="O1026" s="33">
        <f>quantInv[[#This Row],[UNIT
VALUE]]/USDtoGBP</f>
        <v>9.6643787449467625E-2</v>
      </c>
      <c r="P1026" s="33">
        <f>quantInv[[#This Row],[UNIT
VALUE]] / CADtoGBP</f>
        <v>0.1237096035502024</v>
      </c>
      <c r="Q1026" s="33">
        <f>quantInv[[#This Row],[UNIT
VALUE]]/AUDtoGBP</f>
        <v>0.12662547596810114</v>
      </c>
      <c r="R1026">
        <f>IFERROR(VLOOKUP(quantInv[[#This Row],[Assigned Item SKU]],skuQuantity[#All],2,FALSE),0)</f>
        <v>0</v>
      </c>
      <c r="S1026" t="str">
        <f>PROPER(quantInv[[#This Row],[Metal]] &amp; " " &amp; quantInv[[#This Row],[Item Type]])</f>
        <v xml:space="preserve"> </v>
      </c>
      <c r="T1026" s="33">
        <f>quantInv[[#This Row],[Quantity]]*quantInv[[#This Row],[WEIGHT]]</f>
        <v>0</v>
      </c>
      <c r="U1026" s="33">
        <f>quantInv[[#This Row],[UNIT
VALUE]]*quantInv[[#This Row],[Quantity]]</f>
        <v>0</v>
      </c>
      <c r="V1026" s="33">
        <f>quantInv[[#This Row],[Total Cost GBP]]/EURtoGBP</f>
        <v>0</v>
      </c>
      <c r="W1026" s="33">
        <f>quantInv[[#This Row],[Total Cost GBP]]/USDtoGBP</f>
        <v>0</v>
      </c>
      <c r="X1026" s="33">
        <f>quantInv[[#This Row],[Total Cost GBP]]/CADtoGBP</f>
        <v>0</v>
      </c>
      <c r="Y1026" s="33">
        <f>quantInv[[#This Row],[Quantity]]*quantInv[[#This Row],[UNIT
VALUE AUD]]</f>
        <v>0</v>
      </c>
      <c r="Z1026" s="33"/>
    </row>
    <row r="1027" spans="1:26" x14ac:dyDescent="0.25">
      <c r="A1027" t="s">
        <v>2515</v>
      </c>
      <c r="C1027" t="s">
        <v>114</v>
      </c>
      <c r="D1027" t="s">
        <v>2516</v>
      </c>
      <c r="E1027">
        <v>0</v>
      </c>
      <c r="F1027" s="33">
        <v>7.0499999999999993E-2</v>
      </c>
      <c r="G1027" s="33" t="s">
        <v>2875</v>
      </c>
      <c r="H1027" t="s">
        <v>2875</v>
      </c>
      <c r="I1027" t="str">
        <f>IF(quantInv[[#This Row],[Metal]] = "925 Silver",  "7113.11.00"," 7113.19.00")</f>
        <v xml:space="preserve"> 7113.19.00</v>
      </c>
      <c r="J1027" t="str">
        <f>IF(quantInv[[#This Row],[Metal]] = "925 Silver", "7113.11.10.00"," 7113.19.10.00")</f>
        <v xml:space="preserve"> 7113.19.10.00</v>
      </c>
      <c r="K1027" t="str">
        <f>IF(quantInv[[#This Row],[Metal]] = "925 Silver",  "7113.11.00"," 7113.19.00")</f>
        <v xml:space="preserve"> 7113.19.00</v>
      </c>
      <c r="L1027" t="str">
        <f>IFERROR(VLOOKUP(quantInv[[#This Row],[Description for New Invoice]],Map!$G$12:$H$32,2,FALSE), IF(quantInv[[#This Row],[Metal]] = "925 Silver", "7113.11.10.00", "7113.19.29.00"))</f>
        <v>7113.19.29.00</v>
      </c>
      <c r="M1027" t="str">
        <f>quantInv[[#This Row],[ASIN]] &amp; " " &amp; quantInv[[#This Row],[Short Description]]</f>
        <v xml:space="preserve"> 9k Flat curb hollow chain necklace 6mm - 55cm</v>
      </c>
      <c r="N1027" s="33">
        <f>quantInv[[#This Row],[UNIT
VALUE]] / EURtoGBP</f>
        <v>8.0025880710357392E-2</v>
      </c>
      <c r="O1027" s="33">
        <f>quantInv[[#This Row],[UNIT
VALUE]]/USDtoGBP</f>
        <v>9.6643787449467625E-2</v>
      </c>
      <c r="P1027" s="33">
        <f>quantInv[[#This Row],[UNIT
VALUE]] / CADtoGBP</f>
        <v>0.1237096035502024</v>
      </c>
      <c r="Q1027" s="33">
        <f>quantInv[[#This Row],[UNIT
VALUE]]/AUDtoGBP</f>
        <v>0.12662547596810114</v>
      </c>
      <c r="R1027">
        <f>IFERROR(VLOOKUP(quantInv[[#This Row],[Assigned Item SKU]],skuQuantity[#All],2,FALSE),0)</f>
        <v>0</v>
      </c>
      <c r="S1027" t="str">
        <f>PROPER(quantInv[[#This Row],[Metal]] &amp; " " &amp; quantInv[[#This Row],[Item Type]])</f>
        <v xml:space="preserve"> </v>
      </c>
      <c r="T1027" s="33">
        <f>quantInv[[#This Row],[Quantity]]*quantInv[[#This Row],[WEIGHT]]</f>
        <v>0</v>
      </c>
      <c r="U1027" s="33">
        <f>quantInv[[#This Row],[UNIT
VALUE]]*quantInv[[#This Row],[Quantity]]</f>
        <v>0</v>
      </c>
      <c r="V1027" s="33">
        <f>quantInv[[#This Row],[Total Cost GBP]]/EURtoGBP</f>
        <v>0</v>
      </c>
      <c r="W1027" s="33">
        <f>quantInv[[#This Row],[Total Cost GBP]]/USDtoGBP</f>
        <v>0</v>
      </c>
      <c r="X1027" s="33">
        <f>quantInv[[#This Row],[Total Cost GBP]]/CADtoGBP</f>
        <v>0</v>
      </c>
      <c r="Y1027" s="33">
        <f>quantInv[[#This Row],[Quantity]]*quantInv[[#This Row],[UNIT
VALUE AUD]]</f>
        <v>0</v>
      </c>
      <c r="Z1027" s="33"/>
    </row>
    <row r="1028" spans="1:26" x14ac:dyDescent="0.25">
      <c r="A1028" t="s">
        <v>2517</v>
      </c>
      <c r="C1028" t="s">
        <v>114</v>
      </c>
      <c r="D1028" t="s">
        <v>2518</v>
      </c>
      <c r="E1028">
        <v>0</v>
      </c>
      <c r="F1028" s="33">
        <v>7.0499999999999993E-2</v>
      </c>
      <c r="G1028" s="33" t="s">
        <v>2875</v>
      </c>
      <c r="H1028" t="s">
        <v>2875</v>
      </c>
      <c r="I1028" t="str">
        <f>IF(quantInv[[#This Row],[Metal]] = "925 Silver",  "7113.11.00"," 7113.19.00")</f>
        <v xml:space="preserve"> 7113.19.00</v>
      </c>
      <c r="J1028" t="str">
        <f>IF(quantInv[[#This Row],[Metal]] = "925 Silver", "7113.11.10.00"," 7113.19.10.00")</f>
        <v xml:space="preserve"> 7113.19.10.00</v>
      </c>
      <c r="K1028" t="str">
        <f>IF(quantInv[[#This Row],[Metal]] = "925 Silver",  "7113.11.00"," 7113.19.00")</f>
        <v xml:space="preserve"> 7113.19.00</v>
      </c>
      <c r="L1028" t="str">
        <f>IFERROR(VLOOKUP(quantInv[[#This Row],[Description for New Invoice]],Map!$G$12:$H$32,2,FALSE), IF(quantInv[[#This Row],[Metal]] = "925 Silver", "7113.11.10.00", "7113.19.29.00"))</f>
        <v>7113.19.29.00</v>
      </c>
      <c r="M1028" t="str">
        <f>quantInv[[#This Row],[ASIN]] &amp; " " &amp; quantInv[[#This Row],[Short Description]]</f>
        <v xml:space="preserve"> 9k Flat curb hollow chain necklace 6mm - 60cm</v>
      </c>
      <c r="N1028" s="33">
        <f>quantInv[[#This Row],[UNIT
VALUE]] / EURtoGBP</f>
        <v>8.0025880710357392E-2</v>
      </c>
      <c r="O1028" s="33">
        <f>quantInv[[#This Row],[UNIT
VALUE]]/USDtoGBP</f>
        <v>9.6643787449467625E-2</v>
      </c>
      <c r="P1028" s="33">
        <f>quantInv[[#This Row],[UNIT
VALUE]] / CADtoGBP</f>
        <v>0.1237096035502024</v>
      </c>
      <c r="Q1028" s="33">
        <f>quantInv[[#This Row],[UNIT
VALUE]]/AUDtoGBP</f>
        <v>0.12662547596810114</v>
      </c>
      <c r="R1028">
        <f>IFERROR(VLOOKUP(quantInv[[#This Row],[Assigned Item SKU]],skuQuantity[#All],2,FALSE),0)</f>
        <v>0</v>
      </c>
      <c r="S1028" t="str">
        <f>PROPER(quantInv[[#This Row],[Metal]] &amp; " " &amp; quantInv[[#This Row],[Item Type]])</f>
        <v xml:space="preserve"> </v>
      </c>
      <c r="T1028" s="33">
        <f>quantInv[[#This Row],[Quantity]]*quantInv[[#This Row],[WEIGHT]]</f>
        <v>0</v>
      </c>
      <c r="U1028" s="33">
        <f>quantInv[[#This Row],[UNIT
VALUE]]*quantInv[[#This Row],[Quantity]]</f>
        <v>0</v>
      </c>
      <c r="V1028" s="33">
        <f>quantInv[[#This Row],[Total Cost GBP]]/EURtoGBP</f>
        <v>0</v>
      </c>
      <c r="W1028" s="33">
        <f>quantInv[[#This Row],[Total Cost GBP]]/USDtoGBP</f>
        <v>0</v>
      </c>
      <c r="X1028" s="33">
        <f>quantInv[[#This Row],[Total Cost GBP]]/CADtoGBP</f>
        <v>0</v>
      </c>
      <c r="Y1028" s="33">
        <f>quantInv[[#This Row],[Quantity]]*quantInv[[#This Row],[UNIT
VALUE AUD]]</f>
        <v>0</v>
      </c>
      <c r="Z1028" s="33"/>
    </row>
    <row r="1029" spans="1:26" x14ac:dyDescent="0.25">
      <c r="A1029" t="s">
        <v>2519</v>
      </c>
      <c r="C1029" t="s">
        <v>115</v>
      </c>
      <c r="D1029" t="s">
        <v>2520</v>
      </c>
      <c r="E1029">
        <v>0</v>
      </c>
      <c r="F1029" s="33">
        <v>7.0499999999999993E-2</v>
      </c>
      <c r="G1029" s="33" t="s">
        <v>2875</v>
      </c>
      <c r="H1029" t="s">
        <v>2875</v>
      </c>
      <c r="I1029" t="str">
        <f>IF(quantInv[[#This Row],[Metal]] = "925 Silver",  "7113.11.00"," 7113.19.00")</f>
        <v xml:space="preserve"> 7113.19.00</v>
      </c>
      <c r="J1029" t="str">
        <f>IF(quantInv[[#This Row],[Metal]] = "925 Silver", "7113.11.10.00"," 7113.19.10.00")</f>
        <v xml:space="preserve"> 7113.19.10.00</v>
      </c>
      <c r="K1029" t="str">
        <f>IF(quantInv[[#This Row],[Metal]] = "925 Silver",  "7113.11.00"," 7113.19.00")</f>
        <v xml:space="preserve"> 7113.19.00</v>
      </c>
      <c r="L1029" t="str">
        <f>IFERROR(VLOOKUP(quantInv[[#This Row],[Description for New Invoice]],Map!$G$12:$H$32,2,FALSE), IF(quantInv[[#This Row],[Metal]] = "925 Silver", "7113.11.10.00", "7113.19.29.00"))</f>
        <v>7113.19.29.00</v>
      </c>
      <c r="M1029" t="str">
        <f>quantInv[[#This Row],[ASIN]] &amp; " " &amp; quantInv[[#This Row],[Short Description]]</f>
        <v xml:space="preserve"> Silver hammered star stud earring</v>
      </c>
      <c r="N1029" s="33">
        <f>quantInv[[#This Row],[UNIT
VALUE]] / EURtoGBP</f>
        <v>8.0025880710357392E-2</v>
      </c>
      <c r="O1029" s="33">
        <f>quantInv[[#This Row],[UNIT
VALUE]]/USDtoGBP</f>
        <v>9.6643787449467625E-2</v>
      </c>
      <c r="P1029" s="33">
        <f>quantInv[[#This Row],[UNIT
VALUE]] / CADtoGBP</f>
        <v>0.1237096035502024</v>
      </c>
      <c r="Q1029" s="33">
        <f>quantInv[[#This Row],[UNIT
VALUE]]/AUDtoGBP</f>
        <v>0.12662547596810114</v>
      </c>
      <c r="R1029">
        <f>IFERROR(VLOOKUP(quantInv[[#This Row],[Assigned Item SKU]],skuQuantity[#All],2,FALSE),0)</f>
        <v>0</v>
      </c>
      <c r="S1029" t="str">
        <f>PROPER(quantInv[[#This Row],[Metal]] &amp; " " &amp; quantInv[[#This Row],[Item Type]])</f>
        <v xml:space="preserve"> </v>
      </c>
      <c r="T1029" s="33">
        <f>quantInv[[#This Row],[Quantity]]*quantInv[[#This Row],[WEIGHT]]</f>
        <v>0</v>
      </c>
      <c r="U1029" s="33">
        <f>quantInv[[#This Row],[UNIT
VALUE]]*quantInv[[#This Row],[Quantity]]</f>
        <v>0</v>
      </c>
      <c r="V1029" s="33">
        <f>quantInv[[#This Row],[Total Cost GBP]]/EURtoGBP</f>
        <v>0</v>
      </c>
      <c r="W1029" s="33">
        <f>quantInv[[#This Row],[Total Cost GBP]]/USDtoGBP</f>
        <v>0</v>
      </c>
      <c r="X1029" s="33">
        <f>quantInv[[#This Row],[Total Cost GBP]]/CADtoGBP</f>
        <v>0</v>
      </c>
      <c r="Y1029" s="33">
        <f>quantInv[[#This Row],[Quantity]]*quantInv[[#This Row],[UNIT
VALUE AUD]]</f>
        <v>0</v>
      </c>
      <c r="Z1029" s="33"/>
    </row>
    <row r="1030" spans="1:26" x14ac:dyDescent="0.25">
      <c r="A1030" t="s">
        <v>2521</v>
      </c>
      <c r="C1030" t="s">
        <v>115</v>
      </c>
      <c r="D1030" t="s">
        <v>2522</v>
      </c>
      <c r="E1030">
        <v>0</v>
      </c>
      <c r="F1030" s="33">
        <v>7.0499999999999993E-2</v>
      </c>
      <c r="G1030" s="33" t="s">
        <v>2875</v>
      </c>
      <c r="H1030" t="s">
        <v>2875</v>
      </c>
      <c r="I1030" t="str">
        <f>IF(quantInv[[#This Row],[Metal]] = "925 Silver",  "7113.11.00"," 7113.19.00")</f>
        <v xml:space="preserve"> 7113.19.00</v>
      </c>
      <c r="J1030" t="str">
        <f>IF(quantInv[[#This Row],[Metal]] = "925 Silver", "7113.11.10.00"," 7113.19.10.00")</f>
        <v xml:space="preserve"> 7113.19.10.00</v>
      </c>
      <c r="K1030" t="str">
        <f>IF(quantInv[[#This Row],[Metal]] = "925 Silver",  "7113.11.00"," 7113.19.00")</f>
        <v xml:space="preserve"> 7113.19.00</v>
      </c>
      <c r="L1030" t="str">
        <f>IFERROR(VLOOKUP(quantInv[[#This Row],[Description for New Invoice]],Map!$G$12:$H$32,2,FALSE), IF(quantInv[[#This Row],[Metal]] = "925 Silver", "7113.11.10.00", "7113.19.29.00"))</f>
        <v>7113.19.29.00</v>
      </c>
      <c r="M1030" t="str">
        <f>quantInv[[#This Row],[ASIN]] &amp; " " &amp; quantInv[[#This Row],[Short Description]]</f>
        <v xml:space="preserve"> Silver spiral/torn stud earring</v>
      </c>
      <c r="N1030" s="33">
        <f>quantInv[[#This Row],[UNIT
VALUE]] / EURtoGBP</f>
        <v>8.0025880710357392E-2</v>
      </c>
      <c r="O1030" s="33">
        <f>quantInv[[#This Row],[UNIT
VALUE]]/USDtoGBP</f>
        <v>9.6643787449467625E-2</v>
      </c>
      <c r="P1030" s="33">
        <f>quantInv[[#This Row],[UNIT
VALUE]] / CADtoGBP</f>
        <v>0.1237096035502024</v>
      </c>
      <c r="Q1030" s="33">
        <f>quantInv[[#This Row],[UNIT
VALUE]]/AUDtoGBP</f>
        <v>0.12662547596810114</v>
      </c>
      <c r="R1030">
        <f>IFERROR(VLOOKUP(quantInv[[#This Row],[Assigned Item SKU]],skuQuantity[#All],2,FALSE),0)</f>
        <v>0</v>
      </c>
      <c r="S1030" t="str">
        <f>PROPER(quantInv[[#This Row],[Metal]] &amp; " " &amp; quantInv[[#This Row],[Item Type]])</f>
        <v xml:space="preserve"> </v>
      </c>
      <c r="T1030" s="33">
        <f>quantInv[[#This Row],[Quantity]]*quantInv[[#This Row],[WEIGHT]]</f>
        <v>0</v>
      </c>
      <c r="U1030" s="33">
        <f>quantInv[[#This Row],[UNIT
VALUE]]*quantInv[[#This Row],[Quantity]]</f>
        <v>0</v>
      </c>
      <c r="V1030" s="33">
        <f>quantInv[[#This Row],[Total Cost GBP]]/EURtoGBP</f>
        <v>0</v>
      </c>
      <c r="W1030" s="33">
        <f>quantInv[[#This Row],[Total Cost GBP]]/USDtoGBP</f>
        <v>0</v>
      </c>
      <c r="X1030" s="33">
        <f>quantInv[[#This Row],[Total Cost GBP]]/CADtoGBP</f>
        <v>0</v>
      </c>
      <c r="Y1030" s="33">
        <f>quantInv[[#This Row],[Quantity]]*quantInv[[#This Row],[UNIT
VALUE AUD]]</f>
        <v>0</v>
      </c>
      <c r="Z1030" s="33"/>
    </row>
    <row r="1031" spans="1:26" x14ac:dyDescent="0.25">
      <c r="A1031" t="s">
        <v>2523</v>
      </c>
      <c r="C1031" t="s">
        <v>115</v>
      </c>
      <c r="D1031" t="s">
        <v>2524</v>
      </c>
      <c r="E1031">
        <v>0</v>
      </c>
      <c r="F1031" s="33">
        <v>7.0499999999999993E-2</v>
      </c>
      <c r="G1031" s="33" t="s">
        <v>2875</v>
      </c>
      <c r="H1031" t="s">
        <v>2875</v>
      </c>
      <c r="I1031" t="str">
        <f>IF(quantInv[[#This Row],[Metal]] = "925 Silver",  "7113.11.00"," 7113.19.00")</f>
        <v xml:space="preserve"> 7113.19.00</v>
      </c>
      <c r="J1031" t="str">
        <f>IF(quantInv[[#This Row],[Metal]] = "925 Silver", "7113.11.10.00"," 7113.19.10.00")</f>
        <v xml:space="preserve"> 7113.19.10.00</v>
      </c>
      <c r="K1031" t="str">
        <f>IF(quantInv[[#This Row],[Metal]] = "925 Silver",  "7113.11.00"," 7113.19.00")</f>
        <v xml:space="preserve"> 7113.19.00</v>
      </c>
      <c r="L1031" t="str">
        <f>IFERROR(VLOOKUP(quantInv[[#This Row],[Description for New Invoice]],Map!$G$12:$H$32,2,FALSE), IF(quantInv[[#This Row],[Metal]] = "925 Silver", "7113.11.10.00", "7113.19.29.00"))</f>
        <v>7113.19.29.00</v>
      </c>
      <c r="M1031" t="str">
        <f>quantInv[[#This Row],[ASIN]] &amp; " " &amp; quantInv[[#This Row],[Short Description]]</f>
        <v xml:space="preserve"> Silver flat star stud earring</v>
      </c>
      <c r="N1031" s="33">
        <f>quantInv[[#This Row],[UNIT
VALUE]] / EURtoGBP</f>
        <v>8.0025880710357392E-2</v>
      </c>
      <c r="O1031" s="33">
        <f>quantInv[[#This Row],[UNIT
VALUE]]/USDtoGBP</f>
        <v>9.6643787449467625E-2</v>
      </c>
      <c r="P1031" s="33">
        <f>quantInv[[#This Row],[UNIT
VALUE]] / CADtoGBP</f>
        <v>0.1237096035502024</v>
      </c>
      <c r="Q1031" s="33">
        <f>quantInv[[#This Row],[UNIT
VALUE]]/AUDtoGBP</f>
        <v>0.12662547596810114</v>
      </c>
      <c r="R1031">
        <f>IFERROR(VLOOKUP(quantInv[[#This Row],[Assigned Item SKU]],skuQuantity[#All],2,FALSE),0)</f>
        <v>0</v>
      </c>
      <c r="S1031" t="str">
        <f>PROPER(quantInv[[#This Row],[Metal]] &amp; " " &amp; quantInv[[#This Row],[Item Type]])</f>
        <v xml:space="preserve"> </v>
      </c>
      <c r="T1031" s="33">
        <f>quantInv[[#This Row],[Quantity]]*quantInv[[#This Row],[WEIGHT]]</f>
        <v>0</v>
      </c>
      <c r="U1031" s="33">
        <f>quantInv[[#This Row],[UNIT
VALUE]]*quantInv[[#This Row],[Quantity]]</f>
        <v>0</v>
      </c>
      <c r="V1031" s="33">
        <f>quantInv[[#This Row],[Total Cost GBP]]/EURtoGBP</f>
        <v>0</v>
      </c>
      <c r="W1031" s="33">
        <f>quantInv[[#This Row],[Total Cost GBP]]/USDtoGBP</f>
        <v>0</v>
      </c>
      <c r="X1031" s="33">
        <f>quantInv[[#This Row],[Total Cost GBP]]/CADtoGBP</f>
        <v>0</v>
      </c>
      <c r="Y1031" s="33">
        <f>quantInv[[#This Row],[Quantity]]*quantInv[[#This Row],[UNIT
VALUE AUD]]</f>
        <v>0</v>
      </c>
      <c r="Z1031" s="33"/>
    </row>
    <row r="1032" spans="1:26" x14ac:dyDescent="0.25">
      <c r="A1032" t="s">
        <v>2525</v>
      </c>
      <c r="C1032" t="s">
        <v>115</v>
      </c>
      <c r="D1032" t="s">
        <v>2526</v>
      </c>
      <c r="E1032">
        <v>0</v>
      </c>
      <c r="F1032" s="33">
        <v>7.0499999999999993E-2</v>
      </c>
      <c r="G1032" s="33" t="s">
        <v>2875</v>
      </c>
      <c r="H1032" t="s">
        <v>2875</v>
      </c>
      <c r="I1032" t="str">
        <f>IF(quantInv[[#This Row],[Metal]] = "925 Silver",  "7113.11.00"," 7113.19.00")</f>
        <v xml:space="preserve"> 7113.19.00</v>
      </c>
      <c r="J1032" t="str">
        <f>IF(quantInv[[#This Row],[Metal]] = "925 Silver", "7113.11.10.00"," 7113.19.10.00")</f>
        <v xml:space="preserve"> 7113.19.10.00</v>
      </c>
      <c r="K1032" t="str">
        <f>IF(quantInv[[#This Row],[Metal]] = "925 Silver",  "7113.11.00"," 7113.19.00")</f>
        <v xml:space="preserve"> 7113.19.00</v>
      </c>
      <c r="L1032" t="str">
        <f>IFERROR(VLOOKUP(quantInv[[#This Row],[Description for New Invoice]],Map!$G$12:$H$32,2,FALSE), IF(quantInv[[#This Row],[Metal]] = "925 Silver", "7113.11.10.00", "7113.19.29.00"))</f>
        <v>7113.19.29.00</v>
      </c>
      <c r="M1032" t="str">
        <f>quantInv[[#This Row],[ASIN]] &amp; " " &amp; quantInv[[#This Row],[Short Description]]</f>
        <v xml:space="preserve"> Silver mismatch moon and star stud earrings</v>
      </c>
      <c r="N1032" s="33">
        <f>quantInv[[#This Row],[UNIT
VALUE]] / EURtoGBP</f>
        <v>8.0025880710357392E-2</v>
      </c>
      <c r="O1032" s="33">
        <f>quantInv[[#This Row],[UNIT
VALUE]]/USDtoGBP</f>
        <v>9.6643787449467625E-2</v>
      </c>
      <c r="P1032" s="33">
        <f>quantInv[[#This Row],[UNIT
VALUE]] / CADtoGBP</f>
        <v>0.1237096035502024</v>
      </c>
      <c r="Q1032" s="33">
        <f>quantInv[[#This Row],[UNIT
VALUE]]/AUDtoGBP</f>
        <v>0.12662547596810114</v>
      </c>
      <c r="R1032">
        <f>IFERROR(VLOOKUP(quantInv[[#This Row],[Assigned Item SKU]],skuQuantity[#All],2,FALSE),0)</f>
        <v>0</v>
      </c>
      <c r="S1032" t="str">
        <f>PROPER(quantInv[[#This Row],[Metal]] &amp; " " &amp; quantInv[[#This Row],[Item Type]])</f>
        <v xml:space="preserve"> </v>
      </c>
      <c r="T1032" s="33">
        <f>quantInv[[#This Row],[Quantity]]*quantInv[[#This Row],[WEIGHT]]</f>
        <v>0</v>
      </c>
      <c r="U1032" s="33">
        <f>quantInv[[#This Row],[UNIT
VALUE]]*quantInv[[#This Row],[Quantity]]</f>
        <v>0</v>
      </c>
      <c r="V1032" s="33">
        <f>quantInv[[#This Row],[Total Cost GBP]]/EURtoGBP</f>
        <v>0</v>
      </c>
      <c r="W1032" s="33">
        <f>quantInv[[#This Row],[Total Cost GBP]]/USDtoGBP</f>
        <v>0</v>
      </c>
      <c r="X1032" s="33">
        <f>quantInv[[#This Row],[Total Cost GBP]]/CADtoGBP</f>
        <v>0</v>
      </c>
      <c r="Y1032" s="33">
        <f>quantInv[[#This Row],[Quantity]]*quantInv[[#This Row],[UNIT
VALUE AUD]]</f>
        <v>0</v>
      </c>
      <c r="Z1032" s="33"/>
    </row>
    <row r="1033" spans="1:26" x14ac:dyDescent="0.25">
      <c r="A1033" t="s">
        <v>2527</v>
      </c>
      <c r="C1033" t="s">
        <v>115</v>
      </c>
      <c r="D1033" t="s">
        <v>2528</v>
      </c>
      <c r="E1033">
        <v>0</v>
      </c>
      <c r="F1033" s="33">
        <v>7.0499999999999993E-2</v>
      </c>
      <c r="G1033" s="33" t="s">
        <v>2875</v>
      </c>
      <c r="H1033" t="s">
        <v>2875</v>
      </c>
      <c r="I1033" t="str">
        <f>IF(quantInv[[#This Row],[Metal]] = "925 Silver",  "7113.11.00"," 7113.19.00")</f>
        <v xml:space="preserve"> 7113.19.00</v>
      </c>
      <c r="J1033" t="str">
        <f>IF(quantInv[[#This Row],[Metal]] = "925 Silver", "7113.11.10.00"," 7113.19.10.00")</f>
        <v xml:space="preserve"> 7113.19.10.00</v>
      </c>
      <c r="K1033" t="str">
        <f>IF(quantInv[[#This Row],[Metal]] = "925 Silver",  "7113.11.00"," 7113.19.00")</f>
        <v xml:space="preserve"> 7113.19.00</v>
      </c>
      <c r="L1033" t="str">
        <f>IFERROR(VLOOKUP(quantInv[[#This Row],[Description for New Invoice]],Map!$G$12:$H$32,2,FALSE), IF(quantInv[[#This Row],[Metal]] = "925 Silver", "7113.11.10.00", "7113.19.29.00"))</f>
        <v>7113.19.29.00</v>
      </c>
      <c r="M1033" t="str">
        <f>quantInv[[#This Row],[ASIN]] &amp; " " &amp; quantInv[[#This Row],[Short Description]]</f>
        <v xml:space="preserve"> Silver moon stud earrings</v>
      </c>
      <c r="N1033" s="33">
        <f>quantInv[[#This Row],[UNIT
VALUE]] / EURtoGBP</f>
        <v>8.0025880710357392E-2</v>
      </c>
      <c r="O1033" s="33">
        <f>quantInv[[#This Row],[UNIT
VALUE]]/USDtoGBP</f>
        <v>9.6643787449467625E-2</v>
      </c>
      <c r="P1033" s="33">
        <f>quantInv[[#This Row],[UNIT
VALUE]] / CADtoGBP</f>
        <v>0.1237096035502024</v>
      </c>
      <c r="Q1033" s="33">
        <f>quantInv[[#This Row],[UNIT
VALUE]]/AUDtoGBP</f>
        <v>0.12662547596810114</v>
      </c>
      <c r="R1033">
        <f>IFERROR(VLOOKUP(quantInv[[#This Row],[Assigned Item SKU]],skuQuantity[#All],2,FALSE),0)</f>
        <v>0</v>
      </c>
      <c r="S1033" t="str">
        <f>PROPER(quantInv[[#This Row],[Metal]] &amp; " " &amp; quantInv[[#This Row],[Item Type]])</f>
        <v xml:space="preserve"> </v>
      </c>
      <c r="T1033" s="33">
        <f>quantInv[[#This Row],[Quantity]]*quantInv[[#This Row],[WEIGHT]]</f>
        <v>0</v>
      </c>
      <c r="U1033" s="33">
        <f>quantInv[[#This Row],[UNIT
VALUE]]*quantInv[[#This Row],[Quantity]]</f>
        <v>0</v>
      </c>
      <c r="V1033" s="33">
        <f>quantInv[[#This Row],[Total Cost GBP]]/EURtoGBP</f>
        <v>0</v>
      </c>
      <c r="W1033" s="33">
        <f>quantInv[[#This Row],[Total Cost GBP]]/USDtoGBP</f>
        <v>0</v>
      </c>
      <c r="X1033" s="33">
        <f>quantInv[[#This Row],[Total Cost GBP]]/CADtoGBP</f>
        <v>0</v>
      </c>
      <c r="Y1033" s="33">
        <f>quantInv[[#This Row],[Quantity]]*quantInv[[#This Row],[UNIT
VALUE AUD]]</f>
        <v>0</v>
      </c>
      <c r="Z1033" s="33"/>
    </row>
    <row r="1034" spans="1:26" x14ac:dyDescent="0.25">
      <c r="A1034" t="s">
        <v>2529</v>
      </c>
      <c r="C1034" t="s">
        <v>115</v>
      </c>
      <c r="D1034" t="s">
        <v>2530</v>
      </c>
      <c r="E1034">
        <v>0</v>
      </c>
      <c r="F1034" s="33">
        <v>7.0499999999999993E-2</v>
      </c>
      <c r="G1034" s="33" t="s">
        <v>2875</v>
      </c>
      <c r="H1034" t="s">
        <v>2875</v>
      </c>
      <c r="I1034" t="str">
        <f>IF(quantInv[[#This Row],[Metal]] = "925 Silver",  "7113.11.00"," 7113.19.00")</f>
        <v xml:space="preserve"> 7113.19.00</v>
      </c>
      <c r="J1034" t="str">
        <f>IF(quantInv[[#This Row],[Metal]] = "925 Silver", "7113.11.10.00"," 7113.19.10.00")</f>
        <v xml:space="preserve"> 7113.19.10.00</v>
      </c>
      <c r="K1034" t="str">
        <f>IF(quantInv[[#This Row],[Metal]] = "925 Silver",  "7113.11.00"," 7113.19.00")</f>
        <v xml:space="preserve"> 7113.19.00</v>
      </c>
      <c r="L1034" t="str">
        <f>IFERROR(VLOOKUP(quantInv[[#This Row],[Description for New Invoice]],Map!$G$12:$H$32,2,FALSE), IF(quantInv[[#This Row],[Metal]] = "925 Silver", "7113.11.10.00", "7113.19.29.00"))</f>
        <v>7113.19.29.00</v>
      </c>
      <c r="M1034" t="str">
        <f>quantInv[[#This Row],[ASIN]] &amp; " " &amp; quantInv[[#This Row],[Short Description]]</f>
        <v xml:space="preserve"> Silver moon silhouette stud earrings</v>
      </c>
      <c r="N1034" s="33">
        <f>quantInv[[#This Row],[UNIT
VALUE]] / EURtoGBP</f>
        <v>8.0025880710357392E-2</v>
      </c>
      <c r="O1034" s="33">
        <f>quantInv[[#This Row],[UNIT
VALUE]]/USDtoGBP</f>
        <v>9.6643787449467625E-2</v>
      </c>
      <c r="P1034" s="33">
        <f>quantInv[[#This Row],[UNIT
VALUE]] / CADtoGBP</f>
        <v>0.1237096035502024</v>
      </c>
      <c r="Q1034" s="33">
        <f>quantInv[[#This Row],[UNIT
VALUE]]/AUDtoGBP</f>
        <v>0.12662547596810114</v>
      </c>
      <c r="R1034">
        <f>IFERROR(VLOOKUP(quantInv[[#This Row],[Assigned Item SKU]],skuQuantity[#All],2,FALSE),0)</f>
        <v>0</v>
      </c>
      <c r="S1034" t="str">
        <f>PROPER(quantInv[[#This Row],[Metal]] &amp; " " &amp; quantInv[[#This Row],[Item Type]])</f>
        <v xml:space="preserve"> </v>
      </c>
      <c r="T1034" s="33">
        <f>quantInv[[#This Row],[Quantity]]*quantInv[[#This Row],[WEIGHT]]</f>
        <v>0</v>
      </c>
      <c r="U1034" s="33">
        <f>quantInv[[#This Row],[UNIT
VALUE]]*quantInv[[#This Row],[Quantity]]</f>
        <v>0</v>
      </c>
      <c r="V1034" s="33">
        <f>quantInv[[#This Row],[Total Cost GBP]]/EURtoGBP</f>
        <v>0</v>
      </c>
      <c r="W1034" s="33">
        <f>quantInv[[#This Row],[Total Cost GBP]]/USDtoGBP</f>
        <v>0</v>
      </c>
      <c r="X1034" s="33">
        <f>quantInv[[#This Row],[Total Cost GBP]]/CADtoGBP</f>
        <v>0</v>
      </c>
      <c r="Y1034" s="33">
        <f>quantInv[[#This Row],[Quantity]]*quantInv[[#This Row],[UNIT
VALUE AUD]]</f>
        <v>0</v>
      </c>
      <c r="Z1034" s="33"/>
    </row>
    <row r="1035" spans="1:26" x14ac:dyDescent="0.25">
      <c r="A1035" t="s">
        <v>2531</v>
      </c>
      <c r="C1035" t="s">
        <v>114</v>
      </c>
      <c r="D1035" t="s">
        <v>2532</v>
      </c>
      <c r="E1035">
        <v>0</v>
      </c>
      <c r="F1035" s="33">
        <v>7.0499999999999993E-2</v>
      </c>
      <c r="G1035" s="33" t="s">
        <v>2875</v>
      </c>
      <c r="H1035" t="s">
        <v>2875</v>
      </c>
      <c r="I1035" t="str">
        <f>IF(quantInv[[#This Row],[Metal]] = "925 Silver",  "7113.11.00"," 7113.19.00")</f>
        <v xml:space="preserve"> 7113.19.00</v>
      </c>
      <c r="J1035" t="str">
        <f>IF(quantInv[[#This Row],[Metal]] = "925 Silver", "7113.11.10.00"," 7113.19.10.00")</f>
        <v xml:space="preserve"> 7113.19.10.00</v>
      </c>
      <c r="K1035" t="str">
        <f>IF(quantInv[[#This Row],[Metal]] = "925 Silver",  "7113.11.00"," 7113.19.00")</f>
        <v xml:space="preserve"> 7113.19.00</v>
      </c>
      <c r="L1035" t="str">
        <f>IFERROR(VLOOKUP(quantInv[[#This Row],[Description for New Invoice]],Map!$G$12:$H$32,2,FALSE), IF(quantInv[[#This Row],[Metal]] = "925 Silver", "7113.11.10.00", "7113.19.29.00"))</f>
        <v>7113.19.29.00</v>
      </c>
      <c r="M1035" t="str">
        <f>quantInv[[#This Row],[ASIN]] &amp; " " &amp; quantInv[[#This Row],[Short Description]]</f>
        <v xml:space="preserve"> Silver thunder stud earrings</v>
      </c>
      <c r="N1035" s="33">
        <f>quantInv[[#This Row],[UNIT
VALUE]] / EURtoGBP</f>
        <v>8.0025880710357392E-2</v>
      </c>
      <c r="O1035" s="33">
        <f>quantInv[[#This Row],[UNIT
VALUE]]/USDtoGBP</f>
        <v>9.6643787449467625E-2</v>
      </c>
      <c r="P1035" s="33">
        <f>quantInv[[#This Row],[UNIT
VALUE]] / CADtoGBP</f>
        <v>0.1237096035502024</v>
      </c>
      <c r="Q1035" s="33">
        <f>quantInv[[#This Row],[UNIT
VALUE]]/AUDtoGBP</f>
        <v>0.12662547596810114</v>
      </c>
      <c r="R1035">
        <f>IFERROR(VLOOKUP(quantInv[[#This Row],[Assigned Item SKU]],skuQuantity[#All],2,FALSE),0)</f>
        <v>0</v>
      </c>
      <c r="S1035" t="str">
        <f>PROPER(quantInv[[#This Row],[Metal]] &amp; " " &amp; quantInv[[#This Row],[Item Type]])</f>
        <v xml:space="preserve"> </v>
      </c>
      <c r="T1035" s="33">
        <f>quantInv[[#This Row],[Quantity]]*quantInv[[#This Row],[WEIGHT]]</f>
        <v>0</v>
      </c>
      <c r="U1035" s="33">
        <f>quantInv[[#This Row],[UNIT
VALUE]]*quantInv[[#This Row],[Quantity]]</f>
        <v>0</v>
      </c>
      <c r="V1035" s="33">
        <f>quantInv[[#This Row],[Total Cost GBP]]/EURtoGBP</f>
        <v>0</v>
      </c>
      <c r="W1035" s="33">
        <f>quantInv[[#This Row],[Total Cost GBP]]/USDtoGBP</f>
        <v>0</v>
      </c>
      <c r="X1035" s="33">
        <f>quantInv[[#This Row],[Total Cost GBP]]/CADtoGBP</f>
        <v>0</v>
      </c>
      <c r="Y1035" s="33">
        <f>quantInv[[#This Row],[Quantity]]*quantInv[[#This Row],[UNIT
VALUE AUD]]</f>
        <v>0</v>
      </c>
      <c r="Z1035" s="33"/>
    </row>
    <row r="1036" spans="1:26" x14ac:dyDescent="0.25">
      <c r="A1036" t="s">
        <v>2533</v>
      </c>
      <c r="C1036" t="s">
        <v>114</v>
      </c>
      <c r="D1036" t="s">
        <v>2534</v>
      </c>
      <c r="E1036">
        <v>0</v>
      </c>
      <c r="F1036" s="33">
        <v>7.0499999999999993E-2</v>
      </c>
      <c r="G1036" s="33" t="s">
        <v>2875</v>
      </c>
      <c r="H1036" t="s">
        <v>2875</v>
      </c>
      <c r="I1036" t="str">
        <f>IF(quantInv[[#This Row],[Metal]] = "925 Silver",  "7113.11.00"," 7113.19.00")</f>
        <v xml:space="preserve"> 7113.19.00</v>
      </c>
      <c r="J1036" t="str">
        <f>IF(quantInv[[#This Row],[Metal]] = "925 Silver", "7113.11.10.00"," 7113.19.10.00")</f>
        <v xml:space="preserve"> 7113.19.10.00</v>
      </c>
      <c r="K1036" t="str">
        <f>IF(quantInv[[#This Row],[Metal]] = "925 Silver",  "7113.11.00"," 7113.19.00")</f>
        <v xml:space="preserve"> 7113.19.00</v>
      </c>
      <c r="L1036" t="str">
        <f>IFERROR(VLOOKUP(quantInv[[#This Row],[Description for New Invoice]],Map!$G$12:$H$32,2,FALSE), IF(quantInv[[#This Row],[Metal]] = "925 Silver", "7113.11.10.00", "7113.19.29.00"))</f>
        <v>7113.19.29.00</v>
      </c>
      <c r="M1036" t="str">
        <f>quantInv[[#This Row],[ASIN]] &amp; " " &amp; quantInv[[#This Row],[Short Description]]</f>
        <v xml:space="preserve"> Silver north star stud earrings</v>
      </c>
      <c r="N1036" s="33">
        <f>quantInv[[#This Row],[UNIT
VALUE]] / EURtoGBP</f>
        <v>8.0025880710357392E-2</v>
      </c>
      <c r="O1036" s="33">
        <f>quantInv[[#This Row],[UNIT
VALUE]]/USDtoGBP</f>
        <v>9.6643787449467625E-2</v>
      </c>
      <c r="P1036" s="33">
        <f>quantInv[[#This Row],[UNIT
VALUE]] / CADtoGBP</f>
        <v>0.1237096035502024</v>
      </c>
      <c r="Q1036" s="33">
        <f>quantInv[[#This Row],[UNIT
VALUE]]/AUDtoGBP</f>
        <v>0.12662547596810114</v>
      </c>
      <c r="R1036">
        <f>IFERROR(VLOOKUP(quantInv[[#This Row],[Assigned Item SKU]],skuQuantity[#All],2,FALSE),0)</f>
        <v>0</v>
      </c>
      <c r="S1036" t="str">
        <f>PROPER(quantInv[[#This Row],[Metal]] &amp; " " &amp; quantInv[[#This Row],[Item Type]])</f>
        <v xml:space="preserve"> </v>
      </c>
      <c r="T1036" s="33">
        <f>quantInv[[#This Row],[Quantity]]*quantInv[[#This Row],[WEIGHT]]</f>
        <v>0</v>
      </c>
      <c r="U1036" s="33">
        <f>quantInv[[#This Row],[UNIT
VALUE]]*quantInv[[#This Row],[Quantity]]</f>
        <v>0</v>
      </c>
      <c r="V1036" s="33">
        <f>quantInv[[#This Row],[Total Cost GBP]]/EURtoGBP</f>
        <v>0</v>
      </c>
      <c r="W1036" s="33">
        <f>quantInv[[#This Row],[Total Cost GBP]]/USDtoGBP</f>
        <v>0</v>
      </c>
      <c r="X1036" s="33">
        <f>quantInv[[#This Row],[Total Cost GBP]]/CADtoGBP</f>
        <v>0</v>
      </c>
      <c r="Y1036" s="33">
        <f>quantInv[[#This Row],[Quantity]]*quantInv[[#This Row],[UNIT
VALUE AUD]]</f>
        <v>0</v>
      </c>
      <c r="Z1036" s="33"/>
    </row>
    <row r="1037" spans="1:26" x14ac:dyDescent="0.25">
      <c r="A1037" t="s">
        <v>2535</v>
      </c>
      <c r="C1037" t="s">
        <v>115</v>
      </c>
      <c r="D1037" t="s">
        <v>2536</v>
      </c>
      <c r="E1037">
        <v>0</v>
      </c>
      <c r="F1037" s="33">
        <v>7.0499999999999993E-2</v>
      </c>
      <c r="G1037" s="33" t="s">
        <v>2875</v>
      </c>
      <c r="H1037" t="s">
        <v>2875</v>
      </c>
      <c r="I1037" t="str">
        <f>IF(quantInv[[#This Row],[Metal]] = "925 Silver",  "7113.11.00"," 7113.19.00")</f>
        <v xml:space="preserve"> 7113.19.00</v>
      </c>
      <c r="J1037" t="str">
        <f>IF(quantInv[[#This Row],[Metal]] = "925 Silver", "7113.11.10.00"," 7113.19.10.00")</f>
        <v xml:space="preserve"> 7113.19.10.00</v>
      </c>
      <c r="K1037" t="str">
        <f>IF(quantInv[[#This Row],[Metal]] = "925 Silver",  "7113.11.00"," 7113.19.00")</f>
        <v xml:space="preserve"> 7113.19.00</v>
      </c>
      <c r="L1037" t="str">
        <f>IFERROR(VLOOKUP(quantInv[[#This Row],[Description for New Invoice]],Map!$G$12:$H$32,2,FALSE), IF(quantInv[[#This Row],[Metal]] = "925 Silver", "7113.11.10.00", "7113.19.29.00"))</f>
        <v>7113.19.29.00</v>
      </c>
      <c r="M1037" t="str">
        <f>quantInv[[#This Row],[ASIN]] &amp; " " &amp; quantInv[[#This Row],[Short Description]]</f>
        <v xml:space="preserve"> GP hammered star stud earring</v>
      </c>
      <c r="N1037" s="33">
        <f>quantInv[[#This Row],[UNIT
VALUE]] / EURtoGBP</f>
        <v>8.0025880710357392E-2</v>
      </c>
      <c r="O1037" s="33">
        <f>quantInv[[#This Row],[UNIT
VALUE]]/USDtoGBP</f>
        <v>9.6643787449467625E-2</v>
      </c>
      <c r="P1037" s="33">
        <f>quantInv[[#This Row],[UNIT
VALUE]] / CADtoGBP</f>
        <v>0.1237096035502024</v>
      </c>
      <c r="Q1037" s="33">
        <f>quantInv[[#This Row],[UNIT
VALUE]]/AUDtoGBP</f>
        <v>0.12662547596810114</v>
      </c>
      <c r="R1037">
        <f>IFERROR(VLOOKUP(quantInv[[#This Row],[Assigned Item SKU]],skuQuantity[#All],2,FALSE),0)</f>
        <v>0</v>
      </c>
      <c r="S1037" t="str">
        <f>PROPER(quantInv[[#This Row],[Metal]] &amp; " " &amp; quantInv[[#This Row],[Item Type]])</f>
        <v xml:space="preserve"> </v>
      </c>
      <c r="T1037" s="33">
        <f>quantInv[[#This Row],[Quantity]]*quantInv[[#This Row],[WEIGHT]]</f>
        <v>0</v>
      </c>
      <c r="U1037" s="33">
        <f>quantInv[[#This Row],[UNIT
VALUE]]*quantInv[[#This Row],[Quantity]]</f>
        <v>0</v>
      </c>
      <c r="V1037" s="33">
        <f>quantInv[[#This Row],[Total Cost GBP]]/EURtoGBP</f>
        <v>0</v>
      </c>
      <c r="W1037" s="33">
        <f>quantInv[[#This Row],[Total Cost GBP]]/USDtoGBP</f>
        <v>0</v>
      </c>
      <c r="X1037" s="33">
        <f>quantInv[[#This Row],[Total Cost GBP]]/CADtoGBP</f>
        <v>0</v>
      </c>
      <c r="Y1037" s="33">
        <f>quantInv[[#This Row],[Quantity]]*quantInv[[#This Row],[UNIT
VALUE AUD]]</f>
        <v>0</v>
      </c>
      <c r="Z1037" s="33"/>
    </row>
    <row r="1038" spans="1:26" x14ac:dyDescent="0.25">
      <c r="A1038" t="s">
        <v>2537</v>
      </c>
      <c r="C1038" t="s">
        <v>115</v>
      </c>
      <c r="D1038" t="s">
        <v>2538</v>
      </c>
      <c r="E1038">
        <v>0</v>
      </c>
      <c r="F1038" s="33">
        <v>7.0499999999999993E-2</v>
      </c>
      <c r="G1038" s="33" t="s">
        <v>2875</v>
      </c>
      <c r="H1038" t="s">
        <v>2875</v>
      </c>
      <c r="I1038" t="str">
        <f>IF(quantInv[[#This Row],[Metal]] = "925 Silver",  "7113.11.00"," 7113.19.00")</f>
        <v xml:space="preserve"> 7113.19.00</v>
      </c>
      <c r="J1038" t="str">
        <f>IF(quantInv[[#This Row],[Metal]] = "925 Silver", "7113.11.10.00"," 7113.19.10.00")</f>
        <v xml:space="preserve"> 7113.19.10.00</v>
      </c>
      <c r="K1038" t="str">
        <f>IF(quantInv[[#This Row],[Metal]] = "925 Silver",  "7113.11.00"," 7113.19.00")</f>
        <v xml:space="preserve"> 7113.19.00</v>
      </c>
      <c r="L1038" t="str">
        <f>IFERROR(VLOOKUP(quantInv[[#This Row],[Description for New Invoice]],Map!$G$12:$H$32,2,FALSE), IF(quantInv[[#This Row],[Metal]] = "925 Silver", "7113.11.10.00", "7113.19.29.00"))</f>
        <v>7113.19.29.00</v>
      </c>
      <c r="M1038" t="str">
        <f>quantInv[[#This Row],[ASIN]] &amp; " " &amp; quantInv[[#This Row],[Short Description]]</f>
        <v xml:space="preserve"> GP spiral/torn stud earring</v>
      </c>
      <c r="N1038" s="33">
        <f>quantInv[[#This Row],[UNIT
VALUE]] / EURtoGBP</f>
        <v>8.0025880710357392E-2</v>
      </c>
      <c r="O1038" s="33">
        <f>quantInv[[#This Row],[UNIT
VALUE]]/USDtoGBP</f>
        <v>9.6643787449467625E-2</v>
      </c>
      <c r="P1038" s="33">
        <f>quantInv[[#This Row],[UNIT
VALUE]] / CADtoGBP</f>
        <v>0.1237096035502024</v>
      </c>
      <c r="Q1038" s="33">
        <f>quantInv[[#This Row],[UNIT
VALUE]]/AUDtoGBP</f>
        <v>0.12662547596810114</v>
      </c>
      <c r="R1038">
        <f>IFERROR(VLOOKUP(quantInv[[#This Row],[Assigned Item SKU]],skuQuantity[#All],2,FALSE),0)</f>
        <v>0</v>
      </c>
      <c r="S1038" t="str">
        <f>PROPER(quantInv[[#This Row],[Metal]] &amp; " " &amp; quantInv[[#This Row],[Item Type]])</f>
        <v xml:space="preserve"> </v>
      </c>
      <c r="T1038" s="33">
        <f>quantInv[[#This Row],[Quantity]]*quantInv[[#This Row],[WEIGHT]]</f>
        <v>0</v>
      </c>
      <c r="U1038" s="33">
        <f>quantInv[[#This Row],[UNIT
VALUE]]*quantInv[[#This Row],[Quantity]]</f>
        <v>0</v>
      </c>
      <c r="V1038" s="33">
        <f>quantInv[[#This Row],[Total Cost GBP]]/EURtoGBP</f>
        <v>0</v>
      </c>
      <c r="W1038" s="33">
        <f>quantInv[[#This Row],[Total Cost GBP]]/USDtoGBP</f>
        <v>0</v>
      </c>
      <c r="X1038" s="33">
        <f>quantInv[[#This Row],[Total Cost GBP]]/CADtoGBP</f>
        <v>0</v>
      </c>
      <c r="Y1038" s="33">
        <f>quantInv[[#This Row],[Quantity]]*quantInv[[#This Row],[UNIT
VALUE AUD]]</f>
        <v>0</v>
      </c>
      <c r="Z1038" s="33"/>
    </row>
    <row r="1039" spans="1:26" x14ac:dyDescent="0.25">
      <c r="A1039" t="s">
        <v>2539</v>
      </c>
      <c r="C1039" t="s">
        <v>115</v>
      </c>
      <c r="D1039" t="s">
        <v>2540</v>
      </c>
      <c r="E1039">
        <v>0</v>
      </c>
      <c r="F1039" s="33">
        <v>7.0499999999999993E-2</v>
      </c>
      <c r="G1039" s="33" t="s">
        <v>2875</v>
      </c>
      <c r="H1039" t="s">
        <v>2875</v>
      </c>
      <c r="I1039" t="str">
        <f>IF(quantInv[[#This Row],[Metal]] = "925 Silver",  "7113.11.00"," 7113.19.00")</f>
        <v xml:space="preserve"> 7113.19.00</v>
      </c>
      <c r="J1039" t="str">
        <f>IF(quantInv[[#This Row],[Metal]] = "925 Silver", "7113.11.10.00"," 7113.19.10.00")</f>
        <v xml:space="preserve"> 7113.19.10.00</v>
      </c>
      <c r="K1039" t="str">
        <f>IF(quantInv[[#This Row],[Metal]] = "925 Silver",  "7113.11.00"," 7113.19.00")</f>
        <v xml:space="preserve"> 7113.19.00</v>
      </c>
      <c r="L1039" t="str">
        <f>IFERROR(VLOOKUP(quantInv[[#This Row],[Description for New Invoice]],Map!$G$12:$H$32,2,FALSE), IF(quantInv[[#This Row],[Metal]] = "925 Silver", "7113.11.10.00", "7113.19.29.00"))</f>
        <v>7113.19.29.00</v>
      </c>
      <c r="M1039" t="str">
        <f>quantInv[[#This Row],[ASIN]] &amp; " " &amp; quantInv[[#This Row],[Short Description]]</f>
        <v xml:space="preserve"> GP flat star stud earring</v>
      </c>
      <c r="N1039" s="33">
        <f>quantInv[[#This Row],[UNIT
VALUE]] / EURtoGBP</f>
        <v>8.0025880710357392E-2</v>
      </c>
      <c r="O1039" s="33">
        <f>quantInv[[#This Row],[UNIT
VALUE]]/USDtoGBP</f>
        <v>9.6643787449467625E-2</v>
      </c>
      <c r="P1039" s="33">
        <f>quantInv[[#This Row],[UNIT
VALUE]] / CADtoGBP</f>
        <v>0.1237096035502024</v>
      </c>
      <c r="Q1039" s="33">
        <f>quantInv[[#This Row],[UNIT
VALUE]]/AUDtoGBP</f>
        <v>0.12662547596810114</v>
      </c>
      <c r="R1039">
        <f>IFERROR(VLOOKUP(quantInv[[#This Row],[Assigned Item SKU]],skuQuantity[#All],2,FALSE),0)</f>
        <v>0</v>
      </c>
      <c r="S1039" t="str">
        <f>PROPER(quantInv[[#This Row],[Metal]] &amp; " " &amp; quantInv[[#This Row],[Item Type]])</f>
        <v xml:space="preserve"> </v>
      </c>
      <c r="T1039" s="33">
        <f>quantInv[[#This Row],[Quantity]]*quantInv[[#This Row],[WEIGHT]]</f>
        <v>0</v>
      </c>
      <c r="U1039" s="33">
        <f>quantInv[[#This Row],[UNIT
VALUE]]*quantInv[[#This Row],[Quantity]]</f>
        <v>0</v>
      </c>
      <c r="V1039" s="33">
        <f>quantInv[[#This Row],[Total Cost GBP]]/EURtoGBP</f>
        <v>0</v>
      </c>
      <c r="W1039" s="33">
        <f>quantInv[[#This Row],[Total Cost GBP]]/USDtoGBP</f>
        <v>0</v>
      </c>
      <c r="X1039" s="33">
        <f>quantInv[[#This Row],[Total Cost GBP]]/CADtoGBP</f>
        <v>0</v>
      </c>
      <c r="Y1039" s="33">
        <f>quantInv[[#This Row],[Quantity]]*quantInv[[#This Row],[UNIT
VALUE AUD]]</f>
        <v>0</v>
      </c>
      <c r="Z1039" s="33"/>
    </row>
    <row r="1040" spans="1:26" x14ac:dyDescent="0.25">
      <c r="A1040" t="s">
        <v>2541</v>
      </c>
      <c r="C1040" t="s">
        <v>115</v>
      </c>
      <c r="D1040" t="s">
        <v>2542</v>
      </c>
      <c r="E1040">
        <v>0</v>
      </c>
      <c r="F1040" s="33">
        <v>7.0499999999999993E-2</v>
      </c>
      <c r="G1040" s="33" t="s">
        <v>2875</v>
      </c>
      <c r="H1040" t="s">
        <v>2875</v>
      </c>
      <c r="I1040" t="str">
        <f>IF(quantInv[[#This Row],[Metal]] = "925 Silver",  "7113.11.00"," 7113.19.00")</f>
        <v xml:space="preserve"> 7113.19.00</v>
      </c>
      <c r="J1040" t="str">
        <f>IF(quantInv[[#This Row],[Metal]] = "925 Silver", "7113.11.10.00"," 7113.19.10.00")</f>
        <v xml:space="preserve"> 7113.19.10.00</v>
      </c>
      <c r="K1040" t="str">
        <f>IF(quantInv[[#This Row],[Metal]] = "925 Silver",  "7113.11.00"," 7113.19.00")</f>
        <v xml:space="preserve"> 7113.19.00</v>
      </c>
      <c r="L1040" t="str">
        <f>IFERROR(VLOOKUP(quantInv[[#This Row],[Description for New Invoice]],Map!$G$12:$H$32,2,FALSE), IF(quantInv[[#This Row],[Metal]] = "925 Silver", "7113.11.10.00", "7113.19.29.00"))</f>
        <v>7113.19.29.00</v>
      </c>
      <c r="M1040" t="str">
        <f>quantInv[[#This Row],[ASIN]] &amp; " " &amp; quantInv[[#This Row],[Short Description]]</f>
        <v xml:space="preserve"> GP mismatch moon and star stud earrings</v>
      </c>
      <c r="N1040" s="33">
        <f>quantInv[[#This Row],[UNIT
VALUE]] / EURtoGBP</f>
        <v>8.0025880710357392E-2</v>
      </c>
      <c r="O1040" s="33">
        <f>quantInv[[#This Row],[UNIT
VALUE]]/USDtoGBP</f>
        <v>9.6643787449467625E-2</v>
      </c>
      <c r="P1040" s="33">
        <f>quantInv[[#This Row],[UNIT
VALUE]] / CADtoGBP</f>
        <v>0.1237096035502024</v>
      </c>
      <c r="Q1040" s="33">
        <f>quantInv[[#This Row],[UNIT
VALUE]]/AUDtoGBP</f>
        <v>0.12662547596810114</v>
      </c>
      <c r="R1040">
        <f>IFERROR(VLOOKUP(quantInv[[#This Row],[Assigned Item SKU]],skuQuantity[#All],2,FALSE),0)</f>
        <v>0</v>
      </c>
      <c r="S1040" t="str">
        <f>PROPER(quantInv[[#This Row],[Metal]] &amp; " " &amp; quantInv[[#This Row],[Item Type]])</f>
        <v xml:space="preserve"> </v>
      </c>
      <c r="T1040" s="33">
        <f>quantInv[[#This Row],[Quantity]]*quantInv[[#This Row],[WEIGHT]]</f>
        <v>0</v>
      </c>
      <c r="U1040" s="33">
        <f>quantInv[[#This Row],[UNIT
VALUE]]*quantInv[[#This Row],[Quantity]]</f>
        <v>0</v>
      </c>
      <c r="V1040" s="33">
        <f>quantInv[[#This Row],[Total Cost GBP]]/EURtoGBP</f>
        <v>0</v>
      </c>
      <c r="W1040" s="33">
        <f>quantInv[[#This Row],[Total Cost GBP]]/USDtoGBP</f>
        <v>0</v>
      </c>
      <c r="X1040" s="33">
        <f>quantInv[[#This Row],[Total Cost GBP]]/CADtoGBP</f>
        <v>0</v>
      </c>
      <c r="Y1040" s="33">
        <f>quantInv[[#This Row],[Quantity]]*quantInv[[#This Row],[UNIT
VALUE AUD]]</f>
        <v>0</v>
      </c>
      <c r="Z1040" s="33"/>
    </row>
    <row r="1041" spans="1:26" x14ac:dyDescent="0.25">
      <c r="A1041" t="s">
        <v>2543</v>
      </c>
      <c r="C1041" t="s">
        <v>115</v>
      </c>
      <c r="D1041" t="s">
        <v>2544</v>
      </c>
      <c r="E1041">
        <v>0</v>
      </c>
      <c r="F1041" s="33">
        <v>7.0499999999999993E-2</v>
      </c>
      <c r="G1041" s="33" t="s">
        <v>2875</v>
      </c>
      <c r="H1041" t="s">
        <v>2875</v>
      </c>
      <c r="I1041" t="str">
        <f>IF(quantInv[[#This Row],[Metal]] = "925 Silver",  "7113.11.00"," 7113.19.00")</f>
        <v xml:space="preserve"> 7113.19.00</v>
      </c>
      <c r="J1041" t="str">
        <f>IF(quantInv[[#This Row],[Metal]] = "925 Silver", "7113.11.10.00"," 7113.19.10.00")</f>
        <v xml:space="preserve"> 7113.19.10.00</v>
      </c>
      <c r="K1041" t="str">
        <f>IF(quantInv[[#This Row],[Metal]] = "925 Silver",  "7113.11.00"," 7113.19.00")</f>
        <v xml:space="preserve"> 7113.19.00</v>
      </c>
      <c r="L1041" t="str">
        <f>IFERROR(VLOOKUP(quantInv[[#This Row],[Description for New Invoice]],Map!$G$12:$H$32,2,FALSE), IF(quantInv[[#This Row],[Metal]] = "925 Silver", "7113.11.10.00", "7113.19.29.00"))</f>
        <v>7113.19.29.00</v>
      </c>
      <c r="M1041" t="str">
        <f>quantInv[[#This Row],[ASIN]] &amp; " " &amp; quantInv[[#This Row],[Short Description]]</f>
        <v xml:space="preserve"> GP moon stud earrings</v>
      </c>
      <c r="N1041" s="33">
        <f>quantInv[[#This Row],[UNIT
VALUE]] / EURtoGBP</f>
        <v>8.0025880710357392E-2</v>
      </c>
      <c r="O1041" s="33">
        <f>quantInv[[#This Row],[UNIT
VALUE]]/USDtoGBP</f>
        <v>9.6643787449467625E-2</v>
      </c>
      <c r="P1041" s="33">
        <f>quantInv[[#This Row],[UNIT
VALUE]] / CADtoGBP</f>
        <v>0.1237096035502024</v>
      </c>
      <c r="Q1041" s="33">
        <f>quantInv[[#This Row],[UNIT
VALUE]]/AUDtoGBP</f>
        <v>0.12662547596810114</v>
      </c>
      <c r="R1041">
        <f>IFERROR(VLOOKUP(quantInv[[#This Row],[Assigned Item SKU]],skuQuantity[#All],2,FALSE),0)</f>
        <v>0</v>
      </c>
      <c r="S1041" t="str">
        <f>PROPER(quantInv[[#This Row],[Metal]] &amp; " " &amp; quantInv[[#This Row],[Item Type]])</f>
        <v xml:space="preserve"> </v>
      </c>
      <c r="T1041" s="33">
        <f>quantInv[[#This Row],[Quantity]]*quantInv[[#This Row],[WEIGHT]]</f>
        <v>0</v>
      </c>
      <c r="U1041" s="33">
        <f>quantInv[[#This Row],[UNIT
VALUE]]*quantInv[[#This Row],[Quantity]]</f>
        <v>0</v>
      </c>
      <c r="V1041" s="33">
        <f>quantInv[[#This Row],[Total Cost GBP]]/EURtoGBP</f>
        <v>0</v>
      </c>
      <c r="W1041" s="33">
        <f>quantInv[[#This Row],[Total Cost GBP]]/USDtoGBP</f>
        <v>0</v>
      </c>
      <c r="X1041" s="33">
        <f>quantInv[[#This Row],[Total Cost GBP]]/CADtoGBP</f>
        <v>0</v>
      </c>
      <c r="Y1041" s="33">
        <f>quantInv[[#This Row],[Quantity]]*quantInv[[#This Row],[UNIT
VALUE AUD]]</f>
        <v>0</v>
      </c>
      <c r="Z1041" s="33"/>
    </row>
    <row r="1042" spans="1:26" x14ac:dyDescent="0.25">
      <c r="A1042" t="s">
        <v>2545</v>
      </c>
      <c r="C1042" t="s">
        <v>115</v>
      </c>
      <c r="D1042" t="s">
        <v>2546</v>
      </c>
      <c r="E1042">
        <v>0</v>
      </c>
      <c r="F1042" s="33">
        <v>7.0499999999999993E-2</v>
      </c>
      <c r="G1042" s="33" t="s">
        <v>2875</v>
      </c>
      <c r="H1042" t="s">
        <v>2875</v>
      </c>
      <c r="I1042" t="str">
        <f>IF(quantInv[[#This Row],[Metal]] = "925 Silver",  "7113.11.00"," 7113.19.00")</f>
        <v xml:space="preserve"> 7113.19.00</v>
      </c>
      <c r="J1042" t="str">
        <f>IF(quantInv[[#This Row],[Metal]] = "925 Silver", "7113.11.10.00"," 7113.19.10.00")</f>
        <v xml:space="preserve"> 7113.19.10.00</v>
      </c>
      <c r="K1042" t="str">
        <f>IF(quantInv[[#This Row],[Metal]] = "925 Silver",  "7113.11.00"," 7113.19.00")</f>
        <v xml:space="preserve"> 7113.19.00</v>
      </c>
      <c r="L1042" t="str">
        <f>IFERROR(VLOOKUP(quantInv[[#This Row],[Description for New Invoice]],Map!$G$12:$H$32,2,FALSE), IF(quantInv[[#This Row],[Metal]] = "925 Silver", "7113.11.10.00", "7113.19.29.00"))</f>
        <v>7113.19.29.00</v>
      </c>
      <c r="M1042" t="str">
        <f>quantInv[[#This Row],[ASIN]] &amp; " " &amp; quantInv[[#This Row],[Short Description]]</f>
        <v xml:space="preserve"> GP moon silhouette stud earrings</v>
      </c>
      <c r="N1042" s="33">
        <f>quantInv[[#This Row],[UNIT
VALUE]] / EURtoGBP</f>
        <v>8.0025880710357392E-2</v>
      </c>
      <c r="O1042" s="33">
        <f>quantInv[[#This Row],[UNIT
VALUE]]/USDtoGBP</f>
        <v>9.6643787449467625E-2</v>
      </c>
      <c r="P1042" s="33">
        <f>quantInv[[#This Row],[UNIT
VALUE]] / CADtoGBP</f>
        <v>0.1237096035502024</v>
      </c>
      <c r="Q1042" s="33">
        <f>quantInv[[#This Row],[UNIT
VALUE]]/AUDtoGBP</f>
        <v>0.12662547596810114</v>
      </c>
      <c r="R1042">
        <f>IFERROR(VLOOKUP(quantInv[[#This Row],[Assigned Item SKU]],skuQuantity[#All],2,FALSE),0)</f>
        <v>0</v>
      </c>
      <c r="S1042" t="str">
        <f>PROPER(quantInv[[#This Row],[Metal]] &amp; " " &amp; quantInv[[#This Row],[Item Type]])</f>
        <v xml:space="preserve"> </v>
      </c>
      <c r="T1042" s="33">
        <f>quantInv[[#This Row],[Quantity]]*quantInv[[#This Row],[WEIGHT]]</f>
        <v>0</v>
      </c>
      <c r="U1042" s="33">
        <f>quantInv[[#This Row],[UNIT
VALUE]]*quantInv[[#This Row],[Quantity]]</f>
        <v>0</v>
      </c>
      <c r="V1042" s="33">
        <f>quantInv[[#This Row],[Total Cost GBP]]/EURtoGBP</f>
        <v>0</v>
      </c>
      <c r="W1042" s="33">
        <f>quantInv[[#This Row],[Total Cost GBP]]/USDtoGBP</f>
        <v>0</v>
      </c>
      <c r="X1042" s="33">
        <f>quantInv[[#This Row],[Total Cost GBP]]/CADtoGBP</f>
        <v>0</v>
      </c>
      <c r="Y1042" s="33">
        <f>quantInv[[#This Row],[Quantity]]*quantInv[[#This Row],[UNIT
VALUE AUD]]</f>
        <v>0</v>
      </c>
      <c r="Z1042" s="33"/>
    </row>
    <row r="1043" spans="1:26" x14ac:dyDescent="0.25">
      <c r="A1043" t="s">
        <v>2547</v>
      </c>
      <c r="C1043" t="s">
        <v>114</v>
      </c>
      <c r="D1043" t="s">
        <v>2548</v>
      </c>
      <c r="E1043">
        <v>0</v>
      </c>
      <c r="F1043" s="33">
        <v>7.0499999999999993E-2</v>
      </c>
      <c r="G1043" s="33" t="s">
        <v>2875</v>
      </c>
      <c r="H1043" t="s">
        <v>2875</v>
      </c>
      <c r="I1043" t="str">
        <f>IF(quantInv[[#This Row],[Metal]] = "925 Silver",  "7113.11.00"," 7113.19.00")</f>
        <v xml:space="preserve"> 7113.19.00</v>
      </c>
      <c r="J1043" t="str">
        <f>IF(quantInv[[#This Row],[Metal]] = "925 Silver", "7113.11.10.00"," 7113.19.10.00")</f>
        <v xml:space="preserve"> 7113.19.10.00</v>
      </c>
      <c r="K1043" t="str">
        <f>IF(quantInv[[#This Row],[Metal]] = "925 Silver",  "7113.11.00"," 7113.19.00")</f>
        <v xml:space="preserve"> 7113.19.00</v>
      </c>
      <c r="L1043" t="str">
        <f>IFERROR(VLOOKUP(quantInv[[#This Row],[Description for New Invoice]],Map!$G$12:$H$32,2,FALSE), IF(quantInv[[#This Row],[Metal]] = "925 Silver", "7113.11.10.00", "7113.19.29.00"))</f>
        <v>7113.19.29.00</v>
      </c>
      <c r="M1043" t="str">
        <f>quantInv[[#This Row],[ASIN]] &amp; " " &amp; quantInv[[#This Row],[Short Description]]</f>
        <v xml:space="preserve"> GP thunder stud earrings</v>
      </c>
      <c r="N1043" s="33">
        <f>quantInv[[#This Row],[UNIT
VALUE]] / EURtoGBP</f>
        <v>8.0025880710357392E-2</v>
      </c>
      <c r="O1043" s="33">
        <f>quantInv[[#This Row],[UNIT
VALUE]]/USDtoGBP</f>
        <v>9.6643787449467625E-2</v>
      </c>
      <c r="P1043" s="33">
        <f>quantInv[[#This Row],[UNIT
VALUE]] / CADtoGBP</f>
        <v>0.1237096035502024</v>
      </c>
      <c r="Q1043" s="33">
        <f>quantInv[[#This Row],[UNIT
VALUE]]/AUDtoGBP</f>
        <v>0.12662547596810114</v>
      </c>
      <c r="R1043">
        <f>IFERROR(VLOOKUP(quantInv[[#This Row],[Assigned Item SKU]],skuQuantity[#All],2,FALSE),0)</f>
        <v>0</v>
      </c>
      <c r="S1043" t="str">
        <f>PROPER(quantInv[[#This Row],[Metal]] &amp; " " &amp; quantInv[[#This Row],[Item Type]])</f>
        <v xml:space="preserve"> </v>
      </c>
      <c r="T1043" s="33">
        <f>quantInv[[#This Row],[Quantity]]*quantInv[[#This Row],[WEIGHT]]</f>
        <v>0</v>
      </c>
      <c r="U1043" s="33">
        <f>quantInv[[#This Row],[UNIT
VALUE]]*quantInv[[#This Row],[Quantity]]</f>
        <v>0</v>
      </c>
      <c r="V1043" s="33">
        <f>quantInv[[#This Row],[Total Cost GBP]]/EURtoGBP</f>
        <v>0</v>
      </c>
      <c r="W1043" s="33">
        <f>quantInv[[#This Row],[Total Cost GBP]]/USDtoGBP</f>
        <v>0</v>
      </c>
      <c r="X1043" s="33">
        <f>quantInv[[#This Row],[Total Cost GBP]]/CADtoGBP</f>
        <v>0</v>
      </c>
      <c r="Y1043" s="33">
        <f>quantInv[[#This Row],[Quantity]]*quantInv[[#This Row],[UNIT
VALUE AUD]]</f>
        <v>0</v>
      </c>
      <c r="Z1043" s="33"/>
    </row>
    <row r="1044" spans="1:26" x14ac:dyDescent="0.25">
      <c r="A1044" t="s">
        <v>2549</v>
      </c>
      <c r="C1044" t="s">
        <v>114</v>
      </c>
      <c r="D1044" t="s">
        <v>2550</v>
      </c>
      <c r="E1044">
        <v>0</v>
      </c>
      <c r="F1044" s="33">
        <v>7.0499999999999993E-2</v>
      </c>
      <c r="G1044" s="33" t="s">
        <v>2875</v>
      </c>
      <c r="H1044" t="s">
        <v>2875</v>
      </c>
      <c r="I1044" t="str">
        <f>IF(quantInv[[#This Row],[Metal]] = "925 Silver",  "7113.11.00"," 7113.19.00")</f>
        <v xml:space="preserve"> 7113.19.00</v>
      </c>
      <c r="J1044" t="str">
        <f>IF(quantInv[[#This Row],[Metal]] = "925 Silver", "7113.11.10.00"," 7113.19.10.00")</f>
        <v xml:space="preserve"> 7113.19.10.00</v>
      </c>
      <c r="K1044" t="str">
        <f>IF(quantInv[[#This Row],[Metal]] = "925 Silver",  "7113.11.00"," 7113.19.00")</f>
        <v xml:space="preserve"> 7113.19.00</v>
      </c>
      <c r="L1044" t="str">
        <f>IFERROR(VLOOKUP(quantInv[[#This Row],[Description for New Invoice]],Map!$G$12:$H$32,2,FALSE), IF(quantInv[[#This Row],[Metal]] = "925 Silver", "7113.11.10.00", "7113.19.29.00"))</f>
        <v>7113.19.29.00</v>
      </c>
      <c r="M1044" t="str">
        <f>quantInv[[#This Row],[ASIN]] &amp; " " &amp; quantInv[[#This Row],[Short Description]]</f>
        <v xml:space="preserve"> GP north star stud earrings</v>
      </c>
      <c r="N1044" s="33">
        <f>quantInv[[#This Row],[UNIT
VALUE]] / EURtoGBP</f>
        <v>8.0025880710357392E-2</v>
      </c>
      <c r="O1044" s="33">
        <f>quantInv[[#This Row],[UNIT
VALUE]]/USDtoGBP</f>
        <v>9.6643787449467625E-2</v>
      </c>
      <c r="P1044" s="33">
        <f>quantInv[[#This Row],[UNIT
VALUE]] / CADtoGBP</f>
        <v>0.1237096035502024</v>
      </c>
      <c r="Q1044" s="33">
        <f>quantInv[[#This Row],[UNIT
VALUE]]/AUDtoGBP</f>
        <v>0.12662547596810114</v>
      </c>
      <c r="R1044">
        <f>IFERROR(VLOOKUP(quantInv[[#This Row],[Assigned Item SKU]],skuQuantity[#All],2,FALSE),0)</f>
        <v>0</v>
      </c>
      <c r="S1044" t="str">
        <f>PROPER(quantInv[[#This Row],[Metal]] &amp; " " &amp; quantInv[[#This Row],[Item Type]])</f>
        <v xml:space="preserve"> </v>
      </c>
      <c r="T1044" s="33">
        <f>quantInv[[#This Row],[Quantity]]*quantInv[[#This Row],[WEIGHT]]</f>
        <v>0</v>
      </c>
      <c r="U1044" s="33">
        <f>quantInv[[#This Row],[UNIT
VALUE]]*quantInv[[#This Row],[Quantity]]</f>
        <v>0</v>
      </c>
      <c r="V1044" s="33">
        <f>quantInv[[#This Row],[Total Cost GBP]]/EURtoGBP</f>
        <v>0</v>
      </c>
      <c r="W1044" s="33">
        <f>quantInv[[#This Row],[Total Cost GBP]]/USDtoGBP</f>
        <v>0</v>
      </c>
      <c r="X1044" s="33">
        <f>quantInv[[#This Row],[Total Cost GBP]]/CADtoGBP</f>
        <v>0</v>
      </c>
      <c r="Y1044" s="33">
        <f>quantInv[[#This Row],[Quantity]]*quantInv[[#This Row],[UNIT
VALUE AUD]]</f>
        <v>0</v>
      </c>
      <c r="Z1044" s="33"/>
    </row>
    <row r="1045" spans="1:26" x14ac:dyDescent="0.25">
      <c r="A1045" t="s">
        <v>2551</v>
      </c>
      <c r="C1045" t="s">
        <v>115</v>
      </c>
      <c r="D1045" t="s">
        <v>2552</v>
      </c>
      <c r="E1045">
        <v>0.73</v>
      </c>
      <c r="F1045" s="33">
        <v>7.0499999999999993E-2</v>
      </c>
      <c r="G1045" s="33" t="s">
        <v>2875</v>
      </c>
      <c r="H1045" t="s">
        <v>2875</v>
      </c>
      <c r="I1045" t="str">
        <f>IF(quantInv[[#This Row],[Metal]] = "925 Silver",  "7113.11.00"," 7113.19.00")</f>
        <v xml:space="preserve"> 7113.19.00</v>
      </c>
      <c r="J1045" t="str">
        <f>IF(quantInv[[#This Row],[Metal]] = "925 Silver", "7113.11.10.00"," 7113.19.10.00")</f>
        <v xml:space="preserve"> 7113.19.10.00</v>
      </c>
      <c r="K1045" t="str">
        <f>IF(quantInv[[#This Row],[Metal]] = "925 Silver",  "7113.11.00"," 7113.19.00")</f>
        <v xml:space="preserve"> 7113.19.00</v>
      </c>
      <c r="L1045" t="str">
        <f>IFERROR(VLOOKUP(quantInv[[#This Row],[Description for New Invoice]],Map!$G$12:$H$32,2,FALSE), IF(quantInv[[#This Row],[Metal]] = "925 Silver", "7113.11.10.00", "7113.19.29.00"))</f>
        <v>7113.19.29.00</v>
      </c>
      <c r="M1045" t="str">
        <f>quantInv[[#This Row],[ASIN]] &amp; " " &amp; quantInv[[#This Row],[Short Description]]</f>
        <v xml:space="preserve"> Silver flat dot stud earrings</v>
      </c>
      <c r="N1045" s="33">
        <f>quantInv[[#This Row],[UNIT
VALUE]] / EURtoGBP</f>
        <v>8.0025880710357392E-2</v>
      </c>
      <c r="O1045" s="33">
        <f>quantInv[[#This Row],[UNIT
VALUE]]/USDtoGBP</f>
        <v>9.6643787449467625E-2</v>
      </c>
      <c r="P1045" s="33">
        <f>quantInv[[#This Row],[UNIT
VALUE]] / CADtoGBP</f>
        <v>0.1237096035502024</v>
      </c>
      <c r="Q1045" s="33">
        <f>quantInv[[#This Row],[UNIT
VALUE]]/AUDtoGBP</f>
        <v>0.12662547596810114</v>
      </c>
      <c r="R1045">
        <f>IFERROR(VLOOKUP(quantInv[[#This Row],[Assigned Item SKU]],skuQuantity[#All],2,FALSE),0)</f>
        <v>0</v>
      </c>
      <c r="S1045" t="str">
        <f>PROPER(quantInv[[#This Row],[Metal]] &amp; " " &amp; quantInv[[#This Row],[Item Type]])</f>
        <v xml:space="preserve"> </v>
      </c>
      <c r="T1045" s="33">
        <f>quantInv[[#This Row],[Quantity]]*quantInv[[#This Row],[WEIGHT]]</f>
        <v>0</v>
      </c>
      <c r="U1045" s="33">
        <f>quantInv[[#This Row],[UNIT
VALUE]]*quantInv[[#This Row],[Quantity]]</f>
        <v>0</v>
      </c>
      <c r="V1045" s="33">
        <f>quantInv[[#This Row],[Total Cost GBP]]/EURtoGBP</f>
        <v>0</v>
      </c>
      <c r="W1045" s="33">
        <f>quantInv[[#This Row],[Total Cost GBP]]/USDtoGBP</f>
        <v>0</v>
      </c>
      <c r="X1045" s="33">
        <f>quantInv[[#This Row],[Total Cost GBP]]/CADtoGBP</f>
        <v>0</v>
      </c>
      <c r="Y1045" s="33">
        <f>quantInv[[#This Row],[Quantity]]*quantInv[[#This Row],[UNIT
VALUE AUD]]</f>
        <v>0</v>
      </c>
      <c r="Z1045" s="33"/>
    </row>
    <row r="1046" spans="1:26" x14ac:dyDescent="0.25">
      <c r="A1046" t="s">
        <v>2553</v>
      </c>
      <c r="C1046" t="s">
        <v>115</v>
      </c>
      <c r="D1046" t="s">
        <v>2554</v>
      </c>
      <c r="E1046">
        <v>0.7</v>
      </c>
      <c r="F1046" s="33">
        <v>7.0499999999999993E-2</v>
      </c>
      <c r="G1046" s="33" t="s">
        <v>2875</v>
      </c>
      <c r="H1046" t="s">
        <v>2875</v>
      </c>
      <c r="I1046" t="str">
        <f>IF(quantInv[[#This Row],[Metal]] = "925 Silver",  "7113.11.00"," 7113.19.00")</f>
        <v xml:space="preserve"> 7113.19.00</v>
      </c>
      <c r="J1046" t="str">
        <f>IF(quantInv[[#This Row],[Metal]] = "925 Silver", "7113.11.10.00"," 7113.19.10.00")</f>
        <v xml:space="preserve"> 7113.19.10.00</v>
      </c>
      <c r="K1046" t="str">
        <f>IF(quantInv[[#This Row],[Metal]] = "925 Silver",  "7113.11.00"," 7113.19.00")</f>
        <v xml:space="preserve"> 7113.19.00</v>
      </c>
      <c r="L1046" t="str">
        <f>IFERROR(VLOOKUP(quantInv[[#This Row],[Description for New Invoice]],Map!$G$12:$H$32,2,FALSE), IF(quantInv[[#This Row],[Metal]] = "925 Silver", "7113.11.10.00", "7113.19.29.00"))</f>
        <v>7113.19.29.00</v>
      </c>
      <c r="M1046" t="str">
        <f>quantInv[[#This Row],[ASIN]] &amp; " " &amp; quantInv[[#This Row],[Short Description]]</f>
        <v xml:space="preserve"> Silver flat hammered dot stud earrings</v>
      </c>
      <c r="N1046" s="33">
        <f>quantInv[[#This Row],[UNIT
VALUE]] / EURtoGBP</f>
        <v>8.0025880710357392E-2</v>
      </c>
      <c r="O1046" s="33">
        <f>quantInv[[#This Row],[UNIT
VALUE]]/USDtoGBP</f>
        <v>9.6643787449467625E-2</v>
      </c>
      <c r="P1046" s="33">
        <f>quantInv[[#This Row],[UNIT
VALUE]] / CADtoGBP</f>
        <v>0.1237096035502024</v>
      </c>
      <c r="Q1046" s="33">
        <f>quantInv[[#This Row],[UNIT
VALUE]]/AUDtoGBP</f>
        <v>0.12662547596810114</v>
      </c>
      <c r="R1046">
        <f>IFERROR(VLOOKUP(quantInv[[#This Row],[Assigned Item SKU]],skuQuantity[#All],2,FALSE),0)</f>
        <v>0</v>
      </c>
      <c r="S1046" t="str">
        <f>PROPER(quantInv[[#This Row],[Metal]] &amp; " " &amp; quantInv[[#This Row],[Item Type]])</f>
        <v xml:space="preserve"> </v>
      </c>
      <c r="T1046" s="33">
        <f>quantInv[[#This Row],[Quantity]]*quantInv[[#This Row],[WEIGHT]]</f>
        <v>0</v>
      </c>
      <c r="U1046" s="33">
        <f>quantInv[[#This Row],[UNIT
VALUE]]*quantInv[[#This Row],[Quantity]]</f>
        <v>0</v>
      </c>
      <c r="V1046" s="33">
        <f>quantInv[[#This Row],[Total Cost GBP]]/EURtoGBP</f>
        <v>0</v>
      </c>
      <c r="W1046" s="33">
        <f>quantInv[[#This Row],[Total Cost GBP]]/USDtoGBP</f>
        <v>0</v>
      </c>
      <c r="X1046" s="33">
        <f>quantInv[[#This Row],[Total Cost GBP]]/CADtoGBP</f>
        <v>0</v>
      </c>
      <c r="Y1046" s="33">
        <f>quantInv[[#This Row],[Quantity]]*quantInv[[#This Row],[UNIT
VALUE AUD]]</f>
        <v>0</v>
      </c>
      <c r="Z1046" s="33"/>
    </row>
    <row r="1047" spans="1:26" x14ac:dyDescent="0.25">
      <c r="A1047" t="s">
        <v>2555</v>
      </c>
      <c r="C1047" t="s">
        <v>115</v>
      </c>
      <c r="D1047" t="s">
        <v>2556</v>
      </c>
      <c r="E1047">
        <v>0.57999999999999996</v>
      </c>
      <c r="F1047" s="33">
        <v>7.0499999999999993E-2</v>
      </c>
      <c r="G1047" s="33" t="s">
        <v>2875</v>
      </c>
      <c r="H1047" t="s">
        <v>2875</v>
      </c>
      <c r="I1047" t="str">
        <f>IF(quantInv[[#This Row],[Metal]] = "925 Silver",  "7113.11.00"," 7113.19.00")</f>
        <v xml:space="preserve"> 7113.19.00</v>
      </c>
      <c r="J1047" t="str">
        <f>IF(quantInv[[#This Row],[Metal]] = "925 Silver", "7113.11.10.00"," 7113.19.10.00")</f>
        <v xml:space="preserve"> 7113.19.10.00</v>
      </c>
      <c r="K1047" t="str">
        <f>IF(quantInv[[#This Row],[Metal]] = "925 Silver",  "7113.11.00"," 7113.19.00")</f>
        <v xml:space="preserve"> 7113.19.00</v>
      </c>
      <c r="L1047" t="str">
        <f>IFERROR(VLOOKUP(quantInv[[#This Row],[Description for New Invoice]],Map!$G$12:$H$32,2,FALSE), IF(quantInv[[#This Row],[Metal]] = "925 Silver", "7113.11.10.00", "7113.19.29.00"))</f>
        <v>7113.19.29.00</v>
      </c>
      <c r="M1047" t="str">
        <f>quantInv[[#This Row],[ASIN]] &amp; " " &amp; quantInv[[#This Row],[Short Description]]</f>
        <v xml:space="preserve"> Silver rounded dot stud earrings</v>
      </c>
      <c r="N1047" s="33">
        <f>quantInv[[#This Row],[UNIT
VALUE]] / EURtoGBP</f>
        <v>8.0025880710357392E-2</v>
      </c>
      <c r="O1047" s="33">
        <f>quantInv[[#This Row],[UNIT
VALUE]]/USDtoGBP</f>
        <v>9.6643787449467625E-2</v>
      </c>
      <c r="P1047" s="33">
        <f>quantInv[[#This Row],[UNIT
VALUE]] / CADtoGBP</f>
        <v>0.1237096035502024</v>
      </c>
      <c r="Q1047" s="33">
        <f>quantInv[[#This Row],[UNIT
VALUE]]/AUDtoGBP</f>
        <v>0.12662547596810114</v>
      </c>
      <c r="R1047">
        <f>IFERROR(VLOOKUP(quantInv[[#This Row],[Assigned Item SKU]],skuQuantity[#All],2,FALSE),0)</f>
        <v>0</v>
      </c>
      <c r="S1047" t="str">
        <f>PROPER(quantInv[[#This Row],[Metal]] &amp; " " &amp; quantInv[[#This Row],[Item Type]])</f>
        <v xml:space="preserve"> </v>
      </c>
      <c r="T1047" s="33">
        <f>quantInv[[#This Row],[Quantity]]*quantInv[[#This Row],[WEIGHT]]</f>
        <v>0</v>
      </c>
      <c r="U1047" s="33">
        <f>quantInv[[#This Row],[UNIT
VALUE]]*quantInv[[#This Row],[Quantity]]</f>
        <v>0</v>
      </c>
      <c r="V1047" s="33">
        <f>quantInv[[#This Row],[Total Cost GBP]]/EURtoGBP</f>
        <v>0</v>
      </c>
      <c r="W1047" s="33">
        <f>quantInv[[#This Row],[Total Cost GBP]]/USDtoGBP</f>
        <v>0</v>
      </c>
      <c r="X1047" s="33">
        <f>quantInv[[#This Row],[Total Cost GBP]]/CADtoGBP</f>
        <v>0</v>
      </c>
      <c r="Y1047" s="33">
        <f>quantInv[[#This Row],[Quantity]]*quantInv[[#This Row],[UNIT
VALUE AUD]]</f>
        <v>0</v>
      </c>
      <c r="Z1047" s="33"/>
    </row>
    <row r="1048" spans="1:26" x14ac:dyDescent="0.25">
      <c r="A1048" t="s">
        <v>2557</v>
      </c>
      <c r="C1048" t="s">
        <v>115</v>
      </c>
      <c r="D1048" t="s">
        <v>2558</v>
      </c>
      <c r="E1048">
        <v>1.21</v>
      </c>
      <c r="F1048" s="33">
        <v>7.0499999999999993E-2</v>
      </c>
      <c r="G1048" s="33" t="s">
        <v>117</v>
      </c>
      <c r="H1048" t="s">
        <v>2875</v>
      </c>
      <c r="I1048" t="str">
        <f>IF(quantInv[[#This Row],[Metal]] = "925 Silver",  "7113.11.00"," 7113.19.00")</f>
        <v>7113.11.00</v>
      </c>
      <c r="J1048" t="str">
        <f>IF(quantInv[[#This Row],[Metal]] = "925 Silver", "7113.11.10.00"," 7113.19.10.00")</f>
        <v>7113.11.10.00</v>
      </c>
      <c r="K1048" t="str">
        <f>IF(quantInv[[#This Row],[Metal]] = "925 Silver",  "7113.11.00"," 7113.19.00")</f>
        <v>7113.11.00</v>
      </c>
      <c r="L1048" t="str">
        <f>IFERROR(VLOOKUP(quantInv[[#This Row],[Description for New Invoice]],Map!$G$12:$H$32,2,FALSE), IF(quantInv[[#This Row],[Metal]] = "925 Silver", "7113.11.10.00", "7113.19.29.00"))</f>
        <v>7113.11.10.00</v>
      </c>
      <c r="M1048" t="str">
        <f>quantInv[[#This Row],[ASIN]] &amp; " " &amp; quantInv[[#This Row],[Short Description]]</f>
        <v xml:space="preserve"> Silver big circumference stud earrings</v>
      </c>
      <c r="N1048" s="33">
        <f>quantInv[[#This Row],[UNIT
VALUE]] / EURtoGBP</f>
        <v>8.0025880710357392E-2</v>
      </c>
      <c r="O1048" s="33">
        <f>quantInv[[#This Row],[UNIT
VALUE]]/USDtoGBP</f>
        <v>9.6643787449467625E-2</v>
      </c>
      <c r="P1048" s="33">
        <f>quantInv[[#This Row],[UNIT
VALUE]] / CADtoGBP</f>
        <v>0.1237096035502024</v>
      </c>
      <c r="Q1048" s="33">
        <f>quantInv[[#This Row],[UNIT
VALUE]]/AUDtoGBP</f>
        <v>0.12662547596810114</v>
      </c>
      <c r="R1048">
        <f>IFERROR(VLOOKUP(quantInv[[#This Row],[Assigned Item SKU]],skuQuantity[#All],2,FALSE),0)</f>
        <v>0</v>
      </c>
      <c r="S1048" t="str">
        <f>PROPER(quantInv[[#This Row],[Metal]] &amp; " " &amp; quantInv[[#This Row],[Item Type]])</f>
        <v xml:space="preserve">925 Silver </v>
      </c>
      <c r="T1048" s="33">
        <f>quantInv[[#This Row],[Quantity]]*quantInv[[#This Row],[WEIGHT]]</f>
        <v>0</v>
      </c>
      <c r="U1048" s="33">
        <f>quantInv[[#This Row],[UNIT
VALUE]]*quantInv[[#This Row],[Quantity]]</f>
        <v>0</v>
      </c>
      <c r="V1048" s="33">
        <f>quantInv[[#This Row],[Total Cost GBP]]/EURtoGBP</f>
        <v>0</v>
      </c>
      <c r="W1048" s="33">
        <f>quantInv[[#This Row],[Total Cost GBP]]/USDtoGBP</f>
        <v>0</v>
      </c>
      <c r="X1048" s="33">
        <f>quantInv[[#This Row],[Total Cost GBP]]/CADtoGBP</f>
        <v>0</v>
      </c>
      <c r="Y1048" s="33">
        <f>quantInv[[#This Row],[Quantity]]*quantInv[[#This Row],[UNIT
VALUE AUD]]</f>
        <v>0</v>
      </c>
      <c r="Z1048" s="33"/>
    </row>
    <row r="1049" spans="1:26" x14ac:dyDescent="0.25">
      <c r="A1049" t="s">
        <v>2559</v>
      </c>
      <c r="C1049" t="s">
        <v>115</v>
      </c>
      <c r="D1049" t="s">
        <v>2560</v>
      </c>
      <c r="E1049">
        <v>1.45</v>
      </c>
      <c r="F1049" s="33">
        <v>7.0499999999999993E-2</v>
      </c>
      <c r="G1049" s="33" t="s">
        <v>117</v>
      </c>
      <c r="H1049" t="s">
        <v>2875</v>
      </c>
      <c r="I1049" t="str">
        <f>IF(quantInv[[#This Row],[Metal]] = "925 Silver",  "7113.11.00"," 7113.19.00")</f>
        <v>7113.11.00</v>
      </c>
      <c r="J1049" t="str">
        <f>IF(quantInv[[#This Row],[Metal]] = "925 Silver", "7113.11.10.00"," 7113.19.10.00")</f>
        <v>7113.11.10.00</v>
      </c>
      <c r="K1049" t="str">
        <f>IF(quantInv[[#This Row],[Metal]] = "925 Silver",  "7113.11.00"," 7113.19.00")</f>
        <v>7113.11.00</v>
      </c>
      <c r="L1049" t="str">
        <f>IFERROR(VLOOKUP(quantInv[[#This Row],[Description for New Invoice]],Map!$G$12:$H$32,2,FALSE), IF(quantInv[[#This Row],[Metal]] = "925 Silver", "7113.11.10.00", "7113.19.29.00"))</f>
        <v>7113.11.10.00</v>
      </c>
      <c r="M1049" t="str">
        <f>quantInv[[#This Row],[ASIN]] &amp; " " &amp; quantInv[[#This Row],[Short Description]]</f>
        <v xml:space="preserve"> Silver big hammered circumference stud earrings</v>
      </c>
      <c r="N1049" s="33">
        <f>quantInv[[#This Row],[UNIT
VALUE]] / EURtoGBP</f>
        <v>8.0025880710357392E-2</v>
      </c>
      <c r="O1049" s="33">
        <f>quantInv[[#This Row],[UNIT
VALUE]]/USDtoGBP</f>
        <v>9.6643787449467625E-2</v>
      </c>
      <c r="P1049" s="33">
        <f>quantInv[[#This Row],[UNIT
VALUE]] / CADtoGBP</f>
        <v>0.1237096035502024</v>
      </c>
      <c r="Q1049" s="33">
        <f>quantInv[[#This Row],[UNIT
VALUE]]/AUDtoGBP</f>
        <v>0.12662547596810114</v>
      </c>
      <c r="R1049">
        <f>IFERROR(VLOOKUP(quantInv[[#This Row],[Assigned Item SKU]],skuQuantity[#All],2,FALSE),0)</f>
        <v>0</v>
      </c>
      <c r="S1049" t="str">
        <f>PROPER(quantInv[[#This Row],[Metal]] &amp; " " &amp; quantInv[[#This Row],[Item Type]])</f>
        <v xml:space="preserve">925 Silver </v>
      </c>
      <c r="T1049" s="33">
        <f>quantInv[[#This Row],[Quantity]]*quantInv[[#This Row],[WEIGHT]]</f>
        <v>0</v>
      </c>
      <c r="U1049" s="33">
        <f>quantInv[[#This Row],[UNIT
VALUE]]*quantInv[[#This Row],[Quantity]]</f>
        <v>0</v>
      </c>
      <c r="V1049" s="33">
        <f>quantInv[[#This Row],[Total Cost GBP]]/EURtoGBP</f>
        <v>0</v>
      </c>
      <c r="W1049" s="33">
        <f>quantInv[[#This Row],[Total Cost GBP]]/USDtoGBP</f>
        <v>0</v>
      </c>
      <c r="X1049" s="33">
        <f>quantInv[[#This Row],[Total Cost GBP]]/CADtoGBP</f>
        <v>0</v>
      </c>
      <c r="Y1049" s="33">
        <f>quantInv[[#This Row],[Quantity]]*quantInv[[#This Row],[UNIT
VALUE AUD]]</f>
        <v>0</v>
      </c>
      <c r="Z1049" s="33"/>
    </row>
    <row r="1050" spans="1:26" x14ac:dyDescent="0.25">
      <c r="A1050" t="s">
        <v>2561</v>
      </c>
      <c r="C1050" t="s">
        <v>115</v>
      </c>
      <c r="D1050" t="s">
        <v>2562</v>
      </c>
      <c r="E1050">
        <v>0.8</v>
      </c>
      <c r="F1050" s="33">
        <v>7.0499999999999993E-2</v>
      </c>
      <c r="G1050" s="33" t="s">
        <v>2875</v>
      </c>
      <c r="H1050" t="s">
        <v>2875</v>
      </c>
      <c r="I1050" t="str">
        <f>IF(quantInv[[#This Row],[Metal]] = "925 Silver",  "7113.11.00"," 7113.19.00")</f>
        <v xml:space="preserve"> 7113.19.00</v>
      </c>
      <c r="J1050" t="str">
        <f>IF(quantInv[[#This Row],[Metal]] = "925 Silver", "7113.11.10.00"," 7113.19.10.00")</f>
        <v xml:space="preserve"> 7113.19.10.00</v>
      </c>
      <c r="K1050" t="str">
        <f>IF(quantInv[[#This Row],[Metal]] = "925 Silver",  "7113.11.00"," 7113.19.00")</f>
        <v xml:space="preserve"> 7113.19.00</v>
      </c>
      <c r="L1050" t="str">
        <f>IFERROR(VLOOKUP(quantInv[[#This Row],[Description for New Invoice]],Map!$G$12:$H$32,2,FALSE), IF(quantInv[[#This Row],[Metal]] = "925 Silver", "7113.11.10.00", "7113.19.29.00"))</f>
        <v>7113.19.29.00</v>
      </c>
      <c r="M1050" t="str">
        <f>quantInv[[#This Row],[ASIN]] &amp; " " &amp; quantInv[[#This Row],[Short Description]]</f>
        <v xml:space="preserve"> Silver medium size circumference stud earrings</v>
      </c>
      <c r="N1050" s="33">
        <f>quantInv[[#This Row],[UNIT
VALUE]] / EURtoGBP</f>
        <v>8.0025880710357392E-2</v>
      </c>
      <c r="O1050" s="33">
        <f>quantInv[[#This Row],[UNIT
VALUE]]/USDtoGBP</f>
        <v>9.6643787449467625E-2</v>
      </c>
      <c r="P1050" s="33">
        <f>quantInv[[#This Row],[UNIT
VALUE]] / CADtoGBP</f>
        <v>0.1237096035502024</v>
      </c>
      <c r="Q1050" s="33">
        <f>quantInv[[#This Row],[UNIT
VALUE]]/AUDtoGBP</f>
        <v>0.12662547596810114</v>
      </c>
      <c r="R1050">
        <f>IFERROR(VLOOKUP(quantInv[[#This Row],[Assigned Item SKU]],skuQuantity[#All],2,FALSE),0)</f>
        <v>0</v>
      </c>
      <c r="S1050" t="str">
        <f>PROPER(quantInv[[#This Row],[Metal]] &amp; " " &amp; quantInv[[#This Row],[Item Type]])</f>
        <v xml:space="preserve"> </v>
      </c>
      <c r="T1050" s="33">
        <f>quantInv[[#This Row],[Quantity]]*quantInv[[#This Row],[WEIGHT]]</f>
        <v>0</v>
      </c>
      <c r="U1050" s="33">
        <f>quantInv[[#This Row],[UNIT
VALUE]]*quantInv[[#This Row],[Quantity]]</f>
        <v>0</v>
      </c>
      <c r="V1050" s="33">
        <f>quantInv[[#This Row],[Total Cost GBP]]/EURtoGBP</f>
        <v>0</v>
      </c>
      <c r="W1050" s="33">
        <f>quantInv[[#This Row],[Total Cost GBP]]/USDtoGBP</f>
        <v>0</v>
      </c>
      <c r="X1050" s="33">
        <f>quantInv[[#This Row],[Total Cost GBP]]/CADtoGBP</f>
        <v>0</v>
      </c>
      <c r="Y1050" s="33">
        <f>quantInv[[#This Row],[Quantity]]*quantInv[[#This Row],[UNIT
VALUE AUD]]</f>
        <v>0</v>
      </c>
      <c r="Z1050" s="33"/>
    </row>
    <row r="1051" spans="1:26" x14ac:dyDescent="0.25">
      <c r="A1051" t="s">
        <v>2563</v>
      </c>
      <c r="C1051" t="s">
        <v>115</v>
      </c>
      <c r="D1051" t="s">
        <v>2564</v>
      </c>
      <c r="E1051">
        <v>0.85</v>
      </c>
      <c r="F1051" s="33">
        <v>7.0499999999999993E-2</v>
      </c>
      <c r="G1051" s="33" t="s">
        <v>2875</v>
      </c>
      <c r="H1051" t="s">
        <v>2875</v>
      </c>
      <c r="I1051" t="str">
        <f>IF(quantInv[[#This Row],[Metal]] = "925 Silver",  "7113.11.00"," 7113.19.00")</f>
        <v xml:space="preserve"> 7113.19.00</v>
      </c>
      <c r="J1051" t="str">
        <f>IF(quantInv[[#This Row],[Metal]] = "925 Silver", "7113.11.10.00"," 7113.19.10.00")</f>
        <v xml:space="preserve"> 7113.19.10.00</v>
      </c>
      <c r="K1051" t="str">
        <f>IF(quantInv[[#This Row],[Metal]] = "925 Silver",  "7113.11.00"," 7113.19.00")</f>
        <v xml:space="preserve"> 7113.19.00</v>
      </c>
      <c r="L1051" t="str">
        <f>IFERROR(VLOOKUP(quantInv[[#This Row],[Description for New Invoice]],Map!$G$12:$H$32,2,FALSE), IF(quantInv[[#This Row],[Metal]] = "925 Silver", "7113.11.10.00", "7113.19.29.00"))</f>
        <v>7113.19.29.00</v>
      </c>
      <c r="M1051" t="str">
        <f>quantInv[[#This Row],[ASIN]] &amp; " " &amp; quantInv[[#This Row],[Short Description]]</f>
        <v xml:space="preserve"> Silver polished bar stud earrings</v>
      </c>
      <c r="N1051" s="33">
        <f>quantInv[[#This Row],[UNIT
VALUE]] / EURtoGBP</f>
        <v>8.0025880710357392E-2</v>
      </c>
      <c r="O1051" s="33">
        <f>quantInv[[#This Row],[UNIT
VALUE]]/USDtoGBP</f>
        <v>9.6643787449467625E-2</v>
      </c>
      <c r="P1051" s="33">
        <f>quantInv[[#This Row],[UNIT
VALUE]] / CADtoGBP</f>
        <v>0.1237096035502024</v>
      </c>
      <c r="Q1051" s="33">
        <f>quantInv[[#This Row],[UNIT
VALUE]]/AUDtoGBP</f>
        <v>0.12662547596810114</v>
      </c>
      <c r="R1051">
        <f>IFERROR(VLOOKUP(quantInv[[#This Row],[Assigned Item SKU]],skuQuantity[#All],2,FALSE),0)</f>
        <v>0</v>
      </c>
      <c r="S1051" t="str">
        <f>PROPER(quantInv[[#This Row],[Metal]] &amp; " " &amp; quantInv[[#This Row],[Item Type]])</f>
        <v xml:space="preserve"> </v>
      </c>
      <c r="T1051" s="33">
        <f>quantInv[[#This Row],[Quantity]]*quantInv[[#This Row],[WEIGHT]]</f>
        <v>0</v>
      </c>
      <c r="U1051" s="33">
        <f>quantInv[[#This Row],[UNIT
VALUE]]*quantInv[[#This Row],[Quantity]]</f>
        <v>0</v>
      </c>
      <c r="V1051" s="33">
        <f>quantInv[[#This Row],[Total Cost GBP]]/EURtoGBP</f>
        <v>0</v>
      </c>
      <c r="W1051" s="33">
        <f>quantInv[[#This Row],[Total Cost GBP]]/USDtoGBP</f>
        <v>0</v>
      </c>
      <c r="X1051" s="33">
        <f>quantInv[[#This Row],[Total Cost GBP]]/CADtoGBP</f>
        <v>0</v>
      </c>
      <c r="Y1051" s="33">
        <f>quantInv[[#This Row],[Quantity]]*quantInv[[#This Row],[UNIT
VALUE AUD]]</f>
        <v>0</v>
      </c>
      <c r="Z1051" s="33"/>
    </row>
    <row r="1052" spans="1:26" x14ac:dyDescent="0.25">
      <c r="A1052" t="s">
        <v>2565</v>
      </c>
      <c r="C1052" t="s">
        <v>115</v>
      </c>
      <c r="D1052" t="s">
        <v>2566</v>
      </c>
      <c r="E1052">
        <v>0.85</v>
      </c>
      <c r="F1052" s="33">
        <v>7.0499999999999993E-2</v>
      </c>
      <c r="G1052" s="33" t="s">
        <v>2875</v>
      </c>
      <c r="H1052" t="s">
        <v>2875</v>
      </c>
      <c r="I1052" t="str">
        <f>IF(quantInv[[#This Row],[Metal]] = "925 Silver",  "7113.11.00"," 7113.19.00")</f>
        <v xml:space="preserve"> 7113.19.00</v>
      </c>
      <c r="J1052" t="str">
        <f>IF(quantInv[[#This Row],[Metal]] = "925 Silver", "7113.11.10.00"," 7113.19.10.00")</f>
        <v xml:space="preserve"> 7113.19.10.00</v>
      </c>
      <c r="K1052" t="str">
        <f>IF(quantInv[[#This Row],[Metal]] = "925 Silver",  "7113.11.00"," 7113.19.00")</f>
        <v xml:space="preserve"> 7113.19.00</v>
      </c>
      <c r="L1052" t="str">
        <f>IFERROR(VLOOKUP(quantInv[[#This Row],[Description for New Invoice]],Map!$G$12:$H$32,2,FALSE), IF(quantInv[[#This Row],[Metal]] = "925 Silver", "7113.11.10.00", "7113.19.29.00"))</f>
        <v>7113.19.29.00</v>
      </c>
      <c r="M1052" t="str">
        <f>quantInv[[#This Row],[ASIN]] &amp; " " &amp; quantInv[[#This Row],[Short Description]]</f>
        <v xml:space="preserve"> Silver hammered bar stud earrings</v>
      </c>
      <c r="N1052" s="33">
        <f>quantInv[[#This Row],[UNIT
VALUE]] / EURtoGBP</f>
        <v>8.0025880710357392E-2</v>
      </c>
      <c r="O1052" s="33">
        <f>quantInv[[#This Row],[UNIT
VALUE]]/USDtoGBP</f>
        <v>9.6643787449467625E-2</v>
      </c>
      <c r="P1052" s="33">
        <f>quantInv[[#This Row],[UNIT
VALUE]] / CADtoGBP</f>
        <v>0.1237096035502024</v>
      </c>
      <c r="Q1052" s="33">
        <f>quantInv[[#This Row],[UNIT
VALUE]]/AUDtoGBP</f>
        <v>0.12662547596810114</v>
      </c>
      <c r="R1052">
        <f>IFERROR(VLOOKUP(quantInv[[#This Row],[Assigned Item SKU]],skuQuantity[#All],2,FALSE),0)</f>
        <v>0</v>
      </c>
      <c r="S1052" t="str">
        <f>PROPER(quantInv[[#This Row],[Metal]] &amp; " " &amp; quantInv[[#This Row],[Item Type]])</f>
        <v xml:space="preserve"> </v>
      </c>
      <c r="T1052" s="33">
        <f>quantInv[[#This Row],[Quantity]]*quantInv[[#This Row],[WEIGHT]]</f>
        <v>0</v>
      </c>
      <c r="U1052" s="33">
        <f>quantInv[[#This Row],[UNIT
VALUE]]*quantInv[[#This Row],[Quantity]]</f>
        <v>0</v>
      </c>
      <c r="V1052" s="33">
        <f>quantInv[[#This Row],[Total Cost GBP]]/EURtoGBP</f>
        <v>0</v>
      </c>
      <c r="W1052" s="33">
        <f>quantInv[[#This Row],[Total Cost GBP]]/USDtoGBP</f>
        <v>0</v>
      </c>
      <c r="X1052" s="33">
        <f>quantInv[[#This Row],[Total Cost GBP]]/CADtoGBP</f>
        <v>0</v>
      </c>
      <c r="Y1052" s="33">
        <f>quantInv[[#This Row],[Quantity]]*quantInv[[#This Row],[UNIT
VALUE AUD]]</f>
        <v>0</v>
      </c>
      <c r="Z1052" s="33"/>
    </row>
    <row r="1053" spans="1:26" x14ac:dyDescent="0.25">
      <c r="A1053" t="s">
        <v>2567</v>
      </c>
      <c r="C1053" t="s">
        <v>115</v>
      </c>
      <c r="D1053" t="s">
        <v>2568</v>
      </c>
      <c r="E1053">
        <v>0.56999999999999995</v>
      </c>
      <c r="F1053" s="33">
        <v>7.0499999999999993E-2</v>
      </c>
      <c r="G1053" s="33" t="s">
        <v>2875</v>
      </c>
      <c r="H1053" t="s">
        <v>2875</v>
      </c>
      <c r="I1053" t="str">
        <f>IF(quantInv[[#This Row],[Metal]] = "925 Silver",  "7113.11.00"," 7113.19.00")</f>
        <v xml:space="preserve"> 7113.19.00</v>
      </c>
      <c r="J1053" t="str">
        <f>IF(quantInv[[#This Row],[Metal]] = "925 Silver", "7113.11.10.00"," 7113.19.10.00")</f>
        <v xml:space="preserve"> 7113.19.10.00</v>
      </c>
      <c r="K1053" t="str">
        <f>IF(quantInv[[#This Row],[Metal]] = "925 Silver",  "7113.11.00"," 7113.19.00")</f>
        <v xml:space="preserve"> 7113.19.00</v>
      </c>
      <c r="L1053" t="str">
        <f>IFERROR(VLOOKUP(quantInv[[#This Row],[Description for New Invoice]],Map!$G$12:$H$32,2,FALSE), IF(quantInv[[#This Row],[Metal]] = "925 Silver", "7113.11.10.00", "7113.19.29.00"))</f>
        <v>7113.19.29.00</v>
      </c>
      <c r="M1053" t="str">
        <f>quantInv[[#This Row],[ASIN]] &amp; " " &amp; quantInv[[#This Row],[Short Description]]</f>
        <v xml:space="preserve"> Silver polished triangle stud earrings</v>
      </c>
      <c r="N1053" s="33">
        <f>quantInv[[#This Row],[UNIT
VALUE]] / EURtoGBP</f>
        <v>8.0025880710357392E-2</v>
      </c>
      <c r="O1053" s="33">
        <f>quantInv[[#This Row],[UNIT
VALUE]]/USDtoGBP</f>
        <v>9.6643787449467625E-2</v>
      </c>
      <c r="P1053" s="33">
        <f>quantInv[[#This Row],[UNIT
VALUE]] / CADtoGBP</f>
        <v>0.1237096035502024</v>
      </c>
      <c r="Q1053" s="33">
        <f>quantInv[[#This Row],[UNIT
VALUE]]/AUDtoGBP</f>
        <v>0.12662547596810114</v>
      </c>
      <c r="R1053">
        <f>IFERROR(VLOOKUP(quantInv[[#This Row],[Assigned Item SKU]],skuQuantity[#All],2,FALSE),0)</f>
        <v>0</v>
      </c>
      <c r="S1053" t="str">
        <f>PROPER(quantInv[[#This Row],[Metal]] &amp; " " &amp; quantInv[[#This Row],[Item Type]])</f>
        <v xml:space="preserve"> </v>
      </c>
      <c r="T1053" s="33">
        <f>quantInv[[#This Row],[Quantity]]*quantInv[[#This Row],[WEIGHT]]</f>
        <v>0</v>
      </c>
      <c r="U1053" s="33">
        <f>quantInv[[#This Row],[UNIT
VALUE]]*quantInv[[#This Row],[Quantity]]</f>
        <v>0</v>
      </c>
      <c r="V1053" s="33">
        <f>quantInv[[#This Row],[Total Cost GBP]]/EURtoGBP</f>
        <v>0</v>
      </c>
      <c r="W1053" s="33">
        <f>quantInv[[#This Row],[Total Cost GBP]]/USDtoGBP</f>
        <v>0</v>
      </c>
      <c r="X1053" s="33">
        <f>quantInv[[#This Row],[Total Cost GBP]]/CADtoGBP</f>
        <v>0</v>
      </c>
      <c r="Y1053" s="33">
        <f>quantInv[[#This Row],[Quantity]]*quantInv[[#This Row],[UNIT
VALUE AUD]]</f>
        <v>0</v>
      </c>
      <c r="Z1053" s="33"/>
    </row>
    <row r="1054" spans="1:26" x14ac:dyDescent="0.25">
      <c r="A1054" t="s">
        <v>2569</v>
      </c>
      <c r="C1054" t="s">
        <v>115</v>
      </c>
      <c r="D1054" t="s">
        <v>2570</v>
      </c>
      <c r="E1054">
        <v>0.55000000000000004</v>
      </c>
      <c r="F1054" s="33">
        <v>7.0499999999999993E-2</v>
      </c>
      <c r="G1054" s="33" t="s">
        <v>2875</v>
      </c>
      <c r="H1054" t="s">
        <v>2875</v>
      </c>
      <c r="I1054" t="str">
        <f>IF(quantInv[[#This Row],[Metal]] = "925 Silver",  "7113.11.00"," 7113.19.00")</f>
        <v xml:space="preserve"> 7113.19.00</v>
      </c>
      <c r="J1054" t="str">
        <f>IF(quantInv[[#This Row],[Metal]] = "925 Silver", "7113.11.10.00"," 7113.19.10.00")</f>
        <v xml:space="preserve"> 7113.19.10.00</v>
      </c>
      <c r="K1054" t="str">
        <f>IF(quantInv[[#This Row],[Metal]] = "925 Silver",  "7113.11.00"," 7113.19.00")</f>
        <v xml:space="preserve"> 7113.19.00</v>
      </c>
      <c r="L1054" t="str">
        <f>IFERROR(VLOOKUP(quantInv[[#This Row],[Description for New Invoice]],Map!$G$12:$H$32,2,FALSE), IF(quantInv[[#This Row],[Metal]] = "925 Silver", "7113.11.10.00", "7113.19.29.00"))</f>
        <v>7113.19.29.00</v>
      </c>
      <c r="M1054" t="str">
        <f>quantInv[[#This Row],[ASIN]] &amp; " " &amp; quantInv[[#This Row],[Short Description]]</f>
        <v xml:space="preserve"> Silver hammered triangle stud earrings</v>
      </c>
      <c r="N1054" s="33">
        <f>quantInv[[#This Row],[UNIT
VALUE]] / EURtoGBP</f>
        <v>8.0025880710357392E-2</v>
      </c>
      <c r="O1054" s="33">
        <f>quantInv[[#This Row],[UNIT
VALUE]]/USDtoGBP</f>
        <v>9.6643787449467625E-2</v>
      </c>
      <c r="P1054" s="33">
        <f>quantInv[[#This Row],[UNIT
VALUE]] / CADtoGBP</f>
        <v>0.1237096035502024</v>
      </c>
      <c r="Q1054" s="33">
        <f>quantInv[[#This Row],[UNIT
VALUE]]/AUDtoGBP</f>
        <v>0.12662547596810114</v>
      </c>
      <c r="R1054">
        <f>IFERROR(VLOOKUP(quantInv[[#This Row],[Assigned Item SKU]],skuQuantity[#All],2,FALSE),0)</f>
        <v>0</v>
      </c>
      <c r="S1054" t="str">
        <f>PROPER(quantInv[[#This Row],[Metal]] &amp; " " &amp; quantInv[[#This Row],[Item Type]])</f>
        <v xml:space="preserve"> </v>
      </c>
      <c r="T1054" s="33">
        <f>quantInv[[#This Row],[Quantity]]*quantInv[[#This Row],[WEIGHT]]</f>
        <v>0</v>
      </c>
      <c r="U1054" s="33">
        <f>quantInv[[#This Row],[UNIT
VALUE]]*quantInv[[#This Row],[Quantity]]</f>
        <v>0</v>
      </c>
      <c r="V1054" s="33">
        <f>quantInv[[#This Row],[Total Cost GBP]]/EURtoGBP</f>
        <v>0</v>
      </c>
      <c r="W1054" s="33">
        <f>quantInv[[#This Row],[Total Cost GBP]]/USDtoGBP</f>
        <v>0</v>
      </c>
      <c r="X1054" s="33">
        <f>quantInv[[#This Row],[Total Cost GBP]]/CADtoGBP</f>
        <v>0</v>
      </c>
      <c r="Y1054" s="33">
        <f>quantInv[[#This Row],[Quantity]]*quantInv[[#This Row],[UNIT
VALUE AUD]]</f>
        <v>0</v>
      </c>
      <c r="Z1054" s="33"/>
    </row>
    <row r="1055" spans="1:26" x14ac:dyDescent="0.25">
      <c r="A1055" t="s">
        <v>2571</v>
      </c>
      <c r="C1055" t="s">
        <v>115</v>
      </c>
      <c r="D1055" t="s">
        <v>2572</v>
      </c>
      <c r="E1055">
        <v>0.74</v>
      </c>
      <c r="F1055" s="33">
        <v>7.0499999999999993E-2</v>
      </c>
      <c r="G1055" s="33" t="s">
        <v>2875</v>
      </c>
      <c r="H1055" t="s">
        <v>2875</v>
      </c>
      <c r="I1055" t="str">
        <f>IF(quantInv[[#This Row],[Metal]] = "925 Silver",  "7113.11.00"," 7113.19.00")</f>
        <v xml:space="preserve"> 7113.19.00</v>
      </c>
      <c r="J1055" t="str">
        <f>IF(quantInv[[#This Row],[Metal]] = "925 Silver", "7113.11.10.00"," 7113.19.10.00")</f>
        <v xml:space="preserve"> 7113.19.10.00</v>
      </c>
      <c r="K1055" t="str">
        <f>IF(quantInv[[#This Row],[Metal]] = "925 Silver",  "7113.11.00"," 7113.19.00")</f>
        <v xml:space="preserve"> 7113.19.00</v>
      </c>
      <c r="L1055" t="str">
        <f>IFERROR(VLOOKUP(quantInv[[#This Row],[Description for New Invoice]],Map!$G$12:$H$32,2,FALSE), IF(quantInv[[#This Row],[Metal]] = "925 Silver", "7113.11.10.00", "7113.19.29.00"))</f>
        <v>7113.19.29.00</v>
      </c>
      <c r="M1055" t="str">
        <f>quantInv[[#This Row],[ASIN]] &amp; " " &amp; quantInv[[#This Row],[Short Description]]</f>
        <v xml:space="preserve"> Silver polished hexagon stud earrings</v>
      </c>
      <c r="N1055" s="33">
        <f>quantInv[[#This Row],[UNIT
VALUE]] / EURtoGBP</f>
        <v>8.0025880710357392E-2</v>
      </c>
      <c r="O1055" s="33">
        <f>quantInv[[#This Row],[UNIT
VALUE]]/USDtoGBP</f>
        <v>9.6643787449467625E-2</v>
      </c>
      <c r="P1055" s="33">
        <f>quantInv[[#This Row],[UNIT
VALUE]] / CADtoGBP</f>
        <v>0.1237096035502024</v>
      </c>
      <c r="Q1055" s="33">
        <f>quantInv[[#This Row],[UNIT
VALUE]]/AUDtoGBP</f>
        <v>0.12662547596810114</v>
      </c>
      <c r="R1055">
        <f>IFERROR(VLOOKUP(quantInv[[#This Row],[Assigned Item SKU]],skuQuantity[#All],2,FALSE),0)</f>
        <v>0</v>
      </c>
      <c r="S1055" t="str">
        <f>PROPER(quantInv[[#This Row],[Metal]] &amp; " " &amp; quantInv[[#This Row],[Item Type]])</f>
        <v xml:space="preserve"> </v>
      </c>
      <c r="T1055" s="33">
        <f>quantInv[[#This Row],[Quantity]]*quantInv[[#This Row],[WEIGHT]]</f>
        <v>0</v>
      </c>
      <c r="U1055" s="33">
        <f>quantInv[[#This Row],[UNIT
VALUE]]*quantInv[[#This Row],[Quantity]]</f>
        <v>0</v>
      </c>
      <c r="V1055" s="33">
        <f>quantInv[[#This Row],[Total Cost GBP]]/EURtoGBP</f>
        <v>0</v>
      </c>
      <c r="W1055" s="33">
        <f>quantInv[[#This Row],[Total Cost GBP]]/USDtoGBP</f>
        <v>0</v>
      </c>
      <c r="X1055" s="33">
        <f>quantInv[[#This Row],[Total Cost GBP]]/CADtoGBP</f>
        <v>0</v>
      </c>
      <c r="Y1055" s="33">
        <f>quantInv[[#This Row],[Quantity]]*quantInv[[#This Row],[UNIT
VALUE AUD]]</f>
        <v>0</v>
      </c>
      <c r="Z1055" s="33"/>
    </row>
    <row r="1056" spans="1:26" x14ac:dyDescent="0.25">
      <c r="A1056" t="s">
        <v>2573</v>
      </c>
      <c r="C1056" t="s">
        <v>115</v>
      </c>
      <c r="D1056" t="s">
        <v>2574</v>
      </c>
      <c r="E1056">
        <v>0.75</v>
      </c>
      <c r="F1056" s="33">
        <v>7.0499999999999993E-2</v>
      </c>
      <c r="G1056" s="33" t="s">
        <v>2875</v>
      </c>
      <c r="H1056" t="s">
        <v>2875</v>
      </c>
      <c r="I1056" t="str">
        <f>IF(quantInv[[#This Row],[Metal]] = "925 Silver",  "7113.11.00"," 7113.19.00")</f>
        <v xml:space="preserve"> 7113.19.00</v>
      </c>
      <c r="J1056" t="str">
        <f>IF(quantInv[[#This Row],[Metal]] = "925 Silver", "7113.11.10.00"," 7113.19.10.00")</f>
        <v xml:space="preserve"> 7113.19.10.00</v>
      </c>
      <c r="K1056" t="str">
        <f>IF(quantInv[[#This Row],[Metal]] = "925 Silver",  "7113.11.00"," 7113.19.00")</f>
        <v xml:space="preserve"> 7113.19.00</v>
      </c>
      <c r="L1056" t="str">
        <f>IFERROR(VLOOKUP(quantInv[[#This Row],[Description for New Invoice]],Map!$G$12:$H$32,2,FALSE), IF(quantInv[[#This Row],[Metal]] = "925 Silver", "7113.11.10.00", "7113.19.29.00"))</f>
        <v>7113.19.29.00</v>
      </c>
      <c r="M1056" t="str">
        <f>quantInv[[#This Row],[ASIN]] &amp; " " &amp; quantInv[[#This Row],[Short Description]]</f>
        <v xml:space="preserve"> Silver hammered hexagon stud earrings</v>
      </c>
      <c r="N1056" s="33">
        <f>quantInv[[#This Row],[UNIT
VALUE]] / EURtoGBP</f>
        <v>8.0025880710357392E-2</v>
      </c>
      <c r="O1056" s="33">
        <f>quantInv[[#This Row],[UNIT
VALUE]]/USDtoGBP</f>
        <v>9.6643787449467625E-2</v>
      </c>
      <c r="P1056" s="33">
        <f>quantInv[[#This Row],[UNIT
VALUE]] / CADtoGBP</f>
        <v>0.1237096035502024</v>
      </c>
      <c r="Q1056" s="33">
        <f>quantInv[[#This Row],[UNIT
VALUE]]/AUDtoGBP</f>
        <v>0.12662547596810114</v>
      </c>
      <c r="R1056">
        <f>IFERROR(VLOOKUP(quantInv[[#This Row],[Assigned Item SKU]],skuQuantity[#All],2,FALSE),0)</f>
        <v>0</v>
      </c>
      <c r="S1056" t="str">
        <f>PROPER(quantInv[[#This Row],[Metal]] &amp; " " &amp; quantInv[[#This Row],[Item Type]])</f>
        <v xml:space="preserve"> </v>
      </c>
      <c r="T1056" s="33">
        <f>quantInv[[#This Row],[Quantity]]*quantInv[[#This Row],[WEIGHT]]</f>
        <v>0</v>
      </c>
      <c r="U1056" s="33">
        <f>quantInv[[#This Row],[UNIT
VALUE]]*quantInv[[#This Row],[Quantity]]</f>
        <v>0</v>
      </c>
      <c r="V1056" s="33">
        <f>quantInv[[#This Row],[Total Cost GBP]]/EURtoGBP</f>
        <v>0</v>
      </c>
      <c r="W1056" s="33">
        <f>quantInv[[#This Row],[Total Cost GBP]]/USDtoGBP</f>
        <v>0</v>
      </c>
      <c r="X1056" s="33">
        <f>quantInv[[#This Row],[Total Cost GBP]]/CADtoGBP</f>
        <v>0</v>
      </c>
      <c r="Y1056" s="33">
        <f>quantInv[[#This Row],[Quantity]]*quantInv[[#This Row],[UNIT
VALUE AUD]]</f>
        <v>0</v>
      </c>
      <c r="Z1056" s="33"/>
    </row>
    <row r="1057" spans="1:26" x14ac:dyDescent="0.25">
      <c r="A1057" t="s">
        <v>2575</v>
      </c>
      <c r="C1057" t="s">
        <v>115</v>
      </c>
      <c r="D1057" t="s">
        <v>2576</v>
      </c>
      <c r="E1057">
        <v>0.9</v>
      </c>
      <c r="F1057" s="33">
        <v>7.0499999999999993E-2</v>
      </c>
      <c r="G1057" s="33" t="s">
        <v>2875</v>
      </c>
      <c r="H1057" t="s">
        <v>2875</v>
      </c>
      <c r="I1057" t="str">
        <f>IF(quantInv[[#This Row],[Metal]] = "925 Silver",  "7113.11.00"," 7113.19.00")</f>
        <v xml:space="preserve"> 7113.19.00</v>
      </c>
      <c r="J1057" t="str">
        <f>IF(quantInv[[#This Row],[Metal]] = "925 Silver", "7113.11.10.00"," 7113.19.10.00")</f>
        <v xml:space="preserve"> 7113.19.10.00</v>
      </c>
      <c r="K1057" t="str">
        <f>IF(quantInv[[#This Row],[Metal]] = "925 Silver",  "7113.11.00"," 7113.19.00")</f>
        <v xml:space="preserve"> 7113.19.00</v>
      </c>
      <c r="L1057" t="str">
        <f>IFERROR(VLOOKUP(quantInv[[#This Row],[Description for New Invoice]],Map!$G$12:$H$32,2,FALSE), IF(quantInv[[#This Row],[Metal]] = "925 Silver", "7113.11.10.00", "7113.19.29.00"))</f>
        <v>7113.19.29.00</v>
      </c>
      <c r="M1057" t="str">
        <f>quantInv[[#This Row],[ASIN]] &amp; " " &amp; quantInv[[#This Row],[Short Description]]</f>
        <v xml:space="preserve"> Silver polished square stud earrings</v>
      </c>
      <c r="N1057" s="33">
        <f>quantInv[[#This Row],[UNIT
VALUE]] / EURtoGBP</f>
        <v>8.0025880710357392E-2</v>
      </c>
      <c r="O1057" s="33">
        <f>quantInv[[#This Row],[UNIT
VALUE]]/USDtoGBP</f>
        <v>9.6643787449467625E-2</v>
      </c>
      <c r="P1057" s="33">
        <f>quantInv[[#This Row],[UNIT
VALUE]] / CADtoGBP</f>
        <v>0.1237096035502024</v>
      </c>
      <c r="Q1057" s="33">
        <f>quantInv[[#This Row],[UNIT
VALUE]]/AUDtoGBP</f>
        <v>0.12662547596810114</v>
      </c>
      <c r="R1057">
        <f>IFERROR(VLOOKUP(quantInv[[#This Row],[Assigned Item SKU]],skuQuantity[#All],2,FALSE),0)</f>
        <v>0</v>
      </c>
      <c r="S1057" t="str">
        <f>PROPER(quantInv[[#This Row],[Metal]] &amp; " " &amp; quantInv[[#This Row],[Item Type]])</f>
        <v xml:space="preserve"> </v>
      </c>
      <c r="T1057" s="33">
        <f>quantInv[[#This Row],[Quantity]]*quantInv[[#This Row],[WEIGHT]]</f>
        <v>0</v>
      </c>
      <c r="U1057" s="33">
        <f>quantInv[[#This Row],[UNIT
VALUE]]*quantInv[[#This Row],[Quantity]]</f>
        <v>0</v>
      </c>
      <c r="V1057" s="33">
        <f>quantInv[[#This Row],[Total Cost GBP]]/EURtoGBP</f>
        <v>0</v>
      </c>
      <c r="W1057" s="33">
        <f>quantInv[[#This Row],[Total Cost GBP]]/USDtoGBP</f>
        <v>0</v>
      </c>
      <c r="X1057" s="33">
        <f>quantInv[[#This Row],[Total Cost GBP]]/CADtoGBP</f>
        <v>0</v>
      </c>
      <c r="Y1057" s="33">
        <f>quantInv[[#This Row],[Quantity]]*quantInv[[#This Row],[UNIT
VALUE AUD]]</f>
        <v>0</v>
      </c>
      <c r="Z1057" s="33"/>
    </row>
    <row r="1058" spans="1:26" x14ac:dyDescent="0.25">
      <c r="A1058" t="s">
        <v>2577</v>
      </c>
      <c r="C1058" t="s">
        <v>115</v>
      </c>
      <c r="D1058" t="s">
        <v>2578</v>
      </c>
      <c r="E1058">
        <v>0.53</v>
      </c>
      <c r="F1058" s="33">
        <v>7.0499999999999993E-2</v>
      </c>
      <c r="G1058" s="33" t="s">
        <v>2875</v>
      </c>
      <c r="H1058" t="s">
        <v>2875</v>
      </c>
      <c r="I1058" t="str">
        <f>IF(quantInv[[#This Row],[Metal]] = "925 Silver",  "7113.11.00"," 7113.19.00")</f>
        <v xml:space="preserve"> 7113.19.00</v>
      </c>
      <c r="J1058" t="str">
        <f>IF(quantInv[[#This Row],[Metal]] = "925 Silver", "7113.11.10.00"," 7113.19.10.00")</f>
        <v xml:space="preserve"> 7113.19.10.00</v>
      </c>
      <c r="K1058" t="str">
        <f>IF(quantInv[[#This Row],[Metal]] = "925 Silver",  "7113.11.00"," 7113.19.00")</f>
        <v xml:space="preserve"> 7113.19.00</v>
      </c>
      <c r="L1058" t="str">
        <f>IFERROR(VLOOKUP(quantInv[[#This Row],[Description for New Invoice]],Map!$G$12:$H$32,2,FALSE), IF(quantInv[[#This Row],[Metal]] = "925 Silver", "7113.11.10.00", "7113.19.29.00"))</f>
        <v>7113.19.29.00</v>
      </c>
      <c r="M1058" t="str">
        <f>quantInv[[#This Row],[ASIN]] &amp; " " &amp; quantInv[[#This Row],[Short Description]]</f>
        <v xml:space="preserve"> Silver polished infinity stud earrings</v>
      </c>
      <c r="N1058" s="33">
        <f>quantInv[[#This Row],[UNIT
VALUE]] / EURtoGBP</f>
        <v>8.0025880710357392E-2</v>
      </c>
      <c r="O1058" s="33">
        <f>quantInv[[#This Row],[UNIT
VALUE]]/USDtoGBP</f>
        <v>9.6643787449467625E-2</v>
      </c>
      <c r="P1058" s="33">
        <f>quantInv[[#This Row],[UNIT
VALUE]] / CADtoGBP</f>
        <v>0.1237096035502024</v>
      </c>
      <c r="Q1058" s="33">
        <f>quantInv[[#This Row],[UNIT
VALUE]]/AUDtoGBP</f>
        <v>0.12662547596810114</v>
      </c>
      <c r="R1058">
        <f>IFERROR(VLOOKUP(quantInv[[#This Row],[Assigned Item SKU]],skuQuantity[#All],2,FALSE),0)</f>
        <v>0</v>
      </c>
      <c r="S1058" t="str">
        <f>PROPER(quantInv[[#This Row],[Metal]] &amp; " " &amp; quantInv[[#This Row],[Item Type]])</f>
        <v xml:space="preserve"> </v>
      </c>
      <c r="T1058" s="33">
        <f>quantInv[[#This Row],[Quantity]]*quantInv[[#This Row],[WEIGHT]]</f>
        <v>0</v>
      </c>
      <c r="U1058" s="33">
        <f>quantInv[[#This Row],[UNIT
VALUE]]*quantInv[[#This Row],[Quantity]]</f>
        <v>0</v>
      </c>
      <c r="V1058" s="33">
        <f>quantInv[[#This Row],[Total Cost GBP]]/EURtoGBP</f>
        <v>0</v>
      </c>
      <c r="W1058" s="33">
        <f>quantInv[[#This Row],[Total Cost GBP]]/USDtoGBP</f>
        <v>0</v>
      </c>
      <c r="X1058" s="33">
        <f>quantInv[[#This Row],[Total Cost GBP]]/CADtoGBP</f>
        <v>0</v>
      </c>
      <c r="Y1058" s="33">
        <f>quantInv[[#This Row],[Quantity]]*quantInv[[#This Row],[UNIT
VALUE AUD]]</f>
        <v>0</v>
      </c>
      <c r="Z1058" s="33"/>
    </row>
    <row r="1059" spans="1:26" x14ac:dyDescent="0.25">
      <c r="A1059" t="s">
        <v>2579</v>
      </c>
      <c r="C1059" t="s">
        <v>115</v>
      </c>
      <c r="D1059" t="s">
        <v>2580</v>
      </c>
      <c r="E1059">
        <v>0.73</v>
      </c>
      <c r="F1059" s="33">
        <v>7.0499999999999993E-2</v>
      </c>
      <c r="G1059" s="33" t="s">
        <v>2875</v>
      </c>
      <c r="H1059" t="s">
        <v>2875</v>
      </c>
      <c r="I1059" t="str">
        <f>IF(quantInv[[#This Row],[Metal]] = "925 Silver",  "7113.11.00"," 7113.19.00")</f>
        <v xml:space="preserve"> 7113.19.00</v>
      </c>
      <c r="J1059" t="str">
        <f>IF(quantInv[[#This Row],[Metal]] = "925 Silver", "7113.11.10.00"," 7113.19.10.00")</f>
        <v xml:space="preserve"> 7113.19.10.00</v>
      </c>
      <c r="K1059" t="str">
        <f>IF(quantInv[[#This Row],[Metal]] = "925 Silver",  "7113.11.00"," 7113.19.00")</f>
        <v xml:space="preserve"> 7113.19.00</v>
      </c>
      <c r="L1059" t="str">
        <f>IFERROR(VLOOKUP(quantInv[[#This Row],[Description for New Invoice]],Map!$G$12:$H$32,2,FALSE), IF(quantInv[[#This Row],[Metal]] = "925 Silver", "7113.11.10.00", "7113.19.29.00"))</f>
        <v>7113.19.29.00</v>
      </c>
      <c r="M1059" t="str">
        <f>quantInv[[#This Row],[ASIN]] &amp; " " &amp; quantInv[[#This Row],[Short Description]]</f>
        <v xml:space="preserve"> GP flat dot stud earrings</v>
      </c>
      <c r="N1059" s="33">
        <f>quantInv[[#This Row],[UNIT
VALUE]] / EURtoGBP</f>
        <v>8.0025880710357392E-2</v>
      </c>
      <c r="O1059" s="33">
        <f>quantInv[[#This Row],[UNIT
VALUE]]/USDtoGBP</f>
        <v>9.6643787449467625E-2</v>
      </c>
      <c r="P1059" s="33">
        <f>quantInv[[#This Row],[UNIT
VALUE]] / CADtoGBP</f>
        <v>0.1237096035502024</v>
      </c>
      <c r="Q1059" s="33">
        <f>quantInv[[#This Row],[UNIT
VALUE]]/AUDtoGBP</f>
        <v>0.12662547596810114</v>
      </c>
      <c r="R1059">
        <f>IFERROR(VLOOKUP(quantInv[[#This Row],[Assigned Item SKU]],skuQuantity[#All],2,FALSE),0)</f>
        <v>0</v>
      </c>
      <c r="S1059" t="str">
        <f>PROPER(quantInv[[#This Row],[Metal]] &amp; " " &amp; quantInv[[#This Row],[Item Type]])</f>
        <v xml:space="preserve"> </v>
      </c>
      <c r="T1059" s="33">
        <f>quantInv[[#This Row],[Quantity]]*quantInv[[#This Row],[WEIGHT]]</f>
        <v>0</v>
      </c>
      <c r="U1059" s="33">
        <f>quantInv[[#This Row],[UNIT
VALUE]]*quantInv[[#This Row],[Quantity]]</f>
        <v>0</v>
      </c>
      <c r="V1059" s="33">
        <f>quantInv[[#This Row],[Total Cost GBP]]/EURtoGBP</f>
        <v>0</v>
      </c>
      <c r="W1059" s="33">
        <f>quantInv[[#This Row],[Total Cost GBP]]/USDtoGBP</f>
        <v>0</v>
      </c>
      <c r="X1059" s="33">
        <f>quantInv[[#This Row],[Total Cost GBP]]/CADtoGBP</f>
        <v>0</v>
      </c>
      <c r="Y1059" s="33">
        <f>quantInv[[#This Row],[Quantity]]*quantInv[[#This Row],[UNIT
VALUE AUD]]</f>
        <v>0</v>
      </c>
      <c r="Z1059" s="33"/>
    </row>
    <row r="1060" spans="1:26" x14ac:dyDescent="0.25">
      <c r="A1060" t="s">
        <v>2581</v>
      </c>
      <c r="C1060" t="s">
        <v>115</v>
      </c>
      <c r="D1060" t="s">
        <v>2582</v>
      </c>
      <c r="E1060">
        <v>0.7</v>
      </c>
      <c r="F1060" s="33">
        <v>7.0499999999999993E-2</v>
      </c>
      <c r="G1060" s="33" t="s">
        <v>2875</v>
      </c>
      <c r="H1060" t="s">
        <v>2875</v>
      </c>
      <c r="I1060" t="str">
        <f>IF(quantInv[[#This Row],[Metal]] = "925 Silver",  "7113.11.00"," 7113.19.00")</f>
        <v xml:space="preserve"> 7113.19.00</v>
      </c>
      <c r="J1060" t="str">
        <f>IF(quantInv[[#This Row],[Metal]] = "925 Silver", "7113.11.10.00"," 7113.19.10.00")</f>
        <v xml:space="preserve"> 7113.19.10.00</v>
      </c>
      <c r="K1060" t="str">
        <f>IF(quantInv[[#This Row],[Metal]] = "925 Silver",  "7113.11.00"," 7113.19.00")</f>
        <v xml:space="preserve"> 7113.19.00</v>
      </c>
      <c r="L1060" t="str">
        <f>IFERROR(VLOOKUP(quantInv[[#This Row],[Description for New Invoice]],Map!$G$12:$H$32,2,FALSE), IF(quantInv[[#This Row],[Metal]] = "925 Silver", "7113.11.10.00", "7113.19.29.00"))</f>
        <v>7113.19.29.00</v>
      </c>
      <c r="M1060" t="str">
        <f>quantInv[[#This Row],[ASIN]] &amp; " " &amp; quantInv[[#This Row],[Short Description]]</f>
        <v xml:space="preserve"> GP flat hammered dot stud earrings</v>
      </c>
      <c r="N1060" s="33">
        <f>quantInv[[#This Row],[UNIT
VALUE]] / EURtoGBP</f>
        <v>8.0025880710357392E-2</v>
      </c>
      <c r="O1060" s="33">
        <f>quantInv[[#This Row],[UNIT
VALUE]]/USDtoGBP</f>
        <v>9.6643787449467625E-2</v>
      </c>
      <c r="P1060" s="33">
        <f>quantInv[[#This Row],[UNIT
VALUE]] / CADtoGBP</f>
        <v>0.1237096035502024</v>
      </c>
      <c r="Q1060" s="33">
        <f>quantInv[[#This Row],[UNIT
VALUE]]/AUDtoGBP</f>
        <v>0.12662547596810114</v>
      </c>
      <c r="R1060">
        <f>IFERROR(VLOOKUP(quantInv[[#This Row],[Assigned Item SKU]],skuQuantity[#All],2,FALSE),0)</f>
        <v>0</v>
      </c>
      <c r="S1060" t="str">
        <f>PROPER(quantInv[[#This Row],[Metal]] &amp; " " &amp; quantInv[[#This Row],[Item Type]])</f>
        <v xml:space="preserve"> </v>
      </c>
      <c r="T1060" s="33">
        <f>quantInv[[#This Row],[Quantity]]*quantInv[[#This Row],[WEIGHT]]</f>
        <v>0</v>
      </c>
      <c r="U1060" s="33">
        <f>quantInv[[#This Row],[UNIT
VALUE]]*quantInv[[#This Row],[Quantity]]</f>
        <v>0</v>
      </c>
      <c r="V1060" s="33">
        <f>quantInv[[#This Row],[Total Cost GBP]]/EURtoGBP</f>
        <v>0</v>
      </c>
      <c r="W1060" s="33">
        <f>quantInv[[#This Row],[Total Cost GBP]]/USDtoGBP</f>
        <v>0</v>
      </c>
      <c r="X1060" s="33">
        <f>quantInv[[#This Row],[Total Cost GBP]]/CADtoGBP</f>
        <v>0</v>
      </c>
      <c r="Y1060" s="33">
        <f>quantInv[[#This Row],[Quantity]]*quantInv[[#This Row],[UNIT
VALUE AUD]]</f>
        <v>0</v>
      </c>
      <c r="Z1060" s="33"/>
    </row>
    <row r="1061" spans="1:26" x14ac:dyDescent="0.25">
      <c r="A1061" t="s">
        <v>2583</v>
      </c>
      <c r="C1061" t="s">
        <v>115</v>
      </c>
      <c r="D1061" t="s">
        <v>2584</v>
      </c>
      <c r="E1061">
        <v>0.57999999999999996</v>
      </c>
      <c r="F1061" s="33">
        <v>7.0499999999999993E-2</v>
      </c>
      <c r="G1061" s="33" t="s">
        <v>2875</v>
      </c>
      <c r="H1061" t="s">
        <v>2875</v>
      </c>
      <c r="I1061" t="str">
        <f>IF(quantInv[[#This Row],[Metal]] = "925 Silver",  "7113.11.00"," 7113.19.00")</f>
        <v xml:space="preserve"> 7113.19.00</v>
      </c>
      <c r="J1061" t="str">
        <f>IF(quantInv[[#This Row],[Metal]] = "925 Silver", "7113.11.10.00"," 7113.19.10.00")</f>
        <v xml:space="preserve"> 7113.19.10.00</v>
      </c>
      <c r="K1061" t="str">
        <f>IF(quantInv[[#This Row],[Metal]] = "925 Silver",  "7113.11.00"," 7113.19.00")</f>
        <v xml:space="preserve"> 7113.19.00</v>
      </c>
      <c r="L1061" t="str">
        <f>IFERROR(VLOOKUP(quantInv[[#This Row],[Description for New Invoice]],Map!$G$12:$H$32,2,FALSE), IF(quantInv[[#This Row],[Metal]] = "925 Silver", "7113.11.10.00", "7113.19.29.00"))</f>
        <v>7113.19.29.00</v>
      </c>
      <c r="M1061" t="str">
        <f>quantInv[[#This Row],[ASIN]] &amp; " " &amp; quantInv[[#This Row],[Short Description]]</f>
        <v xml:space="preserve"> GP rounded dot stud earrings</v>
      </c>
      <c r="N1061" s="33">
        <f>quantInv[[#This Row],[UNIT
VALUE]] / EURtoGBP</f>
        <v>8.0025880710357392E-2</v>
      </c>
      <c r="O1061" s="33">
        <f>quantInv[[#This Row],[UNIT
VALUE]]/USDtoGBP</f>
        <v>9.6643787449467625E-2</v>
      </c>
      <c r="P1061" s="33">
        <f>quantInv[[#This Row],[UNIT
VALUE]] / CADtoGBP</f>
        <v>0.1237096035502024</v>
      </c>
      <c r="Q1061" s="33">
        <f>quantInv[[#This Row],[UNIT
VALUE]]/AUDtoGBP</f>
        <v>0.12662547596810114</v>
      </c>
      <c r="R1061">
        <f>IFERROR(VLOOKUP(quantInv[[#This Row],[Assigned Item SKU]],skuQuantity[#All],2,FALSE),0)</f>
        <v>0</v>
      </c>
      <c r="S1061" t="str">
        <f>PROPER(quantInv[[#This Row],[Metal]] &amp; " " &amp; quantInv[[#This Row],[Item Type]])</f>
        <v xml:space="preserve"> </v>
      </c>
      <c r="T1061" s="33">
        <f>quantInv[[#This Row],[Quantity]]*quantInv[[#This Row],[WEIGHT]]</f>
        <v>0</v>
      </c>
      <c r="U1061" s="33">
        <f>quantInv[[#This Row],[UNIT
VALUE]]*quantInv[[#This Row],[Quantity]]</f>
        <v>0</v>
      </c>
      <c r="V1061" s="33">
        <f>quantInv[[#This Row],[Total Cost GBP]]/EURtoGBP</f>
        <v>0</v>
      </c>
      <c r="W1061" s="33">
        <f>quantInv[[#This Row],[Total Cost GBP]]/USDtoGBP</f>
        <v>0</v>
      </c>
      <c r="X1061" s="33">
        <f>quantInv[[#This Row],[Total Cost GBP]]/CADtoGBP</f>
        <v>0</v>
      </c>
      <c r="Y1061" s="33">
        <f>quantInv[[#This Row],[Quantity]]*quantInv[[#This Row],[UNIT
VALUE AUD]]</f>
        <v>0</v>
      </c>
      <c r="Z1061" s="33"/>
    </row>
    <row r="1062" spans="1:26" x14ac:dyDescent="0.25">
      <c r="A1062" t="s">
        <v>2585</v>
      </c>
      <c r="C1062" t="s">
        <v>115</v>
      </c>
      <c r="D1062" t="s">
        <v>2586</v>
      </c>
      <c r="E1062">
        <v>1.3</v>
      </c>
      <c r="F1062" s="33">
        <v>7.0499999999999993E-2</v>
      </c>
      <c r="G1062" s="33" t="s">
        <v>117</v>
      </c>
      <c r="H1062" t="s">
        <v>2875</v>
      </c>
      <c r="I1062" t="str">
        <f>IF(quantInv[[#This Row],[Metal]] = "925 Silver",  "7113.11.00"," 7113.19.00")</f>
        <v>7113.11.00</v>
      </c>
      <c r="J1062" t="str">
        <f>IF(quantInv[[#This Row],[Metal]] = "925 Silver", "7113.11.10.00"," 7113.19.10.00")</f>
        <v>7113.11.10.00</v>
      </c>
      <c r="K1062" t="str">
        <f>IF(quantInv[[#This Row],[Metal]] = "925 Silver",  "7113.11.00"," 7113.19.00")</f>
        <v>7113.11.00</v>
      </c>
      <c r="L1062" t="str">
        <f>IFERROR(VLOOKUP(quantInv[[#This Row],[Description for New Invoice]],Map!$G$12:$H$32,2,FALSE), IF(quantInv[[#This Row],[Metal]] = "925 Silver", "7113.11.10.00", "7113.19.29.00"))</f>
        <v>7113.11.10.00</v>
      </c>
      <c r="M1062" t="str">
        <f>quantInv[[#This Row],[ASIN]] &amp; " " &amp; quantInv[[#This Row],[Short Description]]</f>
        <v xml:space="preserve"> GP big circumference stud earrings</v>
      </c>
      <c r="N1062" s="33">
        <f>quantInv[[#This Row],[UNIT
VALUE]] / EURtoGBP</f>
        <v>8.0025880710357392E-2</v>
      </c>
      <c r="O1062" s="33">
        <f>quantInv[[#This Row],[UNIT
VALUE]]/USDtoGBP</f>
        <v>9.6643787449467625E-2</v>
      </c>
      <c r="P1062" s="33">
        <f>quantInv[[#This Row],[UNIT
VALUE]] / CADtoGBP</f>
        <v>0.1237096035502024</v>
      </c>
      <c r="Q1062" s="33">
        <f>quantInv[[#This Row],[UNIT
VALUE]]/AUDtoGBP</f>
        <v>0.12662547596810114</v>
      </c>
      <c r="R1062">
        <f>IFERROR(VLOOKUP(quantInv[[#This Row],[Assigned Item SKU]],skuQuantity[#All],2,FALSE),0)</f>
        <v>0</v>
      </c>
      <c r="S1062" t="str">
        <f>PROPER(quantInv[[#This Row],[Metal]] &amp; " " &amp; quantInv[[#This Row],[Item Type]])</f>
        <v xml:space="preserve">925 Silver </v>
      </c>
      <c r="T1062" s="33">
        <f>quantInv[[#This Row],[Quantity]]*quantInv[[#This Row],[WEIGHT]]</f>
        <v>0</v>
      </c>
      <c r="U1062" s="33">
        <f>quantInv[[#This Row],[UNIT
VALUE]]*quantInv[[#This Row],[Quantity]]</f>
        <v>0</v>
      </c>
      <c r="V1062" s="33">
        <f>quantInv[[#This Row],[Total Cost GBP]]/EURtoGBP</f>
        <v>0</v>
      </c>
      <c r="W1062" s="33">
        <f>quantInv[[#This Row],[Total Cost GBP]]/USDtoGBP</f>
        <v>0</v>
      </c>
      <c r="X1062" s="33">
        <f>quantInv[[#This Row],[Total Cost GBP]]/CADtoGBP</f>
        <v>0</v>
      </c>
      <c r="Y1062" s="33">
        <f>quantInv[[#This Row],[Quantity]]*quantInv[[#This Row],[UNIT
VALUE AUD]]</f>
        <v>0</v>
      </c>
      <c r="Z1062" s="33"/>
    </row>
    <row r="1063" spans="1:26" x14ac:dyDescent="0.25">
      <c r="A1063" t="s">
        <v>2587</v>
      </c>
      <c r="C1063" t="s">
        <v>115</v>
      </c>
      <c r="D1063" t="s">
        <v>2588</v>
      </c>
      <c r="E1063">
        <v>1.07</v>
      </c>
      <c r="F1063" s="33">
        <v>7.0499999999999993E-2</v>
      </c>
      <c r="G1063" s="33" t="s">
        <v>117</v>
      </c>
      <c r="H1063" t="s">
        <v>2875</v>
      </c>
      <c r="I1063" t="str">
        <f>IF(quantInv[[#This Row],[Metal]] = "925 Silver",  "7113.11.00"," 7113.19.00")</f>
        <v>7113.11.00</v>
      </c>
      <c r="J1063" t="str">
        <f>IF(quantInv[[#This Row],[Metal]] = "925 Silver", "7113.11.10.00"," 7113.19.10.00")</f>
        <v>7113.11.10.00</v>
      </c>
      <c r="K1063" t="str">
        <f>IF(quantInv[[#This Row],[Metal]] = "925 Silver",  "7113.11.00"," 7113.19.00")</f>
        <v>7113.11.00</v>
      </c>
      <c r="L1063" t="str">
        <f>IFERROR(VLOOKUP(quantInv[[#This Row],[Description for New Invoice]],Map!$G$12:$H$32,2,FALSE), IF(quantInv[[#This Row],[Metal]] = "925 Silver", "7113.11.10.00", "7113.19.29.00"))</f>
        <v>7113.11.10.00</v>
      </c>
      <c r="M1063" t="str">
        <f>quantInv[[#This Row],[ASIN]] &amp; " " &amp; quantInv[[#This Row],[Short Description]]</f>
        <v xml:space="preserve"> GP big hammered circumference stud earrings</v>
      </c>
      <c r="N1063" s="33">
        <f>quantInv[[#This Row],[UNIT
VALUE]] / EURtoGBP</f>
        <v>8.0025880710357392E-2</v>
      </c>
      <c r="O1063" s="33">
        <f>quantInv[[#This Row],[UNIT
VALUE]]/USDtoGBP</f>
        <v>9.6643787449467625E-2</v>
      </c>
      <c r="P1063" s="33">
        <f>quantInv[[#This Row],[UNIT
VALUE]] / CADtoGBP</f>
        <v>0.1237096035502024</v>
      </c>
      <c r="Q1063" s="33">
        <f>quantInv[[#This Row],[UNIT
VALUE]]/AUDtoGBP</f>
        <v>0.12662547596810114</v>
      </c>
      <c r="R1063">
        <f>IFERROR(VLOOKUP(quantInv[[#This Row],[Assigned Item SKU]],skuQuantity[#All],2,FALSE),0)</f>
        <v>0</v>
      </c>
      <c r="S1063" t="str">
        <f>PROPER(quantInv[[#This Row],[Metal]] &amp; " " &amp; quantInv[[#This Row],[Item Type]])</f>
        <v xml:space="preserve">925 Silver </v>
      </c>
      <c r="T1063" s="33">
        <f>quantInv[[#This Row],[Quantity]]*quantInv[[#This Row],[WEIGHT]]</f>
        <v>0</v>
      </c>
      <c r="U1063" s="33">
        <f>quantInv[[#This Row],[UNIT
VALUE]]*quantInv[[#This Row],[Quantity]]</f>
        <v>0</v>
      </c>
      <c r="V1063" s="33">
        <f>quantInv[[#This Row],[Total Cost GBP]]/EURtoGBP</f>
        <v>0</v>
      </c>
      <c r="W1063" s="33">
        <f>quantInv[[#This Row],[Total Cost GBP]]/USDtoGBP</f>
        <v>0</v>
      </c>
      <c r="X1063" s="33">
        <f>quantInv[[#This Row],[Total Cost GBP]]/CADtoGBP</f>
        <v>0</v>
      </c>
      <c r="Y1063" s="33">
        <f>quantInv[[#This Row],[Quantity]]*quantInv[[#This Row],[UNIT
VALUE AUD]]</f>
        <v>0</v>
      </c>
      <c r="Z1063" s="33"/>
    </row>
    <row r="1064" spans="1:26" x14ac:dyDescent="0.25">
      <c r="A1064" t="s">
        <v>2589</v>
      </c>
      <c r="C1064" t="s">
        <v>115</v>
      </c>
      <c r="D1064" t="s">
        <v>2590</v>
      </c>
      <c r="E1064">
        <v>0.83</v>
      </c>
      <c r="F1064" s="33">
        <v>7.0499999999999993E-2</v>
      </c>
      <c r="G1064" s="33" t="s">
        <v>2875</v>
      </c>
      <c r="H1064" t="s">
        <v>2875</v>
      </c>
      <c r="I1064" t="str">
        <f>IF(quantInv[[#This Row],[Metal]] = "925 Silver",  "7113.11.00"," 7113.19.00")</f>
        <v xml:space="preserve"> 7113.19.00</v>
      </c>
      <c r="J1064" t="str">
        <f>IF(quantInv[[#This Row],[Metal]] = "925 Silver", "7113.11.10.00"," 7113.19.10.00")</f>
        <v xml:space="preserve"> 7113.19.10.00</v>
      </c>
      <c r="K1064" t="str">
        <f>IF(quantInv[[#This Row],[Metal]] = "925 Silver",  "7113.11.00"," 7113.19.00")</f>
        <v xml:space="preserve"> 7113.19.00</v>
      </c>
      <c r="L1064" t="str">
        <f>IFERROR(VLOOKUP(quantInv[[#This Row],[Description for New Invoice]],Map!$G$12:$H$32,2,FALSE), IF(quantInv[[#This Row],[Metal]] = "925 Silver", "7113.11.10.00", "7113.19.29.00"))</f>
        <v>7113.19.29.00</v>
      </c>
      <c r="M1064" t="str">
        <f>quantInv[[#This Row],[ASIN]] &amp; " " &amp; quantInv[[#This Row],[Short Description]]</f>
        <v xml:space="preserve"> GP medium size circumference stud earrings</v>
      </c>
      <c r="N1064" s="33">
        <f>quantInv[[#This Row],[UNIT
VALUE]] / EURtoGBP</f>
        <v>8.0025880710357392E-2</v>
      </c>
      <c r="O1064" s="33">
        <f>quantInv[[#This Row],[UNIT
VALUE]]/USDtoGBP</f>
        <v>9.6643787449467625E-2</v>
      </c>
      <c r="P1064" s="33">
        <f>quantInv[[#This Row],[UNIT
VALUE]] / CADtoGBP</f>
        <v>0.1237096035502024</v>
      </c>
      <c r="Q1064" s="33">
        <f>quantInv[[#This Row],[UNIT
VALUE]]/AUDtoGBP</f>
        <v>0.12662547596810114</v>
      </c>
      <c r="R1064">
        <f>IFERROR(VLOOKUP(quantInv[[#This Row],[Assigned Item SKU]],skuQuantity[#All],2,FALSE),0)</f>
        <v>0</v>
      </c>
      <c r="S1064" t="str">
        <f>PROPER(quantInv[[#This Row],[Metal]] &amp; " " &amp; quantInv[[#This Row],[Item Type]])</f>
        <v xml:space="preserve"> </v>
      </c>
      <c r="T1064" s="33">
        <f>quantInv[[#This Row],[Quantity]]*quantInv[[#This Row],[WEIGHT]]</f>
        <v>0</v>
      </c>
      <c r="U1064" s="33">
        <f>quantInv[[#This Row],[UNIT
VALUE]]*quantInv[[#This Row],[Quantity]]</f>
        <v>0</v>
      </c>
      <c r="V1064" s="33">
        <f>quantInv[[#This Row],[Total Cost GBP]]/EURtoGBP</f>
        <v>0</v>
      </c>
      <c r="W1064" s="33">
        <f>quantInv[[#This Row],[Total Cost GBP]]/USDtoGBP</f>
        <v>0</v>
      </c>
      <c r="X1064" s="33">
        <f>quantInv[[#This Row],[Total Cost GBP]]/CADtoGBP</f>
        <v>0</v>
      </c>
      <c r="Y1064" s="33">
        <f>quantInv[[#This Row],[Quantity]]*quantInv[[#This Row],[UNIT
VALUE AUD]]</f>
        <v>0</v>
      </c>
      <c r="Z1064" s="33"/>
    </row>
    <row r="1065" spans="1:26" x14ac:dyDescent="0.25">
      <c r="A1065" t="s">
        <v>2591</v>
      </c>
      <c r="C1065" t="s">
        <v>115</v>
      </c>
      <c r="D1065" t="s">
        <v>2592</v>
      </c>
      <c r="E1065">
        <v>0.8</v>
      </c>
      <c r="F1065" s="33">
        <v>7.0499999999999993E-2</v>
      </c>
      <c r="G1065" s="33" t="s">
        <v>2875</v>
      </c>
      <c r="H1065" t="s">
        <v>2875</v>
      </c>
      <c r="I1065" t="str">
        <f>IF(quantInv[[#This Row],[Metal]] = "925 Silver",  "7113.11.00"," 7113.19.00")</f>
        <v xml:space="preserve"> 7113.19.00</v>
      </c>
      <c r="J1065" t="str">
        <f>IF(quantInv[[#This Row],[Metal]] = "925 Silver", "7113.11.10.00"," 7113.19.10.00")</f>
        <v xml:space="preserve"> 7113.19.10.00</v>
      </c>
      <c r="K1065" t="str">
        <f>IF(quantInv[[#This Row],[Metal]] = "925 Silver",  "7113.11.00"," 7113.19.00")</f>
        <v xml:space="preserve"> 7113.19.00</v>
      </c>
      <c r="L1065" t="str">
        <f>IFERROR(VLOOKUP(quantInv[[#This Row],[Description for New Invoice]],Map!$G$12:$H$32,2,FALSE), IF(quantInv[[#This Row],[Metal]] = "925 Silver", "7113.11.10.00", "7113.19.29.00"))</f>
        <v>7113.19.29.00</v>
      </c>
      <c r="M1065" t="str">
        <f>quantInv[[#This Row],[ASIN]] &amp; " " &amp; quantInv[[#This Row],[Short Description]]</f>
        <v xml:space="preserve"> GP polished bar stud earrings</v>
      </c>
      <c r="N1065" s="33">
        <f>quantInv[[#This Row],[UNIT
VALUE]] / EURtoGBP</f>
        <v>8.0025880710357392E-2</v>
      </c>
      <c r="O1065" s="33">
        <f>quantInv[[#This Row],[UNIT
VALUE]]/USDtoGBP</f>
        <v>9.6643787449467625E-2</v>
      </c>
      <c r="P1065" s="33">
        <f>quantInv[[#This Row],[UNIT
VALUE]] / CADtoGBP</f>
        <v>0.1237096035502024</v>
      </c>
      <c r="Q1065" s="33">
        <f>quantInv[[#This Row],[UNIT
VALUE]]/AUDtoGBP</f>
        <v>0.12662547596810114</v>
      </c>
      <c r="R1065">
        <f>IFERROR(VLOOKUP(quantInv[[#This Row],[Assigned Item SKU]],skuQuantity[#All],2,FALSE),0)</f>
        <v>0</v>
      </c>
      <c r="S1065" t="str">
        <f>PROPER(quantInv[[#This Row],[Metal]] &amp; " " &amp; quantInv[[#This Row],[Item Type]])</f>
        <v xml:space="preserve"> </v>
      </c>
      <c r="T1065" s="33">
        <f>quantInv[[#This Row],[Quantity]]*quantInv[[#This Row],[WEIGHT]]</f>
        <v>0</v>
      </c>
      <c r="U1065" s="33">
        <f>quantInv[[#This Row],[UNIT
VALUE]]*quantInv[[#This Row],[Quantity]]</f>
        <v>0</v>
      </c>
      <c r="V1065" s="33">
        <f>quantInv[[#This Row],[Total Cost GBP]]/EURtoGBP</f>
        <v>0</v>
      </c>
      <c r="W1065" s="33">
        <f>quantInv[[#This Row],[Total Cost GBP]]/USDtoGBP</f>
        <v>0</v>
      </c>
      <c r="X1065" s="33">
        <f>quantInv[[#This Row],[Total Cost GBP]]/CADtoGBP</f>
        <v>0</v>
      </c>
      <c r="Y1065" s="33">
        <f>quantInv[[#This Row],[Quantity]]*quantInv[[#This Row],[UNIT
VALUE AUD]]</f>
        <v>0</v>
      </c>
      <c r="Z1065" s="33"/>
    </row>
    <row r="1066" spans="1:26" x14ac:dyDescent="0.25">
      <c r="A1066" t="s">
        <v>2593</v>
      </c>
      <c r="C1066" t="s">
        <v>115</v>
      </c>
      <c r="D1066" t="s">
        <v>2594</v>
      </c>
      <c r="E1066">
        <v>0.85</v>
      </c>
      <c r="F1066" s="33">
        <v>7.0499999999999993E-2</v>
      </c>
      <c r="G1066" s="33" t="s">
        <v>2875</v>
      </c>
      <c r="H1066" t="s">
        <v>2875</v>
      </c>
      <c r="I1066" t="str">
        <f>IF(quantInv[[#This Row],[Metal]] = "925 Silver",  "7113.11.00"," 7113.19.00")</f>
        <v xml:space="preserve"> 7113.19.00</v>
      </c>
      <c r="J1066" t="str">
        <f>IF(quantInv[[#This Row],[Metal]] = "925 Silver", "7113.11.10.00"," 7113.19.10.00")</f>
        <v xml:space="preserve"> 7113.19.10.00</v>
      </c>
      <c r="K1066" t="str">
        <f>IF(quantInv[[#This Row],[Metal]] = "925 Silver",  "7113.11.00"," 7113.19.00")</f>
        <v xml:space="preserve"> 7113.19.00</v>
      </c>
      <c r="L1066" t="str">
        <f>IFERROR(VLOOKUP(quantInv[[#This Row],[Description for New Invoice]],Map!$G$12:$H$32,2,FALSE), IF(quantInv[[#This Row],[Metal]] = "925 Silver", "7113.11.10.00", "7113.19.29.00"))</f>
        <v>7113.19.29.00</v>
      </c>
      <c r="M1066" t="str">
        <f>quantInv[[#This Row],[ASIN]] &amp; " " &amp; quantInv[[#This Row],[Short Description]]</f>
        <v xml:space="preserve"> GP hammered bar stud earrings</v>
      </c>
      <c r="N1066" s="33">
        <f>quantInv[[#This Row],[UNIT
VALUE]] / EURtoGBP</f>
        <v>8.0025880710357392E-2</v>
      </c>
      <c r="O1066" s="33">
        <f>quantInv[[#This Row],[UNIT
VALUE]]/USDtoGBP</f>
        <v>9.6643787449467625E-2</v>
      </c>
      <c r="P1066" s="33">
        <f>quantInv[[#This Row],[UNIT
VALUE]] / CADtoGBP</f>
        <v>0.1237096035502024</v>
      </c>
      <c r="Q1066" s="33">
        <f>quantInv[[#This Row],[UNIT
VALUE]]/AUDtoGBP</f>
        <v>0.12662547596810114</v>
      </c>
      <c r="R1066">
        <f>IFERROR(VLOOKUP(quantInv[[#This Row],[Assigned Item SKU]],skuQuantity[#All],2,FALSE),0)</f>
        <v>0</v>
      </c>
      <c r="S1066" t="str">
        <f>PROPER(quantInv[[#This Row],[Metal]] &amp; " " &amp; quantInv[[#This Row],[Item Type]])</f>
        <v xml:space="preserve"> </v>
      </c>
      <c r="T1066" s="33">
        <f>quantInv[[#This Row],[Quantity]]*quantInv[[#This Row],[WEIGHT]]</f>
        <v>0</v>
      </c>
      <c r="U1066" s="33">
        <f>quantInv[[#This Row],[UNIT
VALUE]]*quantInv[[#This Row],[Quantity]]</f>
        <v>0</v>
      </c>
      <c r="V1066" s="33">
        <f>quantInv[[#This Row],[Total Cost GBP]]/EURtoGBP</f>
        <v>0</v>
      </c>
      <c r="W1066" s="33">
        <f>quantInv[[#This Row],[Total Cost GBP]]/USDtoGBP</f>
        <v>0</v>
      </c>
      <c r="X1066" s="33">
        <f>quantInv[[#This Row],[Total Cost GBP]]/CADtoGBP</f>
        <v>0</v>
      </c>
      <c r="Y1066" s="33">
        <f>quantInv[[#This Row],[Quantity]]*quantInv[[#This Row],[UNIT
VALUE AUD]]</f>
        <v>0</v>
      </c>
      <c r="Z1066" s="33"/>
    </row>
    <row r="1067" spans="1:26" x14ac:dyDescent="0.25">
      <c r="A1067" t="s">
        <v>2595</v>
      </c>
      <c r="C1067" t="s">
        <v>115</v>
      </c>
      <c r="D1067" t="s">
        <v>2596</v>
      </c>
      <c r="E1067">
        <v>0.56999999999999995</v>
      </c>
      <c r="F1067" s="33">
        <v>7.0499999999999993E-2</v>
      </c>
      <c r="G1067" s="33" t="s">
        <v>2875</v>
      </c>
      <c r="H1067" t="s">
        <v>2875</v>
      </c>
      <c r="I1067" t="str">
        <f>IF(quantInv[[#This Row],[Metal]] = "925 Silver",  "7113.11.00"," 7113.19.00")</f>
        <v xml:space="preserve"> 7113.19.00</v>
      </c>
      <c r="J1067" t="str">
        <f>IF(quantInv[[#This Row],[Metal]] = "925 Silver", "7113.11.10.00"," 7113.19.10.00")</f>
        <v xml:space="preserve"> 7113.19.10.00</v>
      </c>
      <c r="K1067" t="str">
        <f>IF(quantInv[[#This Row],[Metal]] = "925 Silver",  "7113.11.00"," 7113.19.00")</f>
        <v xml:space="preserve"> 7113.19.00</v>
      </c>
      <c r="L1067" t="str">
        <f>IFERROR(VLOOKUP(quantInv[[#This Row],[Description for New Invoice]],Map!$G$12:$H$32,2,FALSE), IF(quantInv[[#This Row],[Metal]] = "925 Silver", "7113.11.10.00", "7113.19.29.00"))</f>
        <v>7113.19.29.00</v>
      </c>
      <c r="M1067" t="str">
        <f>quantInv[[#This Row],[ASIN]] &amp; " " &amp; quantInv[[#This Row],[Short Description]]</f>
        <v xml:space="preserve"> GP polished triangle stud earrings</v>
      </c>
      <c r="N1067" s="33">
        <f>quantInv[[#This Row],[UNIT
VALUE]] / EURtoGBP</f>
        <v>8.0025880710357392E-2</v>
      </c>
      <c r="O1067" s="33">
        <f>quantInv[[#This Row],[UNIT
VALUE]]/USDtoGBP</f>
        <v>9.6643787449467625E-2</v>
      </c>
      <c r="P1067" s="33">
        <f>quantInv[[#This Row],[UNIT
VALUE]] / CADtoGBP</f>
        <v>0.1237096035502024</v>
      </c>
      <c r="Q1067" s="33">
        <f>quantInv[[#This Row],[UNIT
VALUE]]/AUDtoGBP</f>
        <v>0.12662547596810114</v>
      </c>
      <c r="R1067">
        <f>IFERROR(VLOOKUP(quantInv[[#This Row],[Assigned Item SKU]],skuQuantity[#All],2,FALSE),0)</f>
        <v>0</v>
      </c>
      <c r="S1067" t="str">
        <f>PROPER(quantInv[[#This Row],[Metal]] &amp; " " &amp; quantInv[[#This Row],[Item Type]])</f>
        <v xml:space="preserve"> </v>
      </c>
      <c r="T1067" s="33">
        <f>quantInv[[#This Row],[Quantity]]*quantInv[[#This Row],[WEIGHT]]</f>
        <v>0</v>
      </c>
      <c r="U1067" s="33">
        <f>quantInv[[#This Row],[UNIT
VALUE]]*quantInv[[#This Row],[Quantity]]</f>
        <v>0</v>
      </c>
      <c r="V1067" s="33">
        <f>quantInv[[#This Row],[Total Cost GBP]]/EURtoGBP</f>
        <v>0</v>
      </c>
      <c r="W1067" s="33">
        <f>quantInv[[#This Row],[Total Cost GBP]]/USDtoGBP</f>
        <v>0</v>
      </c>
      <c r="X1067" s="33">
        <f>quantInv[[#This Row],[Total Cost GBP]]/CADtoGBP</f>
        <v>0</v>
      </c>
      <c r="Y1067" s="33">
        <f>quantInv[[#This Row],[Quantity]]*quantInv[[#This Row],[UNIT
VALUE AUD]]</f>
        <v>0</v>
      </c>
      <c r="Z1067" s="33"/>
    </row>
    <row r="1068" spans="1:26" x14ac:dyDescent="0.25">
      <c r="A1068" t="s">
        <v>2597</v>
      </c>
      <c r="C1068" t="s">
        <v>115</v>
      </c>
      <c r="D1068" t="s">
        <v>2598</v>
      </c>
      <c r="E1068">
        <v>0.55000000000000004</v>
      </c>
      <c r="F1068" s="33">
        <v>7.0499999999999993E-2</v>
      </c>
      <c r="G1068" s="33" t="s">
        <v>2875</v>
      </c>
      <c r="H1068" t="s">
        <v>2875</v>
      </c>
      <c r="I1068" t="str">
        <f>IF(quantInv[[#This Row],[Metal]] = "925 Silver",  "7113.11.00"," 7113.19.00")</f>
        <v xml:space="preserve"> 7113.19.00</v>
      </c>
      <c r="J1068" t="str">
        <f>IF(quantInv[[#This Row],[Metal]] = "925 Silver", "7113.11.10.00"," 7113.19.10.00")</f>
        <v xml:space="preserve"> 7113.19.10.00</v>
      </c>
      <c r="K1068" t="str">
        <f>IF(quantInv[[#This Row],[Metal]] = "925 Silver",  "7113.11.00"," 7113.19.00")</f>
        <v xml:space="preserve"> 7113.19.00</v>
      </c>
      <c r="L1068" t="str">
        <f>IFERROR(VLOOKUP(quantInv[[#This Row],[Description for New Invoice]],Map!$G$12:$H$32,2,FALSE), IF(quantInv[[#This Row],[Metal]] = "925 Silver", "7113.11.10.00", "7113.19.29.00"))</f>
        <v>7113.19.29.00</v>
      </c>
      <c r="M1068" t="str">
        <f>quantInv[[#This Row],[ASIN]] &amp; " " &amp; quantInv[[#This Row],[Short Description]]</f>
        <v xml:space="preserve"> GP hammered triangle stud earrings</v>
      </c>
      <c r="N1068" s="33">
        <f>quantInv[[#This Row],[UNIT
VALUE]] / EURtoGBP</f>
        <v>8.0025880710357392E-2</v>
      </c>
      <c r="O1068" s="33">
        <f>quantInv[[#This Row],[UNIT
VALUE]]/USDtoGBP</f>
        <v>9.6643787449467625E-2</v>
      </c>
      <c r="P1068" s="33">
        <f>quantInv[[#This Row],[UNIT
VALUE]] / CADtoGBP</f>
        <v>0.1237096035502024</v>
      </c>
      <c r="Q1068" s="33">
        <f>quantInv[[#This Row],[UNIT
VALUE]]/AUDtoGBP</f>
        <v>0.12662547596810114</v>
      </c>
      <c r="R1068">
        <f>IFERROR(VLOOKUP(quantInv[[#This Row],[Assigned Item SKU]],skuQuantity[#All],2,FALSE),0)</f>
        <v>0</v>
      </c>
      <c r="S1068" t="str">
        <f>PROPER(quantInv[[#This Row],[Metal]] &amp; " " &amp; quantInv[[#This Row],[Item Type]])</f>
        <v xml:space="preserve"> </v>
      </c>
      <c r="T1068" s="33">
        <f>quantInv[[#This Row],[Quantity]]*quantInv[[#This Row],[WEIGHT]]</f>
        <v>0</v>
      </c>
      <c r="U1068" s="33">
        <f>quantInv[[#This Row],[UNIT
VALUE]]*quantInv[[#This Row],[Quantity]]</f>
        <v>0</v>
      </c>
      <c r="V1068" s="33">
        <f>quantInv[[#This Row],[Total Cost GBP]]/EURtoGBP</f>
        <v>0</v>
      </c>
      <c r="W1068" s="33">
        <f>quantInv[[#This Row],[Total Cost GBP]]/USDtoGBP</f>
        <v>0</v>
      </c>
      <c r="X1068" s="33">
        <f>quantInv[[#This Row],[Total Cost GBP]]/CADtoGBP</f>
        <v>0</v>
      </c>
      <c r="Y1068" s="33">
        <f>quantInv[[#This Row],[Quantity]]*quantInv[[#This Row],[UNIT
VALUE AUD]]</f>
        <v>0</v>
      </c>
      <c r="Z1068" s="33"/>
    </row>
    <row r="1069" spans="1:26" x14ac:dyDescent="0.25">
      <c r="A1069" t="s">
        <v>2599</v>
      </c>
      <c r="C1069" t="s">
        <v>115</v>
      </c>
      <c r="D1069" t="s">
        <v>2600</v>
      </c>
      <c r="E1069">
        <v>0.74</v>
      </c>
      <c r="F1069" s="33">
        <v>7.0499999999999993E-2</v>
      </c>
      <c r="G1069" s="33" t="s">
        <v>2875</v>
      </c>
      <c r="H1069" t="s">
        <v>2875</v>
      </c>
      <c r="I1069" t="str">
        <f>IF(quantInv[[#This Row],[Metal]] = "925 Silver",  "7113.11.00"," 7113.19.00")</f>
        <v xml:space="preserve"> 7113.19.00</v>
      </c>
      <c r="J1069" t="str">
        <f>IF(quantInv[[#This Row],[Metal]] = "925 Silver", "7113.11.10.00"," 7113.19.10.00")</f>
        <v xml:space="preserve"> 7113.19.10.00</v>
      </c>
      <c r="K1069" t="str">
        <f>IF(quantInv[[#This Row],[Metal]] = "925 Silver",  "7113.11.00"," 7113.19.00")</f>
        <v xml:space="preserve"> 7113.19.00</v>
      </c>
      <c r="L1069" t="str">
        <f>IFERROR(VLOOKUP(quantInv[[#This Row],[Description for New Invoice]],Map!$G$12:$H$32,2,FALSE), IF(quantInv[[#This Row],[Metal]] = "925 Silver", "7113.11.10.00", "7113.19.29.00"))</f>
        <v>7113.19.29.00</v>
      </c>
      <c r="M1069" t="str">
        <f>quantInv[[#This Row],[ASIN]] &amp; " " &amp; quantInv[[#This Row],[Short Description]]</f>
        <v xml:space="preserve"> GP polished hexagon stud earrings</v>
      </c>
      <c r="N1069" s="33">
        <f>quantInv[[#This Row],[UNIT
VALUE]] / EURtoGBP</f>
        <v>8.0025880710357392E-2</v>
      </c>
      <c r="O1069" s="33">
        <f>quantInv[[#This Row],[UNIT
VALUE]]/USDtoGBP</f>
        <v>9.6643787449467625E-2</v>
      </c>
      <c r="P1069" s="33">
        <f>quantInv[[#This Row],[UNIT
VALUE]] / CADtoGBP</f>
        <v>0.1237096035502024</v>
      </c>
      <c r="Q1069" s="33">
        <f>quantInv[[#This Row],[UNIT
VALUE]]/AUDtoGBP</f>
        <v>0.12662547596810114</v>
      </c>
      <c r="R1069">
        <f>IFERROR(VLOOKUP(quantInv[[#This Row],[Assigned Item SKU]],skuQuantity[#All],2,FALSE),0)</f>
        <v>0</v>
      </c>
      <c r="S1069" t="str">
        <f>PROPER(quantInv[[#This Row],[Metal]] &amp; " " &amp; quantInv[[#This Row],[Item Type]])</f>
        <v xml:space="preserve"> </v>
      </c>
      <c r="T1069" s="33">
        <f>quantInv[[#This Row],[Quantity]]*quantInv[[#This Row],[WEIGHT]]</f>
        <v>0</v>
      </c>
      <c r="U1069" s="33">
        <f>quantInv[[#This Row],[UNIT
VALUE]]*quantInv[[#This Row],[Quantity]]</f>
        <v>0</v>
      </c>
      <c r="V1069" s="33">
        <f>quantInv[[#This Row],[Total Cost GBP]]/EURtoGBP</f>
        <v>0</v>
      </c>
      <c r="W1069" s="33">
        <f>quantInv[[#This Row],[Total Cost GBP]]/USDtoGBP</f>
        <v>0</v>
      </c>
      <c r="X1069" s="33">
        <f>quantInv[[#This Row],[Total Cost GBP]]/CADtoGBP</f>
        <v>0</v>
      </c>
      <c r="Y1069" s="33">
        <f>quantInv[[#This Row],[Quantity]]*quantInv[[#This Row],[UNIT
VALUE AUD]]</f>
        <v>0</v>
      </c>
      <c r="Z1069" s="33"/>
    </row>
    <row r="1070" spans="1:26" x14ac:dyDescent="0.25">
      <c r="A1070" t="s">
        <v>2601</v>
      </c>
      <c r="C1070" t="s">
        <v>115</v>
      </c>
      <c r="D1070" t="s">
        <v>2602</v>
      </c>
      <c r="E1070">
        <v>0.75</v>
      </c>
      <c r="F1070" s="33">
        <v>7.0499999999999993E-2</v>
      </c>
      <c r="G1070" s="33" t="s">
        <v>2875</v>
      </c>
      <c r="H1070" t="s">
        <v>2875</v>
      </c>
      <c r="I1070" t="str">
        <f>IF(quantInv[[#This Row],[Metal]] = "925 Silver",  "7113.11.00"," 7113.19.00")</f>
        <v xml:space="preserve"> 7113.19.00</v>
      </c>
      <c r="J1070" t="str">
        <f>IF(quantInv[[#This Row],[Metal]] = "925 Silver", "7113.11.10.00"," 7113.19.10.00")</f>
        <v xml:space="preserve"> 7113.19.10.00</v>
      </c>
      <c r="K1070" t="str">
        <f>IF(quantInv[[#This Row],[Metal]] = "925 Silver",  "7113.11.00"," 7113.19.00")</f>
        <v xml:space="preserve"> 7113.19.00</v>
      </c>
      <c r="L1070" t="str">
        <f>IFERROR(VLOOKUP(quantInv[[#This Row],[Description for New Invoice]],Map!$G$12:$H$32,2,FALSE), IF(quantInv[[#This Row],[Metal]] = "925 Silver", "7113.11.10.00", "7113.19.29.00"))</f>
        <v>7113.19.29.00</v>
      </c>
      <c r="M1070" t="str">
        <f>quantInv[[#This Row],[ASIN]] &amp; " " &amp; quantInv[[#This Row],[Short Description]]</f>
        <v xml:space="preserve"> GP hammered hexagon stud earrings</v>
      </c>
      <c r="N1070" s="33">
        <f>quantInv[[#This Row],[UNIT
VALUE]] / EURtoGBP</f>
        <v>8.0025880710357392E-2</v>
      </c>
      <c r="O1070" s="33">
        <f>quantInv[[#This Row],[UNIT
VALUE]]/USDtoGBP</f>
        <v>9.6643787449467625E-2</v>
      </c>
      <c r="P1070" s="33">
        <f>quantInv[[#This Row],[UNIT
VALUE]] / CADtoGBP</f>
        <v>0.1237096035502024</v>
      </c>
      <c r="Q1070" s="33">
        <f>quantInv[[#This Row],[UNIT
VALUE]]/AUDtoGBP</f>
        <v>0.12662547596810114</v>
      </c>
      <c r="R1070">
        <f>IFERROR(VLOOKUP(quantInv[[#This Row],[Assigned Item SKU]],skuQuantity[#All],2,FALSE),0)</f>
        <v>0</v>
      </c>
      <c r="S1070" t="str">
        <f>PROPER(quantInv[[#This Row],[Metal]] &amp; " " &amp; quantInv[[#This Row],[Item Type]])</f>
        <v xml:space="preserve"> </v>
      </c>
      <c r="T1070" s="33">
        <f>quantInv[[#This Row],[Quantity]]*quantInv[[#This Row],[WEIGHT]]</f>
        <v>0</v>
      </c>
      <c r="U1070" s="33">
        <f>quantInv[[#This Row],[UNIT
VALUE]]*quantInv[[#This Row],[Quantity]]</f>
        <v>0</v>
      </c>
      <c r="V1070" s="33">
        <f>quantInv[[#This Row],[Total Cost GBP]]/EURtoGBP</f>
        <v>0</v>
      </c>
      <c r="W1070" s="33">
        <f>quantInv[[#This Row],[Total Cost GBP]]/USDtoGBP</f>
        <v>0</v>
      </c>
      <c r="X1070" s="33">
        <f>quantInv[[#This Row],[Total Cost GBP]]/CADtoGBP</f>
        <v>0</v>
      </c>
      <c r="Y1070" s="33">
        <f>quantInv[[#This Row],[Quantity]]*quantInv[[#This Row],[UNIT
VALUE AUD]]</f>
        <v>0</v>
      </c>
      <c r="Z1070" s="33"/>
    </row>
    <row r="1071" spans="1:26" x14ac:dyDescent="0.25">
      <c r="A1071" t="s">
        <v>2603</v>
      </c>
      <c r="C1071" t="s">
        <v>115</v>
      </c>
      <c r="D1071" t="s">
        <v>2604</v>
      </c>
      <c r="E1071">
        <v>0.9</v>
      </c>
      <c r="F1071" s="33">
        <v>7.0499999999999993E-2</v>
      </c>
      <c r="G1071" s="33" t="s">
        <v>2875</v>
      </c>
      <c r="H1071" t="s">
        <v>2875</v>
      </c>
      <c r="I1071" t="str">
        <f>IF(quantInv[[#This Row],[Metal]] = "925 Silver",  "7113.11.00"," 7113.19.00")</f>
        <v xml:space="preserve"> 7113.19.00</v>
      </c>
      <c r="J1071" t="str">
        <f>IF(quantInv[[#This Row],[Metal]] = "925 Silver", "7113.11.10.00"," 7113.19.10.00")</f>
        <v xml:space="preserve"> 7113.19.10.00</v>
      </c>
      <c r="K1071" t="str">
        <f>IF(quantInv[[#This Row],[Metal]] = "925 Silver",  "7113.11.00"," 7113.19.00")</f>
        <v xml:space="preserve"> 7113.19.00</v>
      </c>
      <c r="L1071" t="str">
        <f>IFERROR(VLOOKUP(quantInv[[#This Row],[Description for New Invoice]],Map!$G$12:$H$32,2,FALSE), IF(quantInv[[#This Row],[Metal]] = "925 Silver", "7113.11.10.00", "7113.19.29.00"))</f>
        <v>7113.19.29.00</v>
      </c>
      <c r="M1071" t="str">
        <f>quantInv[[#This Row],[ASIN]] &amp; " " &amp; quantInv[[#This Row],[Short Description]]</f>
        <v xml:space="preserve"> GP polished square stud earrings</v>
      </c>
      <c r="N1071" s="33">
        <f>quantInv[[#This Row],[UNIT
VALUE]] / EURtoGBP</f>
        <v>8.0025880710357392E-2</v>
      </c>
      <c r="O1071" s="33">
        <f>quantInv[[#This Row],[UNIT
VALUE]]/USDtoGBP</f>
        <v>9.6643787449467625E-2</v>
      </c>
      <c r="P1071" s="33">
        <f>quantInv[[#This Row],[UNIT
VALUE]] / CADtoGBP</f>
        <v>0.1237096035502024</v>
      </c>
      <c r="Q1071" s="33">
        <f>quantInv[[#This Row],[UNIT
VALUE]]/AUDtoGBP</f>
        <v>0.12662547596810114</v>
      </c>
      <c r="R1071">
        <f>IFERROR(VLOOKUP(quantInv[[#This Row],[Assigned Item SKU]],skuQuantity[#All],2,FALSE),0)</f>
        <v>0</v>
      </c>
      <c r="S1071" t="str">
        <f>PROPER(quantInv[[#This Row],[Metal]] &amp; " " &amp; quantInv[[#This Row],[Item Type]])</f>
        <v xml:space="preserve"> </v>
      </c>
      <c r="T1071" s="33">
        <f>quantInv[[#This Row],[Quantity]]*quantInv[[#This Row],[WEIGHT]]</f>
        <v>0</v>
      </c>
      <c r="U1071" s="33">
        <f>quantInv[[#This Row],[UNIT
VALUE]]*quantInv[[#This Row],[Quantity]]</f>
        <v>0</v>
      </c>
      <c r="V1071" s="33">
        <f>quantInv[[#This Row],[Total Cost GBP]]/EURtoGBP</f>
        <v>0</v>
      </c>
      <c r="W1071" s="33">
        <f>quantInv[[#This Row],[Total Cost GBP]]/USDtoGBP</f>
        <v>0</v>
      </c>
      <c r="X1071" s="33">
        <f>quantInv[[#This Row],[Total Cost GBP]]/CADtoGBP</f>
        <v>0</v>
      </c>
      <c r="Y1071" s="33">
        <f>quantInv[[#This Row],[Quantity]]*quantInv[[#This Row],[UNIT
VALUE AUD]]</f>
        <v>0</v>
      </c>
      <c r="Z1071" s="33"/>
    </row>
    <row r="1072" spans="1:26" x14ac:dyDescent="0.25">
      <c r="A1072" t="s">
        <v>2605</v>
      </c>
      <c r="C1072" t="s">
        <v>115</v>
      </c>
      <c r="D1072" t="s">
        <v>2606</v>
      </c>
      <c r="E1072">
        <v>0.55000000000000004</v>
      </c>
      <c r="F1072" s="33">
        <v>7.0499999999999993E-2</v>
      </c>
      <c r="G1072" s="33" t="s">
        <v>2875</v>
      </c>
      <c r="H1072" t="s">
        <v>2875</v>
      </c>
      <c r="I1072" t="str">
        <f>IF(quantInv[[#This Row],[Metal]] = "925 Silver",  "7113.11.00"," 7113.19.00")</f>
        <v xml:space="preserve"> 7113.19.00</v>
      </c>
      <c r="J1072" t="str">
        <f>IF(quantInv[[#This Row],[Metal]] = "925 Silver", "7113.11.10.00"," 7113.19.10.00")</f>
        <v xml:space="preserve"> 7113.19.10.00</v>
      </c>
      <c r="K1072" t="str">
        <f>IF(quantInv[[#This Row],[Metal]] = "925 Silver",  "7113.11.00"," 7113.19.00")</f>
        <v xml:space="preserve"> 7113.19.00</v>
      </c>
      <c r="L1072" t="str">
        <f>IFERROR(VLOOKUP(quantInv[[#This Row],[Description for New Invoice]],Map!$G$12:$H$32,2,FALSE), IF(quantInv[[#This Row],[Metal]] = "925 Silver", "7113.11.10.00", "7113.19.29.00"))</f>
        <v>7113.19.29.00</v>
      </c>
      <c r="M1072" t="str">
        <f>quantInv[[#This Row],[ASIN]] &amp; " " &amp; quantInv[[#This Row],[Short Description]]</f>
        <v xml:space="preserve"> GP polished infinity stud earrings</v>
      </c>
      <c r="N1072" s="33">
        <f>quantInv[[#This Row],[UNIT
VALUE]] / EURtoGBP</f>
        <v>8.0025880710357392E-2</v>
      </c>
      <c r="O1072" s="33">
        <f>quantInv[[#This Row],[UNIT
VALUE]]/USDtoGBP</f>
        <v>9.6643787449467625E-2</v>
      </c>
      <c r="P1072" s="33">
        <f>quantInv[[#This Row],[UNIT
VALUE]] / CADtoGBP</f>
        <v>0.1237096035502024</v>
      </c>
      <c r="Q1072" s="33">
        <f>quantInv[[#This Row],[UNIT
VALUE]]/AUDtoGBP</f>
        <v>0.12662547596810114</v>
      </c>
      <c r="R1072">
        <f>IFERROR(VLOOKUP(quantInv[[#This Row],[Assigned Item SKU]],skuQuantity[#All],2,FALSE),0)</f>
        <v>0</v>
      </c>
      <c r="S1072" t="str">
        <f>PROPER(quantInv[[#This Row],[Metal]] &amp; " " &amp; quantInv[[#This Row],[Item Type]])</f>
        <v xml:space="preserve"> </v>
      </c>
      <c r="T1072" s="33">
        <f>quantInv[[#This Row],[Quantity]]*quantInv[[#This Row],[WEIGHT]]</f>
        <v>0</v>
      </c>
      <c r="U1072" s="33">
        <f>quantInv[[#This Row],[UNIT
VALUE]]*quantInv[[#This Row],[Quantity]]</f>
        <v>0</v>
      </c>
      <c r="V1072" s="33">
        <f>quantInv[[#This Row],[Total Cost GBP]]/EURtoGBP</f>
        <v>0</v>
      </c>
      <c r="W1072" s="33">
        <f>quantInv[[#This Row],[Total Cost GBP]]/USDtoGBP</f>
        <v>0</v>
      </c>
      <c r="X1072" s="33">
        <f>quantInv[[#This Row],[Total Cost GBP]]/CADtoGBP</f>
        <v>0</v>
      </c>
      <c r="Y1072" s="33">
        <f>quantInv[[#This Row],[Quantity]]*quantInv[[#This Row],[UNIT
VALUE AUD]]</f>
        <v>0</v>
      </c>
      <c r="Z1072" s="33"/>
    </row>
    <row r="1073" spans="1:26" x14ac:dyDescent="0.25">
      <c r="A1073" t="s">
        <v>2607</v>
      </c>
      <c r="C1073" t="s">
        <v>115</v>
      </c>
      <c r="D1073" t="s">
        <v>2964</v>
      </c>
      <c r="E1073">
        <v>0</v>
      </c>
      <c r="F1073" s="33">
        <v>7.0499999999999993E-2</v>
      </c>
      <c r="G1073" s="33" t="s">
        <v>2875</v>
      </c>
      <c r="H1073" t="s">
        <v>2875</v>
      </c>
      <c r="I1073" t="str">
        <f>IF(quantInv[[#This Row],[Metal]] = "925 Silver",  "7113.11.00"," 7113.19.00")</f>
        <v xml:space="preserve"> 7113.19.00</v>
      </c>
      <c r="J1073" t="str">
        <f>IF(quantInv[[#This Row],[Metal]] = "925 Silver", "7113.11.10.00"," 7113.19.10.00")</f>
        <v xml:space="preserve"> 7113.19.10.00</v>
      </c>
      <c r="K1073" t="str">
        <f>IF(quantInv[[#This Row],[Metal]] = "925 Silver",  "7113.11.00"," 7113.19.00")</f>
        <v xml:space="preserve"> 7113.19.00</v>
      </c>
      <c r="L1073" t="str">
        <f>IFERROR(VLOOKUP(quantInv[[#This Row],[Description for New Invoice]],Map!$G$12:$H$32,2,FALSE), IF(quantInv[[#This Row],[Metal]] = "925 Silver", "7113.11.10.00", "7113.19.29.00"))</f>
        <v>7113.19.29.00</v>
      </c>
      <c r="M1073" t="str">
        <f>quantInv[[#This Row],[ASIN]] &amp; " " &amp; quantInv[[#This Row],[Short Description]]</f>
        <v xml:space="preserve"> Silver ear studs sets (3pairs): Ball  small circumference and rounded bar</v>
      </c>
      <c r="N1073" s="33">
        <f>quantInv[[#This Row],[UNIT
VALUE]] / EURtoGBP</f>
        <v>8.0025880710357392E-2</v>
      </c>
      <c r="O1073" s="33">
        <f>quantInv[[#This Row],[UNIT
VALUE]]/USDtoGBP</f>
        <v>9.6643787449467625E-2</v>
      </c>
      <c r="P1073" s="33">
        <f>quantInv[[#This Row],[UNIT
VALUE]] / CADtoGBP</f>
        <v>0.1237096035502024</v>
      </c>
      <c r="Q1073" s="33">
        <f>quantInv[[#This Row],[UNIT
VALUE]]/AUDtoGBP</f>
        <v>0.12662547596810114</v>
      </c>
      <c r="R1073">
        <f>IFERROR(VLOOKUP(quantInv[[#This Row],[Assigned Item SKU]],skuQuantity[#All],2,FALSE),0)</f>
        <v>0</v>
      </c>
      <c r="S1073" t="str">
        <f>PROPER(quantInv[[#This Row],[Metal]] &amp; " " &amp; quantInv[[#This Row],[Item Type]])</f>
        <v xml:space="preserve"> </v>
      </c>
      <c r="T1073" s="33">
        <f>quantInv[[#This Row],[Quantity]]*quantInv[[#This Row],[WEIGHT]]</f>
        <v>0</v>
      </c>
      <c r="U1073" s="33">
        <f>quantInv[[#This Row],[UNIT
VALUE]]*quantInv[[#This Row],[Quantity]]</f>
        <v>0</v>
      </c>
      <c r="V1073" s="33">
        <f>quantInv[[#This Row],[Total Cost GBP]]/EURtoGBP</f>
        <v>0</v>
      </c>
      <c r="W1073" s="33">
        <f>quantInv[[#This Row],[Total Cost GBP]]/USDtoGBP</f>
        <v>0</v>
      </c>
      <c r="X1073" s="33">
        <f>quantInv[[#This Row],[Total Cost GBP]]/CADtoGBP</f>
        <v>0</v>
      </c>
      <c r="Y1073" s="33">
        <f>quantInv[[#This Row],[Quantity]]*quantInv[[#This Row],[UNIT
VALUE AUD]]</f>
        <v>0</v>
      </c>
      <c r="Z1073" s="33"/>
    </row>
    <row r="1074" spans="1:26" x14ac:dyDescent="0.25">
      <c r="A1074" t="s">
        <v>2608</v>
      </c>
      <c r="C1074" t="s">
        <v>115</v>
      </c>
      <c r="D1074" t="s">
        <v>2965</v>
      </c>
      <c r="E1074">
        <v>0</v>
      </c>
      <c r="F1074" s="33">
        <v>7.0499999999999993E-2</v>
      </c>
      <c r="G1074" s="33" t="s">
        <v>2875</v>
      </c>
      <c r="H1074" t="s">
        <v>2875</v>
      </c>
      <c r="I1074" t="str">
        <f>IF(quantInv[[#This Row],[Metal]] = "925 Silver",  "7113.11.00"," 7113.19.00")</f>
        <v xml:space="preserve"> 7113.19.00</v>
      </c>
      <c r="J1074" t="str">
        <f>IF(quantInv[[#This Row],[Metal]] = "925 Silver", "7113.11.10.00"," 7113.19.10.00")</f>
        <v xml:space="preserve"> 7113.19.10.00</v>
      </c>
      <c r="K1074" t="str">
        <f>IF(quantInv[[#This Row],[Metal]] = "925 Silver",  "7113.11.00"," 7113.19.00")</f>
        <v xml:space="preserve"> 7113.19.00</v>
      </c>
      <c r="L1074" t="str">
        <f>IFERROR(VLOOKUP(quantInv[[#This Row],[Description for New Invoice]],Map!$G$12:$H$32,2,FALSE), IF(quantInv[[#This Row],[Metal]] = "925 Silver", "7113.11.10.00", "7113.19.29.00"))</f>
        <v>7113.19.29.00</v>
      </c>
      <c r="M1074" t="str">
        <f>quantInv[[#This Row],[ASIN]] &amp; " " &amp; quantInv[[#This Row],[Short Description]]</f>
        <v xml:space="preserve"> Silver ear studs sets (3pairs): Bezel CZ  ball  medium circumference</v>
      </c>
      <c r="N1074" s="33">
        <f>quantInv[[#This Row],[UNIT
VALUE]] / EURtoGBP</f>
        <v>8.0025880710357392E-2</v>
      </c>
      <c r="O1074" s="33">
        <f>quantInv[[#This Row],[UNIT
VALUE]]/USDtoGBP</f>
        <v>9.6643787449467625E-2</v>
      </c>
      <c r="P1074" s="33">
        <f>quantInv[[#This Row],[UNIT
VALUE]] / CADtoGBP</f>
        <v>0.1237096035502024</v>
      </c>
      <c r="Q1074" s="33">
        <f>quantInv[[#This Row],[UNIT
VALUE]]/AUDtoGBP</f>
        <v>0.12662547596810114</v>
      </c>
      <c r="R1074">
        <f>IFERROR(VLOOKUP(quantInv[[#This Row],[Assigned Item SKU]],skuQuantity[#All],2,FALSE),0)</f>
        <v>0</v>
      </c>
      <c r="S1074" t="str">
        <f>PROPER(quantInv[[#This Row],[Metal]] &amp; " " &amp; quantInv[[#This Row],[Item Type]])</f>
        <v xml:space="preserve"> </v>
      </c>
      <c r="T1074" s="33">
        <f>quantInv[[#This Row],[Quantity]]*quantInv[[#This Row],[WEIGHT]]</f>
        <v>0</v>
      </c>
      <c r="U1074" s="33">
        <f>quantInv[[#This Row],[UNIT
VALUE]]*quantInv[[#This Row],[Quantity]]</f>
        <v>0</v>
      </c>
      <c r="V1074" s="33">
        <f>quantInv[[#This Row],[Total Cost GBP]]/EURtoGBP</f>
        <v>0</v>
      </c>
      <c r="W1074" s="33">
        <f>quantInv[[#This Row],[Total Cost GBP]]/USDtoGBP</f>
        <v>0</v>
      </c>
      <c r="X1074" s="33">
        <f>quantInv[[#This Row],[Total Cost GBP]]/CADtoGBP</f>
        <v>0</v>
      </c>
      <c r="Y1074" s="33">
        <f>quantInv[[#This Row],[Quantity]]*quantInv[[#This Row],[UNIT
VALUE AUD]]</f>
        <v>0</v>
      </c>
      <c r="Z1074" s="33"/>
    </row>
    <row r="1075" spans="1:26" x14ac:dyDescent="0.25">
      <c r="A1075" t="s">
        <v>2609</v>
      </c>
      <c r="C1075" t="s">
        <v>115</v>
      </c>
      <c r="D1075" t="s">
        <v>2966</v>
      </c>
      <c r="E1075">
        <v>0</v>
      </c>
      <c r="F1075" s="33">
        <v>7.0499999999999993E-2</v>
      </c>
      <c r="G1075" s="33" t="s">
        <v>2875</v>
      </c>
      <c r="H1075" t="s">
        <v>2875</v>
      </c>
      <c r="I1075" t="str">
        <f>IF(quantInv[[#This Row],[Metal]] = "925 Silver",  "7113.11.00"," 7113.19.00")</f>
        <v xml:space="preserve"> 7113.19.00</v>
      </c>
      <c r="J1075" t="str">
        <f>IF(quantInv[[#This Row],[Metal]] = "925 Silver", "7113.11.10.00"," 7113.19.10.00")</f>
        <v xml:space="preserve"> 7113.19.10.00</v>
      </c>
      <c r="K1075" t="str">
        <f>IF(quantInv[[#This Row],[Metal]] = "925 Silver",  "7113.11.00"," 7113.19.00")</f>
        <v xml:space="preserve"> 7113.19.00</v>
      </c>
      <c r="L1075" t="str">
        <f>IFERROR(VLOOKUP(quantInv[[#This Row],[Description for New Invoice]],Map!$G$12:$H$32,2,FALSE), IF(quantInv[[#This Row],[Metal]] = "925 Silver", "7113.11.10.00", "7113.19.29.00"))</f>
        <v>7113.19.29.00</v>
      </c>
      <c r="M1075" t="str">
        <f>quantInv[[#This Row],[ASIN]] &amp; " " &amp; quantInv[[#This Row],[Short Description]]</f>
        <v xml:space="preserve"> Silver ear studs sets (3pairs): Ball  flat dot  rounded bar</v>
      </c>
      <c r="N1075" s="33">
        <f>quantInv[[#This Row],[UNIT
VALUE]] / EURtoGBP</f>
        <v>8.0025880710357392E-2</v>
      </c>
      <c r="O1075" s="33">
        <f>quantInv[[#This Row],[UNIT
VALUE]]/USDtoGBP</f>
        <v>9.6643787449467625E-2</v>
      </c>
      <c r="P1075" s="33">
        <f>quantInv[[#This Row],[UNIT
VALUE]] / CADtoGBP</f>
        <v>0.1237096035502024</v>
      </c>
      <c r="Q1075" s="33">
        <f>quantInv[[#This Row],[UNIT
VALUE]]/AUDtoGBP</f>
        <v>0.12662547596810114</v>
      </c>
      <c r="R1075">
        <f>IFERROR(VLOOKUP(quantInv[[#This Row],[Assigned Item SKU]],skuQuantity[#All],2,FALSE),0)</f>
        <v>0</v>
      </c>
      <c r="S1075" t="str">
        <f>PROPER(quantInv[[#This Row],[Metal]] &amp; " " &amp; quantInv[[#This Row],[Item Type]])</f>
        <v xml:space="preserve"> </v>
      </c>
      <c r="T1075" s="33">
        <f>quantInv[[#This Row],[Quantity]]*quantInv[[#This Row],[WEIGHT]]</f>
        <v>0</v>
      </c>
      <c r="U1075" s="33">
        <f>quantInv[[#This Row],[UNIT
VALUE]]*quantInv[[#This Row],[Quantity]]</f>
        <v>0</v>
      </c>
      <c r="V1075" s="33">
        <f>quantInv[[#This Row],[Total Cost GBP]]/EURtoGBP</f>
        <v>0</v>
      </c>
      <c r="W1075" s="33">
        <f>quantInv[[#This Row],[Total Cost GBP]]/USDtoGBP</f>
        <v>0</v>
      </c>
      <c r="X1075" s="33">
        <f>quantInv[[#This Row],[Total Cost GBP]]/CADtoGBP</f>
        <v>0</v>
      </c>
      <c r="Y1075" s="33">
        <f>quantInv[[#This Row],[Quantity]]*quantInv[[#This Row],[UNIT
VALUE AUD]]</f>
        <v>0</v>
      </c>
      <c r="Z1075" s="33"/>
    </row>
    <row r="1076" spans="1:26" x14ac:dyDescent="0.25">
      <c r="A1076" t="s">
        <v>2610</v>
      </c>
      <c r="C1076" t="s">
        <v>115</v>
      </c>
      <c r="D1076" t="s">
        <v>2967</v>
      </c>
      <c r="E1076">
        <v>0</v>
      </c>
      <c r="F1076" s="33">
        <v>7.0499999999999993E-2</v>
      </c>
      <c r="G1076" s="33" t="s">
        <v>2875</v>
      </c>
      <c r="H1076" t="s">
        <v>2875</v>
      </c>
      <c r="I1076" t="str">
        <f>IF(quantInv[[#This Row],[Metal]] = "925 Silver",  "7113.11.00"," 7113.19.00")</f>
        <v xml:space="preserve"> 7113.19.00</v>
      </c>
      <c r="J1076" t="str">
        <f>IF(quantInv[[#This Row],[Metal]] = "925 Silver", "7113.11.10.00"," 7113.19.10.00")</f>
        <v xml:space="preserve"> 7113.19.10.00</v>
      </c>
      <c r="K1076" t="str">
        <f>IF(quantInv[[#This Row],[Metal]] = "925 Silver",  "7113.11.00"," 7113.19.00")</f>
        <v xml:space="preserve"> 7113.19.00</v>
      </c>
      <c r="L1076" t="str">
        <f>IFERROR(VLOOKUP(quantInv[[#This Row],[Description for New Invoice]],Map!$G$12:$H$32,2,FALSE), IF(quantInv[[#This Row],[Metal]] = "925 Silver", "7113.11.10.00", "7113.19.29.00"))</f>
        <v>7113.19.29.00</v>
      </c>
      <c r="M1076" t="str">
        <f>quantInv[[#This Row],[ASIN]] &amp; " " &amp; quantInv[[#This Row],[Short Description]]</f>
        <v xml:space="preserve"> Silver ear studs sets (3pairs): Ball  hammerd dot  square bar</v>
      </c>
      <c r="N1076" s="33">
        <f>quantInv[[#This Row],[UNIT
VALUE]] / EURtoGBP</f>
        <v>8.0025880710357392E-2</v>
      </c>
      <c r="O1076" s="33">
        <f>quantInv[[#This Row],[UNIT
VALUE]]/USDtoGBP</f>
        <v>9.6643787449467625E-2</v>
      </c>
      <c r="P1076" s="33">
        <f>quantInv[[#This Row],[UNIT
VALUE]] / CADtoGBP</f>
        <v>0.1237096035502024</v>
      </c>
      <c r="Q1076" s="33">
        <f>quantInv[[#This Row],[UNIT
VALUE]]/AUDtoGBP</f>
        <v>0.12662547596810114</v>
      </c>
      <c r="R1076">
        <f>IFERROR(VLOOKUP(quantInv[[#This Row],[Assigned Item SKU]],skuQuantity[#All],2,FALSE),0)</f>
        <v>0</v>
      </c>
      <c r="S1076" t="str">
        <f>PROPER(quantInv[[#This Row],[Metal]] &amp; " " &amp; quantInv[[#This Row],[Item Type]])</f>
        <v xml:space="preserve"> </v>
      </c>
      <c r="T1076" s="33">
        <f>quantInv[[#This Row],[Quantity]]*quantInv[[#This Row],[WEIGHT]]</f>
        <v>0</v>
      </c>
      <c r="U1076" s="33">
        <f>quantInv[[#This Row],[UNIT
VALUE]]*quantInv[[#This Row],[Quantity]]</f>
        <v>0</v>
      </c>
      <c r="V1076" s="33">
        <f>quantInv[[#This Row],[Total Cost GBP]]/EURtoGBP</f>
        <v>0</v>
      </c>
      <c r="W1076" s="33">
        <f>quantInv[[#This Row],[Total Cost GBP]]/USDtoGBP</f>
        <v>0</v>
      </c>
      <c r="X1076" s="33">
        <f>quantInv[[#This Row],[Total Cost GBP]]/CADtoGBP</f>
        <v>0</v>
      </c>
      <c r="Y1076" s="33">
        <f>quantInv[[#This Row],[Quantity]]*quantInv[[#This Row],[UNIT
VALUE AUD]]</f>
        <v>0</v>
      </c>
      <c r="Z1076" s="33"/>
    </row>
    <row r="1077" spans="1:26" x14ac:dyDescent="0.25">
      <c r="A1077" t="s">
        <v>2611</v>
      </c>
      <c r="C1077" t="s">
        <v>115</v>
      </c>
      <c r="D1077" t="s">
        <v>2968</v>
      </c>
      <c r="E1077">
        <v>0</v>
      </c>
      <c r="F1077" s="33">
        <v>7.0499999999999993E-2</v>
      </c>
      <c r="G1077" s="33" t="s">
        <v>2875</v>
      </c>
      <c r="H1077" t="s">
        <v>2875</v>
      </c>
      <c r="I1077" t="str">
        <f>IF(quantInv[[#This Row],[Metal]] = "925 Silver",  "7113.11.00"," 7113.19.00")</f>
        <v xml:space="preserve"> 7113.19.00</v>
      </c>
      <c r="J1077" t="str">
        <f>IF(quantInv[[#This Row],[Metal]] = "925 Silver", "7113.11.10.00"," 7113.19.10.00")</f>
        <v xml:space="preserve"> 7113.19.10.00</v>
      </c>
      <c r="K1077" t="str">
        <f>IF(quantInv[[#This Row],[Metal]] = "925 Silver",  "7113.11.00"," 7113.19.00")</f>
        <v xml:space="preserve"> 7113.19.00</v>
      </c>
      <c r="L1077" t="str">
        <f>IFERROR(VLOOKUP(quantInv[[#This Row],[Description for New Invoice]],Map!$G$12:$H$32,2,FALSE), IF(quantInv[[#This Row],[Metal]] = "925 Silver", "7113.11.10.00", "7113.19.29.00"))</f>
        <v>7113.19.29.00</v>
      </c>
      <c r="M1077" t="str">
        <f>quantInv[[#This Row],[ASIN]] &amp; " " &amp; quantInv[[#This Row],[Short Description]]</f>
        <v xml:space="preserve"> Silver ear studs sets (3pairs): Small triangle  flat dot  flat square</v>
      </c>
      <c r="N1077" s="33">
        <f>quantInv[[#This Row],[UNIT
VALUE]] / EURtoGBP</f>
        <v>8.0025880710357392E-2</v>
      </c>
      <c r="O1077" s="33">
        <f>quantInv[[#This Row],[UNIT
VALUE]]/USDtoGBP</f>
        <v>9.6643787449467625E-2</v>
      </c>
      <c r="P1077" s="33">
        <f>quantInv[[#This Row],[UNIT
VALUE]] / CADtoGBP</f>
        <v>0.1237096035502024</v>
      </c>
      <c r="Q1077" s="33">
        <f>quantInv[[#This Row],[UNIT
VALUE]]/AUDtoGBP</f>
        <v>0.12662547596810114</v>
      </c>
      <c r="R1077">
        <f>IFERROR(VLOOKUP(quantInv[[#This Row],[Assigned Item SKU]],skuQuantity[#All],2,FALSE),0)</f>
        <v>0</v>
      </c>
      <c r="S1077" t="str">
        <f>PROPER(quantInv[[#This Row],[Metal]] &amp; " " &amp; quantInv[[#This Row],[Item Type]])</f>
        <v xml:space="preserve"> </v>
      </c>
      <c r="T1077" s="33">
        <f>quantInv[[#This Row],[Quantity]]*quantInv[[#This Row],[WEIGHT]]</f>
        <v>0</v>
      </c>
      <c r="U1077" s="33">
        <f>quantInv[[#This Row],[UNIT
VALUE]]*quantInv[[#This Row],[Quantity]]</f>
        <v>0</v>
      </c>
      <c r="V1077" s="33">
        <f>quantInv[[#This Row],[Total Cost GBP]]/EURtoGBP</f>
        <v>0</v>
      </c>
      <c r="W1077" s="33">
        <f>quantInv[[#This Row],[Total Cost GBP]]/USDtoGBP</f>
        <v>0</v>
      </c>
      <c r="X1077" s="33">
        <f>quantInv[[#This Row],[Total Cost GBP]]/CADtoGBP</f>
        <v>0</v>
      </c>
      <c r="Y1077" s="33">
        <f>quantInv[[#This Row],[Quantity]]*quantInv[[#This Row],[UNIT
VALUE AUD]]</f>
        <v>0</v>
      </c>
      <c r="Z1077" s="33"/>
    </row>
    <row r="1078" spans="1:26" x14ac:dyDescent="0.25">
      <c r="A1078" t="s">
        <v>2612</v>
      </c>
      <c r="C1078" t="s">
        <v>115</v>
      </c>
      <c r="D1078" t="s">
        <v>2969</v>
      </c>
      <c r="E1078">
        <v>0</v>
      </c>
      <c r="F1078" s="33">
        <v>7.0499999999999993E-2</v>
      </c>
      <c r="G1078" s="33" t="s">
        <v>2875</v>
      </c>
      <c r="H1078" t="s">
        <v>2875</v>
      </c>
      <c r="I1078" t="str">
        <f>IF(quantInv[[#This Row],[Metal]] = "925 Silver",  "7113.11.00"," 7113.19.00")</f>
        <v xml:space="preserve"> 7113.19.00</v>
      </c>
      <c r="J1078" t="str">
        <f>IF(quantInv[[#This Row],[Metal]] = "925 Silver", "7113.11.10.00"," 7113.19.10.00")</f>
        <v xml:space="preserve"> 7113.19.10.00</v>
      </c>
      <c r="K1078" t="str">
        <f>IF(quantInv[[#This Row],[Metal]] = "925 Silver",  "7113.11.00"," 7113.19.00")</f>
        <v xml:space="preserve"> 7113.19.00</v>
      </c>
      <c r="L1078" t="str">
        <f>IFERROR(VLOOKUP(quantInv[[#This Row],[Description for New Invoice]],Map!$G$12:$H$32,2,FALSE), IF(quantInv[[#This Row],[Metal]] = "925 Silver", "7113.11.10.00", "7113.19.29.00"))</f>
        <v>7113.19.29.00</v>
      </c>
      <c r="M1078" t="str">
        <f>quantInv[[#This Row],[ASIN]] &amp; " " &amp; quantInv[[#This Row],[Short Description]]</f>
        <v xml:space="preserve"> Silver ear studs sets (3pairs): Star silhouette  torn  moon</v>
      </c>
      <c r="N1078" s="33">
        <f>quantInv[[#This Row],[UNIT
VALUE]] / EURtoGBP</f>
        <v>8.0025880710357392E-2</v>
      </c>
      <c r="O1078" s="33">
        <f>quantInv[[#This Row],[UNIT
VALUE]]/USDtoGBP</f>
        <v>9.6643787449467625E-2</v>
      </c>
      <c r="P1078" s="33">
        <f>quantInv[[#This Row],[UNIT
VALUE]] / CADtoGBP</f>
        <v>0.1237096035502024</v>
      </c>
      <c r="Q1078" s="33">
        <f>quantInv[[#This Row],[UNIT
VALUE]]/AUDtoGBP</f>
        <v>0.12662547596810114</v>
      </c>
      <c r="R1078">
        <f>IFERROR(VLOOKUP(quantInv[[#This Row],[Assigned Item SKU]],skuQuantity[#All],2,FALSE),0)</f>
        <v>0</v>
      </c>
      <c r="S1078" t="str">
        <f>PROPER(quantInv[[#This Row],[Metal]] &amp; " " &amp; quantInv[[#This Row],[Item Type]])</f>
        <v xml:space="preserve"> </v>
      </c>
      <c r="T1078" s="33">
        <f>quantInv[[#This Row],[Quantity]]*quantInv[[#This Row],[WEIGHT]]</f>
        <v>0</v>
      </c>
      <c r="U1078" s="33">
        <f>quantInv[[#This Row],[UNIT
VALUE]]*quantInv[[#This Row],[Quantity]]</f>
        <v>0</v>
      </c>
      <c r="V1078" s="33">
        <f>quantInv[[#This Row],[Total Cost GBP]]/EURtoGBP</f>
        <v>0</v>
      </c>
      <c r="W1078" s="33">
        <f>quantInv[[#This Row],[Total Cost GBP]]/USDtoGBP</f>
        <v>0</v>
      </c>
      <c r="X1078" s="33">
        <f>quantInv[[#This Row],[Total Cost GBP]]/CADtoGBP</f>
        <v>0</v>
      </c>
      <c r="Y1078" s="33">
        <f>quantInv[[#This Row],[Quantity]]*quantInv[[#This Row],[UNIT
VALUE AUD]]</f>
        <v>0</v>
      </c>
      <c r="Z1078" s="33"/>
    </row>
    <row r="1079" spans="1:26" x14ac:dyDescent="0.25">
      <c r="A1079" t="s">
        <v>2613</v>
      </c>
      <c r="C1079" t="s">
        <v>114</v>
      </c>
      <c r="D1079" t="s">
        <v>2970</v>
      </c>
      <c r="E1079">
        <v>0</v>
      </c>
      <c r="F1079" s="33">
        <v>7.0499999999999993E-2</v>
      </c>
      <c r="G1079" s="33" t="s">
        <v>2875</v>
      </c>
      <c r="H1079" t="s">
        <v>2875</v>
      </c>
      <c r="I1079" t="str">
        <f>IF(quantInv[[#This Row],[Metal]] = "925 Silver",  "7113.11.00"," 7113.19.00")</f>
        <v xml:space="preserve"> 7113.19.00</v>
      </c>
      <c r="J1079" t="str">
        <f>IF(quantInv[[#This Row],[Metal]] = "925 Silver", "7113.11.10.00"," 7113.19.10.00")</f>
        <v xml:space="preserve"> 7113.19.10.00</v>
      </c>
      <c r="K1079" t="str">
        <f>IF(quantInv[[#This Row],[Metal]] = "925 Silver",  "7113.11.00"," 7113.19.00")</f>
        <v xml:space="preserve"> 7113.19.00</v>
      </c>
      <c r="L1079" t="str">
        <f>IFERROR(VLOOKUP(quantInv[[#This Row],[Description for New Invoice]],Map!$G$12:$H$32,2,FALSE), IF(quantInv[[#This Row],[Metal]] = "925 Silver", "7113.11.10.00", "7113.19.29.00"))</f>
        <v>7113.19.29.00</v>
      </c>
      <c r="M1079" t="str">
        <f>quantInv[[#This Row],[ASIN]] &amp; " " &amp; quantInv[[#This Row],[Short Description]]</f>
        <v xml:space="preserve"> Silver ear studs sets (3pairs): Ball  CZ Star  CZ Moon</v>
      </c>
      <c r="N1079" s="33">
        <f>quantInv[[#This Row],[UNIT
VALUE]] / EURtoGBP</f>
        <v>8.0025880710357392E-2</v>
      </c>
      <c r="O1079" s="33">
        <f>quantInv[[#This Row],[UNIT
VALUE]]/USDtoGBP</f>
        <v>9.6643787449467625E-2</v>
      </c>
      <c r="P1079" s="33">
        <f>quantInv[[#This Row],[UNIT
VALUE]] / CADtoGBP</f>
        <v>0.1237096035502024</v>
      </c>
      <c r="Q1079" s="33">
        <f>quantInv[[#This Row],[UNIT
VALUE]]/AUDtoGBP</f>
        <v>0.12662547596810114</v>
      </c>
      <c r="R1079">
        <f>IFERROR(VLOOKUP(quantInv[[#This Row],[Assigned Item SKU]],skuQuantity[#All],2,FALSE),0)</f>
        <v>0</v>
      </c>
      <c r="S1079" t="str">
        <f>PROPER(quantInv[[#This Row],[Metal]] &amp; " " &amp; quantInv[[#This Row],[Item Type]])</f>
        <v xml:space="preserve"> </v>
      </c>
      <c r="T1079" s="33">
        <f>quantInv[[#This Row],[Quantity]]*quantInv[[#This Row],[WEIGHT]]</f>
        <v>0</v>
      </c>
      <c r="U1079" s="33">
        <f>quantInv[[#This Row],[UNIT
VALUE]]*quantInv[[#This Row],[Quantity]]</f>
        <v>0</v>
      </c>
      <c r="V1079" s="33">
        <f>quantInv[[#This Row],[Total Cost GBP]]/EURtoGBP</f>
        <v>0</v>
      </c>
      <c r="W1079" s="33">
        <f>quantInv[[#This Row],[Total Cost GBP]]/USDtoGBP</f>
        <v>0</v>
      </c>
      <c r="X1079" s="33">
        <f>quantInv[[#This Row],[Total Cost GBP]]/CADtoGBP</f>
        <v>0</v>
      </c>
      <c r="Y1079" s="33">
        <f>quantInv[[#This Row],[Quantity]]*quantInv[[#This Row],[UNIT
VALUE AUD]]</f>
        <v>0</v>
      </c>
      <c r="Z1079" s="33"/>
    </row>
    <row r="1080" spans="1:26" x14ac:dyDescent="0.25">
      <c r="A1080" t="s">
        <v>2614</v>
      </c>
      <c r="C1080" t="s">
        <v>114</v>
      </c>
      <c r="D1080" t="s">
        <v>2971</v>
      </c>
      <c r="E1080">
        <v>0</v>
      </c>
      <c r="F1080" s="33">
        <v>7.0499999999999993E-2</v>
      </c>
      <c r="G1080" s="33" t="s">
        <v>2875</v>
      </c>
      <c r="H1080" t="s">
        <v>2875</v>
      </c>
      <c r="I1080" t="str">
        <f>IF(quantInv[[#This Row],[Metal]] = "925 Silver",  "7113.11.00"," 7113.19.00")</f>
        <v xml:space="preserve"> 7113.19.00</v>
      </c>
      <c r="J1080" t="str">
        <f>IF(quantInv[[#This Row],[Metal]] = "925 Silver", "7113.11.10.00"," 7113.19.10.00")</f>
        <v xml:space="preserve"> 7113.19.10.00</v>
      </c>
      <c r="K1080" t="str">
        <f>IF(quantInv[[#This Row],[Metal]] = "925 Silver",  "7113.11.00"," 7113.19.00")</f>
        <v xml:space="preserve"> 7113.19.00</v>
      </c>
      <c r="L1080" t="str">
        <f>IFERROR(VLOOKUP(quantInv[[#This Row],[Description for New Invoice]],Map!$G$12:$H$32,2,FALSE), IF(quantInv[[#This Row],[Metal]] = "925 Silver", "7113.11.10.00", "7113.19.29.00"))</f>
        <v>7113.19.29.00</v>
      </c>
      <c r="M1080" t="str">
        <f>quantInv[[#This Row],[ASIN]] &amp; " " &amp; quantInv[[#This Row],[Short Description]]</f>
        <v xml:space="preserve"> Silver ear studs sets (3pairs): Ball  heart  CZ heart</v>
      </c>
      <c r="N1080" s="33">
        <f>quantInv[[#This Row],[UNIT
VALUE]] / EURtoGBP</f>
        <v>8.0025880710357392E-2</v>
      </c>
      <c r="O1080" s="33">
        <f>quantInv[[#This Row],[UNIT
VALUE]]/USDtoGBP</f>
        <v>9.6643787449467625E-2</v>
      </c>
      <c r="P1080" s="33">
        <f>quantInv[[#This Row],[UNIT
VALUE]] / CADtoGBP</f>
        <v>0.1237096035502024</v>
      </c>
      <c r="Q1080" s="33">
        <f>quantInv[[#This Row],[UNIT
VALUE]]/AUDtoGBP</f>
        <v>0.12662547596810114</v>
      </c>
      <c r="R1080">
        <f>IFERROR(VLOOKUP(quantInv[[#This Row],[Assigned Item SKU]],skuQuantity[#All],2,FALSE),0)</f>
        <v>0</v>
      </c>
      <c r="S1080" t="str">
        <f>PROPER(quantInv[[#This Row],[Metal]] &amp; " " &amp; quantInv[[#This Row],[Item Type]])</f>
        <v xml:space="preserve"> </v>
      </c>
      <c r="T1080" s="33">
        <f>quantInv[[#This Row],[Quantity]]*quantInv[[#This Row],[WEIGHT]]</f>
        <v>0</v>
      </c>
      <c r="U1080" s="33">
        <f>quantInv[[#This Row],[UNIT
VALUE]]*quantInv[[#This Row],[Quantity]]</f>
        <v>0</v>
      </c>
      <c r="V1080" s="33">
        <f>quantInv[[#This Row],[Total Cost GBP]]/EURtoGBP</f>
        <v>0</v>
      </c>
      <c r="W1080" s="33">
        <f>quantInv[[#This Row],[Total Cost GBP]]/USDtoGBP</f>
        <v>0</v>
      </c>
      <c r="X1080" s="33">
        <f>quantInv[[#This Row],[Total Cost GBP]]/CADtoGBP</f>
        <v>0</v>
      </c>
      <c r="Y1080" s="33">
        <f>quantInv[[#This Row],[Quantity]]*quantInv[[#This Row],[UNIT
VALUE AUD]]</f>
        <v>0</v>
      </c>
      <c r="Z1080" s="33"/>
    </row>
    <row r="1081" spans="1:26" x14ac:dyDescent="0.25">
      <c r="A1081" t="s">
        <v>2615</v>
      </c>
      <c r="C1081" t="s">
        <v>115</v>
      </c>
      <c r="D1081" t="s">
        <v>2616</v>
      </c>
      <c r="E1081">
        <v>0</v>
      </c>
      <c r="F1081" s="33">
        <v>7.0499999999999993E-2</v>
      </c>
      <c r="G1081" s="33" t="s">
        <v>2875</v>
      </c>
      <c r="H1081" t="s">
        <v>2875</v>
      </c>
      <c r="I1081" t="str">
        <f>IF(quantInv[[#This Row],[Metal]] = "925 Silver",  "7113.11.00"," 7113.19.00")</f>
        <v xml:space="preserve"> 7113.19.00</v>
      </c>
      <c r="J1081" t="str">
        <f>IF(quantInv[[#This Row],[Metal]] = "925 Silver", "7113.11.10.00"," 7113.19.10.00")</f>
        <v xml:space="preserve"> 7113.19.10.00</v>
      </c>
      <c r="K1081" t="str">
        <f>IF(quantInv[[#This Row],[Metal]] = "925 Silver",  "7113.11.00"," 7113.19.00")</f>
        <v xml:space="preserve"> 7113.19.00</v>
      </c>
      <c r="L1081" t="str">
        <f>IFERROR(VLOOKUP(quantInv[[#This Row],[Description for New Invoice]],Map!$G$12:$H$32,2,FALSE), IF(quantInv[[#This Row],[Metal]] = "925 Silver", "7113.11.10.00", "7113.19.29.00"))</f>
        <v>7113.19.29.00</v>
      </c>
      <c r="M1081" t="str">
        <f>quantInv[[#This Row],[ASIN]] &amp; " " &amp; quantInv[[#This Row],[Short Description]]</f>
        <v xml:space="preserve"> Silver hammered flat coin pendant</v>
      </c>
      <c r="N1081" s="33">
        <f>quantInv[[#This Row],[UNIT
VALUE]] / EURtoGBP</f>
        <v>8.0025880710357392E-2</v>
      </c>
      <c r="O1081" s="33">
        <f>quantInv[[#This Row],[UNIT
VALUE]]/USDtoGBP</f>
        <v>9.6643787449467625E-2</v>
      </c>
      <c r="P1081" s="33">
        <f>quantInv[[#This Row],[UNIT
VALUE]] / CADtoGBP</f>
        <v>0.1237096035502024</v>
      </c>
      <c r="Q1081" s="33">
        <f>quantInv[[#This Row],[UNIT
VALUE]]/AUDtoGBP</f>
        <v>0.12662547596810114</v>
      </c>
      <c r="R1081">
        <f>IFERROR(VLOOKUP(quantInv[[#This Row],[Assigned Item SKU]],skuQuantity[#All],2,FALSE),0)</f>
        <v>0</v>
      </c>
      <c r="S1081" t="str">
        <f>PROPER(quantInv[[#This Row],[Metal]] &amp; " " &amp; quantInv[[#This Row],[Item Type]])</f>
        <v xml:space="preserve"> </v>
      </c>
      <c r="T1081" s="33">
        <f>quantInv[[#This Row],[Quantity]]*quantInv[[#This Row],[WEIGHT]]</f>
        <v>0</v>
      </c>
      <c r="U1081" s="33">
        <f>quantInv[[#This Row],[UNIT
VALUE]]*quantInv[[#This Row],[Quantity]]</f>
        <v>0</v>
      </c>
      <c r="V1081" s="33">
        <f>quantInv[[#This Row],[Total Cost GBP]]/EURtoGBP</f>
        <v>0</v>
      </c>
      <c r="W1081" s="33">
        <f>quantInv[[#This Row],[Total Cost GBP]]/USDtoGBP</f>
        <v>0</v>
      </c>
      <c r="X1081" s="33">
        <f>quantInv[[#This Row],[Total Cost GBP]]/CADtoGBP</f>
        <v>0</v>
      </c>
      <c r="Y1081" s="33">
        <f>quantInv[[#This Row],[Quantity]]*quantInv[[#This Row],[UNIT
VALUE AUD]]</f>
        <v>0</v>
      </c>
      <c r="Z1081" s="33"/>
    </row>
    <row r="1082" spans="1:26" x14ac:dyDescent="0.25">
      <c r="A1082" t="s">
        <v>2617</v>
      </c>
      <c r="C1082" t="s">
        <v>115</v>
      </c>
      <c r="D1082" t="s">
        <v>2618</v>
      </c>
      <c r="E1082">
        <v>0</v>
      </c>
      <c r="F1082" s="33">
        <v>7.0499999999999993E-2</v>
      </c>
      <c r="G1082" s="33" t="s">
        <v>2875</v>
      </c>
      <c r="H1082" t="s">
        <v>2875</v>
      </c>
      <c r="I1082" t="str">
        <f>IF(quantInv[[#This Row],[Metal]] = "925 Silver",  "7113.11.00"," 7113.19.00")</f>
        <v xml:space="preserve"> 7113.19.00</v>
      </c>
      <c r="J1082" t="str">
        <f>IF(quantInv[[#This Row],[Metal]] = "925 Silver", "7113.11.10.00"," 7113.19.10.00")</f>
        <v xml:space="preserve"> 7113.19.10.00</v>
      </c>
      <c r="K1082" t="str">
        <f>IF(quantInv[[#This Row],[Metal]] = "925 Silver",  "7113.11.00"," 7113.19.00")</f>
        <v xml:space="preserve"> 7113.19.00</v>
      </c>
      <c r="L1082" t="str">
        <f>IFERROR(VLOOKUP(quantInv[[#This Row],[Description for New Invoice]],Map!$G$12:$H$32,2,FALSE), IF(quantInv[[#This Row],[Metal]] = "925 Silver", "7113.11.10.00", "7113.19.29.00"))</f>
        <v>7113.19.29.00</v>
      </c>
      <c r="M1082" t="str">
        <f>quantInv[[#This Row],[ASIN]] &amp; " " &amp; quantInv[[#This Row],[Short Description]]</f>
        <v xml:space="preserve"> Silver hammered wavy coin pendant</v>
      </c>
      <c r="N1082" s="33">
        <f>quantInv[[#This Row],[UNIT
VALUE]] / EURtoGBP</f>
        <v>8.0025880710357392E-2</v>
      </c>
      <c r="O1082" s="33">
        <f>quantInv[[#This Row],[UNIT
VALUE]]/USDtoGBP</f>
        <v>9.6643787449467625E-2</v>
      </c>
      <c r="P1082" s="33">
        <f>quantInv[[#This Row],[UNIT
VALUE]] / CADtoGBP</f>
        <v>0.1237096035502024</v>
      </c>
      <c r="Q1082" s="33">
        <f>quantInv[[#This Row],[UNIT
VALUE]]/AUDtoGBP</f>
        <v>0.12662547596810114</v>
      </c>
      <c r="R1082">
        <f>IFERROR(VLOOKUP(quantInv[[#This Row],[Assigned Item SKU]],skuQuantity[#All],2,FALSE),0)</f>
        <v>0</v>
      </c>
      <c r="S1082" t="str">
        <f>PROPER(quantInv[[#This Row],[Metal]] &amp; " " &amp; quantInv[[#This Row],[Item Type]])</f>
        <v xml:space="preserve"> </v>
      </c>
      <c r="T1082" s="33">
        <f>quantInv[[#This Row],[Quantity]]*quantInv[[#This Row],[WEIGHT]]</f>
        <v>0</v>
      </c>
      <c r="U1082" s="33">
        <f>quantInv[[#This Row],[UNIT
VALUE]]*quantInv[[#This Row],[Quantity]]</f>
        <v>0</v>
      </c>
      <c r="V1082" s="33">
        <f>quantInv[[#This Row],[Total Cost GBP]]/EURtoGBP</f>
        <v>0</v>
      </c>
      <c r="W1082" s="33">
        <f>quantInv[[#This Row],[Total Cost GBP]]/USDtoGBP</f>
        <v>0</v>
      </c>
      <c r="X1082" s="33">
        <f>quantInv[[#This Row],[Total Cost GBP]]/CADtoGBP</f>
        <v>0</v>
      </c>
      <c r="Y1082" s="33">
        <f>quantInv[[#This Row],[Quantity]]*quantInv[[#This Row],[UNIT
VALUE AUD]]</f>
        <v>0</v>
      </c>
      <c r="Z1082" s="33"/>
    </row>
    <row r="1083" spans="1:26" x14ac:dyDescent="0.25">
      <c r="A1083" t="s">
        <v>2219</v>
      </c>
      <c r="B1083" t="s">
        <v>2220</v>
      </c>
      <c r="C1083" t="s">
        <v>114</v>
      </c>
      <c r="D1083" t="s">
        <v>2221</v>
      </c>
      <c r="E1083">
        <v>6.25</v>
      </c>
      <c r="F1083" s="33">
        <v>140.32079999999999</v>
      </c>
      <c r="G1083" s="33" t="s">
        <v>3304</v>
      </c>
      <c r="H1083" t="s">
        <v>1414</v>
      </c>
      <c r="I1083" t="str">
        <f>IF(quantInv[[#This Row],[Metal]] = "925 Silver",  "7113.11.00"," 7113.19.00")</f>
        <v xml:space="preserve"> 7113.19.00</v>
      </c>
      <c r="J1083" t="str">
        <f>IF(quantInv[[#This Row],[Metal]] = "925 Silver", "7113.11.10.00"," 7113.19.10.00")</f>
        <v xml:space="preserve"> 7113.19.10.00</v>
      </c>
      <c r="K1083" t="str">
        <f>IF(quantInv[[#This Row],[Metal]] = "925 Silver",  "7113.11.00"," 7113.19.00")</f>
        <v xml:space="preserve"> 7113.19.00</v>
      </c>
      <c r="L1083" t="str">
        <f>IFERROR(VLOOKUP(quantInv[[#This Row],[Description for New Invoice]],Map!$G$12:$H$32,2,FALSE), IF(quantInv[[#This Row],[Metal]] = "925 Silver", "7113.11.10.00", "7113.19.29.00"))</f>
        <v>7113.19.10.00</v>
      </c>
      <c r="M1083" t="str">
        <f>quantInv[[#This Row],[ASIN]] &amp; " " &amp; quantInv[[#This Row],[Short Description]]</f>
        <v>B09KSB4XFK Flat Curb Chain Bracelet - Width 5.8 mm - Length 20 cm</v>
      </c>
      <c r="N1083" s="33">
        <f>quantInv[[#This Row],[UNIT
VALUE]] / EURtoGBP</f>
        <v>159.28078868059455</v>
      </c>
      <c r="O1083" s="33">
        <f>quantInv[[#This Row],[UNIT
VALUE]]/USDtoGBP</f>
        <v>192.35650453814549</v>
      </c>
      <c r="P1083" s="33">
        <f>quantInv[[#This Row],[UNIT
VALUE]] / CADtoGBP</f>
        <v>246.2273835155637</v>
      </c>
      <c r="Q1083" s="33">
        <f>quantInv[[#This Row],[UNIT
VALUE]]/AUDtoGBP</f>
        <v>252.03103671240746</v>
      </c>
      <c r="R1083">
        <f>IFERROR(VLOOKUP(quantInv[[#This Row],[Assigned Item SKU]],skuQuantity[#All],2,FALSE),0)</f>
        <v>0</v>
      </c>
      <c r="S1083" t="str">
        <f>PROPER(quantInv[[#This Row],[Metal]] &amp; " " &amp; quantInv[[#This Row],[Item Type]])</f>
        <v>9K Gold Bracelet</v>
      </c>
      <c r="T1083" s="33">
        <f>quantInv[[#This Row],[Quantity]]*quantInv[[#This Row],[WEIGHT]]</f>
        <v>0</v>
      </c>
      <c r="U1083" s="33">
        <f>quantInv[[#This Row],[UNIT
VALUE]]*quantInv[[#This Row],[Quantity]]</f>
        <v>0</v>
      </c>
      <c r="V1083" s="33">
        <f>quantInv[[#This Row],[Total Cost GBP]]/EURtoGBP</f>
        <v>0</v>
      </c>
      <c r="W1083" s="33">
        <f>quantInv[[#This Row],[Total Cost GBP]]/USDtoGBP</f>
        <v>0</v>
      </c>
      <c r="X1083" s="33">
        <f>quantInv[[#This Row],[Total Cost GBP]]/CADtoGBP</f>
        <v>0</v>
      </c>
      <c r="Y1083" s="33">
        <f>quantInv[[#This Row],[Quantity]]*quantInv[[#This Row],[UNIT
VALUE AUD]]</f>
        <v>0</v>
      </c>
      <c r="Z1083" s="33"/>
    </row>
    <row r="1084" spans="1:26" x14ac:dyDescent="0.25">
      <c r="A1084" t="s">
        <v>2619</v>
      </c>
      <c r="C1084" t="s">
        <v>115</v>
      </c>
      <c r="D1084" t="s">
        <v>2620</v>
      </c>
      <c r="E1084">
        <v>0</v>
      </c>
      <c r="F1084" s="33">
        <v>7.0499999999999993E-2</v>
      </c>
      <c r="G1084" s="33" t="s">
        <v>2875</v>
      </c>
      <c r="H1084" t="s">
        <v>2875</v>
      </c>
      <c r="I1084" t="str">
        <f>IF(quantInv[[#This Row],[Metal]] = "925 Silver",  "7113.11.00"," 7113.19.00")</f>
        <v xml:space="preserve"> 7113.19.00</v>
      </c>
      <c r="J1084" t="str">
        <f>IF(quantInv[[#This Row],[Metal]] = "925 Silver", "7113.11.10.00"," 7113.19.10.00")</f>
        <v xml:space="preserve"> 7113.19.10.00</v>
      </c>
      <c r="K1084" t="str">
        <f>IF(quantInv[[#This Row],[Metal]] = "925 Silver",  "7113.11.00"," 7113.19.00")</f>
        <v xml:space="preserve"> 7113.19.00</v>
      </c>
      <c r="L1084" t="str">
        <f>IFERROR(VLOOKUP(quantInv[[#This Row],[Description for New Invoice]],Map!$G$12:$H$32,2,FALSE), IF(quantInv[[#This Row],[Metal]] = "925 Silver", "7113.11.10.00", "7113.19.29.00"))</f>
        <v>7113.19.29.00</v>
      </c>
      <c r="M1084" t="str">
        <f>quantInv[[#This Row],[ASIN]] &amp; " " &amp; quantInv[[#This Row],[Short Description]]</f>
        <v xml:space="preserve"> GP hammered flat coin pendant</v>
      </c>
      <c r="N1084" s="33">
        <f>quantInv[[#This Row],[UNIT
VALUE]] / EURtoGBP</f>
        <v>8.0025880710357392E-2</v>
      </c>
      <c r="O1084" s="33">
        <f>quantInv[[#This Row],[UNIT
VALUE]]/USDtoGBP</f>
        <v>9.6643787449467625E-2</v>
      </c>
      <c r="P1084" s="33">
        <f>quantInv[[#This Row],[UNIT
VALUE]] / CADtoGBP</f>
        <v>0.1237096035502024</v>
      </c>
      <c r="Q1084" s="33">
        <f>quantInv[[#This Row],[UNIT
VALUE]]/AUDtoGBP</f>
        <v>0.12662547596810114</v>
      </c>
      <c r="R1084">
        <f>IFERROR(VLOOKUP(quantInv[[#This Row],[Assigned Item SKU]],skuQuantity[#All],2,FALSE),0)</f>
        <v>0</v>
      </c>
      <c r="S1084" t="str">
        <f>PROPER(quantInv[[#This Row],[Metal]] &amp; " " &amp; quantInv[[#This Row],[Item Type]])</f>
        <v xml:space="preserve"> </v>
      </c>
      <c r="T1084" s="33">
        <f>quantInv[[#This Row],[Quantity]]*quantInv[[#This Row],[WEIGHT]]</f>
        <v>0</v>
      </c>
      <c r="U1084" s="33">
        <f>quantInv[[#This Row],[UNIT
VALUE]]*quantInv[[#This Row],[Quantity]]</f>
        <v>0</v>
      </c>
      <c r="V1084" s="33">
        <f>quantInv[[#This Row],[Total Cost GBP]]/EURtoGBP</f>
        <v>0</v>
      </c>
      <c r="W1084" s="33">
        <f>quantInv[[#This Row],[Total Cost GBP]]/USDtoGBP</f>
        <v>0</v>
      </c>
      <c r="X1084" s="33">
        <f>quantInv[[#This Row],[Total Cost GBP]]/CADtoGBP</f>
        <v>0</v>
      </c>
      <c r="Y1084" s="33">
        <f>quantInv[[#This Row],[Quantity]]*quantInv[[#This Row],[UNIT
VALUE AUD]]</f>
        <v>0</v>
      </c>
      <c r="Z1084" s="33"/>
    </row>
    <row r="1085" spans="1:26" x14ac:dyDescent="0.25">
      <c r="A1085" t="s">
        <v>2621</v>
      </c>
      <c r="C1085" t="s">
        <v>115</v>
      </c>
      <c r="D1085" t="s">
        <v>2622</v>
      </c>
      <c r="E1085">
        <v>0</v>
      </c>
      <c r="F1085" s="33">
        <v>7.0499999999999993E-2</v>
      </c>
      <c r="G1085" s="33" t="s">
        <v>2875</v>
      </c>
      <c r="H1085" t="s">
        <v>2875</v>
      </c>
      <c r="I1085" t="str">
        <f>IF(quantInv[[#This Row],[Metal]] = "925 Silver",  "7113.11.00"," 7113.19.00")</f>
        <v xml:space="preserve"> 7113.19.00</v>
      </c>
      <c r="J1085" t="str">
        <f>IF(quantInv[[#This Row],[Metal]] = "925 Silver", "7113.11.10.00"," 7113.19.10.00")</f>
        <v xml:space="preserve"> 7113.19.10.00</v>
      </c>
      <c r="K1085" t="str">
        <f>IF(quantInv[[#This Row],[Metal]] = "925 Silver",  "7113.11.00"," 7113.19.00")</f>
        <v xml:space="preserve"> 7113.19.00</v>
      </c>
      <c r="L1085" t="str">
        <f>IFERROR(VLOOKUP(quantInv[[#This Row],[Description for New Invoice]],Map!$G$12:$H$32,2,FALSE), IF(quantInv[[#This Row],[Metal]] = "925 Silver", "7113.11.10.00", "7113.19.29.00"))</f>
        <v>7113.19.29.00</v>
      </c>
      <c r="M1085" t="str">
        <f>quantInv[[#This Row],[ASIN]] &amp; " " &amp; quantInv[[#This Row],[Short Description]]</f>
        <v xml:space="preserve"> GP hammered wavy coin pendant</v>
      </c>
      <c r="N1085" s="33">
        <f>quantInv[[#This Row],[UNIT
VALUE]] / EURtoGBP</f>
        <v>8.0025880710357392E-2</v>
      </c>
      <c r="O1085" s="33">
        <f>quantInv[[#This Row],[UNIT
VALUE]]/USDtoGBP</f>
        <v>9.6643787449467625E-2</v>
      </c>
      <c r="P1085" s="33">
        <f>quantInv[[#This Row],[UNIT
VALUE]] / CADtoGBP</f>
        <v>0.1237096035502024</v>
      </c>
      <c r="Q1085" s="33">
        <f>quantInv[[#This Row],[UNIT
VALUE]]/AUDtoGBP</f>
        <v>0.12662547596810114</v>
      </c>
      <c r="R1085">
        <f>IFERROR(VLOOKUP(quantInv[[#This Row],[Assigned Item SKU]],skuQuantity[#All],2,FALSE),0)</f>
        <v>0</v>
      </c>
      <c r="S1085" t="str">
        <f>PROPER(quantInv[[#This Row],[Metal]] &amp; " " &amp; quantInv[[#This Row],[Item Type]])</f>
        <v xml:space="preserve"> </v>
      </c>
      <c r="T1085" s="33">
        <f>quantInv[[#This Row],[Quantity]]*quantInv[[#This Row],[WEIGHT]]</f>
        <v>0</v>
      </c>
      <c r="U1085" s="33">
        <f>quantInv[[#This Row],[UNIT
VALUE]]*quantInv[[#This Row],[Quantity]]</f>
        <v>0</v>
      </c>
      <c r="V1085" s="33">
        <f>quantInv[[#This Row],[Total Cost GBP]]/EURtoGBP</f>
        <v>0</v>
      </c>
      <c r="W1085" s="33">
        <f>quantInv[[#This Row],[Total Cost GBP]]/USDtoGBP</f>
        <v>0</v>
      </c>
      <c r="X1085" s="33">
        <f>quantInv[[#This Row],[Total Cost GBP]]/CADtoGBP</f>
        <v>0</v>
      </c>
      <c r="Y1085" s="33">
        <f>quantInv[[#This Row],[Quantity]]*quantInv[[#This Row],[UNIT
VALUE AUD]]</f>
        <v>0</v>
      </c>
      <c r="Z1085" s="33"/>
    </row>
    <row r="1086" spans="1:26" x14ac:dyDescent="0.25">
      <c r="A1086" t="s">
        <v>2623</v>
      </c>
      <c r="C1086" t="s">
        <v>115</v>
      </c>
      <c r="D1086" t="s">
        <v>2624</v>
      </c>
      <c r="E1086">
        <v>0</v>
      </c>
      <c r="F1086" s="33">
        <v>7.0499999999999993E-2</v>
      </c>
      <c r="G1086" s="33" t="s">
        <v>2875</v>
      </c>
      <c r="H1086" t="s">
        <v>2875</v>
      </c>
      <c r="I1086" t="str">
        <f>IF(quantInv[[#This Row],[Metal]] = "925 Silver",  "7113.11.00"," 7113.19.00")</f>
        <v xml:space="preserve"> 7113.19.00</v>
      </c>
      <c r="J1086" t="str">
        <f>IF(quantInv[[#This Row],[Metal]] = "925 Silver", "7113.11.10.00"," 7113.19.10.00")</f>
        <v xml:space="preserve"> 7113.19.10.00</v>
      </c>
      <c r="K1086" t="str">
        <f>IF(quantInv[[#This Row],[Metal]] = "925 Silver",  "7113.11.00"," 7113.19.00")</f>
        <v xml:space="preserve"> 7113.19.00</v>
      </c>
      <c r="L1086" t="str">
        <f>IFERROR(VLOOKUP(quantInv[[#This Row],[Description for New Invoice]],Map!$G$12:$H$32,2,FALSE), IF(quantInv[[#This Row],[Metal]] = "925 Silver", "7113.11.10.00", "7113.19.29.00"))</f>
        <v>7113.19.29.00</v>
      </c>
      <c r="M1086" t="str">
        <f>quantInv[[#This Row],[ASIN]] &amp; " " &amp; quantInv[[#This Row],[Short Description]]</f>
        <v xml:space="preserve"> GP polished flat coin pendant</v>
      </c>
      <c r="N1086" s="33">
        <f>quantInv[[#This Row],[UNIT
VALUE]] / EURtoGBP</f>
        <v>8.0025880710357392E-2</v>
      </c>
      <c r="O1086" s="33">
        <f>quantInv[[#This Row],[UNIT
VALUE]]/USDtoGBP</f>
        <v>9.6643787449467625E-2</v>
      </c>
      <c r="P1086" s="33">
        <f>quantInv[[#This Row],[UNIT
VALUE]] / CADtoGBP</f>
        <v>0.1237096035502024</v>
      </c>
      <c r="Q1086" s="33">
        <f>quantInv[[#This Row],[UNIT
VALUE]]/AUDtoGBP</f>
        <v>0.12662547596810114</v>
      </c>
      <c r="R1086">
        <f>IFERROR(VLOOKUP(quantInv[[#This Row],[Assigned Item SKU]],skuQuantity[#All],2,FALSE),0)</f>
        <v>0</v>
      </c>
      <c r="S1086" t="str">
        <f>PROPER(quantInv[[#This Row],[Metal]] &amp; " " &amp; quantInv[[#This Row],[Item Type]])</f>
        <v xml:space="preserve"> </v>
      </c>
      <c r="T1086" s="33">
        <f>quantInv[[#This Row],[Quantity]]*quantInv[[#This Row],[WEIGHT]]</f>
        <v>0</v>
      </c>
      <c r="U1086" s="33">
        <f>quantInv[[#This Row],[UNIT
VALUE]]*quantInv[[#This Row],[Quantity]]</f>
        <v>0</v>
      </c>
      <c r="V1086" s="33">
        <f>quantInv[[#This Row],[Total Cost GBP]]/EURtoGBP</f>
        <v>0</v>
      </c>
      <c r="W1086" s="33">
        <f>quantInv[[#This Row],[Total Cost GBP]]/USDtoGBP</f>
        <v>0</v>
      </c>
      <c r="X1086" s="33">
        <f>quantInv[[#This Row],[Total Cost GBP]]/CADtoGBP</f>
        <v>0</v>
      </c>
      <c r="Y1086" s="33">
        <f>quantInv[[#This Row],[Quantity]]*quantInv[[#This Row],[UNIT
VALUE AUD]]</f>
        <v>0</v>
      </c>
      <c r="Z1086" s="33"/>
    </row>
    <row r="1087" spans="1:26" x14ac:dyDescent="0.25">
      <c r="A1087" t="s">
        <v>2625</v>
      </c>
      <c r="C1087" t="s">
        <v>115</v>
      </c>
      <c r="D1087" t="s">
        <v>2626</v>
      </c>
      <c r="E1087">
        <v>0</v>
      </c>
      <c r="F1087" s="33">
        <v>7.0499999999999993E-2</v>
      </c>
      <c r="G1087" s="33" t="s">
        <v>2875</v>
      </c>
      <c r="H1087" t="s">
        <v>2875</v>
      </c>
      <c r="I1087" t="str">
        <f>IF(quantInv[[#This Row],[Metal]] = "925 Silver",  "7113.11.00"," 7113.19.00")</f>
        <v xml:space="preserve"> 7113.19.00</v>
      </c>
      <c r="J1087" t="str">
        <f>IF(quantInv[[#This Row],[Metal]] = "925 Silver", "7113.11.10.00"," 7113.19.10.00")</f>
        <v xml:space="preserve"> 7113.19.10.00</v>
      </c>
      <c r="K1087" t="str">
        <f>IF(quantInv[[#This Row],[Metal]] = "925 Silver",  "7113.11.00"," 7113.19.00")</f>
        <v xml:space="preserve"> 7113.19.00</v>
      </c>
      <c r="L1087" t="str">
        <f>IFERROR(VLOOKUP(quantInv[[#This Row],[Description for New Invoice]],Map!$G$12:$H$32,2,FALSE), IF(quantInv[[#This Row],[Metal]] = "925 Silver", "7113.11.10.00", "7113.19.29.00"))</f>
        <v>7113.19.29.00</v>
      </c>
      <c r="M1087" t="str">
        <f>quantInv[[#This Row],[ASIN]] &amp; " " &amp; quantInv[[#This Row],[Short Description]]</f>
        <v xml:space="preserve"> Silver hammered coin drop earrings</v>
      </c>
      <c r="N1087" s="33">
        <f>quantInv[[#This Row],[UNIT
VALUE]] / EURtoGBP</f>
        <v>8.0025880710357392E-2</v>
      </c>
      <c r="O1087" s="33">
        <f>quantInv[[#This Row],[UNIT
VALUE]]/USDtoGBP</f>
        <v>9.6643787449467625E-2</v>
      </c>
      <c r="P1087" s="33">
        <f>quantInv[[#This Row],[UNIT
VALUE]] / CADtoGBP</f>
        <v>0.1237096035502024</v>
      </c>
      <c r="Q1087" s="33">
        <f>quantInv[[#This Row],[UNIT
VALUE]]/AUDtoGBP</f>
        <v>0.12662547596810114</v>
      </c>
      <c r="R1087">
        <f>IFERROR(VLOOKUP(quantInv[[#This Row],[Assigned Item SKU]],skuQuantity[#All],2,FALSE),0)</f>
        <v>0</v>
      </c>
      <c r="S1087" t="str">
        <f>PROPER(quantInv[[#This Row],[Metal]] &amp; " " &amp; quantInv[[#This Row],[Item Type]])</f>
        <v xml:space="preserve"> </v>
      </c>
      <c r="T1087" s="33">
        <f>quantInv[[#This Row],[Quantity]]*quantInv[[#This Row],[WEIGHT]]</f>
        <v>0</v>
      </c>
      <c r="U1087" s="33">
        <f>quantInv[[#This Row],[UNIT
VALUE]]*quantInv[[#This Row],[Quantity]]</f>
        <v>0</v>
      </c>
      <c r="V1087" s="33">
        <f>quantInv[[#This Row],[Total Cost GBP]]/EURtoGBP</f>
        <v>0</v>
      </c>
      <c r="W1087" s="33">
        <f>quantInv[[#This Row],[Total Cost GBP]]/USDtoGBP</f>
        <v>0</v>
      </c>
      <c r="X1087" s="33">
        <f>quantInv[[#This Row],[Total Cost GBP]]/CADtoGBP</f>
        <v>0</v>
      </c>
      <c r="Y1087" s="33">
        <f>quantInv[[#This Row],[Quantity]]*quantInv[[#This Row],[UNIT
VALUE AUD]]</f>
        <v>0</v>
      </c>
      <c r="Z1087" s="33"/>
    </row>
    <row r="1088" spans="1:26" x14ac:dyDescent="0.25">
      <c r="A1088" t="s">
        <v>2627</v>
      </c>
      <c r="C1088" t="s">
        <v>115</v>
      </c>
      <c r="D1088" t="s">
        <v>2628</v>
      </c>
      <c r="E1088">
        <v>0</v>
      </c>
      <c r="F1088" s="33">
        <v>7.0499999999999993E-2</v>
      </c>
      <c r="G1088" s="33" t="s">
        <v>2875</v>
      </c>
      <c r="H1088" t="s">
        <v>2875</v>
      </c>
      <c r="I1088" t="str">
        <f>IF(quantInv[[#This Row],[Metal]] = "925 Silver",  "7113.11.00"," 7113.19.00")</f>
        <v xml:space="preserve"> 7113.19.00</v>
      </c>
      <c r="J1088" t="str">
        <f>IF(quantInv[[#This Row],[Metal]] = "925 Silver", "7113.11.10.00"," 7113.19.10.00")</f>
        <v xml:space="preserve"> 7113.19.10.00</v>
      </c>
      <c r="K1088" t="str">
        <f>IF(quantInv[[#This Row],[Metal]] = "925 Silver",  "7113.11.00"," 7113.19.00")</f>
        <v xml:space="preserve"> 7113.19.00</v>
      </c>
      <c r="L1088" t="str">
        <f>IFERROR(VLOOKUP(quantInv[[#This Row],[Description for New Invoice]],Map!$G$12:$H$32,2,FALSE), IF(quantInv[[#This Row],[Metal]] = "925 Silver", "7113.11.10.00", "7113.19.29.00"))</f>
        <v>7113.19.29.00</v>
      </c>
      <c r="M1088" t="str">
        <f>quantInv[[#This Row],[ASIN]] &amp; " " &amp; quantInv[[#This Row],[Short Description]]</f>
        <v xml:space="preserve"> Silver polished coin drop earrings</v>
      </c>
      <c r="N1088" s="33">
        <f>quantInv[[#This Row],[UNIT
VALUE]] / EURtoGBP</f>
        <v>8.0025880710357392E-2</v>
      </c>
      <c r="O1088" s="33">
        <f>quantInv[[#This Row],[UNIT
VALUE]]/USDtoGBP</f>
        <v>9.6643787449467625E-2</v>
      </c>
      <c r="P1088" s="33">
        <f>quantInv[[#This Row],[UNIT
VALUE]] / CADtoGBP</f>
        <v>0.1237096035502024</v>
      </c>
      <c r="Q1088" s="33">
        <f>quantInv[[#This Row],[UNIT
VALUE]]/AUDtoGBP</f>
        <v>0.12662547596810114</v>
      </c>
      <c r="R1088">
        <f>IFERROR(VLOOKUP(quantInv[[#This Row],[Assigned Item SKU]],skuQuantity[#All],2,FALSE),0)</f>
        <v>0</v>
      </c>
      <c r="S1088" t="str">
        <f>PROPER(quantInv[[#This Row],[Metal]] &amp; " " &amp; quantInv[[#This Row],[Item Type]])</f>
        <v xml:space="preserve"> </v>
      </c>
      <c r="T1088" s="33">
        <f>quantInv[[#This Row],[Quantity]]*quantInv[[#This Row],[WEIGHT]]</f>
        <v>0</v>
      </c>
      <c r="U1088" s="33">
        <f>quantInv[[#This Row],[UNIT
VALUE]]*quantInv[[#This Row],[Quantity]]</f>
        <v>0</v>
      </c>
      <c r="V1088" s="33">
        <f>quantInv[[#This Row],[Total Cost GBP]]/EURtoGBP</f>
        <v>0</v>
      </c>
      <c r="W1088" s="33">
        <f>quantInv[[#This Row],[Total Cost GBP]]/USDtoGBP</f>
        <v>0</v>
      </c>
      <c r="X1088" s="33">
        <f>quantInv[[#This Row],[Total Cost GBP]]/CADtoGBP</f>
        <v>0</v>
      </c>
      <c r="Y1088" s="33">
        <f>quantInv[[#This Row],[Quantity]]*quantInv[[#This Row],[UNIT
VALUE AUD]]</f>
        <v>0</v>
      </c>
      <c r="Z1088" s="33"/>
    </row>
    <row r="1089" spans="1:26" x14ac:dyDescent="0.25">
      <c r="A1089" t="s">
        <v>2629</v>
      </c>
      <c r="C1089" t="s">
        <v>115</v>
      </c>
      <c r="D1089" t="s">
        <v>2630</v>
      </c>
      <c r="E1089">
        <v>0</v>
      </c>
      <c r="F1089" s="33">
        <v>7.0499999999999993E-2</v>
      </c>
      <c r="G1089" s="33" t="s">
        <v>2875</v>
      </c>
      <c r="H1089" t="s">
        <v>2875</v>
      </c>
      <c r="I1089" t="str">
        <f>IF(quantInv[[#This Row],[Metal]] = "925 Silver",  "7113.11.00"," 7113.19.00")</f>
        <v xml:space="preserve"> 7113.19.00</v>
      </c>
      <c r="J1089" t="str">
        <f>IF(quantInv[[#This Row],[Metal]] = "925 Silver", "7113.11.10.00"," 7113.19.10.00")</f>
        <v xml:space="preserve"> 7113.19.10.00</v>
      </c>
      <c r="K1089" t="str">
        <f>IF(quantInv[[#This Row],[Metal]] = "925 Silver",  "7113.11.00"," 7113.19.00")</f>
        <v xml:space="preserve"> 7113.19.00</v>
      </c>
      <c r="L1089" t="str">
        <f>IFERROR(VLOOKUP(quantInv[[#This Row],[Description for New Invoice]],Map!$G$12:$H$32,2,FALSE), IF(quantInv[[#This Row],[Metal]] = "925 Silver", "7113.11.10.00", "7113.19.29.00"))</f>
        <v>7113.19.29.00</v>
      </c>
      <c r="M1089" t="str">
        <f>quantInv[[#This Row],[ASIN]] &amp; " " &amp; quantInv[[#This Row],[Short Description]]</f>
        <v xml:space="preserve"> GP hammered coin drop earrings</v>
      </c>
      <c r="N1089" s="33">
        <f>quantInv[[#This Row],[UNIT
VALUE]] / EURtoGBP</f>
        <v>8.0025880710357392E-2</v>
      </c>
      <c r="O1089" s="33">
        <f>quantInv[[#This Row],[UNIT
VALUE]]/USDtoGBP</f>
        <v>9.6643787449467625E-2</v>
      </c>
      <c r="P1089" s="33">
        <f>quantInv[[#This Row],[UNIT
VALUE]] / CADtoGBP</f>
        <v>0.1237096035502024</v>
      </c>
      <c r="Q1089" s="33">
        <f>quantInv[[#This Row],[UNIT
VALUE]]/AUDtoGBP</f>
        <v>0.12662547596810114</v>
      </c>
      <c r="R1089">
        <f>IFERROR(VLOOKUP(quantInv[[#This Row],[Assigned Item SKU]],skuQuantity[#All],2,FALSE),0)</f>
        <v>0</v>
      </c>
      <c r="S1089" t="str">
        <f>PROPER(quantInv[[#This Row],[Metal]] &amp; " " &amp; quantInv[[#This Row],[Item Type]])</f>
        <v xml:space="preserve"> </v>
      </c>
      <c r="T1089" s="33">
        <f>quantInv[[#This Row],[Quantity]]*quantInv[[#This Row],[WEIGHT]]</f>
        <v>0</v>
      </c>
      <c r="U1089" s="33">
        <f>quantInv[[#This Row],[UNIT
VALUE]]*quantInv[[#This Row],[Quantity]]</f>
        <v>0</v>
      </c>
      <c r="V1089" s="33">
        <f>quantInv[[#This Row],[Total Cost GBP]]/EURtoGBP</f>
        <v>0</v>
      </c>
      <c r="W1089" s="33">
        <f>quantInv[[#This Row],[Total Cost GBP]]/USDtoGBP</f>
        <v>0</v>
      </c>
      <c r="X1089" s="33">
        <f>quantInv[[#This Row],[Total Cost GBP]]/CADtoGBP</f>
        <v>0</v>
      </c>
      <c r="Y1089" s="33">
        <f>quantInv[[#This Row],[Quantity]]*quantInv[[#This Row],[UNIT
VALUE AUD]]</f>
        <v>0</v>
      </c>
      <c r="Z1089" s="33"/>
    </row>
    <row r="1090" spans="1:26" x14ac:dyDescent="0.25">
      <c r="A1090" t="s">
        <v>2631</v>
      </c>
      <c r="C1090" t="s">
        <v>115</v>
      </c>
      <c r="D1090" t="s">
        <v>2632</v>
      </c>
      <c r="E1090">
        <v>0</v>
      </c>
      <c r="F1090" s="33">
        <v>7.0499999999999993E-2</v>
      </c>
      <c r="G1090" s="33" t="s">
        <v>2875</v>
      </c>
      <c r="H1090" t="s">
        <v>2875</v>
      </c>
      <c r="I1090" t="str">
        <f>IF(quantInv[[#This Row],[Metal]] = "925 Silver",  "7113.11.00"," 7113.19.00")</f>
        <v xml:space="preserve"> 7113.19.00</v>
      </c>
      <c r="J1090" t="str">
        <f>IF(quantInv[[#This Row],[Metal]] = "925 Silver", "7113.11.10.00"," 7113.19.10.00")</f>
        <v xml:space="preserve"> 7113.19.10.00</v>
      </c>
      <c r="K1090" t="str">
        <f>IF(quantInv[[#This Row],[Metal]] = "925 Silver",  "7113.11.00"," 7113.19.00")</f>
        <v xml:space="preserve"> 7113.19.00</v>
      </c>
      <c r="L1090" t="str">
        <f>IFERROR(VLOOKUP(quantInv[[#This Row],[Description for New Invoice]],Map!$G$12:$H$32,2,FALSE), IF(quantInv[[#This Row],[Metal]] = "925 Silver", "7113.11.10.00", "7113.19.29.00"))</f>
        <v>7113.19.29.00</v>
      </c>
      <c r="M1090" t="str">
        <f>quantInv[[#This Row],[ASIN]] &amp; " " &amp; quantInv[[#This Row],[Short Description]]</f>
        <v xml:space="preserve"> GP polished coin drop earrings</v>
      </c>
      <c r="N1090" s="33">
        <f>quantInv[[#This Row],[UNIT
VALUE]] / EURtoGBP</f>
        <v>8.0025880710357392E-2</v>
      </c>
      <c r="O1090" s="33">
        <f>quantInv[[#This Row],[UNIT
VALUE]]/USDtoGBP</f>
        <v>9.6643787449467625E-2</v>
      </c>
      <c r="P1090" s="33">
        <f>quantInv[[#This Row],[UNIT
VALUE]] / CADtoGBP</f>
        <v>0.1237096035502024</v>
      </c>
      <c r="Q1090" s="33">
        <f>quantInv[[#This Row],[UNIT
VALUE]]/AUDtoGBP</f>
        <v>0.12662547596810114</v>
      </c>
      <c r="R1090">
        <f>IFERROR(VLOOKUP(quantInv[[#This Row],[Assigned Item SKU]],skuQuantity[#All],2,FALSE),0)</f>
        <v>0</v>
      </c>
      <c r="S1090" t="str">
        <f>PROPER(quantInv[[#This Row],[Metal]] &amp; " " &amp; quantInv[[#This Row],[Item Type]])</f>
        <v xml:space="preserve"> </v>
      </c>
      <c r="T1090" s="33">
        <f>quantInv[[#This Row],[Quantity]]*quantInv[[#This Row],[WEIGHT]]</f>
        <v>0</v>
      </c>
      <c r="U1090" s="33">
        <f>quantInv[[#This Row],[UNIT
VALUE]]*quantInv[[#This Row],[Quantity]]</f>
        <v>0</v>
      </c>
      <c r="V1090" s="33">
        <f>quantInv[[#This Row],[Total Cost GBP]]/EURtoGBP</f>
        <v>0</v>
      </c>
      <c r="W1090" s="33">
        <f>quantInv[[#This Row],[Total Cost GBP]]/USDtoGBP</f>
        <v>0</v>
      </c>
      <c r="X1090" s="33">
        <f>quantInv[[#This Row],[Total Cost GBP]]/CADtoGBP</f>
        <v>0</v>
      </c>
      <c r="Y1090" s="33">
        <f>quantInv[[#This Row],[Quantity]]*quantInv[[#This Row],[UNIT
VALUE AUD]]</f>
        <v>0</v>
      </c>
      <c r="Z1090" s="33"/>
    </row>
    <row r="1091" spans="1:26" x14ac:dyDescent="0.25">
      <c r="A1091" t="s">
        <v>2633</v>
      </c>
      <c r="C1091" t="s">
        <v>115</v>
      </c>
      <c r="D1091" t="s">
        <v>2634</v>
      </c>
      <c r="E1091">
        <v>0</v>
      </c>
      <c r="F1091" s="33">
        <v>7.0499999999999993E-2</v>
      </c>
      <c r="G1091" s="33" t="s">
        <v>2875</v>
      </c>
      <c r="H1091" t="s">
        <v>2875</v>
      </c>
      <c r="I1091" t="str">
        <f>IF(quantInv[[#This Row],[Metal]] = "925 Silver",  "7113.11.00"," 7113.19.00")</f>
        <v xml:space="preserve"> 7113.19.00</v>
      </c>
      <c r="J1091" t="str">
        <f>IF(quantInv[[#This Row],[Metal]] = "925 Silver", "7113.11.10.00"," 7113.19.10.00")</f>
        <v xml:space="preserve"> 7113.19.10.00</v>
      </c>
      <c r="K1091" t="str">
        <f>IF(quantInv[[#This Row],[Metal]] = "925 Silver",  "7113.11.00"," 7113.19.00")</f>
        <v xml:space="preserve"> 7113.19.00</v>
      </c>
      <c r="L1091" t="str">
        <f>IFERROR(VLOOKUP(quantInv[[#This Row],[Description for New Invoice]],Map!$G$12:$H$32,2,FALSE), IF(quantInv[[#This Row],[Metal]] = "925 Silver", "7113.11.10.00", "7113.19.29.00"))</f>
        <v>7113.19.29.00</v>
      </c>
      <c r="M1091" t="str">
        <f>quantInv[[#This Row],[ASIN]] &amp; " " &amp; quantInv[[#This Row],[Short Description]]</f>
        <v xml:space="preserve"> Round Stud Earrings with Swarovski 4 pin crown - White/Crystal</v>
      </c>
      <c r="N1091" s="33">
        <f>quantInv[[#This Row],[UNIT
VALUE]] / EURtoGBP</f>
        <v>8.0025880710357392E-2</v>
      </c>
      <c r="O1091" s="33">
        <f>quantInv[[#This Row],[UNIT
VALUE]]/USDtoGBP</f>
        <v>9.6643787449467625E-2</v>
      </c>
      <c r="P1091" s="33">
        <f>quantInv[[#This Row],[UNIT
VALUE]] / CADtoGBP</f>
        <v>0.1237096035502024</v>
      </c>
      <c r="Q1091" s="33">
        <f>quantInv[[#This Row],[UNIT
VALUE]]/AUDtoGBP</f>
        <v>0.12662547596810114</v>
      </c>
      <c r="R1091">
        <f>IFERROR(VLOOKUP(quantInv[[#This Row],[Assigned Item SKU]],skuQuantity[#All],2,FALSE),0)</f>
        <v>0</v>
      </c>
      <c r="S1091" t="str">
        <f>PROPER(quantInv[[#This Row],[Metal]] &amp; " " &amp; quantInv[[#This Row],[Item Type]])</f>
        <v xml:space="preserve"> </v>
      </c>
      <c r="T1091" s="33">
        <f>quantInv[[#This Row],[Quantity]]*quantInv[[#This Row],[WEIGHT]]</f>
        <v>0</v>
      </c>
      <c r="U1091" s="33">
        <f>quantInv[[#This Row],[UNIT
VALUE]]*quantInv[[#This Row],[Quantity]]</f>
        <v>0</v>
      </c>
      <c r="V1091" s="33">
        <f>quantInv[[#This Row],[Total Cost GBP]]/EURtoGBP</f>
        <v>0</v>
      </c>
      <c r="W1091" s="33">
        <f>quantInv[[#This Row],[Total Cost GBP]]/USDtoGBP</f>
        <v>0</v>
      </c>
      <c r="X1091" s="33">
        <f>quantInv[[#This Row],[Total Cost GBP]]/CADtoGBP</f>
        <v>0</v>
      </c>
      <c r="Y1091" s="33">
        <f>quantInv[[#This Row],[Quantity]]*quantInv[[#This Row],[UNIT
VALUE AUD]]</f>
        <v>0</v>
      </c>
      <c r="Z1091" s="33"/>
    </row>
    <row r="1092" spans="1:26" x14ac:dyDescent="0.25">
      <c r="A1092" t="s">
        <v>2635</v>
      </c>
      <c r="C1092" t="s">
        <v>115</v>
      </c>
      <c r="D1092" t="s">
        <v>2636</v>
      </c>
      <c r="E1092">
        <v>0</v>
      </c>
      <c r="F1092" s="33">
        <v>7.0499999999999993E-2</v>
      </c>
      <c r="G1092" s="33" t="s">
        <v>2875</v>
      </c>
      <c r="H1092" t="s">
        <v>2875</v>
      </c>
      <c r="I1092" t="str">
        <f>IF(quantInv[[#This Row],[Metal]] = "925 Silver",  "7113.11.00"," 7113.19.00")</f>
        <v xml:space="preserve"> 7113.19.00</v>
      </c>
      <c r="J1092" t="str">
        <f>IF(quantInv[[#This Row],[Metal]] = "925 Silver", "7113.11.10.00"," 7113.19.10.00")</f>
        <v xml:space="preserve"> 7113.19.10.00</v>
      </c>
      <c r="K1092" t="str">
        <f>IF(quantInv[[#This Row],[Metal]] = "925 Silver",  "7113.11.00"," 7113.19.00")</f>
        <v xml:space="preserve"> 7113.19.00</v>
      </c>
      <c r="L1092" t="str">
        <f>IFERROR(VLOOKUP(quantInv[[#This Row],[Description for New Invoice]],Map!$G$12:$H$32,2,FALSE), IF(quantInv[[#This Row],[Metal]] = "925 Silver", "7113.11.10.00", "7113.19.29.00"))</f>
        <v>7113.19.29.00</v>
      </c>
      <c r="M1092" t="str">
        <f>quantInv[[#This Row],[ASIN]] &amp; " " &amp; quantInv[[#This Row],[Short Description]]</f>
        <v xml:space="preserve"> Square Stud Earrings with Swarovski 4 pin crown - White/Crystal</v>
      </c>
      <c r="N1092" s="33">
        <f>quantInv[[#This Row],[UNIT
VALUE]] / EURtoGBP</f>
        <v>8.0025880710357392E-2</v>
      </c>
      <c r="O1092" s="33">
        <f>quantInv[[#This Row],[UNIT
VALUE]]/USDtoGBP</f>
        <v>9.6643787449467625E-2</v>
      </c>
      <c r="P1092" s="33">
        <f>quantInv[[#This Row],[UNIT
VALUE]] / CADtoGBP</f>
        <v>0.1237096035502024</v>
      </c>
      <c r="Q1092" s="33">
        <f>quantInv[[#This Row],[UNIT
VALUE]]/AUDtoGBP</f>
        <v>0.12662547596810114</v>
      </c>
      <c r="R1092">
        <f>IFERROR(VLOOKUP(quantInv[[#This Row],[Assigned Item SKU]],skuQuantity[#All],2,FALSE),0)</f>
        <v>0</v>
      </c>
      <c r="S1092" t="str">
        <f>PROPER(quantInv[[#This Row],[Metal]] &amp; " " &amp; quantInv[[#This Row],[Item Type]])</f>
        <v xml:space="preserve"> </v>
      </c>
      <c r="T1092" s="33">
        <f>quantInv[[#This Row],[Quantity]]*quantInv[[#This Row],[WEIGHT]]</f>
        <v>0</v>
      </c>
      <c r="U1092" s="33">
        <f>quantInv[[#This Row],[UNIT
VALUE]]*quantInv[[#This Row],[Quantity]]</f>
        <v>0</v>
      </c>
      <c r="V1092" s="33">
        <f>quantInv[[#This Row],[Total Cost GBP]]/EURtoGBP</f>
        <v>0</v>
      </c>
      <c r="W1092" s="33">
        <f>quantInv[[#This Row],[Total Cost GBP]]/USDtoGBP</f>
        <v>0</v>
      </c>
      <c r="X1092" s="33">
        <f>quantInv[[#This Row],[Total Cost GBP]]/CADtoGBP</f>
        <v>0</v>
      </c>
      <c r="Y1092" s="33">
        <f>quantInv[[#This Row],[Quantity]]*quantInv[[#This Row],[UNIT
VALUE AUD]]</f>
        <v>0</v>
      </c>
      <c r="Z1092" s="33"/>
    </row>
    <row r="1093" spans="1:26" x14ac:dyDescent="0.25">
      <c r="A1093" t="s">
        <v>2637</v>
      </c>
      <c r="C1093" t="s">
        <v>115</v>
      </c>
      <c r="D1093" t="s">
        <v>2638</v>
      </c>
      <c r="E1093">
        <v>0</v>
      </c>
      <c r="F1093" s="33">
        <v>7.0499999999999993E-2</v>
      </c>
      <c r="G1093" s="33" t="s">
        <v>2875</v>
      </c>
      <c r="H1093" t="s">
        <v>2875</v>
      </c>
      <c r="I1093" t="str">
        <f>IF(quantInv[[#This Row],[Metal]] = "925 Silver",  "7113.11.00"," 7113.19.00")</f>
        <v xml:space="preserve"> 7113.19.00</v>
      </c>
      <c r="J1093" t="str">
        <f>IF(quantInv[[#This Row],[Metal]] = "925 Silver", "7113.11.10.00"," 7113.19.10.00")</f>
        <v xml:space="preserve"> 7113.19.10.00</v>
      </c>
      <c r="K1093" t="str">
        <f>IF(quantInv[[#This Row],[Metal]] = "925 Silver",  "7113.11.00"," 7113.19.00")</f>
        <v xml:space="preserve"> 7113.19.00</v>
      </c>
      <c r="L1093" t="str">
        <f>IFERROR(VLOOKUP(quantInv[[#This Row],[Description for New Invoice]],Map!$G$12:$H$32,2,FALSE), IF(quantInv[[#This Row],[Metal]] = "925 Silver", "7113.11.10.00", "7113.19.29.00"))</f>
        <v>7113.19.29.00</v>
      </c>
      <c r="M1093" t="str">
        <f>quantInv[[#This Row],[ASIN]] &amp; " " &amp; quantInv[[#This Row],[Short Description]]</f>
        <v xml:space="preserve"> Tear Stud Earrings with Swarovski 4 pin crown - White/Crystal</v>
      </c>
      <c r="N1093" s="33">
        <f>quantInv[[#This Row],[UNIT
VALUE]] / EURtoGBP</f>
        <v>8.0025880710357392E-2</v>
      </c>
      <c r="O1093" s="33">
        <f>quantInv[[#This Row],[UNIT
VALUE]]/USDtoGBP</f>
        <v>9.6643787449467625E-2</v>
      </c>
      <c r="P1093" s="33">
        <f>quantInv[[#This Row],[UNIT
VALUE]] / CADtoGBP</f>
        <v>0.1237096035502024</v>
      </c>
      <c r="Q1093" s="33">
        <f>quantInv[[#This Row],[UNIT
VALUE]]/AUDtoGBP</f>
        <v>0.12662547596810114</v>
      </c>
      <c r="R1093">
        <f>IFERROR(VLOOKUP(quantInv[[#This Row],[Assigned Item SKU]],skuQuantity[#All],2,FALSE),0)</f>
        <v>0</v>
      </c>
      <c r="S1093" t="str">
        <f>PROPER(quantInv[[#This Row],[Metal]] &amp; " " &amp; quantInv[[#This Row],[Item Type]])</f>
        <v xml:space="preserve"> </v>
      </c>
      <c r="T1093" s="33">
        <f>quantInv[[#This Row],[Quantity]]*quantInv[[#This Row],[WEIGHT]]</f>
        <v>0</v>
      </c>
      <c r="U1093" s="33">
        <f>quantInv[[#This Row],[UNIT
VALUE]]*quantInv[[#This Row],[Quantity]]</f>
        <v>0</v>
      </c>
      <c r="V1093" s="33">
        <f>quantInv[[#This Row],[Total Cost GBP]]/EURtoGBP</f>
        <v>0</v>
      </c>
      <c r="W1093" s="33">
        <f>quantInv[[#This Row],[Total Cost GBP]]/USDtoGBP</f>
        <v>0</v>
      </c>
      <c r="X1093" s="33">
        <f>quantInv[[#This Row],[Total Cost GBP]]/CADtoGBP</f>
        <v>0</v>
      </c>
      <c r="Y1093" s="33">
        <f>quantInv[[#This Row],[Quantity]]*quantInv[[#This Row],[UNIT
VALUE AUD]]</f>
        <v>0</v>
      </c>
      <c r="Z1093" s="33"/>
    </row>
    <row r="1094" spans="1:26" x14ac:dyDescent="0.25">
      <c r="A1094" t="s">
        <v>2639</v>
      </c>
      <c r="C1094" t="s">
        <v>115</v>
      </c>
      <c r="D1094" t="s">
        <v>2640</v>
      </c>
      <c r="E1094">
        <v>0</v>
      </c>
      <c r="F1094" s="33">
        <v>7.0499999999999993E-2</v>
      </c>
      <c r="G1094" s="33" t="s">
        <v>2875</v>
      </c>
      <c r="H1094" t="s">
        <v>2875</v>
      </c>
      <c r="I1094" t="str">
        <f>IF(quantInv[[#This Row],[Metal]] = "925 Silver",  "7113.11.00"," 7113.19.00")</f>
        <v xml:space="preserve"> 7113.19.00</v>
      </c>
      <c r="J1094" t="str">
        <f>IF(quantInv[[#This Row],[Metal]] = "925 Silver", "7113.11.10.00"," 7113.19.10.00")</f>
        <v xml:space="preserve"> 7113.19.10.00</v>
      </c>
      <c r="K1094" t="str">
        <f>IF(quantInv[[#This Row],[Metal]] = "925 Silver",  "7113.11.00"," 7113.19.00")</f>
        <v xml:space="preserve"> 7113.19.00</v>
      </c>
      <c r="L1094" t="str">
        <f>IFERROR(VLOOKUP(quantInv[[#This Row],[Description for New Invoice]],Map!$G$12:$H$32,2,FALSE), IF(quantInv[[#This Row],[Metal]] = "925 Silver", "7113.11.10.00", "7113.19.29.00"))</f>
        <v>7113.19.29.00</v>
      </c>
      <c r="M1094" t="str">
        <f>quantInv[[#This Row],[ASIN]] &amp; " " &amp; quantInv[[#This Row],[Short Description]]</f>
        <v xml:space="preserve"> Heart Stud Earrings with CZ 4 pin crown - White/Crystal</v>
      </c>
      <c r="N1094" s="33">
        <f>quantInv[[#This Row],[UNIT
VALUE]] / EURtoGBP</f>
        <v>8.0025880710357392E-2</v>
      </c>
      <c r="O1094" s="33">
        <f>quantInv[[#This Row],[UNIT
VALUE]]/USDtoGBP</f>
        <v>9.6643787449467625E-2</v>
      </c>
      <c r="P1094" s="33">
        <f>quantInv[[#This Row],[UNIT
VALUE]] / CADtoGBP</f>
        <v>0.1237096035502024</v>
      </c>
      <c r="Q1094" s="33">
        <f>quantInv[[#This Row],[UNIT
VALUE]]/AUDtoGBP</f>
        <v>0.12662547596810114</v>
      </c>
      <c r="R1094">
        <f>IFERROR(VLOOKUP(quantInv[[#This Row],[Assigned Item SKU]],skuQuantity[#All],2,FALSE),0)</f>
        <v>0</v>
      </c>
      <c r="S1094" t="str">
        <f>PROPER(quantInv[[#This Row],[Metal]] &amp; " " &amp; quantInv[[#This Row],[Item Type]])</f>
        <v xml:space="preserve"> </v>
      </c>
      <c r="T1094" s="33">
        <f>quantInv[[#This Row],[Quantity]]*quantInv[[#This Row],[WEIGHT]]</f>
        <v>0</v>
      </c>
      <c r="U1094" s="33">
        <f>quantInv[[#This Row],[UNIT
VALUE]]*quantInv[[#This Row],[Quantity]]</f>
        <v>0</v>
      </c>
      <c r="V1094" s="33">
        <f>quantInv[[#This Row],[Total Cost GBP]]/EURtoGBP</f>
        <v>0</v>
      </c>
      <c r="W1094" s="33">
        <f>quantInv[[#This Row],[Total Cost GBP]]/USDtoGBP</f>
        <v>0</v>
      </c>
      <c r="X1094" s="33">
        <f>quantInv[[#This Row],[Total Cost GBP]]/CADtoGBP</f>
        <v>0</v>
      </c>
      <c r="Y1094" s="33">
        <f>quantInv[[#This Row],[Quantity]]*quantInv[[#This Row],[UNIT
VALUE AUD]]</f>
        <v>0</v>
      </c>
      <c r="Z1094" s="33"/>
    </row>
    <row r="1095" spans="1:26" x14ac:dyDescent="0.25">
      <c r="A1095" t="s">
        <v>2641</v>
      </c>
      <c r="C1095" t="s">
        <v>115</v>
      </c>
      <c r="D1095" t="s">
        <v>2642</v>
      </c>
      <c r="E1095">
        <v>0</v>
      </c>
      <c r="F1095" s="33">
        <v>7.0499999999999993E-2</v>
      </c>
      <c r="G1095" s="33" t="s">
        <v>2875</v>
      </c>
      <c r="H1095" t="s">
        <v>2875</v>
      </c>
      <c r="I1095" t="str">
        <f>IF(quantInv[[#This Row],[Metal]] = "925 Silver",  "7113.11.00"," 7113.19.00")</f>
        <v xml:space="preserve"> 7113.19.00</v>
      </c>
      <c r="J1095" t="str">
        <f>IF(quantInv[[#This Row],[Metal]] = "925 Silver", "7113.11.10.00"," 7113.19.10.00")</f>
        <v xml:space="preserve"> 7113.19.10.00</v>
      </c>
      <c r="K1095" t="str">
        <f>IF(quantInv[[#This Row],[Metal]] = "925 Silver",  "7113.11.00"," 7113.19.00")</f>
        <v xml:space="preserve"> 7113.19.00</v>
      </c>
      <c r="L1095" t="str">
        <f>IFERROR(VLOOKUP(quantInv[[#This Row],[Description for New Invoice]],Map!$G$12:$H$32,2,FALSE), IF(quantInv[[#This Row],[Metal]] = "925 Silver", "7113.11.10.00", "7113.19.29.00"))</f>
        <v>7113.19.29.00</v>
      </c>
      <c r="M1095" t="str">
        <f>quantInv[[#This Row],[ASIN]] &amp; " " &amp; quantInv[[#This Row],[Short Description]]</f>
        <v xml:space="preserve"> Star Stud Earrings with CZ 4 pin crown - White/Crystal</v>
      </c>
      <c r="N1095" s="33">
        <f>quantInv[[#This Row],[UNIT
VALUE]] / EURtoGBP</f>
        <v>8.0025880710357392E-2</v>
      </c>
      <c r="O1095" s="33">
        <f>quantInv[[#This Row],[UNIT
VALUE]]/USDtoGBP</f>
        <v>9.6643787449467625E-2</v>
      </c>
      <c r="P1095" s="33">
        <f>quantInv[[#This Row],[UNIT
VALUE]] / CADtoGBP</f>
        <v>0.1237096035502024</v>
      </c>
      <c r="Q1095" s="33">
        <f>quantInv[[#This Row],[UNIT
VALUE]]/AUDtoGBP</f>
        <v>0.12662547596810114</v>
      </c>
      <c r="R1095">
        <f>IFERROR(VLOOKUP(quantInv[[#This Row],[Assigned Item SKU]],skuQuantity[#All],2,FALSE),0)</f>
        <v>0</v>
      </c>
      <c r="S1095" t="str">
        <f>PROPER(quantInv[[#This Row],[Metal]] &amp; " " &amp; quantInv[[#This Row],[Item Type]])</f>
        <v xml:space="preserve"> </v>
      </c>
      <c r="T1095" s="33">
        <f>quantInv[[#This Row],[Quantity]]*quantInv[[#This Row],[WEIGHT]]</f>
        <v>0</v>
      </c>
      <c r="U1095" s="33">
        <f>quantInv[[#This Row],[UNIT
VALUE]]*quantInv[[#This Row],[Quantity]]</f>
        <v>0</v>
      </c>
      <c r="V1095" s="33">
        <f>quantInv[[#This Row],[Total Cost GBP]]/EURtoGBP</f>
        <v>0</v>
      </c>
      <c r="W1095" s="33">
        <f>quantInv[[#This Row],[Total Cost GBP]]/USDtoGBP</f>
        <v>0</v>
      </c>
      <c r="X1095" s="33">
        <f>quantInv[[#This Row],[Total Cost GBP]]/CADtoGBP</f>
        <v>0</v>
      </c>
      <c r="Y1095" s="33">
        <f>quantInv[[#This Row],[Quantity]]*quantInv[[#This Row],[UNIT
VALUE AUD]]</f>
        <v>0</v>
      </c>
      <c r="Z1095" s="33"/>
    </row>
    <row r="1096" spans="1:26" x14ac:dyDescent="0.25">
      <c r="A1096" t="s">
        <v>2643</v>
      </c>
      <c r="C1096" t="s">
        <v>115</v>
      </c>
      <c r="D1096" t="s">
        <v>2644</v>
      </c>
      <c r="E1096">
        <v>0</v>
      </c>
      <c r="F1096" s="33">
        <v>7.0499999999999993E-2</v>
      </c>
      <c r="G1096" s="33" t="s">
        <v>2875</v>
      </c>
      <c r="H1096" t="s">
        <v>2875</v>
      </c>
      <c r="I1096" t="str">
        <f>IF(quantInv[[#This Row],[Metal]] = "925 Silver",  "7113.11.00"," 7113.19.00")</f>
        <v xml:space="preserve"> 7113.19.00</v>
      </c>
      <c r="J1096" t="str">
        <f>IF(quantInv[[#This Row],[Metal]] = "925 Silver", "7113.11.10.00"," 7113.19.10.00")</f>
        <v xml:space="preserve"> 7113.19.10.00</v>
      </c>
      <c r="K1096" t="str">
        <f>IF(quantInv[[#This Row],[Metal]] = "925 Silver",  "7113.11.00"," 7113.19.00")</f>
        <v xml:space="preserve"> 7113.19.00</v>
      </c>
      <c r="L1096" t="str">
        <f>IFERROR(VLOOKUP(quantInv[[#This Row],[Description for New Invoice]],Map!$G$12:$H$32,2,FALSE), IF(quantInv[[#This Row],[Metal]] = "925 Silver", "7113.11.10.00", "7113.19.29.00"))</f>
        <v>7113.19.29.00</v>
      </c>
      <c r="M1096" t="str">
        <f>quantInv[[#This Row],[ASIN]] &amp; " " &amp; quantInv[[#This Row],[Short Description]]</f>
        <v xml:space="preserve"> Oval Stud Earrings with CZ 4 pin crown - White/Crystal</v>
      </c>
      <c r="N1096" s="33">
        <f>quantInv[[#This Row],[UNIT
VALUE]] / EURtoGBP</f>
        <v>8.0025880710357392E-2</v>
      </c>
      <c r="O1096" s="33">
        <f>quantInv[[#This Row],[UNIT
VALUE]]/USDtoGBP</f>
        <v>9.6643787449467625E-2</v>
      </c>
      <c r="P1096" s="33">
        <f>quantInv[[#This Row],[UNIT
VALUE]] / CADtoGBP</f>
        <v>0.1237096035502024</v>
      </c>
      <c r="Q1096" s="33">
        <f>quantInv[[#This Row],[UNIT
VALUE]]/AUDtoGBP</f>
        <v>0.12662547596810114</v>
      </c>
      <c r="R1096">
        <f>IFERROR(VLOOKUP(quantInv[[#This Row],[Assigned Item SKU]],skuQuantity[#All],2,FALSE),0)</f>
        <v>0</v>
      </c>
      <c r="S1096" t="str">
        <f>PROPER(quantInv[[#This Row],[Metal]] &amp; " " &amp; quantInv[[#This Row],[Item Type]])</f>
        <v xml:space="preserve"> </v>
      </c>
      <c r="T1096" s="33">
        <f>quantInv[[#This Row],[Quantity]]*quantInv[[#This Row],[WEIGHT]]</f>
        <v>0</v>
      </c>
      <c r="U1096" s="33">
        <f>quantInv[[#This Row],[UNIT
VALUE]]*quantInv[[#This Row],[Quantity]]</f>
        <v>0</v>
      </c>
      <c r="V1096" s="33">
        <f>quantInv[[#This Row],[Total Cost GBP]]/EURtoGBP</f>
        <v>0</v>
      </c>
      <c r="W1096" s="33">
        <f>quantInv[[#This Row],[Total Cost GBP]]/USDtoGBP</f>
        <v>0</v>
      </c>
      <c r="X1096" s="33">
        <f>quantInv[[#This Row],[Total Cost GBP]]/CADtoGBP</f>
        <v>0</v>
      </c>
      <c r="Y1096" s="33">
        <f>quantInv[[#This Row],[Quantity]]*quantInv[[#This Row],[UNIT
VALUE AUD]]</f>
        <v>0</v>
      </c>
      <c r="Z1096" s="33"/>
    </row>
    <row r="1097" spans="1:26" x14ac:dyDescent="0.25">
      <c r="A1097" t="s">
        <v>2645</v>
      </c>
      <c r="C1097" t="s">
        <v>115</v>
      </c>
      <c r="D1097" t="s">
        <v>2646</v>
      </c>
      <c r="E1097">
        <v>0</v>
      </c>
      <c r="F1097" s="33">
        <v>7.0499999999999993E-2</v>
      </c>
      <c r="G1097" s="33" t="s">
        <v>2875</v>
      </c>
      <c r="H1097" t="s">
        <v>2875</v>
      </c>
      <c r="I1097" t="str">
        <f>IF(quantInv[[#This Row],[Metal]] = "925 Silver",  "7113.11.00"," 7113.19.00")</f>
        <v xml:space="preserve"> 7113.19.00</v>
      </c>
      <c r="J1097" t="str">
        <f>IF(quantInv[[#This Row],[Metal]] = "925 Silver", "7113.11.10.00"," 7113.19.10.00")</f>
        <v xml:space="preserve"> 7113.19.10.00</v>
      </c>
      <c r="K1097" t="str">
        <f>IF(quantInv[[#This Row],[Metal]] = "925 Silver",  "7113.11.00"," 7113.19.00")</f>
        <v xml:space="preserve"> 7113.19.00</v>
      </c>
      <c r="L1097" t="str">
        <f>IFERROR(VLOOKUP(quantInv[[#This Row],[Description for New Invoice]],Map!$G$12:$H$32,2,FALSE), IF(quantInv[[#This Row],[Metal]] = "925 Silver", "7113.11.10.00", "7113.19.29.00"))</f>
        <v>7113.19.29.00</v>
      </c>
      <c r="M1097" t="str">
        <f>quantInv[[#This Row],[ASIN]] &amp; " " &amp; quantInv[[#This Row],[Short Description]]</f>
        <v xml:space="preserve"> Baguette Stud Earrings with CZ 4 pin crown - White/Crystal</v>
      </c>
      <c r="N1097" s="33">
        <f>quantInv[[#This Row],[UNIT
VALUE]] / EURtoGBP</f>
        <v>8.0025880710357392E-2</v>
      </c>
      <c r="O1097" s="33">
        <f>quantInv[[#This Row],[UNIT
VALUE]]/USDtoGBP</f>
        <v>9.6643787449467625E-2</v>
      </c>
      <c r="P1097" s="33">
        <f>quantInv[[#This Row],[UNIT
VALUE]] / CADtoGBP</f>
        <v>0.1237096035502024</v>
      </c>
      <c r="Q1097" s="33">
        <f>quantInv[[#This Row],[UNIT
VALUE]]/AUDtoGBP</f>
        <v>0.12662547596810114</v>
      </c>
      <c r="R1097">
        <f>IFERROR(VLOOKUP(quantInv[[#This Row],[Assigned Item SKU]],skuQuantity[#All],2,FALSE),0)</f>
        <v>0</v>
      </c>
      <c r="S1097" t="str">
        <f>PROPER(quantInv[[#This Row],[Metal]] &amp; " " &amp; quantInv[[#This Row],[Item Type]])</f>
        <v xml:space="preserve"> </v>
      </c>
      <c r="T1097" s="33">
        <f>quantInv[[#This Row],[Quantity]]*quantInv[[#This Row],[WEIGHT]]</f>
        <v>0</v>
      </c>
      <c r="U1097" s="33">
        <f>quantInv[[#This Row],[UNIT
VALUE]]*quantInv[[#This Row],[Quantity]]</f>
        <v>0</v>
      </c>
      <c r="V1097" s="33">
        <f>quantInv[[#This Row],[Total Cost GBP]]/EURtoGBP</f>
        <v>0</v>
      </c>
      <c r="W1097" s="33">
        <f>quantInv[[#This Row],[Total Cost GBP]]/USDtoGBP</f>
        <v>0</v>
      </c>
      <c r="X1097" s="33">
        <f>quantInv[[#This Row],[Total Cost GBP]]/CADtoGBP</f>
        <v>0</v>
      </c>
      <c r="Y1097" s="33">
        <f>quantInv[[#This Row],[Quantity]]*quantInv[[#This Row],[UNIT
VALUE AUD]]</f>
        <v>0</v>
      </c>
      <c r="Z1097" s="33"/>
    </row>
    <row r="1098" spans="1:26" x14ac:dyDescent="0.25">
      <c r="A1098" t="s">
        <v>2647</v>
      </c>
      <c r="C1098" t="s">
        <v>115</v>
      </c>
      <c r="D1098" t="s">
        <v>2648</v>
      </c>
      <c r="E1098">
        <v>0</v>
      </c>
      <c r="F1098" s="33">
        <v>2.9565999999999999</v>
      </c>
      <c r="G1098" s="33" t="s">
        <v>117</v>
      </c>
      <c r="H1098" t="s">
        <v>2875</v>
      </c>
      <c r="I1098" t="str">
        <f>IF(quantInv[[#This Row],[Metal]] = "925 Silver",  "7113.11.00"," 7113.19.00")</f>
        <v>7113.11.00</v>
      </c>
      <c r="J1098" t="str">
        <f>IF(quantInv[[#This Row],[Metal]] = "925 Silver", "7113.11.10.00"," 7113.19.10.00")</f>
        <v>7113.11.10.00</v>
      </c>
      <c r="K1098" t="str">
        <f>IF(quantInv[[#This Row],[Metal]] = "925 Silver",  "7113.11.00"," 7113.19.00")</f>
        <v>7113.11.00</v>
      </c>
      <c r="L1098" t="str">
        <f>IFERROR(VLOOKUP(quantInv[[#This Row],[Description for New Invoice]],Map!$G$12:$H$32,2,FALSE), IF(quantInv[[#This Row],[Metal]] = "925 Silver", "7113.11.10.00", "7113.19.29.00"))</f>
        <v>7113.11.10.00</v>
      </c>
      <c r="M1098" t="str">
        <f>quantInv[[#This Row],[ASIN]] &amp; " " &amp; quantInv[[#This Row],[Short Description]]</f>
        <v xml:space="preserve"> Birthstones drop earrings</v>
      </c>
      <c r="N1098" s="33">
        <f>quantInv[[#This Row],[UNIT
VALUE]] / EURtoGBP</f>
        <v>3.3560924667835836</v>
      </c>
      <c r="O1098" s="33">
        <f>quantInv[[#This Row],[UNIT
VALUE]]/USDtoGBP</f>
        <v>4.0530074038737025</v>
      </c>
      <c r="P1098" s="33">
        <f>quantInv[[#This Row],[UNIT
VALUE]] / CADtoGBP</f>
        <v>5.1880824660500489</v>
      </c>
      <c r="Q1098" s="33">
        <f>quantInv[[#This Row],[UNIT
VALUE]]/AUDtoGBP</f>
        <v>5.3103671240750048</v>
      </c>
      <c r="R1098">
        <f>IFERROR(VLOOKUP(quantInv[[#This Row],[Assigned Item SKU]],skuQuantity[#All],2,FALSE),0)</f>
        <v>0</v>
      </c>
      <c r="S1098" t="str">
        <f>PROPER(quantInv[[#This Row],[Metal]] &amp; " " &amp; quantInv[[#This Row],[Item Type]])</f>
        <v xml:space="preserve">925 Silver </v>
      </c>
      <c r="T1098" s="33">
        <f>quantInv[[#This Row],[Quantity]]*quantInv[[#This Row],[WEIGHT]]</f>
        <v>0</v>
      </c>
      <c r="U1098" s="33">
        <f>quantInv[[#This Row],[UNIT
VALUE]]*quantInv[[#This Row],[Quantity]]</f>
        <v>0</v>
      </c>
      <c r="V1098" s="33">
        <f>quantInv[[#This Row],[Total Cost GBP]]/EURtoGBP</f>
        <v>0</v>
      </c>
      <c r="W1098" s="33">
        <f>quantInv[[#This Row],[Total Cost GBP]]/USDtoGBP</f>
        <v>0</v>
      </c>
      <c r="X1098" s="33">
        <f>quantInv[[#This Row],[Total Cost GBP]]/CADtoGBP</f>
        <v>0</v>
      </c>
      <c r="Y1098" s="33">
        <f>quantInv[[#This Row],[Quantity]]*quantInv[[#This Row],[UNIT
VALUE AUD]]</f>
        <v>0</v>
      </c>
      <c r="Z1098" s="33"/>
    </row>
    <row r="1099" spans="1:26" x14ac:dyDescent="0.25">
      <c r="A1099" t="s">
        <v>2649</v>
      </c>
      <c r="C1099" t="s">
        <v>115</v>
      </c>
      <c r="E1099">
        <v>0</v>
      </c>
      <c r="F1099" s="33">
        <v>2.9565999999999999</v>
      </c>
      <c r="G1099" s="33" t="s">
        <v>117</v>
      </c>
      <c r="H1099" t="s">
        <v>2875</v>
      </c>
      <c r="I1099" t="str">
        <f>IF(quantInv[[#This Row],[Metal]] = "925 Silver",  "7113.11.00"," 7113.19.00")</f>
        <v>7113.11.00</v>
      </c>
      <c r="J1099" t="str">
        <f>IF(quantInv[[#This Row],[Metal]] = "925 Silver", "7113.11.10.00"," 7113.19.10.00")</f>
        <v>7113.11.10.00</v>
      </c>
      <c r="K1099" t="str">
        <f>IF(quantInv[[#This Row],[Metal]] = "925 Silver",  "7113.11.00"," 7113.19.00")</f>
        <v>7113.11.00</v>
      </c>
      <c r="L1099" t="str">
        <f>IFERROR(VLOOKUP(quantInv[[#This Row],[Description for New Invoice]],Map!$G$12:$H$32,2,FALSE), IF(quantInv[[#This Row],[Metal]] = "925 Silver", "7113.11.10.00", "7113.19.29.00"))</f>
        <v>7113.11.10.00</v>
      </c>
      <c r="M1099" t="str">
        <f>quantInv[[#This Row],[ASIN]] &amp; " " &amp; quantInv[[#This Row],[Short Description]]</f>
        <v xml:space="preserve"> </v>
      </c>
      <c r="N1099" s="33">
        <f>quantInv[[#This Row],[UNIT
VALUE]] / EURtoGBP</f>
        <v>3.3560924667835836</v>
      </c>
      <c r="O1099" s="33">
        <f>quantInv[[#This Row],[UNIT
VALUE]]/USDtoGBP</f>
        <v>4.0530074038737025</v>
      </c>
      <c r="P1099" s="33">
        <f>quantInv[[#This Row],[UNIT
VALUE]] / CADtoGBP</f>
        <v>5.1880824660500489</v>
      </c>
      <c r="Q1099" s="33">
        <f>quantInv[[#This Row],[UNIT
VALUE]]/AUDtoGBP</f>
        <v>5.3103671240750048</v>
      </c>
      <c r="R1099">
        <f>IFERROR(VLOOKUP(quantInv[[#This Row],[Assigned Item SKU]],skuQuantity[#All],2,FALSE),0)</f>
        <v>0</v>
      </c>
      <c r="S1099" t="str">
        <f>PROPER(quantInv[[#This Row],[Metal]] &amp; " " &amp; quantInv[[#This Row],[Item Type]])</f>
        <v xml:space="preserve">925 Silver </v>
      </c>
      <c r="T1099" s="33">
        <f>quantInv[[#This Row],[Quantity]]*quantInv[[#This Row],[WEIGHT]]</f>
        <v>0</v>
      </c>
      <c r="U1099" s="33">
        <f>quantInv[[#This Row],[UNIT
VALUE]]*quantInv[[#This Row],[Quantity]]</f>
        <v>0</v>
      </c>
      <c r="V1099" s="33">
        <f>quantInv[[#This Row],[Total Cost GBP]]/EURtoGBP</f>
        <v>0</v>
      </c>
      <c r="W1099" s="33">
        <f>quantInv[[#This Row],[Total Cost GBP]]/USDtoGBP</f>
        <v>0</v>
      </c>
      <c r="X1099" s="33">
        <f>quantInv[[#This Row],[Total Cost GBP]]/CADtoGBP</f>
        <v>0</v>
      </c>
      <c r="Y1099" s="33">
        <f>quantInv[[#This Row],[Quantity]]*quantInv[[#This Row],[UNIT
VALUE AUD]]</f>
        <v>0</v>
      </c>
      <c r="Z1099" s="33"/>
    </row>
    <row r="1100" spans="1:26" x14ac:dyDescent="0.25">
      <c r="A1100" t="s">
        <v>2650</v>
      </c>
      <c r="C1100" t="s">
        <v>115</v>
      </c>
      <c r="E1100">
        <v>0</v>
      </c>
      <c r="F1100" s="33">
        <v>2.9565999999999999</v>
      </c>
      <c r="G1100" s="33" t="s">
        <v>117</v>
      </c>
      <c r="H1100" t="s">
        <v>2875</v>
      </c>
      <c r="I1100" t="str">
        <f>IF(quantInv[[#This Row],[Metal]] = "925 Silver",  "7113.11.00"," 7113.19.00")</f>
        <v>7113.11.00</v>
      </c>
      <c r="J1100" t="str">
        <f>IF(quantInv[[#This Row],[Metal]] = "925 Silver", "7113.11.10.00"," 7113.19.10.00")</f>
        <v>7113.11.10.00</v>
      </c>
      <c r="K1100" t="str">
        <f>IF(quantInv[[#This Row],[Metal]] = "925 Silver",  "7113.11.00"," 7113.19.00")</f>
        <v>7113.11.00</v>
      </c>
      <c r="L1100" t="str">
        <f>IFERROR(VLOOKUP(quantInv[[#This Row],[Description for New Invoice]],Map!$G$12:$H$32,2,FALSE), IF(quantInv[[#This Row],[Metal]] = "925 Silver", "7113.11.10.00", "7113.19.29.00"))</f>
        <v>7113.11.10.00</v>
      </c>
      <c r="M1100" t="str">
        <f>quantInv[[#This Row],[ASIN]] &amp; " " &amp; quantInv[[#This Row],[Short Description]]</f>
        <v xml:space="preserve"> </v>
      </c>
      <c r="N1100" s="33">
        <f>quantInv[[#This Row],[UNIT
VALUE]] / EURtoGBP</f>
        <v>3.3560924667835836</v>
      </c>
      <c r="O1100" s="33">
        <f>quantInv[[#This Row],[UNIT
VALUE]]/USDtoGBP</f>
        <v>4.0530074038737025</v>
      </c>
      <c r="P1100" s="33">
        <f>quantInv[[#This Row],[UNIT
VALUE]] / CADtoGBP</f>
        <v>5.1880824660500489</v>
      </c>
      <c r="Q1100" s="33">
        <f>quantInv[[#This Row],[UNIT
VALUE]]/AUDtoGBP</f>
        <v>5.3103671240750048</v>
      </c>
      <c r="R1100">
        <f>IFERROR(VLOOKUP(quantInv[[#This Row],[Assigned Item SKU]],skuQuantity[#All],2,FALSE),0)</f>
        <v>0</v>
      </c>
      <c r="S1100" t="str">
        <f>PROPER(quantInv[[#This Row],[Metal]] &amp; " " &amp; quantInv[[#This Row],[Item Type]])</f>
        <v xml:space="preserve">925 Silver </v>
      </c>
      <c r="T1100" s="33">
        <f>quantInv[[#This Row],[Quantity]]*quantInv[[#This Row],[WEIGHT]]</f>
        <v>0</v>
      </c>
      <c r="U1100" s="33">
        <f>quantInv[[#This Row],[UNIT
VALUE]]*quantInv[[#This Row],[Quantity]]</f>
        <v>0</v>
      </c>
      <c r="V1100" s="33">
        <f>quantInv[[#This Row],[Total Cost GBP]]/EURtoGBP</f>
        <v>0</v>
      </c>
      <c r="W1100" s="33">
        <f>quantInv[[#This Row],[Total Cost GBP]]/USDtoGBP</f>
        <v>0</v>
      </c>
      <c r="X1100" s="33">
        <f>quantInv[[#This Row],[Total Cost GBP]]/CADtoGBP</f>
        <v>0</v>
      </c>
      <c r="Y1100" s="33">
        <f>quantInv[[#This Row],[Quantity]]*quantInv[[#This Row],[UNIT
VALUE AUD]]</f>
        <v>0</v>
      </c>
      <c r="Z1100" s="33"/>
    </row>
    <row r="1101" spans="1:26" x14ac:dyDescent="0.25">
      <c r="A1101" t="s">
        <v>2651</v>
      </c>
      <c r="C1101" t="s">
        <v>115</v>
      </c>
      <c r="E1101">
        <v>0</v>
      </c>
      <c r="F1101" s="33">
        <v>2.9565999999999999</v>
      </c>
      <c r="G1101" s="33" t="s">
        <v>117</v>
      </c>
      <c r="H1101" t="s">
        <v>2875</v>
      </c>
      <c r="I1101" t="str">
        <f>IF(quantInv[[#This Row],[Metal]] = "925 Silver",  "7113.11.00"," 7113.19.00")</f>
        <v>7113.11.00</v>
      </c>
      <c r="J1101" t="str">
        <f>IF(quantInv[[#This Row],[Metal]] = "925 Silver", "7113.11.10.00"," 7113.19.10.00")</f>
        <v>7113.11.10.00</v>
      </c>
      <c r="K1101" t="str">
        <f>IF(quantInv[[#This Row],[Metal]] = "925 Silver",  "7113.11.00"," 7113.19.00")</f>
        <v>7113.11.00</v>
      </c>
      <c r="L1101" t="str">
        <f>IFERROR(VLOOKUP(quantInv[[#This Row],[Description for New Invoice]],Map!$G$12:$H$32,2,FALSE), IF(quantInv[[#This Row],[Metal]] = "925 Silver", "7113.11.10.00", "7113.19.29.00"))</f>
        <v>7113.11.10.00</v>
      </c>
      <c r="M1101" t="str">
        <f>quantInv[[#This Row],[ASIN]] &amp; " " &amp; quantInv[[#This Row],[Short Description]]</f>
        <v xml:space="preserve"> </v>
      </c>
      <c r="N1101" s="33">
        <f>quantInv[[#This Row],[UNIT
VALUE]] / EURtoGBP</f>
        <v>3.3560924667835836</v>
      </c>
      <c r="O1101" s="33">
        <f>quantInv[[#This Row],[UNIT
VALUE]]/USDtoGBP</f>
        <v>4.0530074038737025</v>
      </c>
      <c r="P1101" s="33">
        <f>quantInv[[#This Row],[UNIT
VALUE]] / CADtoGBP</f>
        <v>5.1880824660500489</v>
      </c>
      <c r="Q1101" s="33">
        <f>quantInv[[#This Row],[UNIT
VALUE]]/AUDtoGBP</f>
        <v>5.3103671240750048</v>
      </c>
      <c r="R1101">
        <f>IFERROR(VLOOKUP(quantInv[[#This Row],[Assigned Item SKU]],skuQuantity[#All],2,FALSE),0)</f>
        <v>0</v>
      </c>
      <c r="S1101" t="str">
        <f>PROPER(quantInv[[#This Row],[Metal]] &amp; " " &amp; quantInv[[#This Row],[Item Type]])</f>
        <v xml:space="preserve">925 Silver </v>
      </c>
      <c r="T1101" s="33">
        <f>quantInv[[#This Row],[Quantity]]*quantInv[[#This Row],[WEIGHT]]</f>
        <v>0</v>
      </c>
      <c r="U1101" s="33">
        <f>quantInv[[#This Row],[UNIT
VALUE]]*quantInv[[#This Row],[Quantity]]</f>
        <v>0</v>
      </c>
      <c r="V1101" s="33">
        <f>quantInv[[#This Row],[Total Cost GBP]]/EURtoGBP</f>
        <v>0</v>
      </c>
      <c r="W1101" s="33">
        <f>quantInv[[#This Row],[Total Cost GBP]]/USDtoGBP</f>
        <v>0</v>
      </c>
      <c r="X1101" s="33">
        <f>quantInv[[#This Row],[Total Cost GBP]]/CADtoGBP</f>
        <v>0</v>
      </c>
      <c r="Y1101" s="33">
        <f>quantInv[[#This Row],[Quantity]]*quantInv[[#This Row],[UNIT
VALUE AUD]]</f>
        <v>0</v>
      </c>
      <c r="Z1101" s="33"/>
    </row>
    <row r="1102" spans="1:26" x14ac:dyDescent="0.25">
      <c r="A1102" t="s">
        <v>2652</v>
      </c>
      <c r="C1102" t="s">
        <v>115</v>
      </c>
      <c r="E1102">
        <v>0</v>
      </c>
      <c r="F1102" s="33">
        <v>2.9565999999999999</v>
      </c>
      <c r="G1102" s="33" t="s">
        <v>117</v>
      </c>
      <c r="H1102" t="s">
        <v>2875</v>
      </c>
      <c r="I1102" t="str">
        <f>IF(quantInv[[#This Row],[Metal]] = "925 Silver",  "7113.11.00"," 7113.19.00")</f>
        <v>7113.11.00</v>
      </c>
      <c r="J1102" t="str">
        <f>IF(quantInv[[#This Row],[Metal]] = "925 Silver", "7113.11.10.00"," 7113.19.10.00")</f>
        <v>7113.11.10.00</v>
      </c>
      <c r="K1102" t="str">
        <f>IF(quantInv[[#This Row],[Metal]] = "925 Silver",  "7113.11.00"," 7113.19.00")</f>
        <v>7113.11.00</v>
      </c>
      <c r="L1102" t="str">
        <f>IFERROR(VLOOKUP(quantInv[[#This Row],[Description for New Invoice]],Map!$G$12:$H$32,2,FALSE), IF(quantInv[[#This Row],[Metal]] = "925 Silver", "7113.11.10.00", "7113.19.29.00"))</f>
        <v>7113.11.10.00</v>
      </c>
      <c r="M1102" t="str">
        <f>quantInv[[#This Row],[ASIN]] &amp; " " &amp; quantInv[[#This Row],[Short Description]]</f>
        <v xml:space="preserve"> </v>
      </c>
      <c r="N1102" s="33">
        <f>quantInv[[#This Row],[UNIT
VALUE]] / EURtoGBP</f>
        <v>3.3560924667835836</v>
      </c>
      <c r="O1102" s="33">
        <f>quantInv[[#This Row],[UNIT
VALUE]]/USDtoGBP</f>
        <v>4.0530074038737025</v>
      </c>
      <c r="P1102" s="33">
        <f>quantInv[[#This Row],[UNIT
VALUE]] / CADtoGBP</f>
        <v>5.1880824660500489</v>
      </c>
      <c r="Q1102" s="33">
        <f>quantInv[[#This Row],[UNIT
VALUE]]/AUDtoGBP</f>
        <v>5.3103671240750048</v>
      </c>
      <c r="R1102">
        <f>IFERROR(VLOOKUP(quantInv[[#This Row],[Assigned Item SKU]],skuQuantity[#All],2,FALSE),0)</f>
        <v>0</v>
      </c>
      <c r="S1102" t="str">
        <f>PROPER(quantInv[[#This Row],[Metal]] &amp; " " &amp; quantInv[[#This Row],[Item Type]])</f>
        <v xml:space="preserve">925 Silver </v>
      </c>
      <c r="T1102" s="33">
        <f>quantInv[[#This Row],[Quantity]]*quantInv[[#This Row],[WEIGHT]]</f>
        <v>0</v>
      </c>
      <c r="U1102" s="33">
        <f>quantInv[[#This Row],[UNIT
VALUE]]*quantInv[[#This Row],[Quantity]]</f>
        <v>0</v>
      </c>
      <c r="V1102" s="33">
        <f>quantInv[[#This Row],[Total Cost GBP]]/EURtoGBP</f>
        <v>0</v>
      </c>
      <c r="W1102" s="33">
        <f>quantInv[[#This Row],[Total Cost GBP]]/USDtoGBP</f>
        <v>0</v>
      </c>
      <c r="X1102" s="33">
        <f>quantInv[[#This Row],[Total Cost GBP]]/CADtoGBP</f>
        <v>0</v>
      </c>
      <c r="Y1102" s="33">
        <f>quantInv[[#This Row],[Quantity]]*quantInv[[#This Row],[UNIT
VALUE AUD]]</f>
        <v>0</v>
      </c>
      <c r="Z1102" s="33"/>
    </row>
    <row r="1103" spans="1:26" x14ac:dyDescent="0.25">
      <c r="A1103" t="s">
        <v>2653</v>
      </c>
      <c r="C1103" t="s">
        <v>115</v>
      </c>
      <c r="E1103">
        <v>0</v>
      </c>
      <c r="F1103" s="33">
        <v>2.9565999999999999</v>
      </c>
      <c r="G1103" s="33" t="s">
        <v>117</v>
      </c>
      <c r="H1103" t="s">
        <v>2875</v>
      </c>
      <c r="I1103" t="str">
        <f>IF(quantInv[[#This Row],[Metal]] = "925 Silver",  "7113.11.00"," 7113.19.00")</f>
        <v>7113.11.00</v>
      </c>
      <c r="J1103" t="str">
        <f>IF(quantInv[[#This Row],[Metal]] = "925 Silver", "7113.11.10.00"," 7113.19.10.00")</f>
        <v>7113.11.10.00</v>
      </c>
      <c r="K1103" t="str">
        <f>IF(quantInv[[#This Row],[Metal]] = "925 Silver",  "7113.11.00"," 7113.19.00")</f>
        <v>7113.11.00</v>
      </c>
      <c r="L1103" t="str">
        <f>IFERROR(VLOOKUP(quantInv[[#This Row],[Description for New Invoice]],Map!$G$12:$H$32,2,FALSE), IF(quantInv[[#This Row],[Metal]] = "925 Silver", "7113.11.10.00", "7113.19.29.00"))</f>
        <v>7113.11.10.00</v>
      </c>
      <c r="M1103" t="str">
        <f>quantInv[[#This Row],[ASIN]] &amp; " " &amp; quantInv[[#This Row],[Short Description]]</f>
        <v xml:space="preserve"> </v>
      </c>
      <c r="N1103" s="33">
        <f>quantInv[[#This Row],[UNIT
VALUE]] / EURtoGBP</f>
        <v>3.3560924667835836</v>
      </c>
      <c r="O1103" s="33">
        <f>quantInv[[#This Row],[UNIT
VALUE]]/USDtoGBP</f>
        <v>4.0530074038737025</v>
      </c>
      <c r="P1103" s="33">
        <f>quantInv[[#This Row],[UNIT
VALUE]] / CADtoGBP</f>
        <v>5.1880824660500489</v>
      </c>
      <c r="Q1103" s="33">
        <f>quantInv[[#This Row],[UNIT
VALUE]]/AUDtoGBP</f>
        <v>5.3103671240750048</v>
      </c>
      <c r="R1103">
        <f>IFERROR(VLOOKUP(quantInv[[#This Row],[Assigned Item SKU]],skuQuantity[#All],2,FALSE),0)</f>
        <v>0</v>
      </c>
      <c r="S1103" t="str">
        <f>PROPER(quantInv[[#This Row],[Metal]] &amp; " " &amp; quantInv[[#This Row],[Item Type]])</f>
        <v xml:space="preserve">925 Silver </v>
      </c>
      <c r="T1103" s="33">
        <f>quantInv[[#This Row],[Quantity]]*quantInv[[#This Row],[WEIGHT]]</f>
        <v>0</v>
      </c>
      <c r="U1103" s="33">
        <f>quantInv[[#This Row],[UNIT
VALUE]]*quantInv[[#This Row],[Quantity]]</f>
        <v>0</v>
      </c>
      <c r="V1103" s="33">
        <f>quantInv[[#This Row],[Total Cost GBP]]/EURtoGBP</f>
        <v>0</v>
      </c>
      <c r="W1103" s="33">
        <f>quantInv[[#This Row],[Total Cost GBP]]/USDtoGBP</f>
        <v>0</v>
      </c>
      <c r="X1103" s="33">
        <f>quantInv[[#This Row],[Total Cost GBP]]/CADtoGBP</f>
        <v>0</v>
      </c>
      <c r="Y1103" s="33">
        <f>quantInv[[#This Row],[Quantity]]*quantInv[[#This Row],[UNIT
VALUE AUD]]</f>
        <v>0</v>
      </c>
      <c r="Z1103" s="33"/>
    </row>
    <row r="1104" spans="1:26" x14ac:dyDescent="0.25">
      <c r="A1104" t="s">
        <v>2654</v>
      </c>
      <c r="C1104" t="s">
        <v>115</v>
      </c>
      <c r="E1104">
        <v>0</v>
      </c>
      <c r="F1104" s="33">
        <v>2.9565999999999999</v>
      </c>
      <c r="G1104" s="33" t="s">
        <v>117</v>
      </c>
      <c r="H1104" t="s">
        <v>2875</v>
      </c>
      <c r="I1104" t="str">
        <f>IF(quantInv[[#This Row],[Metal]] = "925 Silver",  "7113.11.00"," 7113.19.00")</f>
        <v>7113.11.00</v>
      </c>
      <c r="J1104" t="str">
        <f>IF(quantInv[[#This Row],[Metal]] = "925 Silver", "7113.11.10.00"," 7113.19.10.00")</f>
        <v>7113.11.10.00</v>
      </c>
      <c r="K1104" t="str">
        <f>IF(quantInv[[#This Row],[Metal]] = "925 Silver",  "7113.11.00"," 7113.19.00")</f>
        <v>7113.11.00</v>
      </c>
      <c r="L1104" t="str">
        <f>IFERROR(VLOOKUP(quantInv[[#This Row],[Description for New Invoice]],Map!$G$12:$H$32,2,FALSE), IF(quantInv[[#This Row],[Metal]] = "925 Silver", "7113.11.10.00", "7113.19.29.00"))</f>
        <v>7113.11.10.00</v>
      </c>
      <c r="M1104" t="str">
        <f>quantInv[[#This Row],[ASIN]] &amp; " " &amp; quantInv[[#This Row],[Short Description]]</f>
        <v xml:space="preserve"> </v>
      </c>
      <c r="N1104" s="33">
        <f>quantInv[[#This Row],[UNIT
VALUE]] / EURtoGBP</f>
        <v>3.3560924667835836</v>
      </c>
      <c r="O1104" s="33">
        <f>quantInv[[#This Row],[UNIT
VALUE]]/USDtoGBP</f>
        <v>4.0530074038737025</v>
      </c>
      <c r="P1104" s="33">
        <f>quantInv[[#This Row],[UNIT
VALUE]] / CADtoGBP</f>
        <v>5.1880824660500489</v>
      </c>
      <c r="Q1104" s="33">
        <f>quantInv[[#This Row],[UNIT
VALUE]]/AUDtoGBP</f>
        <v>5.3103671240750048</v>
      </c>
      <c r="R1104">
        <f>IFERROR(VLOOKUP(quantInv[[#This Row],[Assigned Item SKU]],skuQuantity[#All],2,FALSE),0)</f>
        <v>0</v>
      </c>
      <c r="S1104" t="str">
        <f>PROPER(quantInv[[#This Row],[Metal]] &amp; " " &amp; quantInv[[#This Row],[Item Type]])</f>
        <v xml:space="preserve">925 Silver </v>
      </c>
      <c r="T1104" s="33">
        <f>quantInv[[#This Row],[Quantity]]*quantInv[[#This Row],[WEIGHT]]</f>
        <v>0</v>
      </c>
      <c r="U1104" s="33">
        <f>quantInv[[#This Row],[UNIT
VALUE]]*quantInv[[#This Row],[Quantity]]</f>
        <v>0</v>
      </c>
      <c r="V1104" s="33">
        <f>quantInv[[#This Row],[Total Cost GBP]]/EURtoGBP</f>
        <v>0</v>
      </c>
      <c r="W1104" s="33">
        <f>quantInv[[#This Row],[Total Cost GBP]]/USDtoGBP</f>
        <v>0</v>
      </c>
      <c r="X1104" s="33">
        <f>quantInv[[#This Row],[Total Cost GBP]]/CADtoGBP</f>
        <v>0</v>
      </c>
      <c r="Y1104" s="33">
        <f>quantInv[[#This Row],[Quantity]]*quantInv[[#This Row],[UNIT
VALUE AUD]]</f>
        <v>0</v>
      </c>
      <c r="Z1104" s="33"/>
    </row>
    <row r="1105" spans="1:26" x14ac:dyDescent="0.25">
      <c r="A1105" t="s">
        <v>2655</v>
      </c>
      <c r="C1105" t="s">
        <v>115</v>
      </c>
      <c r="E1105">
        <v>0</v>
      </c>
      <c r="F1105" s="33">
        <v>2.9565999999999999</v>
      </c>
      <c r="G1105" s="33" t="s">
        <v>117</v>
      </c>
      <c r="H1105" t="s">
        <v>2875</v>
      </c>
      <c r="I1105" t="str">
        <f>IF(quantInv[[#This Row],[Metal]] = "925 Silver",  "7113.11.00"," 7113.19.00")</f>
        <v>7113.11.00</v>
      </c>
      <c r="J1105" t="str">
        <f>IF(quantInv[[#This Row],[Metal]] = "925 Silver", "7113.11.10.00"," 7113.19.10.00")</f>
        <v>7113.11.10.00</v>
      </c>
      <c r="K1105" t="str">
        <f>IF(quantInv[[#This Row],[Metal]] = "925 Silver",  "7113.11.00"," 7113.19.00")</f>
        <v>7113.11.00</v>
      </c>
      <c r="L1105" t="str">
        <f>IFERROR(VLOOKUP(quantInv[[#This Row],[Description for New Invoice]],Map!$G$12:$H$32,2,FALSE), IF(quantInv[[#This Row],[Metal]] = "925 Silver", "7113.11.10.00", "7113.19.29.00"))</f>
        <v>7113.11.10.00</v>
      </c>
      <c r="M1105" t="str">
        <f>quantInv[[#This Row],[ASIN]] &amp; " " &amp; quantInv[[#This Row],[Short Description]]</f>
        <v xml:space="preserve"> </v>
      </c>
      <c r="N1105" s="33">
        <f>quantInv[[#This Row],[UNIT
VALUE]] / EURtoGBP</f>
        <v>3.3560924667835836</v>
      </c>
      <c r="O1105" s="33">
        <f>quantInv[[#This Row],[UNIT
VALUE]]/USDtoGBP</f>
        <v>4.0530074038737025</v>
      </c>
      <c r="P1105" s="33">
        <f>quantInv[[#This Row],[UNIT
VALUE]] / CADtoGBP</f>
        <v>5.1880824660500489</v>
      </c>
      <c r="Q1105" s="33">
        <f>quantInv[[#This Row],[UNIT
VALUE]]/AUDtoGBP</f>
        <v>5.3103671240750048</v>
      </c>
      <c r="R1105">
        <f>IFERROR(VLOOKUP(quantInv[[#This Row],[Assigned Item SKU]],skuQuantity[#All],2,FALSE),0)</f>
        <v>0</v>
      </c>
      <c r="S1105" t="str">
        <f>PROPER(quantInv[[#This Row],[Metal]] &amp; " " &amp; quantInv[[#This Row],[Item Type]])</f>
        <v xml:space="preserve">925 Silver </v>
      </c>
      <c r="T1105" s="33">
        <f>quantInv[[#This Row],[Quantity]]*quantInv[[#This Row],[WEIGHT]]</f>
        <v>0</v>
      </c>
      <c r="U1105" s="33">
        <f>quantInv[[#This Row],[UNIT
VALUE]]*quantInv[[#This Row],[Quantity]]</f>
        <v>0</v>
      </c>
      <c r="V1105" s="33">
        <f>quantInv[[#This Row],[Total Cost GBP]]/EURtoGBP</f>
        <v>0</v>
      </c>
      <c r="W1105" s="33">
        <f>quantInv[[#This Row],[Total Cost GBP]]/USDtoGBP</f>
        <v>0</v>
      </c>
      <c r="X1105" s="33">
        <f>quantInv[[#This Row],[Total Cost GBP]]/CADtoGBP</f>
        <v>0</v>
      </c>
      <c r="Y1105" s="33">
        <f>quantInv[[#This Row],[Quantity]]*quantInv[[#This Row],[UNIT
VALUE AUD]]</f>
        <v>0</v>
      </c>
      <c r="Z1105" s="33"/>
    </row>
    <row r="1106" spans="1:26" x14ac:dyDescent="0.25">
      <c r="A1106" t="s">
        <v>2656</v>
      </c>
      <c r="C1106" t="s">
        <v>115</v>
      </c>
      <c r="E1106">
        <v>0</v>
      </c>
      <c r="F1106" s="33">
        <v>2.9565999999999999</v>
      </c>
      <c r="G1106" s="33" t="s">
        <v>117</v>
      </c>
      <c r="H1106" t="s">
        <v>2875</v>
      </c>
      <c r="I1106" t="str">
        <f>IF(quantInv[[#This Row],[Metal]] = "925 Silver",  "7113.11.00"," 7113.19.00")</f>
        <v>7113.11.00</v>
      </c>
      <c r="J1106" t="str">
        <f>IF(quantInv[[#This Row],[Metal]] = "925 Silver", "7113.11.10.00"," 7113.19.10.00")</f>
        <v>7113.11.10.00</v>
      </c>
      <c r="K1106" t="str">
        <f>IF(quantInv[[#This Row],[Metal]] = "925 Silver",  "7113.11.00"," 7113.19.00")</f>
        <v>7113.11.00</v>
      </c>
      <c r="L1106" t="str">
        <f>IFERROR(VLOOKUP(quantInv[[#This Row],[Description for New Invoice]],Map!$G$12:$H$32,2,FALSE), IF(quantInv[[#This Row],[Metal]] = "925 Silver", "7113.11.10.00", "7113.19.29.00"))</f>
        <v>7113.11.10.00</v>
      </c>
      <c r="M1106" t="str">
        <f>quantInv[[#This Row],[ASIN]] &amp; " " &amp; quantInv[[#This Row],[Short Description]]</f>
        <v xml:space="preserve"> </v>
      </c>
      <c r="N1106" s="33">
        <f>quantInv[[#This Row],[UNIT
VALUE]] / EURtoGBP</f>
        <v>3.3560924667835836</v>
      </c>
      <c r="O1106" s="33">
        <f>quantInv[[#This Row],[UNIT
VALUE]]/USDtoGBP</f>
        <v>4.0530074038737025</v>
      </c>
      <c r="P1106" s="33">
        <f>quantInv[[#This Row],[UNIT
VALUE]] / CADtoGBP</f>
        <v>5.1880824660500489</v>
      </c>
      <c r="Q1106" s="33">
        <f>quantInv[[#This Row],[UNIT
VALUE]]/AUDtoGBP</f>
        <v>5.3103671240750048</v>
      </c>
      <c r="R1106">
        <f>IFERROR(VLOOKUP(quantInv[[#This Row],[Assigned Item SKU]],skuQuantity[#All],2,FALSE),0)</f>
        <v>0</v>
      </c>
      <c r="S1106" t="str">
        <f>PROPER(quantInv[[#This Row],[Metal]] &amp; " " &amp; quantInv[[#This Row],[Item Type]])</f>
        <v xml:space="preserve">925 Silver </v>
      </c>
      <c r="T1106" s="33">
        <f>quantInv[[#This Row],[Quantity]]*quantInv[[#This Row],[WEIGHT]]</f>
        <v>0</v>
      </c>
      <c r="U1106" s="33">
        <f>quantInv[[#This Row],[UNIT
VALUE]]*quantInv[[#This Row],[Quantity]]</f>
        <v>0</v>
      </c>
      <c r="V1106" s="33">
        <f>quantInv[[#This Row],[Total Cost GBP]]/EURtoGBP</f>
        <v>0</v>
      </c>
      <c r="W1106" s="33">
        <f>quantInv[[#This Row],[Total Cost GBP]]/USDtoGBP</f>
        <v>0</v>
      </c>
      <c r="X1106" s="33">
        <f>quantInv[[#This Row],[Total Cost GBP]]/CADtoGBP</f>
        <v>0</v>
      </c>
      <c r="Y1106" s="33">
        <f>quantInv[[#This Row],[Quantity]]*quantInv[[#This Row],[UNIT
VALUE AUD]]</f>
        <v>0</v>
      </c>
      <c r="Z1106" s="33"/>
    </row>
    <row r="1107" spans="1:26" x14ac:dyDescent="0.25">
      <c r="A1107" t="s">
        <v>2657</v>
      </c>
      <c r="C1107" t="s">
        <v>115</v>
      </c>
      <c r="E1107">
        <v>0</v>
      </c>
      <c r="F1107" s="33">
        <v>2.9565999999999999</v>
      </c>
      <c r="G1107" s="33" t="s">
        <v>117</v>
      </c>
      <c r="H1107" t="s">
        <v>2875</v>
      </c>
      <c r="I1107" t="str">
        <f>IF(quantInv[[#This Row],[Metal]] = "925 Silver",  "7113.11.00"," 7113.19.00")</f>
        <v>7113.11.00</v>
      </c>
      <c r="J1107" t="str">
        <f>IF(quantInv[[#This Row],[Metal]] = "925 Silver", "7113.11.10.00"," 7113.19.10.00")</f>
        <v>7113.11.10.00</v>
      </c>
      <c r="K1107" t="str">
        <f>IF(quantInv[[#This Row],[Metal]] = "925 Silver",  "7113.11.00"," 7113.19.00")</f>
        <v>7113.11.00</v>
      </c>
      <c r="L1107" t="str">
        <f>IFERROR(VLOOKUP(quantInv[[#This Row],[Description for New Invoice]],Map!$G$12:$H$32,2,FALSE), IF(quantInv[[#This Row],[Metal]] = "925 Silver", "7113.11.10.00", "7113.19.29.00"))</f>
        <v>7113.11.10.00</v>
      </c>
      <c r="M1107" t="str">
        <f>quantInv[[#This Row],[ASIN]] &amp; " " &amp; quantInv[[#This Row],[Short Description]]</f>
        <v xml:space="preserve"> </v>
      </c>
      <c r="N1107" s="33">
        <f>quantInv[[#This Row],[UNIT
VALUE]] / EURtoGBP</f>
        <v>3.3560924667835836</v>
      </c>
      <c r="O1107" s="33">
        <f>quantInv[[#This Row],[UNIT
VALUE]]/USDtoGBP</f>
        <v>4.0530074038737025</v>
      </c>
      <c r="P1107" s="33">
        <f>quantInv[[#This Row],[UNIT
VALUE]] / CADtoGBP</f>
        <v>5.1880824660500489</v>
      </c>
      <c r="Q1107" s="33">
        <f>quantInv[[#This Row],[UNIT
VALUE]]/AUDtoGBP</f>
        <v>5.3103671240750048</v>
      </c>
      <c r="R1107">
        <f>IFERROR(VLOOKUP(quantInv[[#This Row],[Assigned Item SKU]],skuQuantity[#All],2,FALSE),0)</f>
        <v>0</v>
      </c>
      <c r="S1107" t="str">
        <f>PROPER(quantInv[[#This Row],[Metal]] &amp; " " &amp; quantInv[[#This Row],[Item Type]])</f>
        <v xml:space="preserve">925 Silver </v>
      </c>
      <c r="T1107" s="33">
        <f>quantInv[[#This Row],[Quantity]]*quantInv[[#This Row],[WEIGHT]]</f>
        <v>0</v>
      </c>
      <c r="U1107" s="33">
        <f>quantInv[[#This Row],[UNIT
VALUE]]*quantInv[[#This Row],[Quantity]]</f>
        <v>0</v>
      </c>
      <c r="V1107" s="33">
        <f>quantInv[[#This Row],[Total Cost GBP]]/EURtoGBP</f>
        <v>0</v>
      </c>
      <c r="W1107" s="33">
        <f>quantInv[[#This Row],[Total Cost GBP]]/USDtoGBP</f>
        <v>0</v>
      </c>
      <c r="X1107" s="33">
        <f>quantInv[[#This Row],[Total Cost GBP]]/CADtoGBP</f>
        <v>0</v>
      </c>
      <c r="Y1107" s="33">
        <f>quantInv[[#This Row],[Quantity]]*quantInv[[#This Row],[UNIT
VALUE AUD]]</f>
        <v>0</v>
      </c>
      <c r="Z1107" s="33"/>
    </row>
    <row r="1108" spans="1:26" x14ac:dyDescent="0.25">
      <c r="A1108" t="s">
        <v>2658</v>
      </c>
      <c r="C1108" t="s">
        <v>115</v>
      </c>
      <c r="E1108">
        <v>0</v>
      </c>
      <c r="F1108" s="33">
        <v>2.9565999999999999</v>
      </c>
      <c r="G1108" s="33" t="s">
        <v>117</v>
      </c>
      <c r="H1108" t="s">
        <v>2875</v>
      </c>
      <c r="I1108" t="str">
        <f>IF(quantInv[[#This Row],[Metal]] = "925 Silver",  "7113.11.00"," 7113.19.00")</f>
        <v>7113.11.00</v>
      </c>
      <c r="J1108" t="str">
        <f>IF(quantInv[[#This Row],[Metal]] = "925 Silver", "7113.11.10.00"," 7113.19.10.00")</f>
        <v>7113.11.10.00</v>
      </c>
      <c r="K1108" t="str">
        <f>IF(quantInv[[#This Row],[Metal]] = "925 Silver",  "7113.11.00"," 7113.19.00")</f>
        <v>7113.11.00</v>
      </c>
      <c r="L1108" t="str">
        <f>IFERROR(VLOOKUP(quantInv[[#This Row],[Description for New Invoice]],Map!$G$12:$H$32,2,FALSE), IF(quantInv[[#This Row],[Metal]] = "925 Silver", "7113.11.10.00", "7113.19.29.00"))</f>
        <v>7113.11.10.00</v>
      </c>
      <c r="M1108" t="str">
        <f>quantInv[[#This Row],[ASIN]] &amp; " " &amp; quantInv[[#This Row],[Short Description]]</f>
        <v xml:space="preserve"> </v>
      </c>
      <c r="N1108" s="33">
        <f>quantInv[[#This Row],[UNIT
VALUE]] / EURtoGBP</f>
        <v>3.3560924667835836</v>
      </c>
      <c r="O1108" s="33">
        <f>quantInv[[#This Row],[UNIT
VALUE]]/USDtoGBP</f>
        <v>4.0530074038737025</v>
      </c>
      <c r="P1108" s="33">
        <f>quantInv[[#This Row],[UNIT
VALUE]] / CADtoGBP</f>
        <v>5.1880824660500489</v>
      </c>
      <c r="Q1108" s="33">
        <f>quantInv[[#This Row],[UNIT
VALUE]]/AUDtoGBP</f>
        <v>5.3103671240750048</v>
      </c>
      <c r="R1108">
        <f>IFERROR(VLOOKUP(quantInv[[#This Row],[Assigned Item SKU]],skuQuantity[#All],2,FALSE),0)</f>
        <v>0</v>
      </c>
      <c r="S1108" t="str">
        <f>PROPER(quantInv[[#This Row],[Metal]] &amp; " " &amp; quantInv[[#This Row],[Item Type]])</f>
        <v xml:space="preserve">925 Silver </v>
      </c>
      <c r="T1108" s="33">
        <f>quantInv[[#This Row],[Quantity]]*quantInv[[#This Row],[WEIGHT]]</f>
        <v>0</v>
      </c>
      <c r="U1108" s="33">
        <f>quantInv[[#This Row],[UNIT
VALUE]]*quantInv[[#This Row],[Quantity]]</f>
        <v>0</v>
      </c>
      <c r="V1108" s="33">
        <f>quantInv[[#This Row],[Total Cost GBP]]/EURtoGBP</f>
        <v>0</v>
      </c>
      <c r="W1108" s="33">
        <f>quantInv[[#This Row],[Total Cost GBP]]/USDtoGBP</f>
        <v>0</v>
      </c>
      <c r="X1108" s="33">
        <f>quantInv[[#This Row],[Total Cost GBP]]/CADtoGBP</f>
        <v>0</v>
      </c>
      <c r="Y1108" s="33">
        <f>quantInv[[#This Row],[Quantity]]*quantInv[[#This Row],[UNIT
VALUE AUD]]</f>
        <v>0</v>
      </c>
      <c r="Z1108" s="33"/>
    </row>
    <row r="1109" spans="1:26" x14ac:dyDescent="0.25">
      <c r="A1109" t="s">
        <v>2659</v>
      </c>
      <c r="C1109" t="s">
        <v>115</v>
      </c>
      <c r="E1109">
        <v>0</v>
      </c>
      <c r="F1109" s="33">
        <v>2.9565999999999999</v>
      </c>
      <c r="G1109" s="33" t="s">
        <v>117</v>
      </c>
      <c r="H1109" t="s">
        <v>2875</v>
      </c>
      <c r="I1109" t="str">
        <f>IF(quantInv[[#This Row],[Metal]] = "925 Silver",  "7113.11.00"," 7113.19.00")</f>
        <v>7113.11.00</v>
      </c>
      <c r="J1109" t="str">
        <f>IF(quantInv[[#This Row],[Metal]] = "925 Silver", "7113.11.10.00"," 7113.19.10.00")</f>
        <v>7113.11.10.00</v>
      </c>
      <c r="K1109" t="str">
        <f>IF(quantInv[[#This Row],[Metal]] = "925 Silver",  "7113.11.00"," 7113.19.00")</f>
        <v>7113.11.00</v>
      </c>
      <c r="L1109" t="str">
        <f>IFERROR(VLOOKUP(quantInv[[#This Row],[Description for New Invoice]],Map!$G$12:$H$32,2,FALSE), IF(quantInv[[#This Row],[Metal]] = "925 Silver", "7113.11.10.00", "7113.19.29.00"))</f>
        <v>7113.11.10.00</v>
      </c>
      <c r="M1109" t="str">
        <f>quantInv[[#This Row],[ASIN]] &amp; " " &amp; quantInv[[#This Row],[Short Description]]</f>
        <v xml:space="preserve"> </v>
      </c>
      <c r="N1109" s="33">
        <f>quantInv[[#This Row],[UNIT
VALUE]] / EURtoGBP</f>
        <v>3.3560924667835836</v>
      </c>
      <c r="O1109" s="33">
        <f>quantInv[[#This Row],[UNIT
VALUE]]/USDtoGBP</f>
        <v>4.0530074038737025</v>
      </c>
      <c r="P1109" s="33">
        <f>quantInv[[#This Row],[UNIT
VALUE]] / CADtoGBP</f>
        <v>5.1880824660500489</v>
      </c>
      <c r="Q1109" s="33">
        <f>quantInv[[#This Row],[UNIT
VALUE]]/AUDtoGBP</f>
        <v>5.3103671240750048</v>
      </c>
      <c r="R1109">
        <f>IFERROR(VLOOKUP(quantInv[[#This Row],[Assigned Item SKU]],skuQuantity[#All],2,FALSE),0)</f>
        <v>0</v>
      </c>
      <c r="S1109" t="str">
        <f>PROPER(quantInv[[#This Row],[Metal]] &amp; " " &amp; quantInv[[#This Row],[Item Type]])</f>
        <v xml:space="preserve">925 Silver </v>
      </c>
      <c r="T1109" s="33">
        <f>quantInv[[#This Row],[Quantity]]*quantInv[[#This Row],[WEIGHT]]</f>
        <v>0</v>
      </c>
      <c r="U1109" s="33">
        <f>quantInv[[#This Row],[UNIT
VALUE]]*quantInv[[#This Row],[Quantity]]</f>
        <v>0</v>
      </c>
      <c r="V1109" s="33">
        <f>quantInv[[#This Row],[Total Cost GBP]]/EURtoGBP</f>
        <v>0</v>
      </c>
      <c r="W1109" s="33">
        <f>quantInv[[#This Row],[Total Cost GBP]]/USDtoGBP</f>
        <v>0</v>
      </c>
      <c r="X1109" s="33">
        <f>quantInv[[#This Row],[Total Cost GBP]]/CADtoGBP</f>
        <v>0</v>
      </c>
      <c r="Y1109" s="33">
        <f>quantInv[[#This Row],[Quantity]]*quantInv[[#This Row],[UNIT
VALUE AUD]]</f>
        <v>0</v>
      </c>
      <c r="Z1109" s="33"/>
    </row>
    <row r="1110" spans="1:26" x14ac:dyDescent="0.25">
      <c r="A1110" t="s">
        <v>2660</v>
      </c>
      <c r="C1110" t="s">
        <v>115</v>
      </c>
      <c r="D1110" t="s">
        <v>2661</v>
      </c>
      <c r="E1110">
        <v>0</v>
      </c>
      <c r="F1110" s="33">
        <v>5.0236999999999998</v>
      </c>
      <c r="G1110" s="33" t="s">
        <v>117</v>
      </c>
      <c r="H1110" t="s">
        <v>2875</v>
      </c>
      <c r="I1110" t="str">
        <f>IF(quantInv[[#This Row],[Metal]] = "925 Silver",  "7113.11.00"," 7113.19.00")</f>
        <v>7113.11.00</v>
      </c>
      <c r="J1110" t="str">
        <f>IF(quantInv[[#This Row],[Metal]] = "925 Silver", "7113.11.10.00"," 7113.19.10.00")</f>
        <v>7113.11.10.00</v>
      </c>
      <c r="K1110" t="str">
        <f>IF(quantInv[[#This Row],[Metal]] = "925 Silver",  "7113.11.00"," 7113.19.00")</f>
        <v>7113.11.00</v>
      </c>
      <c r="L1110" t="str">
        <f>IFERROR(VLOOKUP(quantInv[[#This Row],[Description for New Invoice]],Map!$G$12:$H$32,2,FALSE), IF(quantInv[[#This Row],[Metal]] = "925 Silver", "7113.11.10.00", "7113.19.29.00"))</f>
        <v>7113.11.10.00</v>
      </c>
      <c r="M1110" t="str">
        <f>quantInv[[#This Row],[ASIN]] &amp; " " &amp; quantInv[[#This Row],[Short Description]]</f>
        <v xml:space="preserve"> Birthstones necklaces</v>
      </c>
      <c r="N1110" s="33">
        <f>quantInv[[#This Row],[UNIT
VALUE]] / EURtoGBP</f>
        <v>5.7024966939662756</v>
      </c>
      <c r="O1110" s="33">
        <f>quantInv[[#This Row],[UNIT
VALUE]]/USDtoGBP</f>
        <v>6.8866580852466743</v>
      </c>
      <c r="P1110" s="33">
        <f>quantInv[[#This Row],[UNIT
VALUE]] / CADtoGBP</f>
        <v>8.8153182319879679</v>
      </c>
      <c r="Q1110" s="33">
        <f>quantInv[[#This Row],[UNIT
VALUE]]/AUDtoGBP</f>
        <v>9.0230979237014139</v>
      </c>
      <c r="R1110">
        <f>IFERROR(VLOOKUP(quantInv[[#This Row],[Assigned Item SKU]],skuQuantity[#All],2,FALSE),0)</f>
        <v>0</v>
      </c>
      <c r="S1110" t="str">
        <f>PROPER(quantInv[[#This Row],[Metal]] &amp; " " &amp; quantInv[[#This Row],[Item Type]])</f>
        <v xml:space="preserve">925 Silver </v>
      </c>
      <c r="T1110" s="33">
        <f>quantInv[[#This Row],[Quantity]]*quantInv[[#This Row],[WEIGHT]]</f>
        <v>0</v>
      </c>
      <c r="U1110" s="33">
        <f>quantInv[[#This Row],[UNIT
VALUE]]*quantInv[[#This Row],[Quantity]]</f>
        <v>0</v>
      </c>
      <c r="V1110" s="33">
        <f>quantInv[[#This Row],[Total Cost GBP]]/EURtoGBP</f>
        <v>0</v>
      </c>
      <c r="W1110" s="33">
        <f>quantInv[[#This Row],[Total Cost GBP]]/USDtoGBP</f>
        <v>0</v>
      </c>
      <c r="X1110" s="33">
        <f>quantInv[[#This Row],[Total Cost GBP]]/CADtoGBP</f>
        <v>0</v>
      </c>
      <c r="Y1110" s="33">
        <f>quantInv[[#This Row],[Quantity]]*quantInv[[#This Row],[UNIT
VALUE AUD]]</f>
        <v>0</v>
      </c>
      <c r="Z1110" s="33"/>
    </row>
    <row r="1111" spans="1:26" x14ac:dyDescent="0.25">
      <c r="A1111" t="s">
        <v>2662</v>
      </c>
      <c r="C1111" t="s">
        <v>115</v>
      </c>
      <c r="E1111">
        <v>0</v>
      </c>
      <c r="F1111" s="33">
        <v>5.0236999999999998</v>
      </c>
      <c r="G1111" s="33" t="s">
        <v>117</v>
      </c>
      <c r="H1111" t="s">
        <v>2875</v>
      </c>
      <c r="I1111" t="str">
        <f>IF(quantInv[[#This Row],[Metal]] = "925 Silver",  "7113.11.00"," 7113.19.00")</f>
        <v>7113.11.00</v>
      </c>
      <c r="J1111" t="str">
        <f>IF(quantInv[[#This Row],[Metal]] = "925 Silver", "7113.11.10.00"," 7113.19.10.00")</f>
        <v>7113.11.10.00</v>
      </c>
      <c r="K1111" t="str">
        <f>IF(quantInv[[#This Row],[Metal]] = "925 Silver",  "7113.11.00"," 7113.19.00")</f>
        <v>7113.11.00</v>
      </c>
      <c r="L1111" t="str">
        <f>IFERROR(VLOOKUP(quantInv[[#This Row],[Description for New Invoice]],Map!$G$12:$H$32,2,FALSE), IF(quantInv[[#This Row],[Metal]] = "925 Silver", "7113.11.10.00", "7113.19.29.00"))</f>
        <v>7113.11.10.00</v>
      </c>
      <c r="M1111" t="str">
        <f>quantInv[[#This Row],[ASIN]] &amp; " " &amp; quantInv[[#This Row],[Short Description]]</f>
        <v xml:space="preserve"> </v>
      </c>
      <c r="N1111" s="33">
        <f>quantInv[[#This Row],[UNIT
VALUE]] / EURtoGBP</f>
        <v>5.7024966939662756</v>
      </c>
      <c r="O1111" s="33">
        <f>quantInv[[#This Row],[UNIT
VALUE]]/USDtoGBP</f>
        <v>6.8866580852466743</v>
      </c>
      <c r="P1111" s="33">
        <f>quantInv[[#This Row],[UNIT
VALUE]] / CADtoGBP</f>
        <v>8.8153182319879679</v>
      </c>
      <c r="Q1111" s="33">
        <f>quantInv[[#This Row],[UNIT
VALUE]]/AUDtoGBP</f>
        <v>9.0230979237014139</v>
      </c>
      <c r="R1111">
        <f>IFERROR(VLOOKUP(quantInv[[#This Row],[Assigned Item SKU]],skuQuantity[#All],2,FALSE),0)</f>
        <v>0</v>
      </c>
      <c r="S1111" t="str">
        <f>PROPER(quantInv[[#This Row],[Metal]] &amp; " " &amp; quantInv[[#This Row],[Item Type]])</f>
        <v xml:space="preserve">925 Silver </v>
      </c>
      <c r="T1111" s="33">
        <f>quantInv[[#This Row],[Quantity]]*quantInv[[#This Row],[WEIGHT]]</f>
        <v>0</v>
      </c>
      <c r="U1111" s="33">
        <f>quantInv[[#This Row],[UNIT
VALUE]]*quantInv[[#This Row],[Quantity]]</f>
        <v>0</v>
      </c>
      <c r="V1111" s="33">
        <f>quantInv[[#This Row],[Total Cost GBP]]/EURtoGBP</f>
        <v>0</v>
      </c>
      <c r="W1111" s="33">
        <f>quantInv[[#This Row],[Total Cost GBP]]/USDtoGBP</f>
        <v>0</v>
      </c>
      <c r="X1111" s="33">
        <f>quantInv[[#This Row],[Total Cost GBP]]/CADtoGBP</f>
        <v>0</v>
      </c>
      <c r="Y1111" s="33">
        <f>quantInv[[#This Row],[Quantity]]*quantInv[[#This Row],[UNIT
VALUE AUD]]</f>
        <v>0</v>
      </c>
      <c r="Z1111" s="33"/>
    </row>
    <row r="1112" spans="1:26" x14ac:dyDescent="0.25">
      <c r="A1112" t="s">
        <v>2663</v>
      </c>
      <c r="C1112" t="s">
        <v>115</v>
      </c>
      <c r="E1112">
        <v>0</v>
      </c>
      <c r="F1112" s="33">
        <v>5.0236999999999998</v>
      </c>
      <c r="G1112" s="33" t="s">
        <v>117</v>
      </c>
      <c r="H1112" t="s">
        <v>2875</v>
      </c>
      <c r="I1112" t="str">
        <f>IF(quantInv[[#This Row],[Metal]] = "925 Silver",  "7113.11.00"," 7113.19.00")</f>
        <v>7113.11.00</v>
      </c>
      <c r="J1112" t="str">
        <f>IF(quantInv[[#This Row],[Metal]] = "925 Silver", "7113.11.10.00"," 7113.19.10.00")</f>
        <v>7113.11.10.00</v>
      </c>
      <c r="K1112" t="str">
        <f>IF(quantInv[[#This Row],[Metal]] = "925 Silver",  "7113.11.00"," 7113.19.00")</f>
        <v>7113.11.00</v>
      </c>
      <c r="L1112" t="str">
        <f>IFERROR(VLOOKUP(quantInv[[#This Row],[Description for New Invoice]],Map!$G$12:$H$32,2,FALSE), IF(quantInv[[#This Row],[Metal]] = "925 Silver", "7113.11.10.00", "7113.19.29.00"))</f>
        <v>7113.11.10.00</v>
      </c>
      <c r="M1112" t="str">
        <f>quantInv[[#This Row],[ASIN]] &amp; " " &amp; quantInv[[#This Row],[Short Description]]</f>
        <v xml:space="preserve"> </v>
      </c>
      <c r="N1112" s="33">
        <f>quantInv[[#This Row],[UNIT
VALUE]] / EURtoGBP</f>
        <v>5.7024966939662756</v>
      </c>
      <c r="O1112" s="33">
        <f>quantInv[[#This Row],[UNIT
VALUE]]/USDtoGBP</f>
        <v>6.8866580852466743</v>
      </c>
      <c r="P1112" s="33">
        <f>quantInv[[#This Row],[UNIT
VALUE]] / CADtoGBP</f>
        <v>8.8153182319879679</v>
      </c>
      <c r="Q1112" s="33">
        <f>quantInv[[#This Row],[UNIT
VALUE]]/AUDtoGBP</f>
        <v>9.0230979237014139</v>
      </c>
      <c r="R1112">
        <f>IFERROR(VLOOKUP(quantInv[[#This Row],[Assigned Item SKU]],skuQuantity[#All],2,FALSE),0)</f>
        <v>0</v>
      </c>
      <c r="S1112" t="str">
        <f>PROPER(quantInv[[#This Row],[Metal]] &amp; " " &amp; quantInv[[#This Row],[Item Type]])</f>
        <v xml:space="preserve">925 Silver </v>
      </c>
      <c r="T1112" s="33">
        <f>quantInv[[#This Row],[Quantity]]*quantInv[[#This Row],[WEIGHT]]</f>
        <v>0</v>
      </c>
      <c r="U1112" s="33">
        <f>quantInv[[#This Row],[UNIT
VALUE]]*quantInv[[#This Row],[Quantity]]</f>
        <v>0</v>
      </c>
      <c r="V1112" s="33">
        <f>quantInv[[#This Row],[Total Cost GBP]]/EURtoGBP</f>
        <v>0</v>
      </c>
      <c r="W1112" s="33">
        <f>quantInv[[#This Row],[Total Cost GBP]]/USDtoGBP</f>
        <v>0</v>
      </c>
      <c r="X1112" s="33">
        <f>quantInv[[#This Row],[Total Cost GBP]]/CADtoGBP</f>
        <v>0</v>
      </c>
      <c r="Y1112" s="33">
        <f>quantInv[[#This Row],[Quantity]]*quantInv[[#This Row],[UNIT
VALUE AUD]]</f>
        <v>0</v>
      </c>
      <c r="Z1112" s="33"/>
    </row>
    <row r="1113" spans="1:26" x14ac:dyDescent="0.25">
      <c r="A1113" t="s">
        <v>2664</v>
      </c>
      <c r="C1113" t="s">
        <v>115</v>
      </c>
      <c r="E1113">
        <v>0</v>
      </c>
      <c r="F1113" s="33">
        <v>5.0236999999999998</v>
      </c>
      <c r="G1113" s="33" t="s">
        <v>117</v>
      </c>
      <c r="H1113" t="s">
        <v>2875</v>
      </c>
      <c r="I1113" t="str">
        <f>IF(quantInv[[#This Row],[Metal]] = "925 Silver",  "7113.11.00"," 7113.19.00")</f>
        <v>7113.11.00</v>
      </c>
      <c r="J1113" t="str">
        <f>IF(quantInv[[#This Row],[Metal]] = "925 Silver", "7113.11.10.00"," 7113.19.10.00")</f>
        <v>7113.11.10.00</v>
      </c>
      <c r="K1113" t="str">
        <f>IF(quantInv[[#This Row],[Metal]] = "925 Silver",  "7113.11.00"," 7113.19.00")</f>
        <v>7113.11.00</v>
      </c>
      <c r="L1113" t="str">
        <f>IFERROR(VLOOKUP(quantInv[[#This Row],[Description for New Invoice]],Map!$G$12:$H$32,2,FALSE), IF(quantInv[[#This Row],[Metal]] = "925 Silver", "7113.11.10.00", "7113.19.29.00"))</f>
        <v>7113.11.10.00</v>
      </c>
      <c r="M1113" t="str">
        <f>quantInv[[#This Row],[ASIN]] &amp; " " &amp; quantInv[[#This Row],[Short Description]]</f>
        <v xml:space="preserve"> </v>
      </c>
      <c r="N1113" s="33">
        <f>quantInv[[#This Row],[UNIT
VALUE]] / EURtoGBP</f>
        <v>5.7024966939662756</v>
      </c>
      <c r="O1113" s="33">
        <f>quantInv[[#This Row],[UNIT
VALUE]]/USDtoGBP</f>
        <v>6.8866580852466743</v>
      </c>
      <c r="P1113" s="33">
        <f>quantInv[[#This Row],[UNIT
VALUE]] / CADtoGBP</f>
        <v>8.8153182319879679</v>
      </c>
      <c r="Q1113" s="33">
        <f>quantInv[[#This Row],[UNIT
VALUE]]/AUDtoGBP</f>
        <v>9.0230979237014139</v>
      </c>
      <c r="R1113">
        <f>IFERROR(VLOOKUP(quantInv[[#This Row],[Assigned Item SKU]],skuQuantity[#All],2,FALSE),0)</f>
        <v>0</v>
      </c>
      <c r="S1113" t="str">
        <f>PROPER(quantInv[[#This Row],[Metal]] &amp; " " &amp; quantInv[[#This Row],[Item Type]])</f>
        <v xml:space="preserve">925 Silver </v>
      </c>
      <c r="T1113" s="33">
        <f>quantInv[[#This Row],[Quantity]]*quantInv[[#This Row],[WEIGHT]]</f>
        <v>0</v>
      </c>
      <c r="U1113" s="33">
        <f>quantInv[[#This Row],[UNIT
VALUE]]*quantInv[[#This Row],[Quantity]]</f>
        <v>0</v>
      </c>
      <c r="V1113" s="33">
        <f>quantInv[[#This Row],[Total Cost GBP]]/EURtoGBP</f>
        <v>0</v>
      </c>
      <c r="W1113" s="33">
        <f>quantInv[[#This Row],[Total Cost GBP]]/USDtoGBP</f>
        <v>0</v>
      </c>
      <c r="X1113" s="33">
        <f>quantInv[[#This Row],[Total Cost GBP]]/CADtoGBP</f>
        <v>0</v>
      </c>
      <c r="Y1113" s="33">
        <f>quantInv[[#This Row],[Quantity]]*quantInv[[#This Row],[UNIT
VALUE AUD]]</f>
        <v>0</v>
      </c>
      <c r="Z1113" s="33"/>
    </row>
    <row r="1114" spans="1:26" x14ac:dyDescent="0.25">
      <c r="A1114" t="s">
        <v>2665</v>
      </c>
      <c r="C1114" t="s">
        <v>115</v>
      </c>
      <c r="E1114">
        <v>0</v>
      </c>
      <c r="F1114" s="33">
        <v>5.0236999999999998</v>
      </c>
      <c r="G1114" s="33" t="s">
        <v>117</v>
      </c>
      <c r="H1114" t="s">
        <v>2875</v>
      </c>
      <c r="I1114" t="str">
        <f>IF(quantInv[[#This Row],[Metal]] = "925 Silver",  "7113.11.00"," 7113.19.00")</f>
        <v>7113.11.00</v>
      </c>
      <c r="J1114" t="str">
        <f>IF(quantInv[[#This Row],[Metal]] = "925 Silver", "7113.11.10.00"," 7113.19.10.00")</f>
        <v>7113.11.10.00</v>
      </c>
      <c r="K1114" t="str">
        <f>IF(quantInv[[#This Row],[Metal]] = "925 Silver",  "7113.11.00"," 7113.19.00")</f>
        <v>7113.11.00</v>
      </c>
      <c r="L1114" t="str">
        <f>IFERROR(VLOOKUP(quantInv[[#This Row],[Description for New Invoice]],Map!$G$12:$H$32,2,FALSE), IF(quantInv[[#This Row],[Metal]] = "925 Silver", "7113.11.10.00", "7113.19.29.00"))</f>
        <v>7113.11.10.00</v>
      </c>
      <c r="M1114" t="str">
        <f>quantInv[[#This Row],[ASIN]] &amp; " " &amp; quantInv[[#This Row],[Short Description]]</f>
        <v xml:space="preserve"> </v>
      </c>
      <c r="N1114" s="33">
        <f>quantInv[[#This Row],[UNIT
VALUE]] / EURtoGBP</f>
        <v>5.7024966939662756</v>
      </c>
      <c r="O1114" s="33">
        <f>quantInv[[#This Row],[UNIT
VALUE]]/USDtoGBP</f>
        <v>6.8866580852466743</v>
      </c>
      <c r="P1114" s="33">
        <f>quantInv[[#This Row],[UNIT
VALUE]] / CADtoGBP</f>
        <v>8.8153182319879679</v>
      </c>
      <c r="Q1114" s="33">
        <f>quantInv[[#This Row],[UNIT
VALUE]]/AUDtoGBP</f>
        <v>9.0230979237014139</v>
      </c>
      <c r="R1114">
        <f>IFERROR(VLOOKUP(quantInv[[#This Row],[Assigned Item SKU]],skuQuantity[#All],2,FALSE),0)</f>
        <v>0</v>
      </c>
      <c r="S1114" t="str">
        <f>PROPER(quantInv[[#This Row],[Metal]] &amp; " " &amp; quantInv[[#This Row],[Item Type]])</f>
        <v xml:space="preserve">925 Silver </v>
      </c>
      <c r="T1114" s="33">
        <f>quantInv[[#This Row],[Quantity]]*quantInv[[#This Row],[WEIGHT]]</f>
        <v>0</v>
      </c>
      <c r="U1114" s="33">
        <f>quantInv[[#This Row],[UNIT
VALUE]]*quantInv[[#This Row],[Quantity]]</f>
        <v>0</v>
      </c>
      <c r="V1114" s="33">
        <f>quantInv[[#This Row],[Total Cost GBP]]/EURtoGBP</f>
        <v>0</v>
      </c>
      <c r="W1114" s="33">
        <f>quantInv[[#This Row],[Total Cost GBP]]/USDtoGBP</f>
        <v>0</v>
      </c>
      <c r="X1114" s="33">
        <f>quantInv[[#This Row],[Total Cost GBP]]/CADtoGBP</f>
        <v>0</v>
      </c>
      <c r="Y1114" s="33">
        <f>quantInv[[#This Row],[Quantity]]*quantInv[[#This Row],[UNIT
VALUE AUD]]</f>
        <v>0</v>
      </c>
      <c r="Z1114" s="33"/>
    </row>
    <row r="1115" spans="1:26" x14ac:dyDescent="0.25">
      <c r="A1115" t="s">
        <v>2666</v>
      </c>
      <c r="C1115" t="s">
        <v>115</v>
      </c>
      <c r="E1115">
        <v>0</v>
      </c>
      <c r="F1115" s="33">
        <v>5.0236999999999998</v>
      </c>
      <c r="G1115" s="33" t="s">
        <v>117</v>
      </c>
      <c r="H1115" t="s">
        <v>2875</v>
      </c>
      <c r="I1115" t="str">
        <f>IF(quantInv[[#This Row],[Metal]] = "925 Silver",  "7113.11.00"," 7113.19.00")</f>
        <v>7113.11.00</v>
      </c>
      <c r="J1115" t="str">
        <f>IF(quantInv[[#This Row],[Metal]] = "925 Silver", "7113.11.10.00"," 7113.19.10.00")</f>
        <v>7113.11.10.00</v>
      </c>
      <c r="K1115" t="str">
        <f>IF(quantInv[[#This Row],[Metal]] = "925 Silver",  "7113.11.00"," 7113.19.00")</f>
        <v>7113.11.00</v>
      </c>
      <c r="L1115" t="str">
        <f>IFERROR(VLOOKUP(quantInv[[#This Row],[Description for New Invoice]],Map!$G$12:$H$32,2,FALSE), IF(quantInv[[#This Row],[Metal]] = "925 Silver", "7113.11.10.00", "7113.19.29.00"))</f>
        <v>7113.11.10.00</v>
      </c>
      <c r="M1115" t="str">
        <f>quantInv[[#This Row],[ASIN]] &amp; " " &amp; quantInv[[#This Row],[Short Description]]</f>
        <v xml:space="preserve"> </v>
      </c>
      <c r="N1115" s="33">
        <f>quantInv[[#This Row],[UNIT
VALUE]] / EURtoGBP</f>
        <v>5.7024966939662756</v>
      </c>
      <c r="O1115" s="33">
        <f>quantInv[[#This Row],[UNIT
VALUE]]/USDtoGBP</f>
        <v>6.8866580852466743</v>
      </c>
      <c r="P1115" s="33">
        <f>quantInv[[#This Row],[UNIT
VALUE]] / CADtoGBP</f>
        <v>8.8153182319879679</v>
      </c>
      <c r="Q1115" s="33">
        <f>quantInv[[#This Row],[UNIT
VALUE]]/AUDtoGBP</f>
        <v>9.0230979237014139</v>
      </c>
      <c r="R1115">
        <f>IFERROR(VLOOKUP(quantInv[[#This Row],[Assigned Item SKU]],skuQuantity[#All],2,FALSE),0)</f>
        <v>0</v>
      </c>
      <c r="S1115" t="str">
        <f>PROPER(quantInv[[#This Row],[Metal]] &amp; " " &amp; quantInv[[#This Row],[Item Type]])</f>
        <v xml:space="preserve">925 Silver </v>
      </c>
      <c r="T1115" s="33">
        <f>quantInv[[#This Row],[Quantity]]*quantInv[[#This Row],[WEIGHT]]</f>
        <v>0</v>
      </c>
      <c r="U1115" s="33">
        <f>quantInv[[#This Row],[UNIT
VALUE]]*quantInv[[#This Row],[Quantity]]</f>
        <v>0</v>
      </c>
      <c r="V1115" s="33">
        <f>quantInv[[#This Row],[Total Cost GBP]]/EURtoGBP</f>
        <v>0</v>
      </c>
      <c r="W1115" s="33">
        <f>quantInv[[#This Row],[Total Cost GBP]]/USDtoGBP</f>
        <v>0</v>
      </c>
      <c r="X1115" s="33">
        <f>quantInv[[#This Row],[Total Cost GBP]]/CADtoGBP</f>
        <v>0</v>
      </c>
      <c r="Y1115" s="33">
        <f>quantInv[[#This Row],[Quantity]]*quantInv[[#This Row],[UNIT
VALUE AUD]]</f>
        <v>0</v>
      </c>
      <c r="Z1115" s="33"/>
    </row>
    <row r="1116" spans="1:26" x14ac:dyDescent="0.25">
      <c r="A1116" t="s">
        <v>2667</v>
      </c>
      <c r="C1116" t="s">
        <v>115</v>
      </c>
      <c r="E1116">
        <v>0</v>
      </c>
      <c r="F1116" s="33">
        <v>5.0236999999999998</v>
      </c>
      <c r="G1116" s="33" t="s">
        <v>117</v>
      </c>
      <c r="H1116" t="s">
        <v>2875</v>
      </c>
      <c r="I1116" t="str">
        <f>IF(quantInv[[#This Row],[Metal]] = "925 Silver",  "7113.11.00"," 7113.19.00")</f>
        <v>7113.11.00</v>
      </c>
      <c r="J1116" t="str">
        <f>IF(quantInv[[#This Row],[Metal]] = "925 Silver", "7113.11.10.00"," 7113.19.10.00")</f>
        <v>7113.11.10.00</v>
      </c>
      <c r="K1116" t="str">
        <f>IF(quantInv[[#This Row],[Metal]] = "925 Silver",  "7113.11.00"," 7113.19.00")</f>
        <v>7113.11.00</v>
      </c>
      <c r="L1116" t="str">
        <f>IFERROR(VLOOKUP(quantInv[[#This Row],[Description for New Invoice]],Map!$G$12:$H$32,2,FALSE), IF(quantInv[[#This Row],[Metal]] = "925 Silver", "7113.11.10.00", "7113.19.29.00"))</f>
        <v>7113.11.10.00</v>
      </c>
      <c r="M1116" t="str">
        <f>quantInv[[#This Row],[ASIN]] &amp; " " &amp; quantInv[[#This Row],[Short Description]]</f>
        <v xml:space="preserve"> </v>
      </c>
      <c r="N1116" s="33">
        <f>quantInv[[#This Row],[UNIT
VALUE]] / EURtoGBP</f>
        <v>5.7024966939662756</v>
      </c>
      <c r="O1116" s="33">
        <f>quantInv[[#This Row],[UNIT
VALUE]]/USDtoGBP</f>
        <v>6.8866580852466743</v>
      </c>
      <c r="P1116" s="33">
        <f>quantInv[[#This Row],[UNIT
VALUE]] / CADtoGBP</f>
        <v>8.8153182319879679</v>
      </c>
      <c r="Q1116" s="33">
        <f>quantInv[[#This Row],[UNIT
VALUE]]/AUDtoGBP</f>
        <v>9.0230979237014139</v>
      </c>
      <c r="R1116">
        <f>IFERROR(VLOOKUP(quantInv[[#This Row],[Assigned Item SKU]],skuQuantity[#All],2,FALSE),0)</f>
        <v>0</v>
      </c>
      <c r="S1116" t="str">
        <f>PROPER(quantInv[[#This Row],[Metal]] &amp; " " &amp; quantInv[[#This Row],[Item Type]])</f>
        <v xml:space="preserve">925 Silver </v>
      </c>
      <c r="T1116" s="33">
        <f>quantInv[[#This Row],[Quantity]]*quantInv[[#This Row],[WEIGHT]]</f>
        <v>0</v>
      </c>
      <c r="U1116" s="33">
        <f>quantInv[[#This Row],[UNIT
VALUE]]*quantInv[[#This Row],[Quantity]]</f>
        <v>0</v>
      </c>
      <c r="V1116" s="33">
        <f>quantInv[[#This Row],[Total Cost GBP]]/EURtoGBP</f>
        <v>0</v>
      </c>
      <c r="W1116" s="33">
        <f>quantInv[[#This Row],[Total Cost GBP]]/USDtoGBP</f>
        <v>0</v>
      </c>
      <c r="X1116" s="33">
        <f>quantInv[[#This Row],[Total Cost GBP]]/CADtoGBP</f>
        <v>0</v>
      </c>
      <c r="Y1116" s="33">
        <f>quantInv[[#This Row],[Quantity]]*quantInv[[#This Row],[UNIT
VALUE AUD]]</f>
        <v>0</v>
      </c>
      <c r="Z1116" s="33"/>
    </row>
    <row r="1117" spans="1:26" x14ac:dyDescent="0.25">
      <c r="A1117" t="s">
        <v>2668</v>
      </c>
      <c r="C1117" t="s">
        <v>115</v>
      </c>
      <c r="E1117">
        <v>0</v>
      </c>
      <c r="F1117" s="33">
        <v>5.0236999999999998</v>
      </c>
      <c r="G1117" s="33" t="s">
        <v>117</v>
      </c>
      <c r="H1117" t="s">
        <v>2875</v>
      </c>
      <c r="I1117" t="str">
        <f>IF(quantInv[[#This Row],[Metal]] = "925 Silver",  "7113.11.00"," 7113.19.00")</f>
        <v>7113.11.00</v>
      </c>
      <c r="J1117" t="str">
        <f>IF(quantInv[[#This Row],[Metal]] = "925 Silver", "7113.11.10.00"," 7113.19.10.00")</f>
        <v>7113.11.10.00</v>
      </c>
      <c r="K1117" t="str">
        <f>IF(quantInv[[#This Row],[Metal]] = "925 Silver",  "7113.11.00"," 7113.19.00")</f>
        <v>7113.11.00</v>
      </c>
      <c r="L1117" t="str">
        <f>IFERROR(VLOOKUP(quantInv[[#This Row],[Description for New Invoice]],Map!$G$12:$H$32,2,FALSE), IF(quantInv[[#This Row],[Metal]] = "925 Silver", "7113.11.10.00", "7113.19.29.00"))</f>
        <v>7113.11.10.00</v>
      </c>
      <c r="M1117" t="str">
        <f>quantInv[[#This Row],[ASIN]] &amp; " " &amp; quantInv[[#This Row],[Short Description]]</f>
        <v xml:space="preserve"> </v>
      </c>
      <c r="N1117" s="33">
        <f>quantInv[[#This Row],[UNIT
VALUE]] / EURtoGBP</f>
        <v>5.7024966939662756</v>
      </c>
      <c r="O1117" s="33">
        <f>quantInv[[#This Row],[UNIT
VALUE]]/USDtoGBP</f>
        <v>6.8866580852466743</v>
      </c>
      <c r="P1117" s="33">
        <f>quantInv[[#This Row],[UNIT
VALUE]] / CADtoGBP</f>
        <v>8.8153182319879679</v>
      </c>
      <c r="Q1117" s="33">
        <f>quantInv[[#This Row],[UNIT
VALUE]]/AUDtoGBP</f>
        <v>9.0230979237014139</v>
      </c>
      <c r="R1117">
        <f>IFERROR(VLOOKUP(quantInv[[#This Row],[Assigned Item SKU]],skuQuantity[#All],2,FALSE),0)</f>
        <v>0</v>
      </c>
      <c r="S1117" t="str">
        <f>PROPER(quantInv[[#This Row],[Metal]] &amp; " " &amp; quantInv[[#This Row],[Item Type]])</f>
        <v xml:space="preserve">925 Silver </v>
      </c>
      <c r="T1117" s="33">
        <f>quantInv[[#This Row],[Quantity]]*quantInv[[#This Row],[WEIGHT]]</f>
        <v>0</v>
      </c>
      <c r="U1117" s="33">
        <f>quantInv[[#This Row],[UNIT
VALUE]]*quantInv[[#This Row],[Quantity]]</f>
        <v>0</v>
      </c>
      <c r="V1117" s="33">
        <f>quantInv[[#This Row],[Total Cost GBP]]/EURtoGBP</f>
        <v>0</v>
      </c>
      <c r="W1117" s="33">
        <f>quantInv[[#This Row],[Total Cost GBP]]/USDtoGBP</f>
        <v>0</v>
      </c>
      <c r="X1117" s="33">
        <f>quantInv[[#This Row],[Total Cost GBP]]/CADtoGBP</f>
        <v>0</v>
      </c>
      <c r="Y1117" s="33">
        <f>quantInv[[#This Row],[Quantity]]*quantInv[[#This Row],[UNIT
VALUE AUD]]</f>
        <v>0</v>
      </c>
      <c r="Z1117" s="33"/>
    </row>
    <row r="1118" spans="1:26" x14ac:dyDescent="0.25">
      <c r="A1118" t="s">
        <v>2669</v>
      </c>
      <c r="C1118" t="s">
        <v>115</v>
      </c>
      <c r="E1118">
        <v>0</v>
      </c>
      <c r="F1118" s="33">
        <v>5.0236999999999998</v>
      </c>
      <c r="G1118" s="33" t="s">
        <v>117</v>
      </c>
      <c r="H1118" t="s">
        <v>2875</v>
      </c>
      <c r="I1118" t="str">
        <f>IF(quantInv[[#This Row],[Metal]] = "925 Silver",  "7113.11.00"," 7113.19.00")</f>
        <v>7113.11.00</v>
      </c>
      <c r="J1118" t="str">
        <f>IF(quantInv[[#This Row],[Metal]] = "925 Silver", "7113.11.10.00"," 7113.19.10.00")</f>
        <v>7113.11.10.00</v>
      </c>
      <c r="K1118" t="str">
        <f>IF(quantInv[[#This Row],[Metal]] = "925 Silver",  "7113.11.00"," 7113.19.00")</f>
        <v>7113.11.00</v>
      </c>
      <c r="L1118" t="str">
        <f>IFERROR(VLOOKUP(quantInv[[#This Row],[Description for New Invoice]],Map!$G$12:$H$32,2,FALSE), IF(quantInv[[#This Row],[Metal]] = "925 Silver", "7113.11.10.00", "7113.19.29.00"))</f>
        <v>7113.11.10.00</v>
      </c>
      <c r="M1118" t="str">
        <f>quantInv[[#This Row],[ASIN]] &amp; " " &amp; quantInv[[#This Row],[Short Description]]</f>
        <v xml:space="preserve"> </v>
      </c>
      <c r="N1118" s="33">
        <f>quantInv[[#This Row],[UNIT
VALUE]] / EURtoGBP</f>
        <v>5.7024966939662756</v>
      </c>
      <c r="O1118" s="33">
        <f>quantInv[[#This Row],[UNIT
VALUE]]/USDtoGBP</f>
        <v>6.8866580852466743</v>
      </c>
      <c r="P1118" s="33">
        <f>quantInv[[#This Row],[UNIT
VALUE]] / CADtoGBP</f>
        <v>8.8153182319879679</v>
      </c>
      <c r="Q1118" s="33">
        <f>quantInv[[#This Row],[UNIT
VALUE]]/AUDtoGBP</f>
        <v>9.0230979237014139</v>
      </c>
      <c r="R1118">
        <f>IFERROR(VLOOKUP(quantInv[[#This Row],[Assigned Item SKU]],skuQuantity[#All],2,FALSE),0)</f>
        <v>0</v>
      </c>
      <c r="S1118" t="str">
        <f>PROPER(quantInv[[#This Row],[Metal]] &amp; " " &amp; quantInv[[#This Row],[Item Type]])</f>
        <v xml:space="preserve">925 Silver </v>
      </c>
      <c r="T1118" s="33">
        <f>quantInv[[#This Row],[Quantity]]*quantInv[[#This Row],[WEIGHT]]</f>
        <v>0</v>
      </c>
      <c r="U1118" s="33">
        <f>quantInv[[#This Row],[UNIT
VALUE]]*quantInv[[#This Row],[Quantity]]</f>
        <v>0</v>
      </c>
      <c r="V1118" s="33">
        <f>quantInv[[#This Row],[Total Cost GBP]]/EURtoGBP</f>
        <v>0</v>
      </c>
      <c r="W1118" s="33">
        <f>quantInv[[#This Row],[Total Cost GBP]]/USDtoGBP</f>
        <v>0</v>
      </c>
      <c r="X1118" s="33">
        <f>quantInv[[#This Row],[Total Cost GBP]]/CADtoGBP</f>
        <v>0</v>
      </c>
      <c r="Y1118" s="33">
        <f>quantInv[[#This Row],[Quantity]]*quantInv[[#This Row],[UNIT
VALUE AUD]]</f>
        <v>0</v>
      </c>
      <c r="Z1118" s="33"/>
    </row>
    <row r="1119" spans="1:26" x14ac:dyDescent="0.25">
      <c r="A1119" t="s">
        <v>2670</v>
      </c>
      <c r="C1119" t="s">
        <v>115</v>
      </c>
      <c r="E1119">
        <v>0</v>
      </c>
      <c r="F1119" s="33">
        <v>5.0236999999999998</v>
      </c>
      <c r="G1119" s="33" t="s">
        <v>117</v>
      </c>
      <c r="H1119" t="s">
        <v>2875</v>
      </c>
      <c r="I1119" t="str">
        <f>IF(quantInv[[#This Row],[Metal]] = "925 Silver",  "7113.11.00"," 7113.19.00")</f>
        <v>7113.11.00</v>
      </c>
      <c r="J1119" t="str">
        <f>IF(quantInv[[#This Row],[Metal]] = "925 Silver", "7113.11.10.00"," 7113.19.10.00")</f>
        <v>7113.11.10.00</v>
      </c>
      <c r="K1119" t="str">
        <f>IF(quantInv[[#This Row],[Metal]] = "925 Silver",  "7113.11.00"," 7113.19.00")</f>
        <v>7113.11.00</v>
      </c>
      <c r="L1119" t="str">
        <f>IFERROR(VLOOKUP(quantInv[[#This Row],[Description for New Invoice]],Map!$G$12:$H$32,2,FALSE), IF(quantInv[[#This Row],[Metal]] = "925 Silver", "7113.11.10.00", "7113.19.29.00"))</f>
        <v>7113.11.10.00</v>
      </c>
      <c r="M1119" t="str">
        <f>quantInv[[#This Row],[ASIN]] &amp; " " &amp; quantInv[[#This Row],[Short Description]]</f>
        <v xml:space="preserve"> </v>
      </c>
      <c r="N1119" s="33">
        <f>quantInv[[#This Row],[UNIT
VALUE]] / EURtoGBP</f>
        <v>5.7024966939662756</v>
      </c>
      <c r="O1119" s="33">
        <f>quantInv[[#This Row],[UNIT
VALUE]]/USDtoGBP</f>
        <v>6.8866580852466743</v>
      </c>
      <c r="P1119" s="33">
        <f>quantInv[[#This Row],[UNIT
VALUE]] / CADtoGBP</f>
        <v>8.8153182319879679</v>
      </c>
      <c r="Q1119" s="33">
        <f>quantInv[[#This Row],[UNIT
VALUE]]/AUDtoGBP</f>
        <v>9.0230979237014139</v>
      </c>
      <c r="R1119">
        <f>IFERROR(VLOOKUP(quantInv[[#This Row],[Assigned Item SKU]],skuQuantity[#All],2,FALSE),0)</f>
        <v>0</v>
      </c>
      <c r="S1119" t="str">
        <f>PROPER(quantInv[[#This Row],[Metal]] &amp; " " &amp; quantInv[[#This Row],[Item Type]])</f>
        <v xml:space="preserve">925 Silver </v>
      </c>
      <c r="T1119" s="33">
        <f>quantInv[[#This Row],[Quantity]]*quantInv[[#This Row],[WEIGHT]]</f>
        <v>0</v>
      </c>
      <c r="U1119" s="33">
        <f>quantInv[[#This Row],[UNIT
VALUE]]*quantInv[[#This Row],[Quantity]]</f>
        <v>0</v>
      </c>
      <c r="V1119" s="33">
        <f>quantInv[[#This Row],[Total Cost GBP]]/EURtoGBP</f>
        <v>0</v>
      </c>
      <c r="W1119" s="33">
        <f>quantInv[[#This Row],[Total Cost GBP]]/USDtoGBP</f>
        <v>0</v>
      </c>
      <c r="X1119" s="33">
        <f>quantInv[[#This Row],[Total Cost GBP]]/CADtoGBP</f>
        <v>0</v>
      </c>
      <c r="Y1119" s="33">
        <f>quantInv[[#This Row],[Quantity]]*quantInv[[#This Row],[UNIT
VALUE AUD]]</f>
        <v>0</v>
      </c>
      <c r="Z1119" s="33"/>
    </row>
    <row r="1120" spans="1:26" x14ac:dyDescent="0.25">
      <c r="A1120" t="s">
        <v>2671</v>
      </c>
      <c r="C1120" t="s">
        <v>115</v>
      </c>
      <c r="E1120">
        <v>0</v>
      </c>
      <c r="F1120" s="33">
        <v>5.0236999999999998</v>
      </c>
      <c r="G1120" s="33" t="s">
        <v>117</v>
      </c>
      <c r="H1120" t="s">
        <v>2875</v>
      </c>
      <c r="I1120" t="str">
        <f>IF(quantInv[[#This Row],[Metal]] = "925 Silver",  "7113.11.00"," 7113.19.00")</f>
        <v>7113.11.00</v>
      </c>
      <c r="J1120" t="str">
        <f>IF(quantInv[[#This Row],[Metal]] = "925 Silver", "7113.11.10.00"," 7113.19.10.00")</f>
        <v>7113.11.10.00</v>
      </c>
      <c r="K1120" t="str">
        <f>IF(quantInv[[#This Row],[Metal]] = "925 Silver",  "7113.11.00"," 7113.19.00")</f>
        <v>7113.11.00</v>
      </c>
      <c r="L1120" t="str">
        <f>IFERROR(VLOOKUP(quantInv[[#This Row],[Description for New Invoice]],Map!$G$12:$H$32,2,FALSE), IF(quantInv[[#This Row],[Metal]] = "925 Silver", "7113.11.10.00", "7113.19.29.00"))</f>
        <v>7113.11.10.00</v>
      </c>
      <c r="M1120" t="str">
        <f>quantInv[[#This Row],[ASIN]] &amp; " " &amp; quantInv[[#This Row],[Short Description]]</f>
        <v xml:space="preserve"> </v>
      </c>
      <c r="N1120" s="33">
        <f>quantInv[[#This Row],[UNIT
VALUE]] / EURtoGBP</f>
        <v>5.7024966939662756</v>
      </c>
      <c r="O1120" s="33">
        <f>quantInv[[#This Row],[UNIT
VALUE]]/USDtoGBP</f>
        <v>6.8866580852466743</v>
      </c>
      <c r="P1120" s="33">
        <f>quantInv[[#This Row],[UNIT
VALUE]] / CADtoGBP</f>
        <v>8.8153182319879679</v>
      </c>
      <c r="Q1120" s="33">
        <f>quantInv[[#This Row],[UNIT
VALUE]]/AUDtoGBP</f>
        <v>9.0230979237014139</v>
      </c>
      <c r="R1120">
        <f>IFERROR(VLOOKUP(quantInv[[#This Row],[Assigned Item SKU]],skuQuantity[#All],2,FALSE),0)</f>
        <v>0</v>
      </c>
      <c r="S1120" t="str">
        <f>PROPER(quantInv[[#This Row],[Metal]] &amp; " " &amp; quantInv[[#This Row],[Item Type]])</f>
        <v xml:space="preserve">925 Silver </v>
      </c>
      <c r="T1120" s="33">
        <f>quantInv[[#This Row],[Quantity]]*quantInv[[#This Row],[WEIGHT]]</f>
        <v>0</v>
      </c>
      <c r="U1120" s="33">
        <f>quantInv[[#This Row],[UNIT
VALUE]]*quantInv[[#This Row],[Quantity]]</f>
        <v>0</v>
      </c>
      <c r="V1120" s="33">
        <f>quantInv[[#This Row],[Total Cost GBP]]/EURtoGBP</f>
        <v>0</v>
      </c>
      <c r="W1120" s="33">
        <f>quantInv[[#This Row],[Total Cost GBP]]/USDtoGBP</f>
        <v>0</v>
      </c>
      <c r="X1120" s="33">
        <f>quantInv[[#This Row],[Total Cost GBP]]/CADtoGBP</f>
        <v>0</v>
      </c>
      <c r="Y1120" s="33">
        <f>quantInv[[#This Row],[Quantity]]*quantInv[[#This Row],[UNIT
VALUE AUD]]</f>
        <v>0</v>
      </c>
      <c r="Z1120" s="33"/>
    </row>
    <row r="1121" spans="1:26" x14ac:dyDescent="0.25">
      <c r="A1121" t="s">
        <v>2672</v>
      </c>
      <c r="C1121" t="s">
        <v>115</v>
      </c>
      <c r="E1121">
        <v>0</v>
      </c>
      <c r="F1121" s="33">
        <v>5.0236999999999998</v>
      </c>
      <c r="G1121" s="33" t="s">
        <v>117</v>
      </c>
      <c r="H1121" t="s">
        <v>2875</v>
      </c>
      <c r="I1121" t="str">
        <f>IF(quantInv[[#This Row],[Metal]] = "925 Silver",  "7113.11.00"," 7113.19.00")</f>
        <v>7113.11.00</v>
      </c>
      <c r="J1121" t="str">
        <f>IF(quantInv[[#This Row],[Metal]] = "925 Silver", "7113.11.10.00"," 7113.19.10.00")</f>
        <v>7113.11.10.00</v>
      </c>
      <c r="K1121" t="str">
        <f>IF(quantInv[[#This Row],[Metal]] = "925 Silver",  "7113.11.00"," 7113.19.00")</f>
        <v>7113.11.00</v>
      </c>
      <c r="L1121" t="str">
        <f>IFERROR(VLOOKUP(quantInv[[#This Row],[Description for New Invoice]],Map!$G$12:$H$32,2,FALSE), IF(quantInv[[#This Row],[Metal]] = "925 Silver", "7113.11.10.00", "7113.19.29.00"))</f>
        <v>7113.11.10.00</v>
      </c>
      <c r="M1121" t="str">
        <f>quantInv[[#This Row],[ASIN]] &amp; " " &amp; quantInv[[#This Row],[Short Description]]</f>
        <v xml:space="preserve"> </v>
      </c>
      <c r="N1121" s="33">
        <f>quantInv[[#This Row],[UNIT
VALUE]] / EURtoGBP</f>
        <v>5.7024966939662756</v>
      </c>
      <c r="O1121" s="33">
        <f>quantInv[[#This Row],[UNIT
VALUE]]/USDtoGBP</f>
        <v>6.8866580852466743</v>
      </c>
      <c r="P1121" s="33">
        <f>quantInv[[#This Row],[UNIT
VALUE]] / CADtoGBP</f>
        <v>8.8153182319879679</v>
      </c>
      <c r="Q1121" s="33">
        <f>quantInv[[#This Row],[UNIT
VALUE]]/AUDtoGBP</f>
        <v>9.0230979237014139</v>
      </c>
      <c r="R1121">
        <f>IFERROR(VLOOKUP(quantInv[[#This Row],[Assigned Item SKU]],skuQuantity[#All],2,FALSE),0)</f>
        <v>0</v>
      </c>
      <c r="S1121" t="str">
        <f>PROPER(quantInv[[#This Row],[Metal]] &amp; " " &amp; quantInv[[#This Row],[Item Type]])</f>
        <v xml:space="preserve">925 Silver </v>
      </c>
      <c r="T1121" s="33">
        <f>quantInv[[#This Row],[Quantity]]*quantInv[[#This Row],[WEIGHT]]</f>
        <v>0</v>
      </c>
      <c r="U1121" s="33">
        <f>quantInv[[#This Row],[UNIT
VALUE]]*quantInv[[#This Row],[Quantity]]</f>
        <v>0</v>
      </c>
      <c r="V1121" s="33">
        <f>quantInv[[#This Row],[Total Cost GBP]]/EURtoGBP</f>
        <v>0</v>
      </c>
      <c r="W1121" s="33">
        <f>quantInv[[#This Row],[Total Cost GBP]]/USDtoGBP</f>
        <v>0</v>
      </c>
      <c r="X1121" s="33">
        <f>quantInv[[#This Row],[Total Cost GBP]]/CADtoGBP</f>
        <v>0</v>
      </c>
      <c r="Y1121" s="33">
        <f>quantInv[[#This Row],[Quantity]]*quantInv[[#This Row],[UNIT
VALUE AUD]]</f>
        <v>0</v>
      </c>
      <c r="Z1121" s="33"/>
    </row>
    <row r="1122" spans="1:26" x14ac:dyDescent="0.25">
      <c r="A1122" t="s">
        <v>2673</v>
      </c>
      <c r="C1122" t="s">
        <v>114</v>
      </c>
      <c r="E1122">
        <v>0</v>
      </c>
      <c r="F1122" s="33">
        <v>7.0499999999999993E-2</v>
      </c>
      <c r="G1122" s="33" t="s">
        <v>2875</v>
      </c>
      <c r="H1122" t="s">
        <v>2875</v>
      </c>
      <c r="I1122" t="str">
        <f>IF(quantInv[[#This Row],[Metal]] = "925 Silver",  "7113.11.00"," 7113.19.00")</f>
        <v xml:space="preserve"> 7113.19.00</v>
      </c>
      <c r="J1122" t="str">
        <f>IF(quantInv[[#This Row],[Metal]] = "925 Silver", "7113.11.10.00"," 7113.19.10.00")</f>
        <v xml:space="preserve"> 7113.19.10.00</v>
      </c>
      <c r="K1122" t="str">
        <f>IF(quantInv[[#This Row],[Metal]] = "925 Silver",  "7113.11.00"," 7113.19.00")</f>
        <v xml:space="preserve"> 7113.19.00</v>
      </c>
      <c r="L1122" t="str">
        <f>IFERROR(VLOOKUP(quantInv[[#This Row],[Description for New Invoice]],Map!$G$12:$H$32,2,FALSE), IF(quantInv[[#This Row],[Metal]] = "925 Silver", "7113.11.10.00", "7113.19.29.00"))</f>
        <v>7113.19.29.00</v>
      </c>
      <c r="M1122" t="str">
        <f>quantInv[[#This Row],[ASIN]] &amp; " " &amp; quantInv[[#This Row],[Short Description]]</f>
        <v xml:space="preserve"> </v>
      </c>
      <c r="N1122" s="33">
        <f>quantInv[[#This Row],[UNIT
VALUE]] / EURtoGBP</f>
        <v>8.0025880710357392E-2</v>
      </c>
      <c r="O1122" s="33">
        <f>quantInv[[#This Row],[UNIT
VALUE]]/USDtoGBP</f>
        <v>9.6643787449467625E-2</v>
      </c>
      <c r="P1122" s="33">
        <f>quantInv[[#This Row],[UNIT
VALUE]] / CADtoGBP</f>
        <v>0.1237096035502024</v>
      </c>
      <c r="Q1122" s="33">
        <f>quantInv[[#This Row],[UNIT
VALUE]]/AUDtoGBP</f>
        <v>0.12662547596810114</v>
      </c>
      <c r="R1122">
        <f>IFERROR(VLOOKUP(quantInv[[#This Row],[Assigned Item SKU]],skuQuantity[#All],2,FALSE),0)</f>
        <v>0</v>
      </c>
      <c r="S1122" t="str">
        <f>PROPER(quantInv[[#This Row],[Metal]] &amp; " " &amp; quantInv[[#This Row],[Item Type]])</f>
        <v xml:space="preserve"> </v>
      </c>
      <c r="T1122" s="33">
        <f>quantInv[[#This Row],[Quantity]]*quantInv[[#This Row],[WEIGHT]]</f>
        <v>0</v>
      </c>
      <c r="U1122" s="33">
        <f>quantInv[[#This Row],[UNIT
VALUE]]*quantInv[[#This Row],[Quantity]]</f>
        <v>0</v>
      </c>
      <c r="V1122" s="33">
        <f>quantInv[[#This Row],[Total Cost GBP]]/EURtoGBP</f>
        <v>0</v>
      </c>
      <c r="W1122" s="33">
        <f>quantInv[[#This Row],[Total Cost GBP]]/USDtoGBP</f>
        <v>0</v>
      </c>
      <c r="X1122" s="33">
        <f>quantInv[[#This Row],[Total Cost GBP]]/CADtoGBP</f>
        <v>0</v>
      </c>
      <c r="Y1122" s="33">
        <f>quantInv[[#This Row],[Quantity]]*quantInv[[#This Row],[UNIT
VALUE AUD]]</f>
        <v>0</v>
      </c>
      <c r="Z1122" s="33"/>
    </row>
    <row r="1123" spans="1:26" x14ac:dyDescent="0.25">
      <c r="A1123" t="s">
        <v>2674</v>
      </c>
      <c r="C1123" t="s">
        <v>114</v>
      </c>
      <c r="E1123">
        <v>0</v>
      </c>
      <c r="F1123" s="33">
        <v>7.0499999999999993E-2</v>
      </c>
      <c r="G1123" s="33" t="s">
        <v>2875</v>
      </c>
      <c r="H1123" t="s">
        <v>2875</v>
      </c>
      <c r="I1123" t="str">
        <f>IF(quantInv[[#This Row],[Metal]] = "925 Silver",  "7113.11.00"," 7113.19.00")</f>
        <v xml:space="preserve"> 7113.19.00</v>
      </c>
      <c r="J1123" t="str">
        <f>IF(quantInv[[#This Row],[Metal]] = "925 Silver", "7113.11.10.00"," 7113.19.10.00")</f>
        <v xml:space="preserve"> 7113.19.10.00</v>
      </c>
      <c r="K1123" t="str">
        <f>IF(quantInv[[#This Row],[Metal]] = "925 Silver",  "7113.11.00"," 7113.19.00")</f>
        <v xml:space="preserve"> 7113.19.00</v>
      </c>
      <c r="L1123" t="str">
        <f>IFERROR(VLOOKUP(quantInv[[#This Row],[Description for New Invoice]],Map!$G$12:$H$32,2,FALSE), IF(quantInv[[#This Row],[Metal]] = "925 Silver", "7113.11.10.00", "7113.19.29.00"))</f>
        <v>7113.19.29.00</v>
      </c>
      <c r="M1123" t="str">
        <f>quantInv[[#This Row],[ASIN]] &amp; " " &amp; quantInv[[#This Row],[Short Description]]</f>
        <v xml:space="preserve"> </v>
      </c>
      <c r="N1123" s="33">
        <f>quantInv[[#This Row],[UNIT
VALUE]] / EURtoGBP</f>
        <v>8.0025880710357392E-2</v>
      </c>
      <c r="O1123" s="33">
        <f>quantInv[[#This Row],[UNIT
VALUE]]/USDtoGBP</f>
        <v>9.6643787449467625E-2</v>
      </c>
      <c r="P1123" s="33">
        <f>quantInv[[#This Row],[UNIT
VALUE]] / CADtoGBP</f>
        <v>0.1237096035502024</v>
      </c>
      <c r="Q1123" s="33">
        <f>quantInv[[#This Row],[UNIT
VALUE]]/AUDtoGBP</f>
        <v>0.12662547596810114</v>
      </c>
      <c r="R1123">
        <f>IFERROR(VLOOKUP(quantInv[[#This Row],[Assigned Item SKU]],skuQuantity[#All],2,FALSE),0)</f>
        <v>0</v>
      </c>
      <c r="S1123" t="str">
        <f>PROPER(quantInv[[#This Row],[Metal]] &amp; " " &amp; quantInv[[#This Row],[Item Type]])</f>
        <v xml:space="preserve"> </v>
      </c>
      <c r="T1123" s="33">
        <f>quantInv[[#This Row],[Quantity]]*quantInv[[#This Row],[WEIGHT]]</f>
        <v>0</v>
      </c>
      <c r="U1123" s="33">
        <f>quantInv[[#This Row],[UNIT
VALUE]]*quantInv[[#This Row],[Quantity]]</f>
        <v>0</v>
      </c>
      <c r="V1123" s="33">
        <f>quantInv[[#This Row],[Total Cost GBP]]/EURtoGBP</f>
        <v>0</v>
      </c>
      <c r="W1123" s="33">
        <f>quantInv[[#This Row],[Total Cost GBP]]/USDtoGBP</f>
        <v>0</v>
      </c>
      <c r="X1123" s="33">
        <f>quantInv[[#This Row],[Total Cost GBP]]/CADtoGBP</f>
        <v>0</v>
      </c>
      <c r="Y1123" s="33">
        <f>quantInv[[#This Row],[Quantity]]*quantInv[[#This Row],[UNIT
VALUE AUD]]</f>
        <v>0</v>
      </c>
      <c r="Z1123" s="33"/>
    </row>
    <row r="1124" spans="1:26" x14ac:dyDescent="0.25">
      <c r="A1124" t="s">
        <v>2675</v>
      </c>
      <c r="C1124" t="s">
        <v>114</v>
      </c>
      <c r="E1124">
        <v>0</v>
      </c>
      <c r="F1124" s="33">
        <v>7.0499999999999993E-2</v>
      </c>
      <c r="G1124" s="33" t="s">
        <v>2875</v>
      </c>
      <c r="H1124" t="s">
        <v>2875</v>
      </c>
      <c r="I1124" t="str">
        <f>IF(quantInv[[#This Row],[Metal]] = "925 Silver",  "7113.11.00"," 7113.19.00")</f>
        <v xml:space="preserve"> 7113.19.00</v>
      </c>
      <c r="J1124" t="str">
        <f>IF(quantInv[[#This Row],[Metal]] = "925 Silver", "7113.11.10.00"," 7113.19.10.00")</f>
        <v xml:space="preserve"> 7113.19.10.00</v>
      </c>
      <c r="K1124" t="str">
        <f>IF(quantInv[[#This Row],[Metal]] = "925 Silver",  "7113.11.00"," 7113.19.00")</f>
        <v xml:space="preserve"> 7113.19.00</v>
      </c>
      <c r="L1124" t="str">
        <f>IFERROR(VLOOKUP(quantInv[[#This Row],[Description for New Invoice]],Map!$G$12:$H$32,2,FALSE), IF(quantInv[[#This Row],[Metal]] = "925 Silver", "7113.11.10.00", "7113.19.29.00"))</f>
        <v>7113.19.29.00</v>
      </c>
      <c r="M1124" t="str">
        <f>quantInv[[#This Row],[ASIN]] &amp; " " &amp; quantInv[[#This Row],[Short Description]]</f>
        <v xml:space="preserve"> </v>
      </c>
      <c r="N1124" s="33">
        <f>quantInv[[#This Row],[UNIT
VALUE]] / EURtoGBP</f>
        <v>8.0025880710357392E-2</v>
      </c>
      <c r="O1124" s="33">
        <f>quantInv[[#This Row],[UNIT
VALUE]]/USDtoGBP</f>
        <v>9.6643787449467625E-2</v>
      </c>
      <c r="P1124" s="33">
        <f>quantInv[[#This Row],[UNIT
VALUE]] / CADtoGBP</f>
        <v>0.1237096035502024</v>
      </c>
      <c r="Q1124" s="33">
        <f>quantInv[[#This Row],[UNIT
VALUE]]/AUDtoGBP</f>
        <v>0.12662547596810114</v>
      </c>
      <c r="R1124">
        <f>IFERROR(VLOOKUP(quantInv[[#This Row],[Assigned Item SKU]],skuQuantity[#All],2,FALSE),0)</f>
        <v>0</v>
      </c>
      <c r="S1124" t="str">
        <f>PROPER(quantInv[[#This Row],[Metal]] &amp; " " &amp; quantInv[[#This Row],[Item Type]])</f>
        <v xml:space="preserve"> </v>
      </c>
      <c r="T1124" s="33">
        <f>quantInv[[#This Row],[Quantity]]*quantInv[[#This Row],[WEIGHT]]</f>
        <v>0</v>
      </c>
      <c r="U1124" s="33">
        <f>quantInv[[#This Row],[UNIT
VALUE]]*quantInv[[#This Row],[Quantity]]</f>
        <v>0</v>
      </c>
      <c r="V1124" s="33">
        <f>quantInv[[#This Row],[Total Cost GBP]]/EURtoGBP</f>
        <v>0</v>
      </c>
      <c r="W1124" s="33">
        <f>quantInv[[#This Row],[Total Cost GBP]]/USDtoGBP</f>
        <v>0</v>
      </c>
      <c r="X1124" s="33">
        <f>quantInv[[#This Row],[Total Cost GBP]]/CADtoGBP</f>
        <v>0</v>
      </c>
      <c r="Y1124" s="33">
        <f>quantInv[[#This Row],[Quantity]]*quantInv[[#This Row],[UNIT
VALUE AUD]]</f>
        <v>0</v>
      </c>
      <c r="Z1124" s="33"/>
    </row>
    <row r="1125" spans="1:26" x14ac:dyDescent="0.25">
      <c r="A1125" t="s">
        <v>2676</v>
      </c>
      <c r="C1125" t="s">
        <v>114</v>
      </c>
      <c r="E1125">
        <v>0</v>
      </c>
      <c r="F1125" s="33">
        <v>7.0499999999999993E-2</v>
      </c>
      <c r="G1125" s="33" t="s">
        <v>2875</v>
      </c>
      <c r="H1125" t="s">
        <v>2875</v>
      </c>
      <c r="I1125" t="str">
        <f>IF(quantInv[[#This Row],[Metal]] = "925 Silver",  "7113.11.00"," 7113.19.00")</f>
        <v xml:space="preserve"> 7113.19.00</v>
      </c>
      <c r="J1125" t="str">
        <f>IF(quantInv[[#This Row],[Metal]] = "925 Silver", "7113.11.10.00"," 7113.19.10.00")</f>
        <v xml:space="preserve"> 7113.19.10.00</v>
      </c>
      <c r="K1125" t="str">
        <f>IF(quantInv[[#This Row],[Metal]] = "925 Silver",  "7113.11.00"," 7113.19.00")</f>
        <v xml:space="preserve"> 7113.19.00</v>
      </c>
      <c r="L1125" t="str">
        <f>IFERROR(VLOOKUP(quantInv[[#This Row],[Description for New Invoice]],Map!$G$12:$H$32,2,FALSE), IF(quantInv[[#This Row],[Metal]] = "925 Silver", "7113.11.10.00", "7113.19.29.00"))</f>
        <v>7113.19.29.00</v>
      </c>
      <c r="M1125" t="str">
        <f>quantInv[[#This Row],[ASIN]] &amp; " " &amp; quantInv[[#This Row],[Short Description]]</f>
        <v xml:space="preserve"> </v>
      </c>
      <c r="N1125" s="33">
        <f>quantInv[[#This Row],[UNIT
VALUE]] / EURtoGBP</f>
        <v>8.0025880710357392E-2</v>
      </c>
      <c r="O1125" s="33">
        <f>quantInv[[#This Row],[UNIT
VALUE]]/USDtoGBP</f>
        <v>9.6643787449467625E-2</v>
      </c>
      <c r="P1125" s="33">
        <f>quantInv[[#This Row],[UNIT
VALUE]] / CADtoGBP</f>
        <v>0.1237096035502024</v>
      </c>
      <c r="Q1125" s="33">
        <f>quantInv[[#This Row],[UNIT
VALUE]]/AUDtoGBP</f>
        <v>0.12662547596810114</v>
      </c>
      <c r="R1125">
        <f>IFERROR(VLOOKUP(quantInv[[#This Row],[Assigned Item SKU]],skuQuantity[#All],2,FALSE),0)</f>
        <v>0</v>
      </c>
      <c r="S1125" t="str">
        <f>PROPER(quantInv[[#This Row],[Metal]] &amp; " " &amp; quantInv[[#This Row],[Item Type]])</f>
        <v xml:space="preserve"> </v>
      </c>
      <c r="T1125" s="33">
        <f>quantInv[[#This Row],[Quantity]]*quantInv[[#This Row],[WEIGHT]]</f>
        <v>0</v>
      </c>
      <c r="U1125" s="33">
        <f>quantInv[[#This Row],[UNIT
VALUE]]*quantInv[[#This Row],[Quantity]]</f>
        <v>0</v>
      </c>
      <c r="V1125" s="33">
        <f>quantInv[[#This Row],[Total Cost GBP]]/EURtoGBP</f>
        <v>0</v>
      </c>
      <c r="W1125" s="33">
        <f>quantInv[[#This Row],[Total Cost GBP]]/USDtoGBP</f>
        <v>0</v>
      </c>
      <c r="X1125" s="33">
        <f>quantInv[[#This Row],[Total Cost GBP]]/CADtoGBP</f>
        <v>0</v>
      </c>
      <c r="Y1125" s="33">
        <f>quantInv[[#This Row],[Quantity]]*quantInv[[#This Row],[UNIT
VALUE AUD]]</f>
        <v>0</v>
      </c>
      <c r="Z1125" s="33"/>
    </row>
    <row r="1126" spans="1:26" x14ac:dyDescent="0.25">
      <c r="A1126" t="s">
        <v>2677</v>
      </c>
      <c r="C1126" t="s">
        <v>114</v>
      </c>
      <c r="E1126">
        <v>0</v>
      </c>
      <c r="F1126" s="33">
        <v>7.0499999999999993E-2</v>
      </c>
      <c r="G1126" s="33" t="s">
        <v>2875</v>
      </c>
      <c r="H1126" t="s">
        <v>2875</v>
      </c>
      <c r="I1126" t="str">
        <f>IF(quantInv[[#This Row],[Metal]] = "925 Silver",  "7113.11.00"," 7113.19.00")</f>
        <v xml:space="preserve"> 7113.19.00</v>
      </c>
      <c r="J1126" t="str">
        <f>IF(quantInv[[#This Row],[Metal]] = "925 Silver", "7113.11.10.00"," 7113.19.10.00")</f>
        <v xml:space="preserve"> 7113.19.10.00</v>
      </c>
      <c r="K1126" t="str">
        <f>IF(quantInv[[#This Row],[Metal]] = "925 Silver",  "7113.11.00"," 7113.19.00")</f>
        <v xml:space="preserve"> 7113.19.00</v>
      </c>
      <c r="L1126" t="str">
        <f>IFERROR(VLOOKUP(quantInv[[#This Row],[Description for New Invoice]],Map!$G$12:$H$32,2,FALSE), IF(quantInv[[#This Row],[Metal]] = "925 Silver", "7113.11.10.00", "7113.19.29.00"))</f>
        <v>7113.19.29.00</v>
      </c>
      <c r="M1126" t="str">
        <f>quantInv[[#This Row],[ASIN]] &amp; " " &amp; quantInv[[#This Row],[Short Description]]</f>
        <v xml:space="preserve"> </v>
      </c>
      <c r="N1126" s="33">
        <f>quantInv[[#This Row],[UNIT
VALUE]] / EURtoGBP</f>
        <v>8.0025880710357392E-2</v>
      </c>
      <c r="O1126" s="33">
        <f>quantInv[[#This Row],[UNIT
VALUE]]/USDtoGBP</f>
        <v>9.6643787449467625E-2</v>
      </c>
      <c r="P1126" s="33">
        <f>quantInv[[#This Row],[UNIT
VALUE]] / CADtoGBP</f>
        <v>0.1237096035502024</v>
      </c>
      <c r="Q1126" s="33">
        <f>quantInv[[#This Row],[UNIT
VALUE]]/AUDtoGBP</f>
        <v>0.12662547596810114</v>
      </c>
      <c r="R1126">
        <f>IFERROR(VLOOKUP(quantInv[[#This Row],[Assigned Item SKU]],skuQuantity[#All],2,FALSE),0)</f>
        <v>0</v>
      </c>
      <c r="S1126" t="str">
        <f>PROPER(quantInv[[#This Row],[Metal]] &amp; " " &amp; quantInv[[#This Row],[Item Type]])</f>
        <v xml:space="preserve"> </v>
      </c>
      <c r="T1126" s="33">
        <f>quantInv[[#This Row],[Quantity]]*quantInv[[#This Row],[WEIGHT]]</f>
        <v>0</v>
      </c>
      <c r="U1126" s="33">
        <f>quantInv[[#This Row],[UNIT
VALUE]]*quantInv[[#This Row],[Quantity]]</f>
        <v>0</v>
      </c>
      <c r="V1126" s="33">
        <f>quantInv[[#This Row],[Total Cost GBP]]/EURtoGBP</f>
        <v>0</v>
      </c>
      <c r="W1126" s="33">
        <f>quantInv[[#This Row],[Total Cost GBP]]/USDtoGBP</f>
        <v>0</v>
      </c>
      <c r="X1126" s="33">
        <f>quantInv[[#This Row],[Total Cost GBP]]/CADtoGBP</f>
        <v>0</v>
      </c>
      <c r="Y1126" s="33">
        <f>quantInv[[#This Row],[Quantity]]*quantInv[[#This Row],[UNIT
VALUE AUD]]</f>
        <v>0</v>
      </c>
      <c r="Z1126" s="33"/>
    </row>
    <row r="1127" spans="1:26" x14ac:dyDescent="0.25">
      <c r="A1127" t="s">
        <v>2678</v>
      </c>
      <c r="C1127" t="s">
        <v>114</v>
      </c>
      <c r="E1127">
        <v>0</v>
      </c>
      <c r="F1127" s="33">
        <v>7.0499999999999993E-2</v>
      </c>
      <c r="G1127" s="33" t="s">
        <v>2875</v>
      </c>
      <c r="H1127" t="s">
        <v>2875</v>
      </c>
      <c r="I1127" t="str">
        <f>IF(quantInv[[#This Row],[Metal]] = "925 Silver",  "7113.11.00"," 7113.19.00")</f>
        <v xml:space="preserve"> 7113.19.00</v>
      </c>
      <c r="J1127" t="str">
        <f>IF(quantInv[[#This Row],[Metal]] = "925 Silver", "7113.11.10.00"," 7113.19.10.00")</f>
        <v xml:space="preserve"> 7113.19.10.00</v>
      </c>
      <c r="K1127" t="str">
        <f>IF(quantInv[[#This Row],[Metal]] = "925 Silver",  "7113.11.00"," 7113.19.00")</f>
        <v xml:space="preserve"> 7113.19.00</v>
      </c>
      <c r="L1127" t="str">
        <f>IFERROR(VLOOKUP(quantInv[[#This Row],[Description for New Invoice]],Map!$G$12:$H$32,2,FALSE), IF(quantInv[[#This Row],[Metal]] = "925 Silver", "7113.11.10.00", "7113.19.29.00"))</f>
        <v>7113.19.29.00</v>
      </c>
      <c r="M1127" t="str">
        <f>quantInv[[#This Row],[ASIN]] &amp; " " &amp; quantInv[[#This Row],[Short Description]]</f>
        <v xml:space="preserve"> </v>
      </c>
      <c r="N1127" s="33">
        <f>quantInv[[#This Row],[UNIT
VALUE]] / EURtoGBP</f>
        <v>8.0025880710357392E-2</v>
      </c>
      <c r="O1127" s="33">
        <f>quantInv[[#This Row],[UNIT
VALUE]]/USDtoGBP</f>
        <v>9.6643787449467625E-2</v>
      </c>
      <c r="P1127" s="33">
        <f>quantInv[[#This Row],[UNIT
VALUE]] / CADtoGBP</f>
        <v>0.1237096035502024</v>
      </c>
      <c r="Q1127" s="33">
        <f>quantInv[[#This Row],[UNIT
VALUE]]/AUDtoGBP</f>
        <v>0.12662547596810114</v>
      </c>
      <c r="R1127">
        <f>IFERROR(VLOOKUP(quantInv[[#This Row],[Assigned Item SKU]],skuQuantity[#All],2,FALSE),0)</f>
        <v>0</v>
      </c>
      <c r="S1127" t="str">
        <f>PROPER(quantInv[[#This Row],[Metal]] &amp; " " &amp; quantInv[[#This Row],[Item Type]])</f>
        <v xml:space="preserve"> </v>
      </c>
      <c r="T1127" s="33">
        <f>quantInv[[#This Row],[Quantity]]*quantInv[[#This Row],[WEIGHT]]</f>
        <v>0</v>
      </c>
      <c r="U1127" s="33">
        <f>quantInv[[#This Row],[UNIT
VALUE]]*quantInv[[#This Row],[Quantity]]</f>
        <v>0</v>
      </c>
      <c r="V1127" s="33">
        <f>quantInv[[#This Row],[Total Cost GBP]]/EURtoGBP</f>
        <v>0</v>
      </c>
      <c r="W1127" s="33">
        <f>quantInv[[#This Row],[Total Cost GBP]]/USDtoGBP</f>
        <v>0</v>
      </c>
      <c r="X1127" s="33">
        <f>quantInv[[#This Row],[Total Cost GBP]]/CADtoGBP</f>
        <v>0</v>
      </c>
      <c r="Y1127" s="33">
        <f>quantInv[[#This Row],[Quantity]]*quantInv[[#This Row],[UNIT
VALUE AUD]]</f>
        <v>0</v>
      </c>
      <c r="Z1127" s="33"/>
    </row>
    <row r="1128" spans="1:26" x14ac:dyDescent="0.25">
      <c r="A1128" t="s">
        <v>2679</v>
      </c>
      <c r="C1128" t="s">
        <v>114</v>
      </c>
      <c r="E1128">
        <v>0</v>
      </c>
      <c r="F1128" s="33">
        <v>7.0499999999999993E-2</v>
      </c>
      <c r="G1128" s="33" t="s">
        <v>2875</v>
      </c>
      <c r="H1128" t="s">
        <v>2875</v>
      </c>
      <c r="I1128" t="str">
        <f>IF(quantInv[[#This Row],[Metal]] = "925 Silver",  "7113.11.00"," 7113.19.00")</f>
        <v xml:space="preserve"> 7113.19.00</v>
      </c>
      <c r="J1128" t="str">
        <f>IF(quantInv[[#This Row],[Metal]] = "925 Silver", "7113.11.10.00"," 7113.19.10.00")</f>
        <v xml:space="preserve"> 7113.19.10.00</v>
      </c>
      <c r="K1128" t="str">
        <f>IF(quantInv[[#This Row],[Metal]] = "925 Silver",  "7113.11.00"," 7113.19.00")</f>
        <v xml:space="preserve"> 7113.19.00</v>
      </c>
      <c r="L1128" t="str">
        <f>IFERROR(VLOOKUP(quantInv[[#This Row],[Description for New Invoice]],Map!$G$12:$H$32,2,FALSE), IF(quantInv[[#This Row],[Metal]] = "925 Silver", "7113.11.10.00", "7113.19.29.00"))</f>
        <v>7113.19.29.00</v>
      </c>
      <c r="M1128" t="str">
        <f>quantInv[[#This Row],[ASIN]] &amp; " " &amp; quantInv[[#This Row],[Short Description]]</f>
        <v xml:space="preserve"> </v>
      </c>
      <c r="N1128" s="33">
        <f>quantInv[[#This Row],[UNIT
VALUE]] / EURtoGBP</f>
        <v>8.0025880710357392E-2</v>
      </c>
      <c r="O1128" s="33">
        <f>quantInv[[#This Row],[UNIT
VALUE]]/USDtoGBP</f>
        <v>9.6643787449467625E-2</v>
      </c>
      <c r="P1128" s="33">
        <f>quantInv[[#This Row],[UNIT
VALUE]] / CADtoGBP</f>
        <v>0.1237096035502024</v>
      </c>
      <c r="Q1128" s="33">
        <f>quantInv[[#This Row],[UNIT
VALUE]]/AUDtoGBP</f>
        <v>0.12662547596810114</v>
      </c>
      <c r="R1128">
        <f>IFERROR(VLOOKUP(quantInv[[#This Row],[Assigned Item SKU]],skuQuantity[#All],2,FALSE),0)</f>
        <v>0</v>
      </c>
      <c r="S1128" t="str">
        <f>PROPER(quantInv[[#This Row],[Metal]] &amp; " " &amp; quantInv[[#This Row],[Item Type]])</f>
        <v xml:space="preserve"> </v>
      </c>
      <c r="T1128" s="33">
        <f>quantInv[[#This Row],[Quantity]]*quantInv[[#This Row],[WEIGHT]]</f>
        <v>0</v>
      </c>
      <c r="U1128" s="33">
        <f>quantInv[[#This Row],[UNIT
VALUE]]*quantInv[[#This Row],[Quantity]]</f>
        <v>0</v>
      </c>
      <c r="V1128" s="33">
        <f>quantInv[[#This Row],[Total Cost GBP]]/EURtoGBP</f>
        <v>0</v>
      </c>
      <c r="W1128" s="33">
        <f>quantInv[[#This Row],[Total Cost GBP]]/USDtoGBP</f>
        <v>0</v>
      </c>
      <c r="X1128" s="33">
        <f>quantInv[[#This Row],[Total Cost GBP]]/CADtoGBP</f>
        <v>0</v>
      </c>
      <c r="Y1128" s="33">
        <f>quantInv[[#This Row],[Quantity]]*quantInv[[#This Row],[UNIT
VALUE AUD]]</f>
        <v>0</v>
      </c>
      <c r="Z1128" s="33"/>
    </row>
    <row r="1129" spans="1:26" x14ac:dyDescent="0.25">
      <c r="A1129" t="s">
        <v>2680</v>
      </c>
      <c r="C1129" t="s">
        <v>114</v>
      </c>
      <c r="E1129">
        <v>0</v>
      </c>
      <c r="F1129" s="33">
        <v>7.0499999999999993E-2</v>
      </c>
      <c r="G1129" s="33" t="s">
        <v>2875</v>
      </c>
      <c r="H1129" t="s">
        <v>2875</v>
      </c>
      <c r="I1129" t="str">
        <f>IF(quantInv[[#This Row],[Metal]] = "925 Silver",  "7113.11.00"," 7113.19.00")</f>
        <v xml:space="preserve"> 7113.19.00</v>
      </c>
      <c r="J1129" t="str">
        <f>IF(quantInv[[#This Row],[Metal]] = "925 Silver", "7113.11.10.00"," 7113.19.10.00")</f>
        <v xml:space="preserve"> 7113.19.10.00</v>
      </c>
      <c r="K1129" t="str">
        <f>IF(quantInv[[#This Row],[Metal]] = "925 Silver",  "7113.11.00"," 7113.19.00")</f>
        <v xml:space="preserve"> 7113.19.00</v>
      </c>
      <c r="L1129" t="str">
        <f>IFERROR(VLOOKUP(quantInv[[#This Row],[Description for New Invoice]],Map!$G$12:$H$32,2,FALSE), IF(quantInv[[#This Row],[Metal]] = "925 Silver", "7113.11.10.00", "7113.19.29.00"))</f>
        <v>7113.19.29.00</v>
      </c>
      <c r="M1129" t="str">
        <f>quantInv[[#This Row],[ASIN]] &amp; " " &amp; quantInv[[#This Row],[Short Description]]</f>
        <v xml:space="preserve"> </v>
      </c>
      <c r="N1129" s="33">
        <f>quantInv[[#This Row],[UNIT
VALUE]] / EURtoGBP</f>
        <v>8.0025880710357392E-2</v>
      </c>
      <c r="O1129" s="33">
        <f>quantInv[[#This Row],[UNIT
VALUE]]/USDtoGBP</f>
        <v>9.6643787449467625E-2</v>
      </c>
      <c r="P1129" s="33">
        <f>quantInv[[#This Row],[UNIT
VALUE]] / CADtoGBP</f>
        <v>0.1237096035502024</v>
      </c>
      <c r="Q1129" s="33">
        <f>quantInv[[#This Row],[UNIT
VALUE]]/AUDtoGBP</f>
        <v>0.12662547596810114</v>
      </c>
      <c r="R1129">
        <f>IFERROR(VLOOKUP(quantInv[[#This Row],[Assigned Item SKU]],skuQuantity[#All],2,FALSE),0)</f>
        <v>0</v>
      </c>
      <c r="S1129" t="str">
        <f>PROPER(quantInv[[#This Row],[Metal]] &amp; " " &amp; quantInv[[#This Row],[Item Type]])</f>
        <v xml:space="preserve"> </v>
      </c>
      <c r="T1129" s="33">
        <f>quantInv[[#This Row],[Quantity]]*quantInv[[#This Row],[WEIGHT]]</f>
        <v>0</v>
      </c>
      <c r="U1129" s="33">
        <f>quantInv[[#This Row],[UNIT
VALUE]]*quantInv[[#This Row],[Quantity]]</f>
        <v>0</v>
      </c>
      <c r="V1129" s="33">
        <f>quantInv[[#This Row],[Total Cost GBP]]/EURtoGBP</f>
        <v>0</v>
      </c>
      <c r="W1129" s="33">
        <f>quantInv[[#This Row],[Total Cost GBP]]/USDtoGBP</f>
        <v>0</v>
      </c>
      <c r="X1129" s="33">
        <f>quantInv[[#This Row],[Total Cost GBP]]/CADtoGBP</f>
        <v>0</v>
      </c>
      <c r="Y1129" s="33">
        <f>quantInv[[#This Row],[Quantity]]*quantInv[[#This Row],[UNIT
VALUE AUD]]</f>
        <v>0</v>
      </c>
      <c r="Z1129" s="33"/>
    </row>
    <row r="1130" spans="1:26" x14ac:dyDescent="0.25">
      <c r="A1130" t="s">
        <v>2681</v>
      </c>
      <c r="C1130" t="s">
        <v>114</v>
      </c>
      <c r="E1130">
        <v>0</v>
      </c>
      <c r="F1130" s="33">
        <v>7.0499999999999993E-2</v>
      </c>
      <c r="G1130" s="33" t="s">
        <v>2875</v>
      </c>
      <c r="H1130" t="s">
        <v>2875</v>
      </c>
      <c r="I1130" t="str">
        <f>IF(quantInv[[#This Row],[Metal]] = "925 Silver",  "7113.11.00"," 7113.19.00")</f>
        <v xml:space="preserve"> 7113.19.00</v>
      </c>
      <c r="J1130" t="str">
        <f>IF(quantInv[[#This Row],[Metal]] = "925 Silver", "7113.11.10.00"," 7113.19.10.00")</f>
        <v xml:space="preserve"> 7113.19.10.00</v>
      </c>
      <c r="K1130" t="str">
        <f>IF(quantInv[[#This Row],[Metal]] = "925 Silver",  "7113.11.00"," 7113.19.00")</f>
        <v xml:space="preserve"> 7113.19.00</v>
      </c>
      <c r="L1130" t="str">
        <f>IFERROR(VLOOKUP(quantInv[[#This Row],[Description for New Invoice]],Map!$G$12:$H$32,2,FALSE), IF(quantInv[[#This Row],[Metal]] = "925 Silver", "7113.11.10.00", "7113.19.29.00"))</f>
        <v>7113.19.29.00</v>
      </c>
      <c r="M1130" t="str">
        <f>quantInv[[#This Row],[ASIN]] &amp; " " &amp; quantInv[[#This Row],[Short Description]]</f>
        <v xml:space="preserve"> </v>
      </c>
      <c r="N1130" s="33">
        <f>quantInv[[#This Row],[UNIT
VALUE]] / EURtoGBP</f>
        <v>8.0025880710357392E-2</v>
      </c>
      <c r="O1130" s="33">
        <f>quantInv[[#This Row],[UNIT
VALUE]]/USDtoGBP</f>
        <v>9.6643787449467625E-2</v>
      </c>
      <c r="P1130" s="33">
        <f>quantInv[[#This Row],[UNIT
VALUE]] / CADtoGBP</f>
        <v>0.1237096035502024</v>
      </c>
      <c r="Q1130" s="33">
        <f>quantInv[[#This Row],[UNIT
VALUE]]/AUDtoGBP</f>
        <v>0.12662547596810114</v>
      </c>
      <c r="R1130">
        <f>IFERROR(VLOOKUP(quantInv[[#This Row],[Assigned Item SKU]],skuQuantity[#All],2,FALSE),0)</f>
        <v>0</v>
      </c>
      <c r="S1130" t="str">
        <f>PROPER(quantInv[[#This Row],[Metal]] &amp; " " &amp; quantInv[[#This Row],[Item Type]])</f>
        <v xml:space="preserve"> </v>
      </c>
      <c r="T1130" s="33">
        <f>quantInv[[#This Row],[Quantity]]*quantInv[[#This Row],[WEIGHT]]</f>
        <v>0</v>
      </c>
      <c r="U1130" s="33">
        <f>quantInv[[#This Row],[UNIT
VALUE]]*quantInv[[#This Row],[Quantity]]</f>
        <v>0</v>
      </c>
      <c r="V1130" s="33">
        <f>quantInv[[#This Row],[Total Cost GBP]]/EURtoGBP</f>
        <v>0</v>
      </c>
      <c r="W1130" s="33">
        <f>quantInv[[#This Row],[Total Cost GBP]]/USDtoGBP</f>
        <v>0</v>
      </c>
      <c r="X1130" s="33">
        <f>quantInv[[#This Row],[Total Cost GBP]]/CADtoGBP</f>
        <v>0</v>
      </c>
      <c r="Y1130" s="33">
        <f>quantInv[[#This Row],[Quantity]]*quantInv[[#This Row],[UNIT
VALUE AUD]]</f>
        <v>0</v>
      </c>
      <c r="Z1130" s="33"/>
    </row>
    <row r="1131" spans="1:26" x14ac:dyDescent="0.25">
      <c r="A1131" t="s">
        <v>2682</v>
      </c>
      <c r="C1131" t="s">
        <v>114</v>
      </c>
      <c r="E1131">
        <v>0</v>
      </c>
      <c r="F1131" s="33">
        <v>7.0499999999999993E-2</v>
      </c>
      <c r="G1131" s="33" t="s">
        <v>2875</v>
      </c>
      <c r="H1131" t="s">
        <v>2875</v>
      </c>
      <c r="I1131" t="str">
        <f>IF(quantInv[[#This Row],[Metal]] = "925 Silver",  "7113.11.00"," 7113.19.00")</f>
        <v xml:space="preserve"> 7113.19.00</v>
      </c>
      <c r="J1131" t="str">
        <f>IF(quantInv[[#This Row],[Metal]] = "925 Silver", "7113.11.10.00"," 7113.19.10.00")</f>
        <v xml:space="preserve"> 7113.19.10.00</v>
      </c>
      <c r="K1131" t="str">
        <f>IF(quantInv[[#This Row],[Metal]] = "925 Silver",  "7113.11.00"," 7113.19.00")</f>
        <v xml:space="preserve"> 7113.19.00</v>
      </c>
      <c r="L1131" t="str">
        <f>IFERROR(VLOOKUP(quantInv[[#This Row],[Description for New Invoice]],Map!$G$12:$H$32,2,FALSE), IF(quantInv[[#This Row],[Metal]] = "925 Silver", "7113.11.10.00", "7113.19.29.00"))</f>
        <v>7113.19.29.00</v>
      </c>
      <c r="M1131" t="str">
        <f>quantInv[[#This Row],[ASIN]] &amp; " " &amp; quantInv[[#This Row],[Short Description]]</f>
        <v xml:space="preserve"> </v>
      </c>
      <c r="N1131" s="33">
        <f>quantInv[[#This Row],[UNIT
VALUE]] / EURtoGBP</f>
        <v>8.0025880710357392E-2</v>
      </c>
      <c r="O1131" s="33">
        <f>quantInv[[#This Row],[UNIT
VALUE]]/USDtoGBP</f>
        <v>9.6643787449467625E-2</v>
      </c>
      <c r="P1131" s="33">
        <f>quantInv[[#This Row],[UNIT
VALUE]] / CADtoGBP</f>
        <v>0.1237096035502024</v>
      </c>
      <c r="Q1131" s="33">
        <f>quantInv[[#This Row],[UNIT
VALUE]]/AUDtoGBP</f>
        <v>0.12662547596810114</v>
      </c>
      <c r="R1131">
        <f>IFERROR(VLOOKUP(quantInv[[#This Row],[Assigned Item SKU]],skuQuantity[#All],2,FALSE),0)</f>
        <v>0</v>
      </c>
      <c r="S1131" t="str">
        <f>PROPER(quantInv[[#This Row],[Metal]] &amp; " " &amp; quantInv[[#This Row],[Item Type]])</f>
        <v xml:space="preserve"> </v>
      </c>
      <c r="T1131" s="33">
        <f>quantInv[[#This Row],[Quantity]]*quantInv[[#This Row],[WEIGHT]]</f>
        <v>0</v>
      </c>
      <c r="U1131" s="33">
        <f>quantInv[[#This Row],[UNIT
VALUE]]*quantInv[[#This Row],[Quantity]]</f>
        <v>0</v>
      </c>
      <c r="V1131" s="33">
        <f>quantInv[[#This Row],[Total Cost GBP]]/EURtoGBP</f>
        <v>0</v>
      </c>
      <c r="W1131" s="33">
        <f>quantInv[[#This Row],[Total Cost GBP]]/USDtoGBP</f>
        <v>0</v>
      </c>
      <c r="X1131" s="33">
        <f>quantInv[[#This Row],[Total Cost GBP]]/CADtoGBP</f>
        <v>0</v>
      </c>
      <c r="Y1131" s="33">
        <f>quantInv[[#This Row],[Quantity]]*quantInv[[#This Row],[UNIT
VALUE AUD]]</f>
        <v>0</v>
      </c>
      <c r="Z1131" s="33"/>
    </row>
    <row r="1132" spans="1:26" x14ac:dyDescent="0.25">
      <c r="A1132" t="s">
        <v>2683</v>
      </c>
      <c r="C1132" t="s">
        <v>114</v>
      </c>
      <c r="E1132">
        <v>0</v>
      </c>
      <c r="F1132" s="33">
        <v>7.0499999999999993E-2</v>
      </c>
      <c r="G1132" s="33" t="s">
        <v>2875</v>
      </c>
      <c r="H1132" t="s">
        <v>2875</v>
      </c>
      <c r="I1132" t="str">
        <f>IF(quantInv[[#This Row],[Metal]] = "925 Silver",  "7113.11.00"," 7113.19.00")</f>
        <v xml:space="preserve"> 7113.19.00</v>
      </c>
      <c r="J1132" t="str">
        <f>IF(quantInv[[#This Row],[Metal]] = "925 Silver", "7113.11.10.00"," 7113.19.10.00")</f>
        <v xml:space="preserve"> 7113.19.10.00</v>
      </c>
      <c r="K1132" t="str">
        <f>IF(quantInv[[#This Row],[Metal]] = "925 Silver",  "7113.11.00"," 7113.19.00")</f>
        <v xml:space="preserve"> 7113.19.00</v>
      </c>
      <c r="L1132" t="str">
        <f>IFERROR(VLOOKUP(quantInv[[#This Row],[Description for New Invoice]],Map!$G$12:$H$32,2,FALSE), IF(quantInv[[#This Row],[Metal]] = "925 Silver", "7113.11.10.00", "7113.19.29.00"))</f>
        <v>7113.19.29.00</v>
      </c>
      <c r="M1132" t="str">
        <f>quantInv[[#This Row],[ASIN]] &amp; " " &amp; quantInv[[#This Row],[Short Description]]</f>
        <v xml:space="preserve"> </v>
      </c>
      <c r="N1132" s="33">
        <f>quantInv[[#This Row],[UNIT
VALUE]] / EURtoGBP</f>
        <v>8.0025880710357392E-2</v>
      </c>
      <c r="O1132" s="33">
        <f>quantInv[[#This Row],[UNIT
VALUE]]/USDtoGBP</f>
        <v>9.6643787449467625E-2</v>
      </c>
      <c r="P1132" s="33">
        <f>quantInv[[#This Row],[UNIT
VALUE]] / CADtoGBP</f>
        <v>0.1237096035502024</v>
      </c>
      <c r="Q1132" s="33">
        <f>quantInv[[#This Row],[UNIT
VALUE]]/AUDtoGBP</f>
        <v>0.12662547596810114</v>
      </c>
      <c r="R1132">
        <f>IFERROR(VLOOKUP(quantInv[[#This Row],[Assigned Item SKU]],skuQuantity[#All],2,FALSE),0)</f>
        <v>0</v>
      </c>
      <c r="S1132" t="str">
        <f>PROPER(quantInv[[#This Row],[Metal]] &amp; " " &amp; quantInv[[#This Row],[Item Type]])</f>
        <v xml:space="preserve"> </v>
      </c>
      <c r="T1132" s="33">
        <f>quantInv[[#This Row],[Quantity]]*quantInv[[#This Row],[WEIGHT]]</f>
        <v>0</v>
      </c>
      <c r="U1132" s="33">
        <f>quantInv[[#This Row],[UNIT
VALUE]]*quantInv[[#This Row],[Quantity]]</f>
        <v>0</v>
      </c>
      <c r="V1132" s="33">
        <f>quantInv[[#This Row],[Total Cost GBP]]/EURtoGBP</f>
        <v>0</v>
      </c>
      <c r="W1132" s="33">
        <f>quantInv[[#This Row],[Total Cost GBP]]/USDtoGBP</f>
        <v>0</v>
      </c>
      <c r="X1132" s="33">
        <f>quantInv[[#This Row],[Total Cost GBP]]/CADtoGBP</f>
        <v>0</v>
      </c>
      <c r="Y1132" s="33">
        <f>quantInv[[#This Row],[Quantity]]*quantInv[[#This Row],[UNIT
VALUE AUD]]</f>
        <v>0</v>
      </c>
      <c r="Z1132" s="33"/>
    </row>
    <row r="1133" spans="1:26" x14ac:dyDescent="0.25">
      <c r="A1133" t="s">
        <v>2684</v>
      </c>
      <c r="C1133" t="s">
        <v>114</v>
      </c>
      <c r="E1133">
        <v>0</v>
      </c>
      <c r="F1133" s="33">
        <v>7.0499999999999993E-2</v>
      </c>
      <c r="G1133" s="33" t="s">
        <v>2875</v>
      </c>
      <c r="H1133" t="s">
        <v>2875</v>
      </c>
      <c r="I1133" t="str">
        <f>IF(quantInv[[#This Row],[Metal]] = "925 Silver",  "7113.11.00"," 7113.19.00")</f>
        <v xml:space="preserve"> 7113.19.00</v>
      </c>
      <c r="J1133" t="str">
        <f>IF(quantInv[[#This Row],[Metal]] = "925 Silver", "7113.11.10.00"," 7113.19.10.00")</f>
        <v xml:space="preserve"> 7113.19.10.00</v>
      </c>
      <c r="K1133" t="str">
        <f>IF(quantInv[[#This Row],[Metal]] = "925 Silver",  "7113.11.00"," 7113.19.00")</f>
        <v xml:space="preserve"> 7113.19.00</v>
      </c>
      <c r="L1133" t="str">
        <f>IFERROR(VLOOKUP(quantInv[[#This Row],[Description for New Invoice]],Map!$G$12:$H$32,2,FALSE), IF(quantInv[[#This Row],[Metal]] = "925 Silver", "7113.11.10.00", "7113.19.29.00"))</f>
        <v>7113.19.29.00</v>
      </c>
      <c r="M1133" t="str">
        <f>quantInv[[#This Row],[ASIN]] &amp; " " &amp; quantInv[[#This Row],[Short Description]]</f>
        <v xml:space="preserve"> </v>
      </c>
      <c r="N1133" s="33">
        <f>quantInv[[#This Row],[UNIT
VALUE]] / EURtoGBP</f>
        <v>8.0025880710357392E-2</v>
      </c>
      <c r="O1133" s="33">
        <f>quantInv[[#This Row],[UNIT
VALUE]]/USDtoGBP</f>
        <v>9.6643787449467625E-2</v>
      </c>
      <c r="P1133" s="33">
        <f>quantInv[[#This Row],[UNIT
VALUE]] / CADtoGBP</f>
        <v>0.1237096035502024</v>
      </c>
      <c r="Q1133" s="33">
        <f>quantInv[[#This Row],[UNIT
VALUE]]/AUDtoGBP</f>
        <v>0.12662547596810114</v>
      </c>
      <c r="R1133">
        <f>IFERROR(VLOOKUP(quantInv[[#This Row],[Assigned Item SKU]],skuQuantity[#All],2,FALSE),0)</f>
        <v>0</v>
      </c>
      <c r="S1133" t="str">
        <f>PROPER(quantInv[[#This Row],[Metal]] &amp; " " &amp; quantInv[[#This Row],[Item Type]])</f>
        <v xml:space="preserve"> </v>
      </c>
      <c r="T1133" s="33">
        <f>quantInv[[#This Row],[Quantity]]*quantInv[[#This Row],[WEIGHT]]</f>
        <v>0</v>
      </c>
      <c r="U1133" s="33">
        <f>quantInv[[#This Row],[UNIT
VALUE]]*quantInv[[#This Row],[Quantity]]</f>
        <v>0</v>
      </c>
      <c r="V1133" s="33">
        <f>quantInv[[#This Row],[Total Cost GBP]]/EURtoGBP</f>
        <v>0</v>
      </c>
      <c r="W1133" s="33">
        <f>quantInv[[#This Row],[Total Cost GBP]]/USDtoGBP</f>
        <v>0</v>
      </c>
      <c r="X1133" s="33">
        <f>quantInv[[#This Row],[Total Cost GBP]]/CADtoGBP</f>
        <v>0</v>
      </c>
      <c r="Y1133" s="33">
        <f>quantInv[[#This Row],[Quantity]]*quantInv[[#This Row],[UNIT
VALUE AUD]]</f>
        <v>0</v>
      </c>
      <c r="Z1133" s="33"/>
    </row>
    <row r="1134" spans="1:26" x14ac:dyDescent="0.25">
      <c r="A1134" t="s">
        <v>2685</v>
      </c>
      <c r="C1134" t="s">
        <v>114</v>
      </c>
      <c r="E1134">
        <v>0</v>
      </c>
      <c r="F1134" s="33">
        <v>7.0499999999999993E-2</v>
      </c>
      <c r="G1134" s="33" t="s">
        <v>2875</v>
      </c>
      <c r="H1134" t="s">
        <v>2875</v>
      </c>
      <c r="I1134" t="str">
        <f>IF(quantInv[[#This Row],[Metal]] = "925 Silver",  "7113.11.00"," 7113.19.00")</f>
        <v xml:space="preserve"> 7113.19.00</v>
      </c>
      <c r="J1134" t="str">
        <f>IF(quantInv[[#This Row],[Metal]] = "925 Silver", "7113.11.10.00"," 7113.19.10.00")</f>
        <v xml:space="preserve"> 7113.19.10.00</v>
      </c>
      <c r="K1134" t="str">
        <f>IF(quantInv[[#This Row],[Metal]] = "925 Silver",  "7113.11.00"," 7113.19.00")</f>
        <v xml:space="preserve"> 7113.19.00</v>
      </c>
      <c r="L1134" t="str">
        <f>IFERROR(VLOOKUP(quantInv[[#This Row],[Description for New Invoice]],Map!$G$12:$H$32,2,FALSE), IF(quantInv[[#This Row],[Metal]] = "925 Silver", "7113.11.10.00", "7113.19.29.00"))</f>
        <v>7113.19.29.00</v>
      </c>
      <c r="M1134" t="str">
        <f>quantInv[[#This Row],[ASIN]] &amp; " " &amp; quantInv[[#This Row],[Short Description]]</f>
        <v xml:space="preserve"> </v>
      </c>
      <c r="N1134" s="33">
        <f>quantInv[[#This Row],[UNIT
VALUE]] / EURtoGBP</f>
        <v>8.0025880710357392E-2</v>
      </c>
      <c r="O1134" s="33">
        <f>quantInv[[#This Row],[UNIT
VALUE]]/USDtoGBP</f>
        <v>9.6643787449467625E-2</v>
      </c>
      <c r="P1134" s="33">
        <f>quantInv[[#This Row],[UNIT
VALUE]] / CADtoGBP</f>
        <v>0.1237096035502024</v>
      </c>
      <c r="Q1134" s="33">
        <f>quantInv[[#This Row],[UNIT
VALUE]]/AUDtoGBP</f>
        <v>0.12662547596810114</v>
      </c>
      <c r="R1134">
        <f>IFERROR(VLOOKUP(quantInv[[#This Row],[Assigned Item SKU]],skuQuantity[#All],2,FALSE),0)</f>
        <v>0</v>
      </c>
      <c r="S1134" t="str">
        <f>PROPER(quantInv[[#This Row],[Metal]] &amp; " " &amp; quantInv[[#This Row],[Item Type]])</f>
        <v xml:space="preserve"> </v>
      </c>
      <c r="T1134" s="33">
        <f>quantInv[[#This Row],[Quantity]]*quantInv[[#This Row],[WEIGHT]]</f>
        <v>0</v>
      </c>
      <c r="U1134" s="33">
        <f>quantInv[[#This Row],[UNIT
VALUE]]*quantInv[[#This Row],[Quantity]]</f>
        <v>0</v>
      </c>
      <c r="V1134" s="33">
        <f>quantInv[[#This Row],[Total Cost GBP]]/EURtoGBP</f>
        <v>0</v>
      </c>
      <c r="W1134" s="33">
        <f>quantInv[[#This Row],[Total Cost GBP]]/USDtoGBP</f>
        <v>0</v>
      </c>
      <c r="X1134" s="33">
        <f>quantInv[[#This Row],[Total Cost GBP]]/CADtoGBP</f>
        <v>0</v>
      </c>
      <c r="Y1134" s="33">
        <f>quantInv[[#This Row],[Quantity]]*quantInv[[#This Row],[UNIT
VALUE AUD]]</f>
        <v>0</v>
      </c>
      <c r="Z1134" s="33"/>
    </row>
    <row r="1135" spans="1:26" x14ac:dyDescent="0.25">
      <c r="A1135" t="s">
        <v>2686</v>
      </c>
      <c r="C1135" t="s">
        <v>114</v>
      </c>
      <c r="E1135">
        <v>0</v>
      </c>
      <c r="F1135" s="33">
        <v>7.0499999999999993E-2</v>
      </c>
      <c r="G1135" s="33" t="s">
        <v>2875</v>
      </c>
      <c r="H1135" t="s">
        <v>2875</v>
      </c>
      <c r="I1135" t="str">
        <f>IF(quantInv[[#This Row],[Metal]] = "925 Silver",  "7113.11.00"," 7113.19.00")</f>
        <v xml:space="preserve"> 7113.19.00</v>
      </c>
      <c r="J1135" t="str">
        <f>IF(quantInv[[#This Row],[Metal]] = "925 Silver", "7113.11.10.00"," 7113.19.10.00")</f>
        <v xml:space="preserve"> 7113.19.10.00</v>
      </c>
      <c r="K1135" t="str">
        <f>IF(quantInv[[#This Row],[Metal]] = "925 Silver",  "7113.11.00"," 7113.19.00")</f>
        <v xml:space="preserve"> 7113.19.00</v>
      </c>
      <c r="L1135" t="str">
        <f>IFERROR(VLOOKUP(quantInv[[#This Row],[Description for New Invoice]],Map!$G$12:$H$32,2,FALSE), IF(quantInv[[#This Row],[Metal]] = "925 Silver", "7113.11.10.00", "7113.19.29.00"))</f>
        <v>7113.19.29.00</v>
      </c>
      <c r="M1135" t="str">
        <f>quantInv[[#This Row],[ASIN]] &amp; " " &amp; quantInv[[#This Row],[Short Description]]</f>
        <v xml:space="preserve"> </v>
      </c>
      <c r="N1135" s="33">
        <f>quantInv[[#This Row],[UNIT
VALUE]] / EURtoGBP</f>
        <v>8.0025880710357392E-2</v>
      </c>
      <c r="O1135" s="33">
        <f>quantInv[[#This Row],[UNIT
VALUE]]/USDtoGBP</f>
        <v>9.6643787449467625E-2</v>
      </c>
      <c r="P1135" s="33">
        <f>quantInv[[#This Row],[UNIT
VALUE]] / CADtoGBP</f>
        <v>0.1237096035502024</v>
      </c>
      <c r="Q1135" s="33">
        <f>quantInv[[#This Row],[UNIT
VALUE]]/AUDtoGBP</f>
        <v>0.12662547596810114</v>
      </c>
      <c r="R1135">
        <f>IFERROR(VLOOKUP(quantInv[[#This Row],[Assigned Item SKU]],skuQuantity[#All],2,FALSE),0)</f>
        <v>0</v>
      </c>
      <c r="S1135" t="str">
        <f>PROPER(quantInv[[#This Row],[Metal]] &amp; " " &amp; quantInv[[#This Row],[Item Type]])</f>
        <v xml:space="preserve"> </v>
      </c>
      <c r="T1135" s="33">
        <f>quantInv[[#This Row],[Quantity]]*quantInv[[#This Row],[WEIGHT]]</f>
        <v>0</v>
      </c>
      <c r="U1135" s="33">
        <f>quantInv[[#This Row],[UNIT
VALUE]]*quantInv[[#This Row],[Quantity]]</f>
        <v>0</v>
      </c>
      <c r="V1135" s="33">
        <f>quantInv[[#This Row],[Total Cost GBP]]/EURtoGBP</f>
        <v>0</v>
      </c>
      <c r="W1135" s="33">
        <f>quantInv[[#This Row],[Total Cost GBP]]/USDtoGBP</f>
        <v>0</v>
      </c>
      <c r="X1135" s="33">
        <f>quantInv[[#This Row],[Total Cost GBP]]/CADtoGBP</f>
        <v>0</v>
      </c>
      <c r="Y1135" s="33">
        <f>quantInv[[#This Row],[Quantity]]*quantInv[[#This Row],[UNIT
VALUE AUD]]</f>
        <v>0</v>
      </c>
      <c r="Z1135" s="33"/>
    </row>
    <row r="1136" spans="1:26" x14ac:dyDescent="0.25">
      <c r="A1136" t="s">
        <v>2687</v>
      </c>
      <c r="C1136" t="s">
        <v>114</v>
      </c>
      <c r="E1136">
        <v>0</v>
      </c>
      <c r="F1136" s="33">
        <v>7.0499999999999993E-2</v>
      </c>
      <c r="G1136" s="33" t="s">
        <v>2875</v>
      </c>
      <c r="H1136" t="s">
        <v>2875</v>
      </c>
      <c r="I1136" t="str">
        <f>IF(quantInv[[#This Row],[Metal]] = "925 Silver",  "7113.11.00"," 7113.19.00")</f>
        <v xml:space="preserve"> 7113.19.00</v>
      </c>
      <c r="J1136" t="str">
        <f>IF(quantInv[[#This Row],[Metal]] = "925 Silver", "7113.11.10.00"," 7113.19.10.00")</f>
        <v xml:space="preserve"> 7113.19.10.00</v>
      </c>
      <c r="K1136" t="str">
        <f>IF(quantInv[[#This Row],[Metal]] = "925 Silver",  "7113.11.00"," 7113.19.00")</f>
        <v xml:space="preserve"> 7113.19.00</v>
      </c>
      <c r="L1136" t="str">
        <f>IFERROR(VLOOKUP(quantInv[[#This Row],[Description for New Invoice]],Map!$G$12:$H$32,2,FALSE), IF(quantInv[[#This Row],[Metal]] = "925 Silver", "7113.11.10.00", "7113.19.29.00"))</f>
        <v>7113.19.29.00</v>
      </c>
      <c r="M1136" t="str">
        <f>quantInv[[#This Row],[ASIN]] &amp; " " &amp; quantInv[[#This Row],[Short Description]]</f>
        <v xml:space="preserve"> </v>
      </c>
      <c r="N1136" s="33">
        <f>quantInv[[#This Row],[UNIT
VALUE]] / EURtoGBP</f>
        <v>8.0025880710357392E-2</v>
      </c>
      <c r="O1136" s="33">
        <f>quantInv[[#This Row],[UNIT
VALUE]]/USDtoGBP</f>
        <v>9.6643787449467625E-2</v>
      </c>
      <c r="P1136" s="33">
        <f>quantInv[[#This Row],[UNIT
VALUE]] / CADtoGBP</f>
        <v>0.1237096035502024</v>
      </c>
      <c r="Q1136" s="33">
        <f>quantInv[[#This Row],[UNIT
VALUE]]/AUDtoGBP</f>
        <v>0.12662547596810114</v>
      </c>
      <c r="R1136">
        <f>IFERROR(VLOOKUP(quantInv[[#This Row],[Assigned Item SKU]],skuQuantity[#All],2,FALSE),0)</f>
        <v>0</v>
      </c>
      <c r="S1136" t="str">
        <f>PROPER(quantInv[[#This Row],[Metal]] &amp; " " &amp; quantInv[[#This Row],[Item Type]])</f>
        <v xml:space="preserve"> </v>
      </c>
      <c r="T1136" s="33">
        <f>quantInv[[#This Row],[Quantity]]*quantInv[[#This Row],[WEIGHT]]</f>
        <v>0</v>
      </c>
      <c r="U1136" s="33">
        <f>quantInv[[#This Row],[UNIT
VALUE]]*quantInv[[#This Row],[Quantity]]</f>
        <v>0</v>
      </c>
      <c r="V1136" s="33">
        <f>quantInv[[#This Row],[Total Cost GBP]]/EURtoGBP</f>
        <v>0</v>
      </c>
      <c r="W1136" s="33">
        <f>quantInv[[#This Row],[Total Cost GBP]]/USDtoGBP</f>
        <v>0</v>
      </c>
      <c r="X1136" s="33">
        <f>quantInv[[#This Row],[Total Cost GBP]]/CADtoGBP</f>
        <v>0</v>
      </c>
      <c r="Y1136" s="33">
        <f>quantInv[[#This Row],[Quantity]]*quantInv[[#This Row],[UNIT
VALUE AUD]]</f>
        <v>0</v>
      </c>
      <c r="Z1136" s="33"/>
    </row>
    <row r="1137" spans="1:26" x14ac:dyDescent="0.25">
      <c r="A1137" t="s">
        <v>2688</v>
      </c>
      <c r="C1137" t="s">
        <v>114</v>
      </c>
      <c r="E1137">
        <v>0</v>
      </c>
      <c r="F1137" s="33">
        <v>7.0499999999999993E-2</v>
      </c>
      <c r="G1137" s="33" t="s">
        <v>2875</v>
      </c>
      <c r="H1137" t="s">
        <v>2875</v>
      </c>
      <c r="I1137" t="str">
        <f>IF(quantInv[[#This Row],[Metal]] = "925 Silver",  "7113.11.00"," 7113.19.00")</f>
        <v xml:space="preserve"> 7113.19.00</v>
      </c>
      <c r="J1137" t="str">
        <f>IF(quantInv[[#This Row],[Metal]] = "925 Silver", "7113.11.10.00"," 7113.19.10.00")</f>
        <v xml:space="preserve"> 7113.19.10.00</v>
      </c>
      <c r="K1137" t="str">
        <f>IF(quantInv[[#This Row],[Metal]] = "925 Silver",  "7113.11.00"," 7113.19.00")</f>
        <v xml:space="preserve"> 7113.19.00</v>
      </c>
      <c r="L1137" t="str">
        <f>IFERROR(VLOOKUP(quantInv[[#This Row],[Description for New Invoice]],Map!$G$12:$H$32,2,FALSE), IF(quantInv[[#This Row],[Metal]] = "925 Silver", "7113.11.10.00", "7113.19.29.00"))</f>
        <v>7113.19.29.00</v>
      </c>
      <c r="M1137" t="str">
        <f>quantInv[[#This Row],[ASIN]] &amp; " " &amp; quantInv[[#This Row],[Short Description]]</f>
        <v xml:space="preserve"> </v>
      </c>
      <c r="N1137" s="33">
        <f>quantInv[[#This Row],[UNIT
VALUE]] / EURtoGBP</f>
        <v>8.0025880710357392E-2</v>
      </c>
      <c r="O1137" s="33">
        <f>quantInv[[#This Row],[UNIT
VALUE]]/USDtoGBP</f>
        <v>9.6643787449467625E-2</v>
      </c>
      <c r="P1137" s="33">
        <f>quantInv[[#This Row],[UNIT
VALUE]] / CADtoGBP</f>
        <v>0.1237096035502024</v>
      </c>
      <c r="Q1137" s="33">
        <f>quantInv[[#This Row],[UNIT
VALUE]]/AUDtoGBP</f>
        <v>0.12662547596810114</v>
      </c>
      <c r="R1137">
        <f>IFERROR(VLOOKUP(quantInv[[#This Row],[Assigned Item SKU]],skuQuantity[#All],2,FALSE),0)</f>
        <v>0</v>
      </c>
      <c r="S1137" t="str">
        <f>PROPER(quantInv[[#This Row],[Metal]] &amp; " " &amp; quantInv[[#This Row],[Item Type]])</f>
        <v xml:space="preserve"> </v>
      </c>
      <c r="T1137" s="33">
        <f>quantInv[[#This Row],[Quantity]]*quantInv[[#This Row],[WEIGHT]]</f>
        <v>0</v>
      </c>
      <c r="U1137" s="33">
        <f>quantInv[[#This Row],[UNIT
VALUE]]*quantInv[[#This Row],[Quantity]]</f>
        <v>0</v>
      </c>
      <c r="V1137" s="33">
        <f>quantInv[[#This Row],[Total Cost GBP]]/EURtoGBP</f>
        <v>0</v>
      </c>
      <c r="W1137" s="33">
        <f>quantInv[[#This Row],[Total Cost GBP]]/USDtoGBP</f>
        <v>0</v>
      </c>
      <c r="X1137" s="33">
        <f>quantInv[[#This Row],[Total Cost GBP]]/CADtoGBP</f>
        <v>0</v>
      </c>
      <c r="Y1137" s="33">
        <f>quantInv[[#This Row],[Quantity]]*quantInv[[#This Row],[UNIT
VALUE AUD]]</f>
        <v>0</v>
      </c>
      <c r="Z1137" s="33"/>
    </row>
    <row r="1138" spans="1:26" x14ac:dyDescent="0.25">
      <c r="A1138" t="s">
        <v>2689</v>
      </c>
      <c r="C1138" t="s">
        <v>114</v>
      </c>
      <c r="E1138">
        <v>0</v>
      </c>
      <c r="F1138" s="33">
        <v>7.0499999999999993E-2</v>
      </c>
      <c r="G1138" s="33" t="s">
        <v>2875</v>
      </c>
      <c r="H1138" t="s">
        <v>2875</v>
      </c>
      <c r="I1138" t="str">
        <f>IF(quantInv[[#This Row],[Metal]] = "925 Silver",  "7113.11.00"," 7113.19.00")</f>
        <v xml:space="preserve"> 7113.19.00</v>
      </c>
      <c r="J1138" t="str">
        <f>IF(quantInv[[#This Row],[Metal]] = "925 Silver", "7113.11.10.00"," 7113.19.10.00")</f>
        <v xml:space="preserve"> 7113.19.10.00</v>
      </c>
      <c r="K1138" t="str">
        <f>IF(quantInv[[#This Row],[Metal]] = "925 Silver",  "7113.11.00"," 7113.19.00")</f>
        <v xml:space="preserve"> 7113.19.00</v>
      </c>
      <c r="L1138" t="str">
        <f>IFERROR(VLOOKUP(quantInv[[#This Row],[Description for New Invoice]],Map!$G$12:$H$32,2,FALSE), IF(quantInv[[#This Row],[Metal]] = "925 Silver", "7113.11.10.00", "7113.19.29.00"))</f>
        <v>7113.19.29.00</v>
      </c>
      <c r="M1138" t="str">
        <f>quantInv[[#This Row],[ASIN]] &amp; " " &amp; quantInv[[#This Row],[Short Description]]</f>
        <v xml:space="preserve"> </v>
      </c>
      <c r="N1138" s="33">
        <f>quantInv[[#This Row],[UNIT
VALUE]] / EURtoGBP</f>
        <v>8.0025880710357392E-2</v>
      </c>
      <c r="O1138" s="33">
        <f>quantInv[[#This Row],[UNIT
VALUE]]/USDtoGBP</f>
        <v>9.6643787449467625E-2</v>
      </c>
      <c r="P1138" s="33">
        <f>quantInv[[#This Row],[UNIT
VALUE]] / CADtoGBP</f>
        <v>0.1237096035502024</v>
      </c>
      <c r="Q1138" s="33">
        <f>quantInv[[#This Row],[UNIT
VALUE]]/AUDtoGBP</f>
        <v>0.12662547596810114</v>
      </c>
      <c r="R1138">
        <f>IFERROR(VLOOKUP(quantInv[[#This Row],[Assigned Item SKU]],skuQuantity[#All],2,FALSE),0)</f>
        <v>0</v>
      </c>
      <c r="S1138" t="str">
        <f>PROPER(quantInv[[#This Row],[Metal]] &amp; " " &amp; quantInv[[#This Row],[Item Type]])</f>
        <v xml:space="preserve"> </v>
      </c>
      <c r="T1138" s="33">
        <f>quantInv[[#This Row],[Quantity]]*quantInv[[#This Row],[WEIGHT]]</f>
        <v>0</v>
      </c>
      <c r="U1138" s="33">
        <f>quantInv[[#This Row],[UNIT
VALUE]]*quantInv[[#This Row],[Quantity]]</f>
        <v>0</v>
      </c>
      <c r="V1138" s="33">
        <f>quantInv[[#This Row],[Total Cost GBP]]/EURtoGBP</f>
        <v>0</v>
      </c>
      <c r="W1138" s="33">
        <f>quantInv[[#This Row],[Total Cost GBP]]/USDtoGBP</f>
        <v>0</v>
      </c>
      <c r="X1138" s="33">
        <f>quantInv[[#This Row],[Total Cost GBP]]/CADtoGBP</f>
        <v>0</v>
      </c>
      <c r="Y1138" s="33">
        <f>quantInv[[#This Row],[Quantity]]*quantInv[[#This Row],[UNIT
VALUE AUD]]</f>
        <v>0</v>
      </c>
      <c r="Z1138" s="33"/>
    </row>
    <row r="1139" spans="1:26" x14ac:dyDescent="0.25">
      <c r="A1139" t="s">
        <v>2690</v>
      </c>
      <c r="C1139" t="s">
        <v>114</v>
      </c>
      <c r="E1139">
        <v>0</v>
      </c>
      <c r="F1139" s="33">
        <v>7.0499999999999993E-2</v>
      </c>
      <c r="G1139" s="33" t="s">
        <v>2875</v>
      </c>
      <c r="H1139" t="s">
        <v>2875</v>
      </c>
      <c r="I1139" t="str">
        <f>IF(quantInv[[#This Row],[Metal]] = "925 Silver",  "7113.11.00"," 7113.19.00")</f>
        <v xml:space="preserve"> 7113.19.00</v>
      </c>
      <c r="J1139" t="str">
        <f>IF(quantInv[[#This Row],[Metal]] = "925 Silver", "7113.11.10.00"," 7113.19.10.00")</f>
        <v xml:space="preserve"> 7113.19.10.00</v>
      </c>
      <c r="K1139" t="str">
        <f>IF(quantInv[[#This Row],[Metal]] = "925 Silver",  "7113.11.00"," 7113.19.00")</f>
        <v xml:space="preserve"> 7113.19.00</v>
      </c>
      <c r="L1139" t="str">
        <f>IFERROR(VLOOKUP(quantInv[[#This Row],[Description for New Invoice]],Map!$G$12:$H$32,2,FALSE), IF(quantInv[[#This Row],[Metal]] = "925 Silver", "7113.11.10.00", "7113.19.29.00"))</f>
        <v>7113.19.29.00</v>
      </c>
      <c r="M1139" t="str">
        <f>quantInv[[#This Row],[ASIN]] &amp; " " &amp; quantInv[[#This Row],[Short Description]]</f>
        <v xml:space="preserve"> </v>
      </c>
      <c r="N1139" s="33">
        <f>quantInv[[#This Row],[UNIT
VALUE]] / EURtoGBP</f>
        <v>8.0025880710357392E-2</v>
      </c>
      <c r="O1139" s="33">
        <f>quantInv[[#This Row],[UNIT
VALUE]]/USDtoGBP</f>
        <v>9.6643787449467625E-2</v>
      </c>
      <c r="P1139" s="33">
        <f>quantInv[[#This Row],[UNIT
VALUE]] / CADtoGBP</f>
        <v>0.1237096035502024</v>
      </c>
      <c r="Q1139" s="33">
        <f>quantInv[[#This Row],[UNIT
VALUE]]/AUDtoGBP</f>
        <v>0.12662547596810114</v>
      </c>
      <c r="R1139">
        <f>IFERROR(VLOOKUP(quantInv[[#This Row],[Assigned Item SKU]],skuQuantity[#All],2,FALSE),0)</f>
        <v>0</v>
      </c>
      <c r="S1139" t="str">
        <f>PROPER(quantInv[[#This Row],[Metal]] &amp; " " &amp; quantInv[[#This Row],[Item Type]])</f>
        <v xml:space="preserve"> </v>
      </c>
      <c r="T1139" s="33">
        <f>quantInv[[#This Row],[Quantity]]*quantInv[[#This Row],[WEIGHT]]</f>
        <v>0</v>
      </c>
      <c r="U1139" s="33">
        <f>quantInv[[#This Row],[UNIT
VALUE]]*quantInv[[#This Row],[Quantity]]</f>
        <v>0</v>
      </c>
      <c r="V1139" s="33">
        <f>quantInv[[#This Row],[Total Cost GBP]]/EURtoGBP</f>
        <v>0</v>
      </c>
      <c r="W1139" s="33">
        <f>quantInv[[#This Row],[Total Cost GBP]]/USDtoGBP</f>
        <v>0</v>
      </c>
      <c r="X1139" s="33">
        <f>quantInv[[#This Row],[Total Cost GBP]]/CADtoGBP</f>
        <v>0</v>
      </c>
      <c r="Y1139" s="33">
        <f>quantInv[[#This Row],[Quantity]]*quantInv[[#This Row],[UNIT
VALUE AUD]]</f>
        <v>0</v>
      </c>
      <c r="Z1139" s="33"/>
    </row>
    <row r="1140" spans="1:26" x14ac:dyDescent="0.25">
      <c r="A1140" t="s">
        <v>2691</v>
      </c>
      <c r="C1140" t="s">
        <v>114</v>
      </c>
      <c r="E1140">
        <v>0</v>
      </c>
      <c r="F1140" s="33">
        <v>7.0499999999999993E-2</v>
      </c>
      <c r="G1140" s="33" t="s">
        <v>2875</v>
      </c>
      <c r="H1140" t="s">
        <v>2875</v>
      </c>
      <c r="I1140" t="str">
        <f>IF(quantInv[[#This Row],[Metal]] = "925 Silver",  "7113.11.00"," 7113.19.00")</f>
        <v xml:space="preserve"> 7113.19.00</v>
      </c>
      <c r="J1140" t="str">
        <f>IF(quantInv[[#This Row],[Metal]] = "925 Silver", "7113.11.10.00"," 7113.19.10.00")</f>
        <v xml:space="preserve"> 7113.19.10.00</v>
      </c>
      <c r="K1140" t="str">
        <f>IF(quantInv[[#This Row],[Metal]] = "925 Silver",  "7113.11.00"," 7113.19.00")</f>
        <v xml:space="preserve"> 7113.19.00</v>
      </c>
      <c r="L1140" t="str">
        <f>IFERROR(VLOOKUP(quantInv[[#This Row],[Description for New Invoice]],Map!$G$12:$H$32,2,FALSE), IF(quantInv[[#This Row],[Metal]] = "925 Silver", "7113.11.10.00", "7113.19.29.00"))</f>
        <v>7113.19.29.00</v>
      </c>
      <c r="M1140" t="str">
        <f>quantInv[[#This Row],[ASIN]] &amp; " " &amp; quantInv[[#This Row],[Short Description]]</f>
        <v xml:space="preserve"> </v>
      </c>
      <c r="N1140" s="33">
        <f>quantInv[[#This Row],[UNIT
VALUE]] / EURtoGBP</f>
        <v>8.0025880710357392E-2</v>
      </c>
      <c r="O1140" s="33">
        <f>quantInv[[#This Row],[UNIT
VALUE]]/USDtoGBP</f>
        <v>9.6643787449467625E-2</v>
      </c>
      <c r="P1140" s="33">
        <f>quantInv[[#This Row],[UNIT
VALUE]] / CADtoGBP</f>
        <v>0.1237096035502024</v>
      </c>
      <c r="Q1140" s="33">
        <f>quantInv[[#This Row],[UNIT
VALUE]]/AUDtoGBP</f>
        <v>0.12662547596810114</v>
      </c>
      <c r="R1140">
        <f>IFERROR(VLOOKUP(quantInv[[#This Row],[Assigned Item SKU]],skuQuantity[#All],2,FALSE),0)</f>
        <v>0</v>
      </c>
      <c r="S1140" t="str">
        <f>PROPER(quantInv[[#This Row],[Metal]] &amp; " " &amp; quantInv[[#This Row],[Item Type]])</f>
        <v xml:space="preserve"> </v>
      </c>
      <c r="T1140" s="33">
        <f>quantInv[[#This Row],[Quantity]]*quantInv[[#This Row],[WEIGHT]]</f>
        <v>0</v>
      </c>
      <c r="U1140" s="33">
        <f>quantInv[[#This Row],[UNIT
VALUE]]*quantInv[[#This Row],[Quantity]]</f>
        <v>0</v>
      </c>
      <c r="V1140" s="33">
        <f>quantInv[[#This Row],[Total Cost GBP]]/EURtoGBP</f>
        <v>0</v>
      </c>
      <c r="W1140" s="33">
        <f>quantInv[[#This Row],[Total Cost GBP]]/USDtoGBP</f>
        <v>0</v>
      </c>
      <c r="X1140" s="33">
        <f>quantInv[[#This Row],[Total Cost GBP]]/CADtoGBP</f>
        <v>0</v>
      </c>
      <c r="Y1140" s="33">
        <f>quantInv[[#This Row],[Quantity]]*quantInv[[#This Row],[UNIT
VALUE AUD]]</f>
        <v>0</v>
      </c>
      <c r="Z1140" s="33"/>
    </row>
    <row r="1141" spans="1:26" x14ac:dyDescent="0.25">
      <c r="A1141" t="s">
        <v>2692</v>
      </c>
      <c r="C1141" t="s">
        <v>114</v>
      </c>
      <c r="E1141">
        <v>0</v>
      </c>
      <c r="F1141" s="33">
        <v>7.0499999999999993E-2</v>
      </c>
      <c r="G1141" s="33" t="s">
        <v>2875</v>
      </c>
      <c r="H1141" t="s">
        <v>2875</v>
      </c>
      <c r="I1141" t="str">
        <f>IF(quantInv[[#This Row],[Metal]] = "925 Silver",  "7113.11.00"," 7113.19.00")</f>
        <v xml:space="preserve"> 7113.19.00</v>
      </c>
      <c r="J1141" t="str">
        <f>IF(quantInv[[#This Row],[Metal]] = "925 Silver", "7113.11.10.00"," 7113.19.10.00")</f>
        <v xml:space="preserve"> 7113.19.10.00</v>
      </c>
      <c r="K1141" t="str">
        <f>IF(quantInv[[#This Row],[Metal]] = "925 Silver",  "7113.11.00"," 7113.19.00")</f>
        <v xml:space="preserve"> 7113.19.00</v>
      </c>
      <c r="L1141" t="str">
        <f>IFERROR(VLOOKUP(quantInv[[#This Row],[Description for New Invoice]],Map!$G$12:$H$32,2,FALSE), IF(quantInv[[#This Row],[Metal]] = "925 Silver", "7113.11.10.00", "7113.19.29.00"))</f>
        <v>7113.19.29.00</v>
      </c>
      <c r="M1141" t="str">
        <f>quantInv[[#This Row],[ASIN]] &amp; " " &amp; quantInv[[#This Row],[Short Description]]</f>
        <v xml:space="preserve"> </v>
      </c>
      <c r="N1141" s="33">
        <f>quantInv[[#This Row],[UNIT
VALUE]] / EURtoGBP</f>
        <v>8.0025880710357392E-2</v>
      </c>
      <c r="O1141" s="33">
        <f>quantInv[[#This Row],[UNIT
VALUE]]/USDtoGBP</f>
        <v>9.6643787449467625E-2</v>
      </c>
      <c r="P1141" s="33">
        <f>quantInv[[#This Row],[UNIT
VALUE]] / CADtoGBP</f>
        <v>0.1237096035502024</v>
      </c>
      <c r="Q1141" s="33">
        <f>quantInv[[#This Row],[UNIT
VALUE]]/AUDtoGBP</f>
        <v>0.12662547596810114</v>
      </c>
      <c r="R1141">
        <f>IFERROR(VLOOKUP(quantInv[[#This Row],[Assigned Item SKU]],skuQuantity[#All],2,FALSE),0)</f>
        <v>0</v>
      </c>
      <c r="S1141" t="str">
        <f>PROPER(quantInv[[#This Row],[Metal]] &amp; " " &amp; quantInv[[#This Row],[Item Type]])</f>
        <v xml:space="preserve"> </v>
      </c>
      <c r="T1141" s="33">
        <f>quantInv[[#This Row],[Quantity]]*quantInv[[#This Row],[WEIGHT]]</f>
        <v>0</v>
      </c>
      <c r="U1141" s="33">
        <f>quantInv[[#This Row],[UNIT
VALUE]]*quantInv[[#This Row],[Quantity]]</f>
        <v>0</v>
      </c>
      <c r="V1141" s="33">
        <f>quantInv[[#This Row],[Total Cost GBP]]/EURtoGBP</f>
        <v>0</v>
      </c>
      <c r="W1141" s="33">
        <f>quantInv[[#This Row],[Total Cost GBP]]/USDtoGBP</f>
        <v>0</v>
      </c>
      <c r="X1141" s="33">
        <f>quantInv[[#This Row],[Total Cost GBP]]/CADtoGBP</f>
        <v>0</v>
      </c>
      <c r="Y1141" s="33">
        <f>quantInv[[#This Row],[Quantity]]*quantInv[[#This Row],[UNIT
VALUE AUD]]</f>
        <v>0</v>
      </c>
      <c r="Z1141" s="33"/>
    </row>
    <row r="1142" spans="1:26" x14ac:dyDescent="0.25">
      <c r="A1142" t="s">
        <v>2693</v>
      </c>
      <c r="C1142" t="s">
        <v>114</v>
      </c>
      <c r="E1142">
        <v>0</v>
      </c>
      <c r="F1142" s="33">
        <v>7.0499999999999993E-2</v>
      </c>
      <c r="G1142" s="33" t="s">
        <v>2875</v>
      </c>
      <c r="H1142" t="s">
        <v>2875</v>
      </c>
      <c r="I1142" t="str">
        <f>IF(quantInv[[#This Row],[Metal]] = "925 Silver",  "7113.11.00"," 7113.19.00")</f>
        <v xml:space="preserve"> 7113.19.00</v>
      </c>
      <c r="J1142" t="str">
        <f>IF(quantInv[[#This Row],[Metal]] = "925 Silver", "7113.11.10.00"," 7113.19.10.00")</f>
        <v xml:space="preserve"> 7113.19.10.00</v>
      </c>
      <c r="K1142" t="str">
        <f>IF(quantInv[[#This Row],[Metal]] = "925 Silver",  "7113.11.00"," 7113.19.00")</f>
        <v xml:space="preserve"> 7113.19.00</v>
      </c>
      <c r="L1142" t="str">
        <f>IFERROR(VLOOKUP(quantInv[[#This Row],[Description for New Invoice]],Map!$G$12:$H$32,2,FALSE), IF(quantInv[[#This Row],[Metal]] = "925 Silver", "7113.11.10.00", "7113.19.29.00"))</f>
        <v>7113.19.29.00</v>
      </c>
      <c r="M1142" t="str">
        <f>quantInv[[#This Row],[ASIN]] &amp; " " &amp; quantInv[[#This Row],[Short Description]]</f>
        <v xml:space="preserve"> </v>
      </c>
      <c r="N1142" s="33">
        <f>quantInv[[#This Row],[UNIT
VALUE]] / EURtoGBP</f>
        <v>8.0025880710357392E-2</v>
      </c>
      <c r="O1142" s="33">
        <f>quantInv[[#This Row],[UNIT
VALUE]]/USDtoGBP</f>
        <v>9.6643787449467625E-2</v>
      </c>
      <c r="P1142" s="33">
        <f>quantInv[[#This Row],[UNIT
VALUE]] / CADtoGBP</f>
        <v>0.1237096035502024</v>
      </c>
      <c r="Q1142" s="33">
        <f>quantInv[[#This Row],[UNIT
VALUE]]/AUDtoGBP</f>
        <v>0.12662547596810114</v>
      </c>
      <c r="R1142">
        <f>IFERROR(VLOOKUP(quantInv[[#This Row],[Assigned Item SKU]],skuQuantity[#All],2,FALSE),0)</f>
        <v>0</v>
      </c>
      <c r="S1142" t="str">
        <f>PROPER(quantInv[[#This Row],[Metal]] &amp; " " &amp; quantInv[[#This Row],[Item Type]])</f>
        <v xml:space="preserve"> </v>
      </c>
      <c r="T1142" s="33">
        <f>quantInv[[#This Row],[Quantity]]*quantInv[[#This Row],[WEIGHT]]</f>
        <v>0</v>
      </c>
      <c r="U1142" s="33">
        <f>quantInv[[#This Row],[UNIT
VALUE]]*quantInv[[#This Row],[Quantity]]</f>
        <v>0</v>
      </c>
      <c r="V1142" s="33">
        <f>quantInv[[#This Row],[Total Cost GBP]]/EURtoGBP</f>
        <v>0</v>
      </c>
      <c r="W1142" s="33">
        <f>quantInv[[#This Row],[Total Cost GBP]]/USDtoGBP</f>
        <v>0</v>
      </c>
      <c r="X1142" s="33">
        <f>quantInv[[#This Row],[Total Cost GBP]]/CADtoGBP</f>
        <v>0</v>
      </c>
      <c r="Y1142" s="33">
        <f>quantInv[[#This Row],[Quantity]]*quantInv[[#This Row],[UNIT
VALUE AUD]]</f>
        <v>0</v>
      </c>
      <c r="Z1142" s="33"/>
    </row>
    <row r="1143" spans="1:26" x14ac:dyDescent="0.25">
      <c r="A1143" t="s">
        <v>2694</v>
      </c>
      <c r="C1143" t="s">
        <v>114</v>
      </c>
      <c r="E1143">
        <v>0</v>
      </c>
      <c r="F1143" s="33">
        <v>7.0499999999999993E-2</v>
      </c>
      <c r="G1143" s="33" t="s">
        <v>2875</v>
      </c>
      <c r="H1143" t="s">
        <v>2875</v>
      </c>
      <c r="I1143" t="str">
        <f>IF(quantInv[[#This Row],[Metal]] = "925 Silver",  "7113.11.00"," 7113.19.00")</f>
        <v xml:space="preserve"> 7113.19.00</v>
      </c>
      <c r="J1143" t="str">
        <f>IF(quantInv[[#This Row],[Metal]] = "925 Silver", "7113.11.10.00"," 7113.19.10.00")</f>
        <v xml:space="preserve"> 7113.19.10.00</v>
      </c>
      <c r="K1143" t="str">
        <f>IF(quantInv[[#This Row],[Metal]] = "925 Silver",  "7113.11.00"," 7113.19.00")</f>
        <v xml:space="preserve"> 7113.19.00</v>
      </c>
      <c r="L1143" t="str">
        <f>IFERROR(VLOOKUP(quantInv[[#This Row],[Description for New Invoice]],Map!$G$12:$H$32,2,FALSE), IF(quantInv[[#This Row],[Metal]] = "925 Silver", "7113.11.10.00", "7113.19.29.00"))</f>
        <v>7113.19.29.00</v>
      </c>
      <c r="M1143" t="str">
        <f>quantInv[[#This Row],[ASIN]] &amp; " " &amp; quantInv[[#This Row],[Short Description]]</f>
        <v xml:space="preserve"> </v>
      </c>
      <c r="N1143" s="33">
        <f>quantInv[[#This Row],[UNIT
VALUE]] / EURtoGBP</f>
        <v>8.0025880710357392E-2</v>
      </c>
      <c r="O1143" s="33">
        <f>quantInv[[#This Row],[UNIT
VALUE]]/USDtoGBP</f>
        <v>9.6643787449467625E-2</v>
      </c>
      <c r="P1143" s="33">
        <f>quantInv[[#This Row],[UNIT
VALUE]] / CADtoGBP</f>
        <v>0.1237096035502024</v>
      </c>
      <c r="Q1143" s="33">
        <f>quantInv[[#This Row],[UNIT
VALUE]]/AUDtoGBP</f>
        <v>0.12662547596810114</v>
      </c>
      <c r="R1143">
        <f>IFERROR(VLOOKUP(quantInv[[#This Row],[Assigned Item SKU]],skuQuantity[#All],2,FALSE),0)</f>
        <v>0</v>
      </c>
      <c r="S1143" t="str">
        <f>PROPER(quantInv[[#This Row],[Metal]] &amp; " " &amp; quantInv[[#This Row],[Item Type]])</f>
        <v xml:space="preserve"> </v>
      </c>
      <c r="T1143" s="33">
        <f>quantInv[[#This Row],[Quantity]]*quantInv[[#This Row],[WEIGHT]]</f>
        <v>0</v>
      </c>
      <c r="U1143" s="33">
        <f>quantInv[[#This Row],[UNIT
VALUE]]*quantInv[[#This Row],[Quantity]]</f>
        <v>0</v>
      </c>
      <c r="V1143" s="33">
        <f>quantInv[[#This Row],[Total Cost GBP]]/EURtoGBP</f>
        <v>0</v>
      </c>
      <c r="W1143" s="33">
        <f>quantInv[[#This Row],[Total Cost GBP]]/USDtoGBP</f>
        <v>0</v>
      </c>
      <c r="X1143" s="33">
        <f>quantInv[[#This Row],[Total Cost GBP]]/CADtoGBP</f>
        <v>0</v>
      </c>
      <c r="Y1143" s="33">
        <f>quantInv[[#This Row],[Quantity]]*quantInv[[#This Row],[UNIT
VALUE AUD]]</f>
        <v>0</v>
      </c>
      <c r="Z1143" s="33"/>
    </row>
    <row r="1144" spans="1:26" x14ac:dyDescent="0.25">
      <c r="A1144" t="s">
        <v>2695</v>
      </c>
      <c r="C1144" t="s">
        <v>114</v>
      </c>
      <c r="E1144">
        <v>0</v>
      </c>
      <c r="F1144" s="33">
        <v>7.0499999999999993E-2</v>
      </c>
      <c r="G1144" s="33" t="s">
        <v>2875</v>
      </c>
      <c r="H1144" t="s">
        <v>2875</v>
      </c>
      <c r="I1144" t="str">
        <f>IF(quantInv[[#This Row],[Metal]] = "925 Silver",  "7113.11.00"," 7113.19.00")</f>
        <v xml:space="preserve"> 7113.19.00</v>
      </c>
      <c r="J1144" t="str">
        <f>IF(quantInv[[#This Row],[Metal]] = "925 Silver", "7113.11.10.00"," 7113.19.10.00")</f>
        <v xml:space="preserve"> 7113.19.10.00</v>
      </c>
      <c r="K1144" t="str">
        <f>IF(quantInv[[#This Row],[Metal]] = "925 Silver",  "7113.11.00"," 7113.19.00")</f>
        <v xml:space="preserve"> 7113.19.00</v>
      </c>
      <c r="L1144" t="str">
        <f>IFERROR(VLOOKUP(quantInv[[#This Row],[Description for New Invoice]],Map!$G$12:$H$32,2,FALSE), IF(quantInv[[#This Row],[Metal]] = "925 Silver", "7113.11.10.00", "7113.19.29.00"))</f>
        <v>7113.19.29.00</v>
      </c>
      <c r="M1144" t="str">
        <f>quantInv[[#This Row],[ASIN]] &amp; " " &amp; quantInv[[#This Row],[Short Description]]</f>
        <v xml:space="preserve"> </v>
      </c>
      <c r="N1144" s="33">
        <f>quantInv[[#This Row],[UNIT
VALUE]] / EURtoGBP</f>
        <v>8.0025880710357392E-2</v>
      </c>
      <c r="O1144" s="33">
        <f>quantInv[[#This Row],[UNIT
VALUE]]/USDtoGBP</f>
        <v>9.6643787449467625E-2</v>
      </c>
      <c r="P1144" s="33">
        <f>quantInv[[#This Row],[UNIT
VALUE]] / CADtoGBP</f>
        <v>0.1237096035502024</v>
      </c>
      <c r="Q1144" s="33">
        <f>quantInv[[#This Row],[UNIT
VALUE]]/AUDtoGBP</f>
        <v>0.12662547596810114</v>
      </c>
      <c r="R1144">
        <f>IFERROR(VLOOKUP(quantInv[[#This Row],[Assigned Item SKU]],skuQuantity[#All],2,FALSE),0)</f>
        <v>0</v>
      </c>
      <c r="S1144" t="str">
        <f>PROPER(quantInv[[#This Row],[Metal]] &amp; " " &amp; quantInv[[#This Row],[Item Type]])</f>
        <v xml:space="preserve"> </v>
      </c>
      <c r="T1144" s="33">
        <f>quantInv[[#This Row],[Quantity]]*quantInv[[#This Row],[WEIGHT]]</f>
        <v>0</v>
      </c>
      <c r="U1144" s="33">
        <f>quantInv[[#This Row],[UNIT
VALUE]]*quantInv[[#This Row],[Quantity]]</f>
        <v>0</v>
      </c>
      <c r="V1144" s="33">
        <f>quantInv[[#This Row],[Total Cost GBP]]/EURtoGBP</f>
        <v>0</v>
      </c>
      <c r="W1144" s="33">
        <f>quantInv[[#This Row],[Total Cost GBP]]/USDtoGBP</f>
        <v>0</v>
      </c>
      <c r="X1144" s="33">
        <f>quantInv[[#This Row],[Total Cost GBP]]/CADtoGBP</f>
        <v>0</v>
      </c>
      <c r="Y1144" s="33">
        <f>quantInv[[#This Row],[Quantity]]*quantInv[[#This Row],[UNIT
VALUE AUD]]</f>
        <v>0</v>
      </c>
      <c r="Z1144" s="33"/>
    </row>
    <row r="1145" spans="1:26" x14ac:dyDescent="0.25">
      <c r="A1145" t="s">
        <v>2696</v>
      </c>
      <c r="C1145" t="s">
        <v>114</v>
      </c>
      <c r="E1145">
        <v>0</v>
      </c>
      <c r="F1145" s="33">
        <v>7.0499999999999993E-2</v>
      </c>
      <c r="G1145" s="33" t="s">
        <v>2875</v>
      </c>
      <c r="H1145" t="s">
        <v>2875</v>
      </c>
      <c r="I1145" t="str">
        <f>IF(quantInv[[#This Row],[Metal]] = "925 Silver",  "7113.11.00"," 7113.19.00")</f>
        <v xml:space="preserve"> 7113.19.00</v>
      </c>
      <c r="J1145" t="str">
        <f>IF(quantInv[[#This Row],[Metal]] = "925 Silver", "7113.11.10.00"," 7113.19.10.00")</f>
        <v xml:space="preserve"> 7113.19.10.00</v>
      </c>
      <c r="K1145" t="str">
        <f>IF(quantInv[[#This Row],[Metal]] = "925 Silver",  "7113.11.00"," 7113.19.00")</f>
        <v xml:space="preserve"> 7113.19.00</v>
      </c>
      <c r="L1145" t="str">
        <f>IFERROR(VLOOKUP(quantInv[[#This Row],[Description for New Invoice]],Map!$G$12:$H$32,2,FALSE), IF(quantInv[[#This Row],[Metal]] = "925 Silver", "7113.11.10.00", "7113.19.29.00"))</f>
        <v>7113.19.29.00</v>
      </c>
      <c r="M1145" t="str">
        <f>quantInv[[#This Row],[ASIN]] &amp; " " &amp; quantInv[[#This Row],[Short Description]]</f>
        <v xml:space="preserve"> </v>
      </c>
      <c r="N1145" s="33">
        <f>quantInv[[#This Row],[UNIT
VALUE]] / EURtoGBP</f>
        <v>8.0025880710357392E-2</v>
      </c>
      <c r="O1145" s="33">
        <f>quantInv[[#This Row],[UNIT
VALUE]]/USDtoGBP</f>
        <v>9.6643787449467625E-2</v>
      </c>
      <c r="P1145" s="33">
        <f>quantInv[[#This Row],[UNIT
VALUE]] / CADtoGBP</f>
        <v>0.1237096035502024</v>
      </c>
      <c r="Q1145" s="33">
        <f>quantInv[[#This Row],[UNIT
VALUE]]/AUDtoGBP</f>
        <v>0.12662547596810114</v>
      </c>
      <c r="R1145">
        <f>IFERROR(VLOOKUP(quantInv[[#This Row],[Assigned Item SKU]],skuQuantity[#All],2,FALSE),0)</f>
        <v>0</v>
      </c>
      <c r="S1145" t="str">
        <f>PROPER(quantInv[[#This Row],[Metal]] &amp; " " &amp; quantInv[[#This Row],[Item Type]])</f>
        <v xml:space="preserve"> </v>
      </c>
      <c r="T1145" s="33">
        <f>quantInv[[#This Row],[Quantity]]*quantInv[[#This Row],[WEIGHT]]</f>
        <v>0</v>
      </c>
      <c r="U1145" s="33">
        <f>quantInv[[#This Row],[UNIT
VALUE]]*quantInv[[#This Row],[Quantity]]</f>
        <v>0</v>
      </c>
      <c r="V1145" s="33">
        <f>quantInv[[#This Row],[Total Cost GBP]]/EURtoGBP</f>
        <v>0</v>
      </c>
      <c r="W1145" s="33">
        <f>quantInv[[#This Row],[Total Cost GBP]]/USDtoGBP</f>
        <v>0</v>
      </c>
      <c r="X1145" s="33">
        <f>quantInv[[#This Row],[Total Cost GBP]]/CADtoGBP</f>
        <v>0</v>
      </c>
      <c r="Y1145" s="33">
        <f>quantInv[[#This Row],[Quantity]]*quantInv[[#This Row],[UNIT
VALUE AUD]]</f>
        <v>0</v>
      </c>
      <c r="Z1145" s="33"/>
    </row>
    <row r="1146" spans="1:26" x14ac:dyDescent="0.25">
      <c r="A1146" t="s">
        <v>2697</v>
      </c>
      <c r="C1146" t="s">
        <v>114</v>
      </c>
      <c r="E1146">
        <v>0</v>
      </c>
      <c r="F1146" s="33">
        <v>7.0499999999999993E-2</v>
      </c>
      <c r="G1146" s="33" t="s">
        <v>2875</v>
      </c>
      <c r="H1146" t="s">
        <v>2875</v>
      </c>
      <c r="I1146" t="str">
        <f>IF(quantInv[[#This Row],[Metal]] = "925 Silver",  "7113.11.00"," 7113.19.00")</f>
        <v xml:space="preserve"> 7113.19.00</v>
      </c>
      <c r="J1146" t="str">
        <f>IF(quantInv[[#This Row],[Metal]] = "925 Silver", "7113.11.10.00"," 7113.19.10.00")</f>
        <v xml:space="preserve"> 7113.19.10.00</v>
      </c>
      <c r="K1146" t="str">
        <f>IF(quantInv[[#This Row],[Metal]] = "925 Silver",  "7113.11.00"," 7113.19.00")</f>
        <v xml:space="preserve"> 7113.19.00</v>
      </c>
      <c r="L1146" t="str">
        <f>IFERROR(VLOOKUP(quantInv[[#This Row],[Description for New Invoice]],Map!$G$12:$H$32,2,FALSE), IF(quantInv[[#This Row],[Metal]] = "925 Silver", "7113.11.10.00", "7113.19.29.00"))</f>
        <v>7113.19.29.00</v>
      </c>
      <c r="M1146" t="str">
        <f>quantInv[[#This Row],[ASIN]] &amp; " " &amp; quantInv[[#This Row],[Short Description]]</f>
        <v xml:space="preserve"> </v>
      </c>
      <c r="N1146" s="33">
        <f>quantInv[[#This Row],[UNIT
VALUE]] / EURtoGBP</f>
        <v>8.0025880710357392E-2</v>
      </c>
      <c r="O1146" s="33">
        <f>quantInv[[#This Row],[UNIT
VALUE]]/USDtoGBP</f>
        <v>9.6643787449467625E-2</v>
      </c>
      <c r="P1146" s="33">
        <f>quantInv[[#This Row],[UNIT
VALUE]] / CADtoGBP</f>
        <v>0.1237096035502024</v>
      </c>
      <c r="Q1146" s="33">
        <f>quantInv[[#This Row],[UNIT
VALUE]]/AUDtoGBP</f>
        <v>0.12662547596810114</v>
      </c>
      <c r="R1146">
        <f>IFERROR(VLOOKUP(quantInv[[#This Row],[Assigned Item SKU]],skuQuantity[#All],2,FALSE),0)</f>
        <v>0</v>
      </c>
      <c r="S1146" t="str">
        <f>PROPER(quantInv[[#This Row],[Metal]] &amp; " " &amp; quantInv[[#This Row],[Item Type]])</f>
        <v xml:space="preserve"> </v>
      </c>
      <c r="T1146" s="33">
        <f>quantInv[[#This Row],[Quantity]]*quantInv[[#This Row],[WEIGHT]]</f>
        <v>0</v>
      </c>
      <c r="U1146" s="33">
        <f>quantInv[[#This Row],[UNIT
VALUE]]*quantInv[[#This Row],[Quantity]]</f>
        <v>0</v>
      </c>
      <c r="V1146" s="33">
        <f>quantInv[[#This Row],[Total Cost GBP]]/EURtoGBP</f>
        <v>0</v>
      </c>
      <c r="W1146" s="33">
        <f>quantInv[[#This Row],[Total Cost GBP]]/USDtoGBP</f>
        <v>0</v>
      </c>
      <c r="X1146" s="33">
        <f>quantInv[[#This Row],[Total Cost GBP]]/CADtoGBP</f>
        <v>0</v>
      </c>
      <c r="Y1146" s="33">
        <f>quantInv[[#This Row],[Quantity]]*quantInv[[#This Row],[UNIT
VALUE AUD]]</f>
        <v>0</v>
      </c>
      <c r="Z1146" s="33"/>
    </row>
    <row r="1147" spans="1:26" x14ac:dyDescent="0.25">
      <c r="A1147" t="s">
        <v>2698</v>
      </c>
      <c r="C1147" t="s">
        <v>114</v>
      </c>
      <c r="E1147">
        <v>0</v>
      </c>
      <c r="F1147" s="33">
        <v>7.0499999999999993E-2</v>
      </c>
      <c r="G1147" s="33" t="s">
        <v>2875</v>
      </c>
      <c r="H1147" t="s">
        <v>2875</v>
      </c>
      <c r="I1147" t="str">
        <f>IF(quantInv[[#This Row],[Metal]] = "925 Silver",  "7113.11.00"," 7113.19.00")</f>
        <v xml:space="preserve"> 7113.19.00</v>
      </c>
      <c r="J1147" t="str">
        <f>IF(quantInv[[#This Row],[Metal]] = "925 Silver", "7113.11.10.00"," 7113.19.10.00")</f>
        <v xml:space="preserve"> 7113.19.10.00</v>
      </c>
      <c r="K1147" t="str">
        <f>IF(quantInv[[#This Row],[Metal]] = "925 Silver",  "7113.11.00"," 7113.19.00")</f>
        <v xml:space="preserve"> 7113.19.00</v>
      </c>
      <c r="L1147" t="str">
        <f>IFERROR(VLOOKUP(quantInv[[#This Row],[Description for New Invoice]],Map!$G$12:$H$32,2,FALSE), IF(quantInv[[#This Row],[Metal]] = "925 Silver", "7113.11.10.00", "7113.19.29.00"))</f>
        <v>7113.19.29.00</v>
      </c>
      <c r="M1147" t="str">
        <f>quantInv[[#This Row],[ASIN]] &amp; " " &amp; quantInv[[#This Row],[Short Description]]</f>
        <v xml:space="preserve"> </v>
      </c>
      <c r="N1147" s="33">
        <f>quantInv[[#This Row],[UNIT
VALUE]] / EURtoGBP</f>
        <v>8.0025880710357392E-2</v>
      </c>
      <c r="O1147" s="33">
        <f>quantInv[[#This Row],[UNIT
VALUE]]/USDtoGBP</f>
        <v>9.6643787449467625E-2</v>
      </c>
      <c r="P1147" s="33">
        <f>quantInv[[#This Row],[UNIT
VALUE]] / CADtoGBP</f>
        <v>0.1237096035502024</v>
      </c>
      <c r="Q1147" s="33">
        <f>quantInv[[#This Row],[UNIT
VALUE]]/AUDtoGBP</f>
        <v>0.12662547596810114</v>
      </c>
      <c r="R1147">
        <f>IFERROR(VLOOKUP(quantInv[[#This Row],[Assigned Item SKU]],skuQuantity[#All],2,FALSE),0)</f>
        <v>0</v>
      </c>
      <c r="S1147" t="str">
        <f>PROPER(quantInv[[#This Row],[Metal]] &amp; " " &amp; quantInv[[#This Row],[Item Type]])</f>
        <v xml:space="preserve"> </v>
      </c>
      <c r="T1147" s="33">
        <f>quantInv[[#This Row],[Quantity]]*quantInv[[#This Row],[WEIGHT]]</f>
        <v>0</v>
      </c>
      <c r="U1147" s="33">
        <f>quantInv[[#This Row],[UNIT
VALUE]]*quantInv[[#This Row],[Quantity]]</f>
        <v>0</v>
      </c>
      <c r="V1147" s="33">
        <f>quantInv[[#This Row],[Total Cost GBP]]/EURtoGBP</f>
        <v>0</v>
      </c>
      <c r="W1147" s="33">
        <f>quantInv[[#This Row],[Total Cost GBP]]/USDtoGBP</f>
        <v>0</v>
      </c>
      <c r="X1147" s="33">
        <f>quantInv[[#This Row],[Total Cost GBP]]/CADtoGBP</f>
        <v>0</v>
      </c>
      <c r="Y1147" s="33">
        <f>quantInv[[#This Row],[Quantity]]*quantInv[[#This Row],[UNIT
VALUE AUD]]</f>
        <v>0</v>
      </c>
      <c r="Z1147" s="33"/>
    </row>
    <row r="1148" spans="1:26" x14ac:dyDescent="0.25">
      <c r="A1148" t="s">
        <v>2699</v>
      </c>
      <c r="C1148" t="s">
        <v>114</v>
      </c>
      <c r="E1148">
        <v>0</v>
      </c>
      <c r="F1148" s="33">
        <v>7.0499999999999993E-2</v>
      </c>
      <c r="G1148" s="33" t="s">
        <v>2875</v>
      </c>
      <c r="H1148" t="s">
        <v>2875</v>
      </c>
      <c r="I1148" t="str">
        <f>IF(quantInv[[#This Row],[Metal]] = "925 Silver",  "7113.11.00"," 7113.19.00")</f>
        <v xml:space="preserve"> 7113.19.00</v>
      </c>
      <c r="J1148" t="str">
        <f>IF(quantInv[[#This Row],[Metal]] = "925 Silver", "7113.11.10.00"," 7113.19.10.00")</f>
        <v xml:space="preserve"> 7113.19.10.00</v>
      </c>
      <c r="K1148" t="str">
        <f>IF(quantInv[[#This Row],[Metal]] = "925 Silver",  "7113.11.00"," 7113.19.00")</f>
        <v xml:space="preserve"> 7113.19.00</v>
      </c>
      <c r="L1148" t="str">
        <f>IFERROR(VLOOKUP(quantInv[[#This Row],[Description for New Invoice]],Map!$G$12:$H$32,2,FALSE), IF(quantInv[[#This Row],[Metal]] = "925 Silver", "7113.11.10.00", "7113.19.29.00"))</f>
        <v>7113.19.29.00</v>
      </c>
      <c r="M1148" t="str">
        <f>quantInv[[#This Row],[ASIN]] &amp; " " &amp; quantInv[[#This Row],[Short Description]]</f>
        <v xml:space="preserve"> </v>
      </c>
      <c r="N1148" s="33">
        <f>quantInv[[#This Row],[UNIT
VALUE]] / EURtoGBP</f>
        <v>8.0025880710357392E-2</v>
      </c>
      <c r="O1148" s="33">
        <f>quantInv[[#This Row],[UNIT
VALUE]]/USDtoGBP</f>
        <v>9.6643787449467625E-2</v>
      </c>
      <c r="P1148" s="33">
        <f>quantInv[[#This Row],[UNIT
VALUE]] / CADtoGBP</f>
        <v>0.1237096035502024</v>
      </c>
      <c r="Q1148" s="33">
        <f>quantInv[[#This Row],[UNIT
VALUE]]/AUDtoGBP</f>
        <v>0.12662547596810114</v>
      </c>
      <c r="R1148">
        <f>IFERROR(VLOOKUP(quantInv[[#This Row],[Assigned Item SKU]],skuQuantity[#All],2,FALSE),0)</f>
        <v>0</v>
      </c>
      <c r="S1148" t="str">
        <f>PROPER(quantInv[[#This Row],[Metal]] &amp; " " &amp; quantInv[[#This Row],[Item Type]])</f>
        <v xml:space="preserve"> </v>
      </c>
      <c r="T1148" s="33">
        <f>quantInv[[#This Row],[Quantity]]*quantInv[[#This Row],[WEIGHT]]</f>
        <v>0</v>
      </c>
      <c r="U1148" s="33">
        <f>quantInv[[#This Row],[UNIT
VALUE]]*quantInv[[#This Row],[Quantity]]</f>
        <v>0</v>
      </c>
      <c r="V1148" s="33">
        <f>quantInv[[#This Row],[Total Cost GBP]]/EURtoGBP</f>
        <v>0</v>
      </c>
      <c r="W1148" s="33">
        <f>quantInv[[#This Row],[Total Cost GBP]]/USDtoGBP</f>
        <v>0</v>
      </c>
      <c r="X1148" s="33">
        <f>quantInv[[#This Row],[Total Cost GBP]]/CADtoGBP</f>
        <v>0</v>
      </c>
      <c r="Y1148" s="33">
        <f>quantInv[[#This Row],[Quantity]]*quantInv[[#This Row],[UNIT
VALUE AUD]]</f>
        <v>0</v>
      </c>
      <c r="Z1148" s="33"/>
    </row>
    <row r="1149" spans="1:26" x14ac:dyDescent="0.25">
      <c r="A1149" t="s">
        <v>2700</v>
      </c>
      <c r="C1149" t="s">
        <v>114</v>
      </c>
      <c r="E1149">
        <v>0</v>
      </c>
      <c r="F1149" s="33">
        <v>7.0499999999999993E-2</v>
      </c>
      <c r="G1149" s="33" t="s">
        <v>2875</v>
      </c>
      <c r="H1149" t="s">
        <v>2875</v>
      </c>
      <c r="I1149" t="str">
        <f>IF(quantInv[[#This Row],[Metal]] = "925 Silver",  "7113.11.00"," 7113.19.00")</f>
        <v xml:space="preserve"> 7113.19.00</v>
      </c>
      <c r="J1149" t="str">
        <f>IF(quantInv[[#This Row],[Metal]] = "925 Silver", "7113.11.10.00"," 7113.19.10.00")</f>
        <v xml:space="preserve"> 7113.19.10.00</v>
      </c>
      <c r="K1149" t="str">
        <f>IF(quantInv[[#This Row],[Metal]] = "925 Silver",  "7113.11.00"," 7113.19.00")</f>
        <v xml:space="preserve"> 7113.19.00</v>
      </c>
      <c r="L1149" t="str">
        <f>IFERROR(VLOOKUP(quantInv[[#This Row],[Description for New Invoice]],Map!$G$12:$H$32,2,FALSE), IF(quantInv[[#This Row],[Metal]] = "925 Silver", "7113.11.10.00", "7113.19.29.00"))</f>
        <v>7113.19.29.00</v>
      </c>
      <c r="M1149" t="str">
        <f>quantInv[[#This Row],[ASIN]] &amp; " " &amp; quantInv[[#This Row],[Short Description]]</f>
        <v xml:space="preserve"> </v>
      </c>
      <c r="N1149" s="33">
        <f>quantInv[[#This Row],[UNIT
VALUE]] / EURtoGBP</f>
        <v>8.0025880710357392E-2</v>
      </c>
      <c r="O1149" s="33">
        <f>quantInv[[#This Row],[UNIT
VALUE]]/USDtoGBP</f>
        <v>9.6643787449467625E-2</v>
      </c>
      <c r="P1149" s="33">
        <f>quantInv[[#This Row],[UNIT
VALUE]] / CADtoGBP</f>
        <v>0.1237096035502024</v>
      </c>
      <c r="Q1149" s="33">
        <f>quantInv[[#This Row],[UNIT
VALUE]]/AUDtoGBP</f>
        <v>0.12662547596810114</v>
      </c>
      <c r="R1149">
        <f>IFERROR(VLOOKUP(quantInv[[#This Row],[Assigned Item SKU]],skuQuantity[#All],2,FALSE),0)</f>
        <v>0</v>
      </c>
      <c r="S1149" t="str">
        <f>PROPER(quantInv[[#This Row],[Metal]] &amp; " " &amp; quantInv[[#This Row],[Item Type]])</f>
        <v xml:space="preserve"> </v>
      </c>
      <c r="T1149" s="33">
        <f>quantInv[[#This Row],[Quantity]]*quantInv[[#This Row],[WEIGHT]]</f>
        <v>0</v>
      </c>
      <c r="U1149" s="33">
        <f>quantInv[[#This Row],[UNIT
VALUE]]*quantInv[[#This Row],[Quantity]]</f>
        <v>0</v>
      </c>
      <c r="V1149" s="33">
        <f>quantInv[[#This Row],[Total Cost GBP]]/EURtoGBP</f>
        <v>0</v>
      </c>
      <c r="W1149" s="33">
        <f>quantInv[[#This Row],[Total Cost GBP]]/USDtoGBP</f>
        <v>0</v>
      </c>
      <c r="X1149" s="33">
        <f>quantInv[[#This Row],[Total Cost GBP]]/CADtoGBP</f>
        <v>0</v>
      </c>
      <c r="Y1149" s="33">
        <f>quantInv[[#This Row],[Quantity]]*quantInv[[#This Row],[UNIT
VALUE AUD]]</f>
        <v>0</v>
      </c>
      <c r="Z1149" s="33"/>
    </row>
    <row r="1150" spans="1:26" x14ac:dyDescent="0.25">
      <c r="A1150" t="s">
        <v>2701</v>
      </c>
      <c r="C1150" t="s">
        <v>114</v>
      </c>
      <c r="E1150">
        <v>0</v>
      </c>
      <c r="F1150" s="33">
        <v>7.0499999999999993E-2</v>
      </c>
      <c r="G1150" s="33" t="s">
        <v>2875</v>
      </c>
      <c r="H1150" t="s">
        <v>2875</v>
      </c>
      <c r="I1150" t="str">
        <f>IF(quantInv[[#This Row],[Metal]] = "925 Silver",  "7113.11.00"," 7113.19.00")</f>
        <v xml:space="preserve"> 7113.19.00</v>
      </c>
      <c r="J1150" t="str">
        <f>IF(quantInv[[#This Row],[Metal]] = "925 Silver", "7113.11.10.00"," 7113.19.10.00")</f>
        <v xml:space="preserve"> 7113.19.10.00</v>
      </c>
      <c r="K1150" t="str">
        <f>IF(quantInv[[#This Row],[Metal]] = "925 Silver",  "7113.11.00"," 7113.19.00")</f>
        <v xml:space="preserve"> 7113.19.00</v>
      </c>
      <c r="L1150" t="str">
        <f>IFERROR(VLOOKUP(quantInv[[#This Row],[Description for New Invoice]],Map!$G$12:$H$32,2,FALSE), IF(quantInv[[#This Row],[Metal]] = "925 Silver", "7113.11.10.00", "7113.19.29.00"))</f>
        <v>7113.19.29.00</v>
      </c>
      <c r="M1150" t="str">
        <f>quantInv[[#This Row],[ASIN]] &amp; " " &amp; quantInv[[#This Row],[Short Description]]</f>
        <v xml:space="preserve"> </v>
      </c>
      <c r="N1150" s="33">
        <f>quantInv[[#This Row],[UNIT
VALUE]] / EURtoGBP</f>
        <v>8.0025880710357392E-2</v>
      </c>
      <c r="O1150" s="33">
        <f>quantInv[[#This Row],[UNIT
VALUE]]/USDtoGBP</f>
        <v>9.6643787449467625E-2</v>
      </c>
      <c r="P1150" s="33">
        <f>quantInv[[#This Row],[UNIT
VALUE]] / CADtoGBP</f>
        <v>0.1237096035502024</v>
      </c>
      <c r="Q1150" s="33">
        <f>quantInv[[#This Row],[UNIT
VALUE]]/AUDtoGBP</f>
        <v>0.12662547596810114</v>
      </c>
      <c r="R1150">
        <f>IFERROR(VLOOKUP(quantInv[[#This Row],[Assigned Item SKU]],skuQuantity[#All],2,FALSE),0)</f>
        <v>0</v>
      </c>
      <c r="S1150" t="str">
        <f>PROPER(quantInv[[#This Row],[Metal]] &amp; " " &amp; quantInv[[#This Row],[Item Type]])</f>
        <v xml:space="preserve"> </v>
      </c>
      <c r="T1150" s="33">
        <f>quantInv[[#This Row],[Quantity]]*quantInv[[#This Row],[WEIGHT]]</f>
        <v>0</v>
      </c>
      <c r="U1150" s="33">
        <f>quantInv[[#This Row],[UNIT
VALUE]]*quantInv[[#This Row],[Quantity]]</f>
        <v>0</v>
      </c>
      <c r="V1150" s="33">
        <f>quantInv[[#This Row],[Total Cost GBP]]/EURtoGBP</f>
        <v>0</v>
      </c>
      <c r="W1150" s="33">
        <f>quantInv[[#This Row],[Total Cost GBP]]/USDtoGBP</f>
        <v>0</v>
      </c>
      <c r="X1150" s="33">
        <f>quantInv[[#This Row],[Total Cost GBP]]/CADtoGBP</f>
        <v>0</v>
      </c>
      <c r="Y1150" s="33">
        <f>quantInv[[#This Row],[Quantity]]*quantInv[[#This Row],[UNIT
VALUE AUD]]</f>
        <v>0</v>
      </c>
      <c r="Z1150" s="33"/>
    </row>
    <row r="1151" spans="1:26" x14ac:dyDescent="0.25">
      <c r="A1151" t="s">
        <v>2702</v>
      </c>
      <c r="C1151" t="s">
        <v>114</v>
      </c>
      <c r="E1151">
        <v>0</v>
      </c>
      <c r="F1151" s="33">
        <v>7.0499999999999993E-2</v>
      </c>
      <c r="G1151" s="33" t="s">
        <v>2875</v>
      </c>
      <c r="H1151" t="s">
        <v>2875</v>
      </c>
      <c r="I1151" t="str">
        <f>IF(quantInv[[#This Row],[Metal]] = "925 Silver",  "7113.11.00"," 7113.19.00")</f>
        <v xml:space="preserve"> 7113.19.00</v>
      </c>
      <c r="J1151" t="str">
        <f>IF(quantInv[[#This Row],[Metal]] = "925 Silver", "7113.11.10.00"," 7113.19.10.00")</f>
        <v xml:space="preserve"> 7113.19.10.00</v>
      </c>
      <c r="K1151" t="str">
        <f>IF(quantInv[[#This Row],[Metal]] = "925 Silver",  "7113.11.00"," 7113.19.00")</f>
        <v xml:space="preserve"> 7113.19.00</v>
      </c>
      <c r="L1151" t="str">
        <f>IFERROR(VLOOKUP(quantInv[[#This Row],[Description for New Invoice]],Map!$G$12:$H$32,2,FALSE), IF(quantInv[[#This Row],[Metal]] = "925 Silver", "7113.11.10.00", "7113.19.29.00"))</f>
        <v>7113.19.29.00</v>
      </c>
      <c r="M1151" t="str">
        <f>quantInv[[#This Row],[ASIN]] &amp; " " &amp; quantInv[[#This Row],[Short Description]]</f>
        <v xml:space="preserve"> </v>
      </c>
      <c r="N1151" s="33">
        <f>quantInv[[#This Row],[UNIT
VALUE]] / EURtoGBP</f>
        <v>8.0025880710357392E-2</v>
      </c>
      <c r="O1151" s="33">
        <f>quantInv[[#This Row],[UNIT
VALUE]]/USDtoGBP</f>
        <v>9.6643787449467625E-2</v>
      </c>
      <c r="P1151" s="33">
        <f>quantInv[[#This Row],[UNIT
VALUE]] / CADtoGBP</f>
        <v>0.1237096035502024</v>
      </c>
      <c r="Q1151" s="33">
        <f>quantInv[[#This Row],[UNIT
VALUE]]/AUDtoGBP</f>
        <v>0.12662547596810114</v>
      </c>
      <c r="R1151">
        <f>IFERROR(VLOOKUP(quantInv[[#This Row],[Assigned Item SKU]],skuQuantity[#All],2,FALSE),0)</f>
        <v>0</v>
      </c>
      <c r="S1151" t="str">
        <f>PROPER(quantInv[[#This Row],[Metal]] &amp; " " &amp; quantInv[[#This Row],[Item Type]])</f>
        <v xml:space="preserve"> </v>
      </c>
      <c r="T1151" s="33">
        <f>quantInv[[#This Row],[Quantity]]*quantInv[[#This Row],[WEIGHT]]</f>
        <v>0</v>
      </c>
      <c r="U1151" s="33">
        <f>quantInv[[#This Row],[UNIT
VALUE]]*quantInv[[#This Row],[Quantity]]</f>
        <v>0</v>
      </c>
      <c r="V1151" s="33">
        <f>quantInv[[#This Row],[Total Cost GBP]]/EURtoGBP</f>
        <v>0</v>
      </c>
      <c r="W1151" s="33">
        <f>quantInv[[#This Row],[Total Cost GBP]]/USDtoGBP</f>
        <v>0</v>
      </c>
      <c r="X1151" s="33">
        <f>quantInv[[#This Row],[Total Cost GBP]]/CADtoGBP</f>
        <v>0</v>
      </c>
      <c r="Y1151" s="33">
        <f>quantInv[[#This Row],[Quantity]]*quantInv[[#This Row],[UNIT
VALUE AUD]]</f>
        <v>0</v>
      </c>
      <c r="Z1151" s="33"/>
    </row>
    <row r="1152" spans="1:26" x14ac:dyDescent="0.25">
      <c r="A1152" t="s">
        <v>2703</v>
      </c>
      <c r="C1152" t="s">
        <v>114</v>
      </c>
      <c r="E1152">
        <v>0</v>
      </c>
      <c r="F1152" s="33">
        <v>7.0499999999999993E-2</v>
      </c>
      <c r="G1152" s="33" t="s">
        <v>2875</v>
      </c>
      <c r="H1152" t="s">
        <v>2875</v>
      </c>
      <c r="I1152" t="str">
        <f>IF(quantInv[[#This Row],[Metal]] = "925 Silver",  "7113.11.00"," 7113.19.00")</f>
        <v xml:space="preserve"> 7113.19.00</v>
      </c>
      <c r="J1152" t="str">
        <f>IF(quantInv[[#This Row],[Metal]] = "925 Silver", "7113.11.10.00"," 7113.19.10.00")</f>
        <v xml:space="preserve"> 7113.19.10.00</v>
      </c>
      <c r="K1152" t="str">
        <f>IF(quantInv[[#This Row],[Metal]] = "925 Silver",  "7113.11.00"," 7113.19.00")</f>
        <v xml:space="preserve"> 7113.19.00</v>
      </c>
      <c r="L1152" t="str">
        <f>IFERROR(VLOOKUP(quantInv[[#This Row],[Description for New Invoice]],Map!$G$12:$H$32,2,FALSE), IF(quantInv[[#This Row],[Metal]] = "925 Silver", "7113.11.10.00", "7113.19.29.00"))</f>
        <v>7113.19.29.00</v>
      </c>
      <c r="M1152" t="str">
        <f>quantInv[[#This Row],[ASIN]] &amp; " " &amp; quantInv[[#This Row],[Short Description]]</f>
        <v xml:space="preserve"> </v>
      </c>
      <c r="N1152" s="33">
        <f>quantInv[[#This Row],[UNIT
VALUE]] / EURtoGBP</f>
        <v>8.0025880710357392E-2</v>
      </c>
      <c r="O1152" s="33">
        <f>quantInv[[#This Row],[UNIT
VALUE]]/USDtoGBP</f>
        <v>9.6643787449467625E-2</v>
      </c>
      <c r="P1152" s="33">
        <f>quantInv[[#This Row],[UNIT
VALUE]] / CADtoGBP</f>
        <v>0.1237096035502024</v>
      </c>
      <c r="Q1152" s="33">
        <f>quantInv[[#This Row],[UNIT
VALUE]]/AUDtoGBP</f>
        <v>0.12662547596810114</v>
      </c>
      <c r="R1152">
        <f>IFERROR(VLOOKUP(quantInv[[#This Row],[Assigned Item SKU]],skuQuantity[#All],2,FALSE),0)</f>
        <v>0</v>
      </c>
      <c r="S1152" t="str">
        <f>PROPER(quantInv[[#This Row],[Metal]] &amp; " " &amp; quantInv[[#This Row],[Item Type]])</f>
        <v xml:space="preserve"> </v>
      </c>
      <c r="T1152" s="33">
        <f>quantInv[[#This Row],[Quantity]]*quantInv[[#This Row],[WEIGHT]]</f>
        <v>0</v>
      </c>
      <c r="U1152" s="33">
        <f>quantInv[[#This Row],[UNIT
VALUE]]*quantInv[[#This Row],[Quantity]]</f>
        <v>0</v>
      </c>
      <c r="V1152" s="33">
        <f>quantInv[[#This Row],[Total Cost GBP]]/EURtoGBP</f>
        <v>0</v>
      </c>
      <c r="W1152" s="33">
        <f>quantInv[[#This Row],[Total Cost GBP]]/USDtoGBP</f>
        <v>0</v>
      </c>
      <c r="X1152" s="33">
        <f>quantInv[[#This Row],[Total Cost GBP]]/CADtoGBP</f>
        <v>0</v>
      </c>
      <c r="Y1152" s="33">
        <f>quantInv[[#This Row],[Quantity]]*quantInv[[#This Row],[UNIT
VALUE AUD]]</f>
        <v>0</v>
      </c>
      <c r="Z1152" s="33"/>
    </row>
    <row r="1153" spans="1:26" x14ac:dyDescent="0.25">
      <c r="A1153" t="s">
        <v>2704</v>
      </c>
      <c r="C1153" t="s">
        <v>114</v>
      </c>
      <c r="E1153">
        <v>0</v>
      </c>
      <c r="F1153" s="33">
        <v>7.0499999999999993E-2</v>
      </c>
      <c r="G1153" s="33" t="s">
        <v>2875</v>
      </c>
      <c r="H1153" t="s">
        <v>2875</v>
      </c>
      <c r="I1153" t="str">
        <f>IF(quantInv[[#This Row],[Metal]] = "925 Silver",  "7113.11.00"," 7113.19.00")</f>
        <v xml:space="preserve"> 7113.19.00</v>
      </c>
      <c r="J1153" t="str">
        <f>IF(quantInv[[#This Row],[Metal]] = "925 Silver", "7113.11.10.00"," 7113.19.10.00")</f>
        <v xml:space="preserve"> 7113.19.10.00</v>
      </c>
      <c r="K1153" t="str">
        <f>IF(quantInv[[#This Row],[Metal]] = "925 Silver",  "7113.11.00"," 7113.19.00")</f>
        <v xml:space="preserve"> 7113.19.00</v>
      </c>
      <c r="L1153" t="str">
        <f>IFERROR(VLOOKUP(quantInv[[#This Row],[Description for New Invoice]],Map!$G$12:$H$32,2,FALSE), IF(quantInv[[#This Row],[Metal]] = "925 Silver", "7113.11.10.00", "7113.19.29.00"))</f>
        <v>7113.19.29.00</v>
      </c>
      <c r="M1153" t="str">
        <f>quantInv[[#This Row],[ASIN]] &amp; " " &amp; quantInv[[#This Row],[Short Description]]</f>
        <v xml:space="preserve"> </v>
      </c>
      <c r="N1153" s="33">
        <f>quantInv[[#This Row],[UNIT
VALUE]] / EURtoGBP</f>
        <v>8.0025880710357392E-2</v>
      </c>
      <c r="O1153" s="33">
        <f>quantInv[[#This Row],[UNIT
VALUE]]/USDtoGBP</f>
        <v>9.6643787449467625E-2</v>
      </c>
      <c r="P1153" s="33">
        <f>quantInv[[#This Row],[UNIT
VALUE]] / CADtoGBP</f>
        <v>0.1237096035502024</v>
      </c>
      <c r="Q1153" s="33">
        <f>quantInv[[#This Row],[UNIT
VALUE]]/AUDtoGBP</f>
        <v>0.12662547596810114</v>
      </c>
      <c r="R1153">
        <f>IFERROR(VLOOKUP(quantInv[[#This Row],[Assigned Item SKU]],skuQuantity[#All],2,FALSE),0)</f>
        <v>0</v>
      </c>
      <c r="S1153" t="str">
        <f>PROPER(quantInv[[#This Row],[Metal]] &amp; " " &amp; quantInv[[#This Row],[Item Type]])</f>
        <v xml:space="preserve"> </v>
      </c>
      <c r="T1153" s="33">
        <f>quantInv[[#This Row],[Quantity]]*quantInv[[#This Row],[WEIGHT]]</f>
        <v>0</v>
      </c>
      <c r="U1153" s="33">
        <f>quantInv[[#This Row],[UNIT
VALUE]]*quantInv[[#This Row],[Quantity]]</f>
        <v>0</v>
      </c>
      <c r="V1153" s="33">
        <f>quantInv[[#This Row],[Total Cost GBP]]/EURtoGBP</f>
        <v>0</v>
      </c>
      <c r="W1153" s="33">
        <f>quantInv[[#This Row],[Total Cost GBP]]/USDtoGBP</f>
        <v>0</v>
      </c>
      <c r="X1153" s="33">
        <f>quantInv[[#This Row],[Total Cost GBP]]/CADtoGBP</f>
        <v>0</v>
      </c>
      <c r="Y1153" s="33">
        <f>quantInv[[#This Row],[Quantity]]*quantInv[[#This Row],[UNIT
VALUE AUD]]</f>
        <v>0</v>
      </c>
      <c r="Z1153" s="33"/>
    </row>
    <row r="1154" spans="1:26" x14ac:dyDescent="0.25">
      <c r="A1154" t="s">
        <v>2705</v>
      </c>
      <c r="C1154" t="s">
        <v>114</v>
      </c>
      <c r="E1154">
        <v>0</v>
      </c>
      <c r="F1154" s="33">
        <v>7.0499999999999993E-2</v>
      </c>
      <c r="G1154" s="33" t="s">
        <v>2875</v>
      </c>
      <c r="H1154" t="s">
        <v>2875</v>
      </c>
      <c r="I1154" t="str">
        <f>IF(quantInv[[#This Row],[Metal]] = "925 Silver",  "7113.11.00"," 7113.19.00")</f>
        <v xml:space="preserve"> 7113.19.00</v>
      </c>
      <c r="J1154" t="str">
        <f>IF(quantInv[[#This Row],[Metal]] = "925 Silver", "7113.11.10.00"," 7113.19.10.00")</f>
        <v xml:space="preserve"> 7113.19.10.00</v>
      </c>
      <c r="K1154" t="str">
        <f>IF(quantInv[[#This Row],[Metal]] = "925 Silver",  "7113.11.00"," 7113.19.00")</f>
        <v xml:space="preserve"> 7113.19.00</v>
      </c>
      <c r="L1154" t="str">
        <f>IFERROR(VLOOKUP(quantInv[[#This Row],[Description for New Invoice]],Map!$G$12:$H$32,2,FALSE), IF(quantInv[[#This Row],[Metal]] = "925 Silver", "7113.11.10.00", "7113.19.29.00"))</f>
        <v>7113.19.29.00</v>
      </c>
      <c r="M1154" t="str">
        <f>quantInv[[#This Row],[ASIN]] &amp; " " &amp; quantInv[[#This Row],[Short Description]]</f>
        <v xml:space="preserve"> </v>
      </c>
      <c r="N1154" s="33">
        <f>quantInv[[#This Row],[UNIT
VALUE]] / EURtoGBP</f>
        <v>8.0025880710357392E-2</v>
      </c>
      <c r="O1154" s="33">
        <f>quantInv[[#This Row],[UNIT
VALUE]]/USDtoGBP</f>
        <v>9.6643787449467625E-2</v>
      </c>
      <c r="P1154" s="33">
        <f>quantInv[[#This Row],[UNIT
VALUE]] / CADtoGBP</f>
        <v>0.1237096035502024</v>
      </c>
      <c r="Q1154" s="33">
        <f>quantInv[[#This Row],[UNIT
VALUE]]/AUDtoGBP</f>
        <v>0.12662547596810114</v>
      </c>
      <c r="R1154">
        <f>IFERROR(VLOOKUP(quantInv[[#This Row],[Assigned Item SKU]],skuQuantity[#All],2,FALSE),0)</f>
        <v>0</v>
      </c>
      <c r="S1154" t="str">
        <f>PROPER(quantInv[[#This Row],[Metal]] &amp; " " &amp; quantInv[[#This Row],[Item Type]])</f>
        <v xml:space="preserve"> </v>
      </c>
      <c r="T1154" s="33">
        <f>quantInv[[#This Row],[Quantity]]*quantInv[[#This Row],[WEIGHT]]</f>
        <v>0</v>
      </c>
      <c r="U1154" s="33">
        <f>quantInv[[#This Row],[UNIT
VALUE]]*quantInv[[#This Row],[Quantity]]</f>
        <v>0</v>
      </c>
      <c r="V1154" s="33">
        <f>quantInv[[#This Row],[Total Cost GBP]]/EURtoGBP</f>
        <v>0</v>
      </c>
      <c r="W1154" s="33">
        <f>quantInv[[#This Row],[Total Cost GBP]]/USDtoGBP</f>
        <v>0</v>
      </c>
      <c r="X1154" s="33">
        <f>quantInv[[#This Row],[Total Cost GBP]]/CADtoGBP</f>
        <v>0</v>
      </c>
      <c r="Y1154" s="33">
        <f>quantInv[[#This Row],[Quantity]]*quantInv[[#This Row],[UNIT
VALUE AUD]]</f>
        <v>0</v>
      </c>
      <c r="Z1154" s="33"/>
    </row>
    <row r="1155" spans="1:26" x14ac:dyDescent="0.25">
      <c r="A1155" t="s">
        <v>2706</v>
      </c>
      <c r="C1155" t="s">
        <v>114</v>
      </c>
      <c r="E1155">
        <v>0</v>
      </c>
      <c r="F1155" s="33">
        <v>7.0499999999999993E-2</v>
      </c>
      <c r="G1155" s="33" t="s">
        <v>2875</v>
      </c>
      <c r="H1155" t="s">
        <v>2875</v>
      </c>
      <c r="I1155" t="str">
        <f>IF(quantInv[[#This Row],[Metal]] = "925 Silver",  "7113.11.00"," 7113.19.00")</f>
        <v xml:space="preserve"> 7113.19.00</v>
      </c>
      <c r="J1155" t="str">
        <f>IF(quantInv[[#This Row],[Metal]] = "925 Silver", "7113.11.10.00"," 7113.19.10.00")</f>
        <v xml:space="preserve"> 7113.19.10.00</v>
      </c>
      <c r="K1155" t="str">
        <f>IF(quantInv[[#This Row],[Metal]] = "925 Silver",  "7113.11.00"," 7113.19.00")</f>
        <v xml:space="preserve"> 7113.19.00</v>
      </c>
      <c r="L1155" t="str">
        <f>IFERROR(VLOOKUP(quantInv[[#This Row],[Description for New Invoice]],Map!$G$12:$H$32,2,FALSE), IF(quantInv[[#This Row],[Metal]] = "925 Silver", "7113.11.10.00", "7113.19.29.00"))</f>
        <v>7113.19.29.00</v>
      </c>
      <c r="M1155" t="str">
        <f>quantInv[[#This Row],[ASIN]] &amp; " " &amp; quantInv[[#This Row],[Short Description]]</f>
        <v xml:space="preserve"> </v>
      </c>
      <c r="N1155" s="33">
        <f>quantInv[[#This Row],[UNIT
VALUE]] / EURtoGBP</f>
        <v>8.0025880710357392E-2</v>
      </c>
      <c r="O1155" s="33">
        <f>quantInv[[#This Row],[UNIT
VALUE]]/USDtoGBP</f>
        <v>9.6643787449467625E-2</v>
      </c>
      <c r="P1155" s="33">
        <f>quantInv[[#This Row],[UNIT
VALUE]] / CADtoGBP</f>
        <v>0.1237096035502024</v>
      </c>
      <c r="Q1155" s="33">
        <f>quantInv[[#This Row],[UNIT
VALUE]]/AUDtoGBP</f>
        <v>0.12662547596810114</v>
      </c>
      <c r="R1155">
        <f>IFERROR(VLOOKUP(quantInv[[#This Row],[Assigned Item SKU]],skuQuantity[#All],2,FALSE),0)</f>
        <v>0</v>
      </c>
      <c r="S1155" t="str">
        <f>PROPER(quantInv[[#This Row],[Metal]] &amp; " " &amp; quantInv[[#This Row],[Item Type]])</f>
        <v xml:space="preserve"> </v>
      </c>
      <c r="T1155" s="33">
        <f>quantInv[[#This Row],[Quantity]]*quantInv[[#This Row],[WEIGHT]]</f>
        <v>0</v>
      </c>
      <c r="U1155" s="33">
        <f>quantInv[[#This Row],[UNIT
VALUE]]*quantInv[[#This Row],[Quantity]]</f>
        <v>0</v>
      </c>
      <c r="V1155" s="33">
        <f>quantInv[[#This Row],[Total Cost GBP]]/EURtoGBP</f>
        <v>0</v>
      </c>
      <c r="W1155" s="33">
        <f>quantInv[[#This Row],[Total Cost GBP]]/USDtoGBP</f>
        <v>0</v>
      </c>
      <c r="X1155" s="33">
        <f>quantInv[[#This Row],[Total Cost GBP]]/CADtoGBP</f>
        <v>0</v>
      </c>
      <c r="Y1155" s="33">
        <f>quantInv[[#This Row],[Quantity]]*quantInv[[#This Row],[UNIT
VALUE AUD]]</f>
        <v>0</v>
      </c>
      <c r="Z1155" s="33"/>
    </row>
    <row r="1156" spans="1:26" x14ac:dyDescent="0.25">
      <c r="A1156" t="s">
        <v>2707</v>
      </c>
      <c r="C1156" t="s">
        <v>114</v>
      </c>
      <c r="E1156">
        <v>0</v>
      </c>
      <c r="F1156" s="33">
        <v>7.0499999999999993E-2</v>
      </c>
      <c r="G1156" s="33" t="s">
        <v>2875</v>
      </c>
      <c r="H1156" t="s">
        <v>2875</v>
      </c>
      <c r="I1156" t="str">
        <f>IF(quantInv[[#This Row],[Metal]] = "925 Silver",  "7113.11.00"," 7113.19.00")</f>
        <v xml:space="preserve"> 7113.19.00</v>
      </c>
      <c r="J1156" t="str">
        <f>IF(quantInv[[#This Row],[Metal]] = "925 Silver", "7113.11.10.00"," 7113.19.10.00")</f>
        <v xml:space="preserve"> 7113.19.10.00</v>
      </c>
      <c r="K1156" t="str">
        <f>IF(quantInv[[#This Row],[Metal]] = "925 Silver",  "7113.11.00"," 7113.19.00")</f>
        <v xml:space="preserve"> 7113.19.00</v>
      </c>
      <c r="L1156" t="str">
        <f>IFERROR(VLOOKUP(quantInv[[#This Row],[Description for New Invoice]],Map!$G$12:$H$32,2,FALSE), IF(quantInv[[#This Row],[Metal]] = "925 Silver", "7113.11.10.00", "7113.19.29.00"))</f>
        <v>7113.19.29.00</v>
      </c>
      <c r="M1156" t="str">
        <f>quantInv[[#This Row],[ASIN]] &amp; " " &amp; quantInv[[#This Row],[Short Description]]</f>
        <v xml:space="preserve"> </v>
      </c>
      <c r="N1156" s="33">
        <f>quantInv[[#This Row],[UNIT
VALUE]] / EURtoGBP</f>
        <v>8.0025880710357392E-2</v>
      </c>
      <c r="O1156" s="33">
        <f>quantInv[[#This Row],[UNIT
VALUE]]/USDtoGBP</f>
        <v>9.6643787449467625E-2</v>
      </c>
      <c r="P1156" s="33">
        <f>quantInv[[#This Row],[UNIT
VALUE]] / CADtoGBP</f>
        <v>0.1237096035502024</v>
      </c>
      <c r="Q1156" s="33">
        <f>quantInv[[#This Row],[UNIT
VALUE]]/AUDtoGBP</f>
        <v>0.12662547596810114</v>
      </c>
      <c r="R1156">
        <f>IFERROR(VLOOKUP(quantInv[[#This Row],[Assigned Item SKU]],skuQuantity[#All],2,FALSE),0)</f>
        <v>0</v>
      </c>
      <c r="S1156" t="str">
        <f>PROPER(quantInv[[#This Row],[Metal]] &amp; " " &amp; quantInv[[#This Row],[Item Type]])</f>
        <v xml:space="preserve"> </v>
      </c>
      <c r="T1156" s="33">
        <f>quantInv[[#This Row],[Quantity]]*quantInv[[#This Row],[WEIGHT]]</f>
        <v>0</v>
      </c>
      <c r="U1156" s="33">
        <f>quantInv[[#This Row],[UNIT
VALUE]]*quantInv[[#This Row],[Quantity]]</f>
        <v>0</v>
      </c>
      <c r="V1156" s="33">
        <f>quantInv[[#This Row],[Total Cost GBP]]/EURtoGBP</f>
        <v>0</v>
      </c>
      <c r="W1156" s="33">
        <f>quantInv[[#This Row],[Total Cost GBP]]/USDtoGBP</f>
        <v>0</v>
      </c>
      <c r="X1156" s="33">
        <f>quantInv[[#This Row],[Total Cost GBP]]/CADtoGBP</f>
        <v>0</v>
      </c>
      <c r="Y1156" s="33">
        <f>quantInv[[#This Row],[Quantity]]*quantInv[[#This Row],[UNIT
VALUE AUD]]</f>
        <v>0</v>
      </c>
      <c r="Z1156" s="33"/>
    </row>
    <row r="1157" spans="1:26" x14ac:dyDescent="0.25">
      <c r="A1157" t="s">
        <v>2708</v>
      </c>
      <c r="C1157" t="s">
        <v>114</v>
      </c>
      <c r="E1157">
        <v>0</v>
      </c>
      <c r="F1157" s="33">
        <v>7.0499999999999993E-2</v>
      </c>
      <c r="G1157" s="33" t="s">
        <v>2875</v>
      </c>
      <c r="H1157" t="s">
        <v>2875</v>
      </c>
      <c r="I1157" t="str">
        <f>IF(quantInv[[#This Row],[Metal]] = "925 Silver",  "7113.11.00"," 7113.19.00")</f>
        <v xml:space="preserve"> 7113.19.00</v>
      </c>
      <c r="J1157" t="str">
        <f>IF(quantInv[[#This Row],[Metal]] = "925 Silver", "7113.11.10.00"," 7113.19.10.00")</f>
        <v xml:space="preserve"> 7113.19.10.00</v>
      </c>
      <c r="K1157" t="str">
        <f>IF(quantInv[[#This Row],[Metal]] = "925 Silver",  "7113.11.00"," 7113.19.00")</f>
        <v xml:space="preserve"> 7113.19.00</v>
      </c>
      <c r="L1157" t="str">
        <f>IFERROR(VLOOKUP(quantInv[[#This Row],[Description for New Invoice]],Map!$G$12:$H$32,2,FALSE), IF(quantInv[[#This Row],[Metal]] = "925 Silver", "7113.11.10.00", "7113.19.29.00"))</f>
        <v>7113.19.29.00</v>
      </c>
      <c r="M1157" t="str">
        <f>quantInv[[#This Row],[ASIN]] &amp; " " &amp; quantInv[[#This Row],[Short Description]]</f>
        <v xml:space="preserve"> </v>
      </c>
      <c r="N1157" s="33">
        <f>quantInv[[#This Row],[UNIT
VALUE]] / EURtoGBP</f>
        <v>8.0025880710357392E-2</v>
      </c>
      <c r="O1157" s="33">
        <f>quantInv[[#This Row],[UNIT
VALUE]]/USDtoGBP</f>
        <v>9.6643787449467625E-2</v>
      </c>
      <c r="P1157" s="33">
        <f>quantInv[[#This Row],[UNIT
VALUE]] / CADtoGBP</f>
        <v>0.1237096035502024</v>
      </c>
      <c r="Q1157" s="33">
        <f>quantInv[[#This Row],[UNIT
VALUE]]/AUDtoGBP</f>
        <v>0.12662547596810114</v>
      </c>
      <c r="R1157">
        <f>IFERROR(VLOOKUP(quantInv[[#This Row],[Assigned Item SKU]],skuQuantity[#All],2,FALSE),0)</f>
        <v>0</v>
      </c>
      <c r="S1157" t="str">
        <f>PROPER(quantInv[[#This Row],[Metal]] &amp; " " &amp; quantInv[[#This Row],[Item Type]])</f>
        <v xml:space="preserve"> </v>
      </c>
      <c r="T1157" s="33">
        <f>quantInv[[#This Row],[Quantity]]*quantInv[[#This Row],[WEIGHT]]</f>
        <v>0</v>
      </c>
      <c r="U1157" s="33">
        <f>quantInv[[#This Row],[UNIT
VALUE]]*quantInv[[#This Row],[Quantity]]</f>
        <v>0</v>
      </c>
      <c r="V1157" s="33">
        <f>quantInv[[#This Row],[Total Cost GBP]]/EURtoGBP</f>
        <v>0</v>
      </c>
      <c r="W1157" s="33">
        <f>quantInv[[#This Row],[Total Cost GBP]]/USDtoGBP</f>
        <v>0</v>
      </c>
      <c r="X1157" s="33">
        <f>quantInv[[#This Row],[Total Cost GBP]]/CADtoGBP</f>
        <v>0</v>
      </c>
      <c r="Y1157" s="33">
        <f>quantInv[[#This Row],[Quantity]]*quantInv[[#This Row],[UNIT
VALUE AUD]]</f>
        <v>0</v>
      </c>
      <c r="Z1157" s="33"/>
    </row>
    <row r="1158" spans="1:26" x14ac:dyDescent="0.25">
      <c r="A1158" t="s">
        <v>2709</v>
      </c>
      <c r="C1158" t="s">
        <v>114</v>
      </c>
      <c r="E1158">
        <v>0</v>
      </c>
      <c r="F1158" s="33">
        <v>7.0499999999999993E-2</v>
      </c>
      <c r="G1158" s="33" t="s">
        <v>2875</v>
      </c>
      <c r="H1158" t="s">
        <v>2875</v>
      </c>
      <c r="I1158" t="str">
        <f>IF(quantInv[[#This Row],[Metal]] = "925 Silver",  "7113.11.00"," 7113.19.00")</f>
        <v xml:space="preserve"> 7113.19.00</v>
      </c>
      <c r="J1158" t="str">
        <f>IF(quantInv[[#This Row],[Metal]] = "925 Silver", "7113.11.10.00"," 7113.19.10.00")</f>
        <v xml:space="preserve"> 7113.19.10.00</v>
      </c>
      <c r="K1158" t="str">
        <f>IF(quantInv[[#This Row],[Metal]] = "925 Silver",  "7113.11.00"," 7113.19.00")</f>
        <v xml:space="preserve"> 7113.19.00</v>
      </c>
      <c r="L1158" t="str">
        <f>IFERROR(VLOOKUP(quantInv[[#This Row],[Description for New Invoice]],Map!$G$12:$H$32,2,FALSE), IF(quantInv[[#This Row],[Metal]] = "925 Silver", "7113.11.10.00", "7113.19.29.00"))</f>
        <v>7113.19.29.00</v>
      </c>
      <c r="M1158" t="str">
        <f>quantInv[[#This Row],[ASIN]] &amp; " " &amp; quantInv[[#This Row],[Short Description]]</f>
        <v xml:space="preserve"> </v>
      </c>
      <c r="N1158" s="33">
        <f>quantInv[[#This Row],[UNIT
VALUE]] / EURtoGBP</f>
        <v>8.0025880710357392E-2</v>
      </c>
      <c r="O1158" s="33">
        <f>quantInv[[#This Row],[UNIT
VALUE]]/USDtoGBP</f>
        <v>9.6643787449467625E-2</v>
      </c>
      <c r="P1158" s="33">
        <f>quantInv[[#This Row],[UNIT
VALUE]] / CADtoGBP</f>
        <v>0.1237096035502024</v>
      </c>
      <c r="Q1158" s="33">
        <f>quantInv[[#This Row],[UNIT
VALUE]]/AUDtoGBP</f>
        <v>0.12662547596810114</v>
      </c>
      <c r="R1158">
        <f>IFERROR(VLOOKUP(quantInv[[#This Row],[Assigned Item SKU]],skuQuantity[#All],2,FALSE),0)</f>
        <v>0</v>
      </c>
      <c r="S1158" t="str">
        <f>PROPER(quantInv[[#This Row],[Metal]] &amp; " " &amp; quantInv[[#This Row],[Item Type]])</f>
        <v xml:space="preserve"> </v>
      </c>
      <c r="T1158" s="33">
        <f>quantInv[[#This Row],[Quantity]]*quantInv[[#This Row],[WEIGHT]]</f>
        <v>0</v>
      </c>
      <c r="U1158" s="33">
        <f>quantInv[[#This Row],[UNIT
VALUE]]*quantInv[[#This Row],[Quantity]]</f>
        <v>0</v>
      </c>
      <c r="V1158" s="33">
        <f>quantInv[[#This Row],[Total Cost GBP]]/EURtoGBP</f>
        <v>0</v>
      </c>
      <c r="W1158" s="33">
        <f>quantInv[[#This Row],[Total Cost GBP]]/USDtoGBP</f>
        <v>0</v>
      </c>
      <c r="X1158" s="33">
        <f>quantInv[[#This Row],[Total Cost GBP]]/CADtoGBP</f>
        <v>0</v>
      </c>
      <c r="Y1158" s="33">
        <f>quantInv[[#This Row],[Quantity]]*quantInv[[#This Row],[UNIT
VALUE AUD]]</f>
        <v>0</v>
      </c>
      <c r="Z1158" s="33"/>
    </row>
    <row r="1159" spans="1:26" x14ac:dyDescent="0.25">
      <c r="A1159" t="s">
        <v>2710</v>
      </c>
      <c r="C1159" t="s">
        <v>114</v>
      </c>
      <c r="E1159">
        <v>0</v>
      </c>
      <c r="F1159" s="33">
        <v>7.0499999999999993E-2</v>
      </c>
      <c r="G1159" s="33" t="s">
        <v>2875</v>
      </c>
      <c r="H1159" t="s">
        <v>2875</v>
      </c>
      <c r="I1159" t="str">
        <f>IF(quantInv[[#This Row],[Metal]] = "925 Silver",  "7113.11.00"," 7113.19.00")</f>
        <v xml:space="preserve"> 7113.19.00</v>
      </c>
      <c r="J1159" t="str">
        <f>IF(quantInv[[#This Row],[Metal]] = "925 Silver", "7113.11.10.00"," 7113.19.10.00")</f>
        <v xml:space="preserve"> 7113.19.10.00</v>
      </c>
      <c r="K1159" t="str">
        <f>IF(quantInv[[#This Row],[Metal]] = "925 Silver",  "7113.11.00"," 7113.19.00")</f>
        <v xml:space="preserve"> 7113.19.00</v>
      </c>
      <c r="L1159" t="str">
        <f>IFERROR(VLOOKUP(quantInv[[#This Row],[Description for New Invoice]],Map!$G$12:$H$32,2,FALSE), IF(quantInv[[#This Row],[Metal]] = "925 Silver", "7113.11.10.00", "7113.19.29.00"))</f>
        <v>7113.19.29.00</v>
      </c>
      <c r="M1159" t="str">
        <f>quantInv[[#This Row],[ASIN]] &amp; " " &amp; quantInv[[#This Row],[Short Description]]</f>
        <v xml:space="preserve"> </v>
      </c>
      <c r="N1159" s="33">
        <f>quantInv[[#This Row],[UNIT
VALUE]] / EURtoGBP</f>
        <v>8.0025880710357392E-2</v>
      </c>
      <c r="O1159" s="33">
        <f>quantInv[[#This Row],[UNIT
VALUE]]/USDtoGBP</f>
        <v>9.6643787449467625E-2</v>
      </c>
      <c r="P1159" s="33">
        <f>quantInv[[#This Row],[UNIT
VALUE]] / CADtoGBP</f>
        <v>0.1237096035502024</v>
      </c>
      <c r="Q1159" s="33">
        <f>quantInv[[#This Row],[UNIT
VALUE]]/AUDtoGBP</f>
        <v>0.12662547596810114</v>
      </c>
      <c r="R1159">
        <f>IFERROR(VLOOKUP(quantInv[[#This Row],[Assigned Item SKU]],skuQuantity[#All],2,FALSE),0)</f>
        <v>0</v>
      </c>
      <c r="S1159" t="str">
        <f>PROPER(quantInv[[#This Row],[Metal]] &amp; " " &amp; quantInv[[#This Row],[Item Type]])</f>
        <v xml:space="preserve"> </v>
      </c>
      <c r="T1159" s="33">
        <f>quantInv[[#This Row],[Quantity]]*quantInv[[#This Row],[WEIGHT]]</f>
        <v>0</v>
      </c>
      <c r="U1159" s="33">
        <f>quantInv[[#This Row],[UNIT
VALUE]]*quantInv[[#This Row],[Quantity]]</f>
        <v>0</v>
      </c>
      <c r="V1159" s="33">
        <f>quantInv[[#This Row],[Total Cost GBP]]/EURtoGBP</f>
        <v>0</v>
      </c>
      <c r="W1159" s="33">
        <f>quantInv[[#This Row],[Total Cost GBP]]/USDtoGBP</f>
        <v>0</v>
      </c>
      <c r="X1159" s="33">
        <f>quantInv[[#This Row],[Total Cost GBP]]/CADtoGBP</f>
        <v>0</v>
      </c>
      <c r="Y1159" s="33">
        <f>quantInv[[#This Row],[Quantity]]*quantInv[[#This Row],[UNIT
VALUE AUD]]</f>
        <v>0</v>
      </c>
      <c r="Z1159" s="33"/>
    </row>
    <row r="1160" spans="1:26" x14ac:dyDescent="0.25">
      <c r="A1160" t="s">
        <v>2711</v>
      </c>
      <c r="C1160" t="s">
        <v>114</v>
      </c>
      <c r="E1160">
        <v>0</v>
      </c>
      <c r="F1160" s="33">
        <v>7.0499999999999993E-2</v>
      </c>
      <c r="G1160" s="33" t="s">
        <v>2875</v>
      </c>
      <c r="H1160" t="s">
        <v>2875</v>
      </c>
      <c r="I1160" t="str">
        <f>IF(quantInv[[#This Row],[Metal]] = "925 Silver",  "7113.11.00"," 7113.19.00")</f>
        <v xml:space="preserve"> 7113.19.00</v>
      </c>
      <c r="J1160" t="str">
        <f>IF(quantInv[[#This Row],[Metal]] = "925 Silver", "7113.11.10.00"," 7113.19.10.00")</f>
        <v xml:space="preserve"> 7113.19.10.00</v>
      </c>
      <c r="K1160" t="str">
        <f>IF(quantInv[[#This Row],[Metal]] = "925 Silver",  "7113.11.00"," 7113.19.00")</f>
        <v xml:space="preserve"> 7113.19.00</v>
      </c>
      <c r="L1160" t="str">
        <f>IFERROR(VLOOKUP(quantInv[[#This Row],[Description for New Invoice]],Map!$G$12:$H$32,2,FALSE), IF(quantInv[[#This Row],[Metal]] = "925 Silver", "7113.11.10.00", "7113.19.29.00"))</f>
        <v>7113.19.29.00</v>
      </c>
      <c r="M1160" t="str">
        <f>quantInv[[#This Row],[ASIN]] &amp; " " &amp; quantInv[[#This Row],[Short Description]]</f>
        <v xml:space="preserve"> </v>
      </c>
      <c r="N1160" s="33">
        <f>quantInv[[#This Row],[UNIT
VALUE]] / EURtoGBP</f>
        <v>8.0025880710357392E-2</v>
      </c>
      <c r="O1160" s="33">
        <f>quantInv[[#This Row],[UNIT
VALUE]]/USDtoGBP</f>
        <v>9.6643787449467625E-2</v>
      </c>
      <c r="P1160" s="33">
        <f>quantInv[[#This Row],[UNIT
VALUE]] / CADtoGBP</f>
        <v>0.1237096035502024</v>
      </c>
      <c r="Q1160" s="33">
        <f>quantInv[[#This Row],[UNIT
VALUE]]/AUDtoGBP</f>
        <v>0.12662547596810114</v>
      </c>
      <c r="R1160">
        <f>IFERROR(VLOOKUP(quantInv[[#This Row],[Assigned Item SKU]],skuQuantity[#All],2,FALSE),0)</f>
        <v>0</v>
      </c>
      <c r="S1160" t="str">
        <f>PROPER(quantInv[[#This Row],[Metal]] &amp; " " &amp; quantInv[[#This Row],[Item Type]])</f>
        <v xml:space="preserve"> </v>
      </c>
      <c r="T1160" s="33">
        <f>quantInv[[#This Row],[Quantity]]*quantInv[[#This Row],[WEIGHT]]</f>
        <v>0</v>
      </c>
      <c r="U1160" s="33">
        <f>quantInv[[#This Row],[UNIT
VALUE]]*quantInv[[#This Row],[Quantity]]</f>
        <v>0</v>
      </c>
      <c r="V1160" s="33">
        <f>quantInv[[#This Row],[Total Cost GBP]]/EURtoGBP</f>
        <v>0</v>
      </c>
      <c r="W1160" s="33">
        <f>quantInv[[#This Row],[Total Cost GBP]]/USDtoGBP</f>
        <v>0</v>
      </c>
      <c r="X1160" s="33">
        <f>quantInv[[#This Row],[Total Cost GBP]]/CADtoGBP</f>
        <v>0</v>
      </c>
      <c r="Y1160" s="33">
        <f>quantInv[[#This Row],[Quantity]]*quantInv[[#This Row],[UNIT
VALUE AUD]]</f>
        <v>0</v>
      </c>
      <c r="Z1160" s="33"/>
    </row>
    <row r="1161" spans="1:26" x14ac:dyDescent="0.25">
      <c r="A1161" t="s">
        <v>2712</v>
      </c>
      <c r="C1161" t="s">
        <v>114</v>
      </c>
      <c r="E1161">
        <v>0</v>
      </c>
      <c r="F1161" s="33">
        <v>7.0499999999999993E-2</v>
      </c>
      <c r="G1161" s="33" t="s">
        <v>2875</v>
      </c>
      <c r="H1161" t="s">
        <v>2875</v>
      </c>
      <c r="I1161" t="str">
        <f>IF(quantInv[[#This Row],[Metal]] = "925 Silver",  "7113.11.00"," 7113.19.00")</f>
        <v xml:space="preserve"> 7113.19.00</v>
      </c>
      <c r="J1161" t="str">
        <f>IF(quantInv[[#This Row],[Metal]] = "925 Silver", "7113.11.10.00"," 7113.19.10.00")</f>
        <v xml:space="preserve"> 7113.19.10.00</v>
      </c>
      <c r="K1161" t="str">
        <f>IF(quantInv[[#This Row],[Metal]] = "925 Silver",  "7113.11.00"," 7113.19.00")</f>
        <v xml:space="preserve"> 7113.19.00</v>
      </c>
      <c r="L1161" t="str">
        <f>IFERROR(VLOOKUP(quantInv[[#This Row],[Description for New Invoice]],Map!$G$12:$H$32,2,FALSE), IF(quantInv[[#This Row],[Metal]] = "925 Silver", "7113.11.10.00", "7113.19.29.00"))</f>
        <v>7113.19.29.00</v>
      </c>
      <c r="M1161" t="str">
        <f>quantInv[[#This Row],[ASIN]] &amp; " " &amp; quantInv[[#This Row],[Short Description]]</f>
        <v xml:space="preserve"> </v>
      </c>
      <c r="N1161" s="33">
        <f>quantInv[[#This Row],[UNIT
VALUE]] / EURtoGBP</f>
        <v>8.0025880710357392E-2</v>
      </c>
      <c r="O1161" s="33">
        <f>quantInv[[#This Row],[UNIT
VALUE]]/USDtoGBP</f>
        <v>9.6643787449467625E-2</v>
      </c>
      <c r="P1161" s="33">
        <f>quantInv[[#This Row],[UNIT
VALUE]] / CADtoGBP</f>
        <v>0.1237096035502024</v>
      </c>
      <c r="Q1161" s="33">
        <f>quantInv[[#This Row],[UNIT
VALUE]]/AUDtoGBP</f>
        <v>0.12662547596810114</v>
      </c>
      <c r="R1161">
        <f>IFERROR(VLOOKUP(quantInv[[#This Row],[Assigned Item SKU]],skuQuantity[#All],2,FALSE),0)</f>
        <v>0</v>
      </c>
      <c r="S1161" t="str">
        <f>PROPER(quantInv[[#This Row],[Metal]] &amp; " " &amp; quantInv[[#This Row],[Item Type]])</f>
        <v xml:space="preserve"> </v>
      </c>
      <c r="T1161" s="33">
        <f>quantInv[[#This Row],[Quantity]]*quantInv[[#This Row],[WEIGHT]]</f>
        <v>0</v>
      </c>
      <c r="U1161" s="33">
        <f>quantInv[[#This Row],[UNIT
VALUE]]*quantInv[[#This Row],[Quantity]]</f>
        <v>0</v>
      </c>
      <c r="V1161" s="33">
        <f>quantInv[[#This Row],[Total Cost GBP]]/EURtoGBP</f>
        <v>0</v>
      </c>
      <c r="W1161" s="33">
        <f>quantInv[[#This Row],[Total Cost GBP]]/USDtoGBP</f>
        <v>0</v>
      </c>
      <c r="X1161" s="33">
        <f>quantInv[[#This Row],[Total Cost GBP]]/CADtoGBP</f>
        <v>0</v>
      </c>
      <c r="Y1161" s="33">
        <f>quantInv[[#This Row],[Quantity]]*quantInv[[#This Row],[UNIT
VALUE AUD]]</f>
        <v>0</v>
      </c>
      <c r="Z1161" s="33"/>
    </row>
    <row r="1162" spans="1:26" x14ac:dyDescent="0.25">
      <c r="A1162" t="s">
        <v>2713</v>
      </c>
      <c r="C1162" t="s">
        <v>114</v>
      </c>
      <c r="E1162">
        <v>0</v>
      </c>
      <c r="F1162" s="33">
        <v>7.0499999999999993E-2</v>
      </c>
      <c r="G1162" s="33" t="s">
        <v>2875</v>
      </c>
      <c r="H1162" t="s">
        <v>2875</v>
      </c>
      <c r="I1162" t="str">
        <f>IF(quantInv[[#This Row],[Metal]] = "925 Silver",  "7113.11.00"," 7113.19.00")</f>
        <v xml:space="preserve"> 7113.19.00</v>
      </c>
      <c r="J1162" t="str">
        <f>IF(quantInv[[#This Row],[Metal]] = "925 Silver", "7113.11.10.00"," 7113.19.10.00")</f>
        <v xml:space="preserve"> 7113.19.10.00</v>
      </c>
      <c r="K1162" t="str">
        <f>IF(quantInv[[#This Row],[Metal]] = "925 Silver",  "7113.11.00"," 7113.19.00")</f>
        <v xml:space="preserve"> 7113.19.00</v>
      </c>
      <c r="L1162" t="str">
        <f>IFERROR(VLOOKUP(quantInv[[#This Row],[Description for New Invoice]],Map!$G$12:$H$32,2,FALSE), IF(quantInv[[#This Row],[Metal]] = "925 Silver", "7113.11.10.00", "7113.19.29.00"))</f>
        <v>7113.19.29.00</v>
      </c>
      <c r="M1162" t="str">
        <f>quantInv[[#This Row],[ASIN]] &amp; " " &amp; quantInv[[#This Row],[Short Description]]</f>
        <v xml:space="preserve"> </v>
      </c>
      <c r="N1162" s="33">
        <f>quantInv[[#This Row],[UNIT
VALUE]] / EURtoGBP</f>
        <v>8.0025880710357392E-2</v>
      </c>
      <c r="O1162" s="33">
        <f>quantInv[[#This Row],[UNIT
VALUE]]/USDtoGBP</f>
        <v>9.6643787449467625E-2</v>
      </c>
      <c r="P1162" s="33">
        <f>quantInv[[#This Row],[UNIT
VALUE]] / CADtoGBP</f>
        <v>0.1237096035502024</v>
      </c>
      <c r="Q1162" s="33">
        <f>quantInv[[#This Row],[UNIT
VALUE]]/AUDtoGBP</f>
        <v>0.12662547596810114</v>
      </c>
      <c r="R1162">
        <f>IFERROR(VLOOKUP(quantInv[[#This Row],[Assigned Item SKU]],skuQuantity[#All],2,FALSE),0)</f>
        <v>0</v>
      </c>
      <c r="S1162" t="str">
        <f>PROPER(quantInv[[#This Row],[Metal]] &amp; " " &amp; quantInv[[#This Row],[Item Type]])</f>
        <v xml:space="preserve"> </v>
      </c>
      <c r="T1162" s="33">
        <f>quantInv[[#This Row],[Quantity]]*quantInv[[#This Row],[WEIGHT]]</f>
        <v>0</v>
      </c>
      <c r="U1162" s="33">
        <f>quantInv[[#This Row],[UNIT
VALUE]]*quantInv[[#This Row],[Quantity]]</f>
        <v>0</v>
      </c>
      <c r="V1162" s="33">
        <f>quantInv[[#This Row],[Total Cost GBP]]/EURtoGBP</f>
        <v>0</v>
      </c>
      <c r="W1162" s="33">
        <f>quantInv[[#This Row],[Total Cost GBP]]/USDtoGBP</f>
        <v>0</v>
      </c>
      <c r="X1162" s="33">
        <f>quantInv[[#This Row],[Total Cost GBP]]/CADtoGBP</f>
        <v>0</v>
      </c>
      <c r="Y1162" s="33">
        <f>quantInv[[#This Row],[Quantity]]*quantInv[[#This Row],[UNIT
VALUE AUD]]</f>
        <v>0</v>
      </c>
      <c r="Z1162" s="33"/>
    </row>
    <row r="1163" spans="1:26" x14ac:dyDescent="0.25">
      <c r="A1163" t="s">
        <v>2714</v>
      </c>
      <c r="C1163" t="s">
        <v>114</v>
      </c>
      <c r="E1163">
        <v>0</v>
      </c>
      <c r="F1163" s="33">
        <v>7.0499999999999993E-2</v>
      </c>
      <c r="G1163" s="33" t="s">
        <v>2875</v>
      </c>
      <c r="H1163" t="s">
        <v>2875</v>
      </c>
      <c r="I1163" t="str">
        <f>IF(quantInv[[#This Row],[Metal]] = "925 Silver",  "7113.11.00"," 7113.19.00")</f>
        <v xml:space="preserve"> 7113.19.00</v>
      </c>
      <c r="J1163" t="str">
        <f>IF(quantInv[[#This Row],[Metal]] = "925 Silver", "7113.11.10.00"," 7113.19.10.00")</f>
        <v xml:space="preserve"> 7113.19.10.00</v>
      </c>
      <c r="K1163" t="str">
        <f>IF(quantInv[[#This Row],[Metal]] = "925 Silver",  "7113.11.00"," 7113.19.00")</f>
        <v xml:space="preserve"> 7113.19.00</v>
      </c>
      <c r="L1163" t="str">
        <f>IFERROR(VLOOKUP(quantInv[[#This Row],[Description for New Invoice]],Map!$G$12:$H$32,2,FALSE), IF(quantInv[[#This Row],[Metal]] = "925 Silver", "7113.11.10.00", "7113.19.29.00"))</f>
        <v>7113.19.29.00</v>
      </c>
      <c r="M1163" t="str">
        <f>quantInv[[#This Row],[ASIN]] &amp; " " &amp; quantInv[[#This Row],[Short Description]]</f>
        <v xml:space="preserve"> </v>
      </c>
      <c r="N1163" s="33">
        <f>quantInv[[#This Row],[UNIT
VALUE]] / EURtoGBP</f>
        <v>8.0025880710357392E-2</v>
      </c>
      <c r="O1163" s="33">
        <f>quantInv[[#This Row],[UNIT
VALUE]]/USDtoGBP</f>
        <v>9.6643787449467625E-2</v>
      </c>
      <c r="P1163" s="33">
        <f>quantInv[[#This Row],[UNIT
VALUE]] / CADtoGBP</f>
        <v>0.1237096035502024</v>
      </c>
      <c r="Q1163" s="33">
        <f>quantInv[[#This Row],[UNIT
VALUE]]/AUDtoGBP</f>
        <v>0.12662547596810114</v>
      </c>
      <c r="R1163">
        <f>IFERROR(VLOOKUP(quantInv[[#This Row],[Assigned Item SKU]],skuQuantity[#All],2,FALSE),0)</f>
        <v>0</v>
      </c>
      <c r="S1163" t="str">
        <f>PROPER(quantInv[[#This Row],[Metal]] &amp; " " &amp; quantInv[[#This Row],[Item Type]])</f>
        <v xml:space="preserve"> </v>
      </c>
      <c r="T1163" s="33">
        <f>quantInv[[#This Row],[Quantity]]*quantInv[[#This Row],[WEIGHT]]</f>
        <v>0</v>
      </c>
      <c r="U1163" s="33">
        <f>quantInv[[#This Row],[UNIT
VALUE]]*quantInv[[#This Row],[Quantity]]</f>
        <v>0</v>
      </c>
      <c r="V1163" s="33">
        <f>quantInv[[#This Row],[Total Cost GBP]]/EURtoGBP</f>
        <v>0</v>
      </c>
      <c r="W1163" s="33">
        <f>quantInv[[#This Row],[Total Cost GBP]]/USDtoGBP</f>
        <v>0</v>
      </c>
      <c r="X1163" s="33">
        <f>quantInv[[#This Row],[Total Cost GBP]]/CADtoGBP</f>
        <v>0</v>
      </c>
      <c r="Y1163" s="33">
        <f>quantInv[[#This Row],[Quantity]]*quantInv[[#This Row],[UNIT
VALUE AUD]]</f>
        <v>0</v>
      </c>
      <c r="Z1163" s="33"/>
    </row>
    <row r="1164" spans="1:26" x14ac:dyDescent="0.25">
      <c r="A1164" t="s">
        <v>2715</v>
      </c>
      <c r="C1164" t="s">
        <v>114</v>
      </c>
      <c r="E1164">
        <v>0</v>
      </c>
      <c r="F1164" s="33">
        <v>7.0499999999999993E-2</v>
      </c>
      <c r="G1164" s="33" t="s">
        <v>2875</v>
      </c>
      <c r="H1164" t="s">
        <v>2875</v>
      </c>
      <c r="I1164" t="str">
        <f>IF(quantInv[[#This Row],[Metal]] = "925 Silver",  "7113.11.00"," 7113.19.00")</f>
        <v xml:space="preserve"> 7113.19.00</v>
      </c>
      <c r="J1164" t="str">
        <f>IF(quantInv[[#This Row],[Metal]] = "925 Silver", "7113.11.10.00"," 7113.19.10.00")</f>
        <v xml:space="preserve"> 7113.19.10.00</v>
      </c>
      <c r="K1164" t="str">
        <f>IF(quantInv[[#This Row],[Metal]] = "925 Silver",  "7113.11.00"," 7113.19.00")</f>
        <v xml:space="preserve"> 7113.19.00</v>
      </c>
      <c r="L1164" t="str">
        <f>IFERROR(VLOOKUP(quantInv[[#This Row],[Description for New Invoice]],Map!$G$12:$H$32,2,FALSE), IF(quantInv[[#This Row],[Metal]] = "925 Silver", "7113.11.10.00", "7113.19.29.00"))</f>
        <v>7113.19.29.00</v>
      </c>
      <c r="M1164" t="str">
        <f>quantInv[[#This Row],[ASIN]] &amp; " " &amp; quantInv[[#This Row],[Short Description]]</f>
        <v xml:space="preserve"> </v>
      </c>
      <c r="N1164" s="33">
        <f>quantInv[[#This Row],[UNIT
VALUE]] / EURtoGBP</f>
        <v>8.0025880710357392E-2</v>
      </c>
      <c r="O1164" s="33">
        <f>quantInv[[#This Row],[UNIT
VALUE]]/USDtoGBP</f>
        <v>9.6643787449467625E-2</v>
      </c>
      <c r="P1164" s="33">
        <f>quantInv[[#This Row],[UNIT
VALUE]] / CADtoGBP</f>
        <v>0.1237096035502024</v>
      </c>
      <c r="Q1164" s="33">
        <f>quantInv[[#This Row],[UNIT
VALUE]]/AUDtoGBP</f>
        <v>0.12662547596810114</v>
      </c>
      <c r="R1164">
        <f>IFERROR(VLOOKUP(quantInv[[#This Row],[Assigned Item SKU]],skuQuantity[#All],2,FALSE),0)</f>
        <v>0</v>
      </c>
      <c r="S1164" t="str">
        <f>PROPER(quantInv[[#This Row],[Metal]] &amp; " " &amp; quantInv[[#This Row],[Item Type]])</f>
        <v xml:space="preserve"> </v>
      </c>
      <c r="T1164" s="33">
        <f>quantInv[[#This Row],[Quantity]]*quantInv[[#This Row],[WEIGHT]]</f>
        <v>0</v>
      </c>
      <c r="U1164" s="33">
        <f>quantInv[[#This Row],[UNIT
VALUE]]*quantInv[[#This Row],[Quantity]]</f>
        <v>0</v>
      </c>
      <c r="V1164" s="33">
        <f>quantInv[[#This Row],[Total Cost GBP]]/EURtoGBP</f>
        <v>0</v>
      </c>
      <c r="W1164" s="33">
        <f>quantInv[[#This Row],[Total Cost GBP]]/USDtoGBP</f>
        <v>0</v>
      </c>
      <c r="X1164" s="33">
        <f>quantInv[[#This Row],[Total Cost GBP]]/CADtoGBP</f>
        <v>0</v>
      </c>
      <c r="Y1164" s="33">
        <f>quantInv[[#This Row],[Quantity]]*quantInv[[#This Row],[UNIT
VALUE AUD]]</f>
        <v>0</v>
      </c>
      <c r="Z1164" s="33"/>
    </row>
    <row r="1165" spans="1:26" x14ac:dyDescent="0.25">
      <c r="A1165" t="s">
        <v>2716</v>
      </c>
      <c r="C1165" t="s">
        <v>114</v>
      </c>
      <c r="E1165">
        <v>0</v>
      </c>
      <c r="F1165" s="33">
        <v>7.0499999999999993E-2</v>
      </c>
      <c r="G1165" s="33" t="s">
        <v>2875</v>
      </c>
      <c r="H1165" t="s">
        <v>2875</v>
      </c>
      <c r="I1165" t="str">
        <f>IF(quantInv[[#This Row],[Metal]] = "925 Silver",  "7113.11.00"," 7113.19.00")</f>
        <v xml:space="preserve"> 7113.19.00</v>
      </c>
      <c r="J1165" t="str">
        <f>IF(quantInv[[#This Row],[Metal]] = "925 Silver", "7113.11.10.00"," 7113.19.10.00")</f>
        <v xml:space="preserve"> 7113.19.10.00</v>
      </c>
      <c r="K1165" t="str">
        <f>IF(quantInv[[#This Row],[Metal]] = "925 Silver",  "7113.11.00"," 7113.19.00")</f>
        <v xml:space="preserve"> 7113.19.00</v>
      </c>
      <c r="L1165" t="str">
        <f>IFERROR(VLOOKUP(quantInv[[#This Row],[Description for New Invoice]],Map!$G$12:$H$32,2,FALSE), IF(quantInv[[#This Row],[Metal]] = "925 Silver", "7113.11.10.00", "7113.19.29.00"))</f>
        <v>7113.19.29.00</v>
      </c>
      <c r="M1165" t="str">
        <f>quantInv[[#This Row],[ASIN]] &amp; " " &amp; quantInv[[#This Row],[Short Description]]</f>
        <v xml:space="preserve"> </v>
      </c>
      <c r="N1165" s="33">
        <f>quantInv[[#This Row],[UNIT
VALUE]] / EURtoGBP</f>
        <v>8.0025880710357392E-2</v>
      </c>
      <c r="O1165" s="33">
        <f>quantInv[[#This Row],[UNIT
VALUE]]/USDtoGBP</f>
        <v>9.6643787449467625E-2</v>
      </c>
      <c r="P1165" s="33">
        <f>quantInv[[#This Row],[UNIT
VALUE]] / CADtoGBP</f>
        <v>0.1237096035502024</v>
      </c>
      <c r="Q1165" s="33">
        <f>quantInv[[#This Row],[UNIT
VALUE]]/AUDtoGBP</f>
        <v>0.12662547596810114</v>
      </c>
      <c r="R1165">
        <f>IFERROR(VLOOKUP(quantInv[[#This Row],[Assigned Item SKU]],skuQuantity[#All],2,FALSE),0)</f>
        <v>0</v>
      </c>
      <c r="S1165" t="str">
        <f>PROPER(quantInv[[#This Row],[Metal]] &amp; " " &amp; quantInv[[#This Row],[Item Type]])</f>
        <v xml:space="preserve"> </v>
      </c>
      <c r="T1165" s="33">
        <f>quantInv[[#This Row],[Quantity]]*quantInv[[#This Row],[WEIGHT]]</f>
        <v>0</v>
      </c>
      <c r="U1165" s="33">
        <f>quantInv[[#This Row],[UNIT
VALUE]]*quantInv[[#This Row],[Quantity]]</f>
        <v>0</v>
      </c>
      <c r="V1165" s="33">
        <f>quantInv[[#This Row],[Total Cost GBP]]/EURtoGBP</f>
        <v>0</v>
      </c>
      <c r="W1165" s="33">
        <f>quantInv[[#This Row],[Total Cost GBP]]/USDtoGBP</f>
        <v>0</v>
      </c>
      <c r="X1165" s="33">
        <f>quantInv[[#This Row],[Total Cost GBP]]/CADtoGBP</f>
        <v>0</v>
      </c>
      <c r="Y1165" s="33">
        <f>quantInv[[#This Row],[Quantity]]*quantInv[[#This Row],[UNIT
VALUE AUD]]</f>
        <v>0</v>
      </c>
      <c r="Z1165" s="33"/>
    </row>
    <row r="1166" spans="1:26" x14ac:dyDescent="0.25">
      <c r="A1166" t="s">
        <v>2717</v>
      </c>
      <c r="C1166" t="s">
        <v>114</v>
      </c>
      <c r="E1166">
        <v>0</v>
      </c>
      <c r="F1166" s="33">
        <v>7.0499999999999993E-2</v>
      </c>
      <c r="G1166" s="33" t="s">
        <v>2875</v>
      </c>
      <c r="H1166" t="s">
        <v>2875</v>
      </c>
      <c r="I1166" t="str">
        <f>IF(quantInv[[#This Row],[Metal]] = "925 Silver",  "7113.11.00"," 7113.19.00")</f>
        <v xml:space="preserve"> 7113.19.00</v>
      </c>
      <c r="J1166" t="str">
        <f>IF(quantInv[[#This Row],[Metal]] = "925 Silver", "7113.11.10.00"," 7113.19.10.00")</f>
        <v xml:space="preserve"> 7113.19.10.00</v>
      </c>
      <c r="K1166" t="str">
        <f>IF(quantInv[[#This Row],[Metal]] = "925 Silver",  "7113.11.00"," 7113.19.00")</f>
        <v xml:space="preserve"> 7113.19.00</v>
      </c>
      <c r="L1166" t="str">
        <f>IFERROR(VLOOKUP(quantInv[[#This Row],[Description for New Invoice]],Map!$G$12:$H$32,2,FALSE), IF(quantInv[[#This Row],[Metal]] = "925 Silver", "7113.11.10.00", "7113.19.29.00"))</f>
        <v>7113.19.29.00</v>
      </c>
      <c r="M1166" t="str">
        <f>quantInv[[#This Row],[ASIN]] &amp; " " &amp; quantInv[[#This Row],[Short Description]]</f>
        <v xml:space="preserve"> </v>
      </c>
      <c r="N1166" s="33">
        <f>quantInv[[#This Row],[UNIT
VALUE]] / EURtoGBP</f>
        <v>8.0025880710357392E-2</v>
      </c>
      <c r="O1166" s="33">
        <f>quantInv[[#This Row],[UNIT
VALUE]]/USDtoGBP</f>
        <v>9.6643787449467625E-2</v>
      </c>
      <c r="P1166" s="33">
        <f>quantInv[[#This Row],[UNIT
VALUE]] / CADtoGBP</f>
        <v>0.1237096035502024</v>
      </c>
      <c r="Q1166" s="33">
        <f>quantInv[[#This Row],[UNIT
VALUE]]/AUDtoGBP</f>
        <v>0.12662547596810114</v>
      </c>
      <c r="R1166">
        <f>IFERROR(VLOOKUP(quantInv[[#This Row],[Assigned Item SKU]],skuQuantity[#All],2,FALSE),0)</f>
        <v>0</v>
      </c>
      <c r="S1166" t="str">
        <f>PROPER(quantInv[[#This Row],[Metal]] &amp; " " &amp; quantInv[[#This Row],[Item Type]])</f>
        <v xml:space="preserve"> </v>
      </c>
      <c r="T1166" s="33">
        <f>quantInv[[#This Row],[Quantity]]*quantInv[[#This Row],[WEIGHT]]</f>
        <v>0</v>
      </c>
      <c r="U1166" s="33">
        <f>quantInv[[#This Row],[UNIT
VALUE]]*quantInv[[#This Row],[Quantity]]</f>
        <v>0</v>
      </c>
      <c r="V1166" s="33">
        <f>quantInv[[#This Row],[Total Cost GBP]]/EURtoGBP</f>
        <v>0</v>
      </c>
      <c r="W1166" s="33">
        <f>quantInv[[#This Row],[Total Cost GBP]]/USDtoGBP</f>
        <v>0</v>
      </c>
      <c r="X1166" s="33">
        <f>quantInv[[#This Row],[Total Cost GBP]]/CADtoGBP</f>
        <v>0</v>
      </c>
      <c r="Y1166" s="33">
        <f>quantInv[[#This Row],[Quantity]]*quantInv[[#This Row],[UNIT
VALUE AUD]]</f>
        <v>0</v>
      </c>
      <c r="Z1166" s="33"/>
    </row>
    <row r="1167" spans="1:26" x14ac:dyDescent="0.25">
      <c r="A1167" t="s">
        <v>2718</v>
      </c>
      <c r="C1167" t="s">
        <v>114</v>
      </c>
      <c r="E1167">
        <v>0</v>
      </c>
      <c r="F1167" s="33">
        <v>7.0499999999999993E-2</v>
      </c>
      <c r="G1167" s="33" t="s">
        <v>2875</v>
      </c>
      <c r="H1167" t="s">
        <v>2875</v>
      </c>
      <c r="I1167" t="str">
        <f>IF(quantInv[[#This Row],[Metal]] = "925 Silver",  "7113.11.00"," 7113.19.00")</f>
        <v xml:space="preserve"> 7113.19.00</v>
      </c>
      <c r="J1167" t="str">
        <f>IF(quantInv[[#This Row],[Metal]] = "925 Silver", "7113.11.10.00"," 7113.19.10.00")</f>
        <v xml:space="preserve"> 7113.19.10.00</v>
      </c>
      <c r="K1167" t="str">
        <f>IF(quantInv[[#This Row],[Metal]] = "925 Silver",  "7113.11.00"," 7113.19.00")</f>
        <v xml:space="preserve"> 7113.19.00</v>
      </c>
      <c r="L1167" t="str">
        <f>IFERROR(VLOOKUP(quantInv[[#This Row],[Description for New Invoice]],Map!$G$12:$H$32,2,FALSE), IF(quantInv[[#This Row],[Metal]] = "925 Silver", "7113.11.10.00", "7113.19.29.00"))</f>
        <v>7113.19.29.00</v>
      </c>
      <c r="M1167" t="str">
        <f>quantInv[[#This Row],[ASIN]] &amp; " " &amp; quantInv[[#This Row],[Short Description]]</f>
        <v xml:space="preserve"> </v>
      </c>
      <c r="N1167" s="33">
        <f>quantInv[[#This Row],[UNIT
VALUE]] / EURtoGBP</f>
        <v>8.0025880710357392E-2</v>
      </c>
      <c r="O1167" s="33">
        <f>quantInv[[#This Row],[UNIT
VALUE]]/USDtoGBP</f>
        <v>9.6643787449467625E-2</v>
      </c>
      <c r="P1167" s="33">
        <f>quantInv[[#This Row],[UNIT
VALUE]] / CADtoGBP</f>
        <v>0.1237096035502024</v>
      </c>
      <c r="Q1167" s="33">
        <f>quantInv[[#This Row],[UNIT
VALUE]]/AUDtoGBP</f>
        <v>0.12662547596810114</v>
      </c>
      <c r="R1167">
        <f>IFERROR(VLOOKUP(quantInv[[#This Row],[Assigned Item SKU]],skuQuantity[#All],2,FALSE),0)</f>
        <v>0</v>
      </c>
      <c r="S1167" t="str">
        <f>PROPER(quantInv[[#This Row],[Metal]] &amp; " " &amp; quantInv[[#This Row],[Item Type]])</f>
        <v xml:space="preserve"> </v>
      </c>
      <c r="T1167" s="33">
        <f>quantInv[[#This Row],[Quantity]]*quantInv[[#This Row],[WEIGHT]]</f>
        <v>0</v>
      </c>
      <c r="U1167" s="33">
        <f>quantInv[[#This Row],[UNIT
VALUE]]*quantInv[[#This Row],[Quantity]]</f>
        <v>0</v>
      </c>
      <c r="V1167" s="33">
        <f>quantInv[[#This Row],[Total Cost GBP]]/EURtoGBP</f>
        <v>0</v>
      </c>
      <c r="W1167" s="33">
        <f>quantInv[[#This Row],[Total Cost GBP]]/USDtoGBP</f>
        <v>0</v>
      </c>
      <c r="X1167" s="33">
        <f>quantInv[[#This Row],[Total Cost GBP]]/CADtoGBP</f>
        <v>0</v>
      </c>
      <c r="Y1167" s="33">
        <f>quantInv[[#This Row],[Quantity]]*quantInv[[#This Row],[UNIT
VALUE AUD]]</f>
        <v>0</v>
      </c>
      <c r="Z1167" s="33"/>
    </row>
    <row r="1168" spans="1:26" x14ac:dyDescent="0.25">
      <c r="A1168" t="s">
        <v>2719</v>
      </c>
      <c r="C1168" t="s">
        <v>114</v>
      </c>
      <c r="E1168">
        <v>0</v>
      </c>
      <c r="F1168" s="33">
        <v>7.0499999999999993E-2</v>
      </c>
      <c r="G1168" s="33" t="s">
        <v>2875</v>
      </c>
      <c r="H1168" t="s">
        <v>2875</v>
      </c>
      <c r="I1168" t="str">
        <f>IF(quantInv[[#This Row],[Metal]] = "925 Silver",  "7113.11.00"," 7113.19.00")</f>
        <v xml:space="preserve"> 7113.19.00</v>
      </c>
      <c r="J1168" t="str">
        <f>IF(quantInv[[#This Row],[Metal]] = "925 Silver", "7113.11.10.00"," 7113.19.10.00")</f>
        <v xml:space="preserve"> 7113.19.10.00</v>
      </c>
      <c r="K1168" t="str">
        <f>IF(quantInv[[#This Row],[Metal]] = "925 Silver",  "7113.11.00"," 7113.19.00")</f>
        <v xml:space="preserve"> 7113.19.00</v>
      </c>
      <c r="L1168" t="str">
        <f>IFERROR(VLOOKUP(quantInv[[#This Row],[Description for New Invoice]],Map!$G$12:$H$32,2,FALSE), IF(quantInv[[#This Row],[Metal]] = "925 Silver", "7113.11.10.00", "7113.19.29.00"))</f>
        <v>7113.19.29.00</v>
      </c>
      <c r="M1168" t="str">
        <f>quantInv[[#This Row],[ASIN]] &amp; " " &amp; quantInv[[#This Row],[Short Description]]</f>
        <v xml:space="preserve"> </v>
      </c>
      <c r="N1168" s="33">
        <f>quantInv[[#This Row],[UNIT
VALUE]] / EURtoGBP</f>
        <v>8.0025880710357392E-2</v>
      </c>
      <c r="O1168" s="33">
        <f>quantInv[[#This Row],[UNIT
VALUE]]/USDtoGBP</f>
        <v>9.6643787449467625E-2</v>
      </c>
      <c r="P1168" s="33">
        <f>quantInv[[#This Row],[UNIT
VALUE]] / CADtoGBP</f>
        <v>0.1237096035502024</v>
      </c>
      <c r="Q1168" s="33">
        <f>quantInv[[#This Row],[UNIT
VALUE]]/AUDtoGBP</f>
        <v>0.12662547596810114</v>
      </c>
      <c r="R1168">
        <f>IFERROR(VLOOKUP(quantInv[[#This Row],[Assigned Item SKU]],skuQuantity[#All],2,FALSE),0)</f>
        <v>0</v>
      </c>
      <c r="S1168" t="str">
        <f>PROPER(quantInv[[#This Row],[Metal]] &amp; " " &amp; quantInv[[#This Row],[Item Type]])</f>
        <v xml:space="preserve"> </v>
      </c>
      <c r="T1168" s="33">
        <f>quantInv[[#This Row],[Quantity]]*quantInv[[#This Row],[WEIGHT]]</f>
        <v>0</v>
      </c>
      <c r="U1168" s="33">
        <f>quantInv[[#This Row],[UNIT
VALUE]]*quantInv[[#This Row],[Quantity]]</f>
        <v>0</v>
      </c>
      <c r="V1168" s="33">
        <f>quantInv[[#This Row],[Total Cost GBP]]/EURtoGBP</f>
        <v>0</v>
      </c>
      <c r="W1168" s="33">
        <f>quantInv[[#This Row],[Total Cost GBP]]/USDtoGBP</f>
        <v>0</v>
      </c>
      <c r="X1168" s="33">
        <f>quantInv[[#This Row],[Total Cost GBP]]/CADtoGBP</f>
        <v>0</v>
      </c>
      <c r="Y1168" s="33">
        <f>quantInv[[#This Row],[Quantity]]*quantInv[[#This Row],[UNIT
VALUE AUD]]</f>
        <v>0</v>
      </c>
      <c r="Z1168" s="33"/>
    </row>
    <row r="1169" spans="1:26" x14ac:dyDescent="0.25">
      <c r="A1169" t="s">
        <v>2720</v>
      </c>
      <c r="C1169" t="s">
        <v>114</v>
      </c>
      <c r="E1169">
        <v>0</v>
      </c>
      <c r="F1169" s="33">
        <v>7.0499999999999993E-2</v>
      </c>
      <c r="G1169" s="33" t="s">
        <v>2875</v>
      </c>
      <c r="H1169" t="s">
        <v>2875</v>
      </c>
      <c r="I1169" t="str">
        <f>IF(quantInv[[#This Row],[Metal]] = "925 Silver",  "7113.11.00"," 7113.19.00")</f>
        <v xml:space="preserve"> 7113.19.00</v>
      </c>
      <c r="J1169" t="str">
        <f>IF(quantInv[[#This Row],[Metal]] = "925 Silver", "7113.11.10.00"," 7113.19.10.00")</f>
        <v xml:space="preserve"> 7113.19.10.00</v>
      </c>
      <c r="K1169" t="str">
        <f>IF(quantInv[[#This Row],[Metal]] = "925 Silver",  "7113.11.00"," 7113.19.00")</f>
        <v xml:space="preserve"> 7113.19.00</v>
      </c>
      <c r="L1169" t="str">
        <f>IFERROR(VLOOKUP(quantInv[[#This Row],[Description for New Invoice]],Map!$G$12:$H$32,2,FALSE), IF(quantInv[[#This Row],[Metal]] = "925 Silver", "7113.11.10.00", "7113.19.29.00"))</f>
        <v>7113.19.29.00</v>
      </c>
      <c r="M1169" t="str">
        <f>quantInv[[#This Row],[ASIN]] &amp; " " &amp; quantInv[[#This Row],[Short Description]]</f>
        <v xml:space="preserve"> </v>
      </c>
      <c r="N1169" s="33">
        <f>quantInv[[#This Row],[UNIT
VALUE]] / EURtoGBP</f>
        <v>8.0025880710357392E-2</v>
      </c>
      <c r="O1169" s="33">
        <f>quantInv[[#This Row],[UNIT
VALUE]]/USDtoGBP</f>
        <v>9.6643787449467625E-2</v>
      </c>
      <c r="P1169" s="33">
        <f>quantInv[[#This Row],[UNIT
VALUE]] / CADtoGBP</f>
        <v>0.1237096035502024</v>
      </c>
      <c r="Q1169" s="33">
        <f>quantInv[[#This Row],[UNIT
VALUE]]/AUDtoGBP</f>
        <v>0.12662547596810114</v>
      </c>
      <c r="R1169">
        <f>IFERROR(VLOOKUP(quantInv[[#This Row],[Assigned Item SKU]],skuQuantity[#All],2,FALSE),0)</f>
        <v>0</v>
      </c>
      <c r="S1169" t="str">
        <f>PROPER(quantInv[[#This Row],[Metal]] &amp; " " &amp; quantInv[[#This Row],[Item Type]])</f>
        <v xml:space="preserve"> </v>
      </c>
      <c r="T1169" s="33">
        <f>quantInv[[#This Row],[Quantity]]*quantInv[[#This Row],[WEIGHT]]</f>
        <v>0</v>
      </c>
      <c r="U1169" s="33">
        <f>quantInv[[#This Row],[UNIT
VALUE]]*quantInv[[#This Row],[Quantity]]</f>
        <v>0</v>
      </c>
      <c r="V1169" s="33">
        <f>quantInv[[#This Row],[Total Cost GBP]]/EURtoGBP</f>
        <v>0</v>
      </c>
      <c r="W1169" s="33">
        <f>quantInv[[#This Row],[Total Cost GBP]]/USDtoGBP</f>
        <v>0</v>
      </c>
      <c r="X1169" s="33">
        <f>quantInv[[#This Row],[Total Cost GBP]]/CADtoGBP</f>
        <v>0</v>
      </c>
      <c r="Y1169" s="33">
        <f>quantInv[[#This Row],[Quantity]]*quantInv[[#This Row],[UNIT
VALUE AUD]]</f>
        <v>0</v>
      </c>
      <c r="Z1169" s="33"/>
    </row>
    <row r="1170" spans="1:26" x14ac:dyDescent="0.25">
      <c r="A1170" t="s">
        <v>2721</v>
      </c>
      <c r="C1170" t="s">
        <v>114</v>
      </c>
      <c r="E1170">
        <v>0</v>
      </c>
      <c r="F1170" s="33">
        <v>7.0499999999999993E-2</v>
      </c>
      <c r="G1170" s="33" t="s">
        <v>2875</v>
      </c>
      <c r="H1170" t="s">
        <v>2875</v>
      </c>
      <c r="I1170" t="str">
        <f>IF(quantInv[[#This Row],[Metal]] = "925 Silver",  "7113.11.00"," 7113.19.00")</f>
        <v xml:space="preserve"> 7113.19.00</v>
      </c>
      <c r="J1170" t="str">
        <f>IF(quantInv[[#This Row],[Metal]] = "925 Silver", "7113.11.10.00"," 7113.19.10.00")</f>
        <v xml:space="preserve"> 7113.19.10.00</v>
      </c>
      <c r="K1170" t="str">
        <f>IF(quantInv[[#This Row],[Metal]] = "925 Silver",  "7113.11.00"," 7113.19.00")</f>
        <v xml:space="preserve"> 7113.19.00</v>
      </c>
      <c r="L1170" t="str">
        <f>IFERROR(VLOOKUP(quantInv[[#This Row],[Description for New Invoice]],Map!$G$12:$H$32,2,FALSE), IF(quantInv[[#This Row],[Metal]] = "925 Silver", "7113.11.10.00", "7113.19.29.00"))</f>
        <v>7113.19.29.00</v>
      </c>
      <c r="M1170" t="str">
        <f>quantInv[[#This Row],[ASIN]] &amp; " " &amp; quantInv[[#This Row],[Short Description]]</f>
        <v xml:space="preserve"> </v>
      </c>
      <c r="N1170" s="33">
        <f>quantInv[[#This Row],[UNIT
VALUE]] / EURtoGBP</f>
        <v>8.0025880710357392E-2</v>
      </c>
      <c r="O1170" s="33">
        <f>quantInv[[#This Row],[UNIT
VALUE]]/USDtoGBP</f>
        <v>9.6643787449467625E-2</v>
      </c>
      <c r="P1170" s="33">
        <f>quantInv[[#This Row],[UNIT
VALUE]] / CADtoGBP</f>
        <v>0.1237096035502024</v>
      </c>
      <c r="Q1170" s="33">
        <f>quantInv[[#This Row],[UNIT
VALUE]]/AUDtoGBP</f>
        <v>0.12662547596810114</v>
      </c>
      <c r="R1170">
        <f>IFERROR(VLOOKUP(quantInv[[#This Row],[Assigned Item SKU]],skuQuantity[#All],2,FALSE),0)</f>
        <v>0</v>
      </c>
      <c r="S1170" t="str">
        <f>PROPER(quantInv[[#This Row],[Metal]] &amp; " " &amp; quantInv[[#This Row],[Item Type]])</f>
        <v xml:space="preserve"> </v>
      </c>
      <c r="T1170" s="33">
        <f>quantInv[[#This Row],[Quantity]]*quantInv[[#This Row],[WEIGHT]]</f>
        <v>0</v>
      </c>
      <c r="U1170" s="33">
        <f>quantInv[[#This Row],[UNIT
VALUE]]*quantInv[[#This Row],[Quantity]]</f>
        <v>0</v>
      </c>
      <c r="V1170" s="33">
        <f>quantInv[[#This Row],[Total Cost GBP]]/EURtoGBP</f>
        <v>0</v>
      </c>
      <c r="W1170" s="33">
        <f>quantInv[[#This Row],[Total Cost GBP]]/USDtoGBP</f>
        <v>0</v>
      </c>
      <c r="X1170" s="33">
        <f>quantInv[[#This Row],[Total Cost GBP]]/CADtoGBP</f>
        <v>0</v>
      </c>
      <c r="Y1170" s="33">
        <f>quantInv[[#This Row],[Quantity]]*quantInv[[#This Row],[UNIT
VALUE AUD]]</f>
        <v>0</v>
      </c>
      <c r="Z1170" s="33"/>
    </row>
    <row r="1171" spans="1:26" x14ac:dyDescent="0.25">
      <c r="A1171" t="s">
        <v>2722</v>
      </c>
      <c r="C1171" t="s">
        <v>114</v>
      </c>
      <c r="E1171">
        <v>0</v>
      </c>
      <c r="F1171" s="33">
        <v>7.0499999999999993E-2</v>
      </c>
      <c r="G1171" s="33" t="s">
        <v>2875</v>
      </c>
      <c r="H1171" t="s">
        <v>2875</v>
      </c>
      <c r="I1171" t="str">
        <f>IF(quantInv[[#This Row],[Metal]] = "925 Silver",  "7113.11.00"," 7113.19.00")</f>
        <v xml:space="preserve"> 7113.19.00</v>
      </c>
      <c r="J1171" t="str">
        <f>IF(quantInv[[#This Row],[Metal]] = "925 Silver", "7113.11.10.00"," 7113.19.10.00")</f>
        <v xml:space="preserve"> 7113.19.10.00</v>
      </c>
      <c r="K1171" t="str">
        <f>IF(quantInv[[#This Row],[Metal]] = "925 Silver",  "7113.11.00"," 7113.19.00")</f>
        <v xml:space="preserve"> 7113.19.00</v>
      </c>
      <c r="L1171" t="str">
        <f>IFERROR(VLOOKUP(quantInv[[#This Row],[Description for New Invoice]],Map!$G$12:$H$32,2,FALSE), IF(quantInv[[#This Row],[Metal]] = "925 Silver", "7113.11.10.00", "7113.19.29.00"))</f>
        <v>7113.19.29.00</v>
      </c>
      <c r="M1171" t="str">
        <f>quantInv[[#This Row],[ASIN]] &amp; " " &amp; quantInv[[#This Row],[Short Description]]</f>
        <v xml:space="preserve"> </v>
      </c>
      <c r="N1171" s="33">
        <f>quantInv[[#This Row],[UNIT
VALUE]] / EURtoGBP</f>
        <v>8.0025880710357392E-2</v>
      </c>
      <c r="O1171" s="33">
        <f>quantInv[[#This Row],[UNIT
VALUE]]/USDtoGBP</f>
        <v>9.6643787449467625E-2</v>
      </c>
      <c r="P1171" s="33">
        <f>quantInv[[#This Row],[UNIT
VALUE]] / CADtoGBP</f>
        <v>0.1237096035502024</v>
      </c>
      <c r="Q1171" s="33">
        <f>quantInv[[#This Row],[UNIT
VALUE]]/AUDtoGBP</f>
        <v>0.12662547596810114</v>
      </c>
      <c r="R1171">
        <f>IFERROR(VLOOKUP(quantInv[[#This Row],[Assigned Item SKU]],skuQuantity[#All],2,FALSE),0)</f>
        <v>0</v>
      </c>
      <c r="S1171" t="str">
        <f>PROPER(quantInv[[#This Row],[Metal]] &amp; " " &amp; quantInv[[#This Row],[Item Type]])</f>
        <v xml:space="preserve"> </v>
      </c>
      <c r="T1171" s="33">
        <f>quantInv[[#This Row],[Quantity]]*quantInv[[#This Row],[WEIGHT]]</f>
        <v>0</v>
      </c>
      <c r="U1171" s="33">
        <f>quantInv[[#This Row],[UNIT
VALUE]]*quantInv[[#This Row],[Quantity]]</f>
        <v>0</v>
      </c>
      <c r="V1171" s="33">
        <f>quantInv[[#This Row],[Total Cost GBP]]/EURtoGBP</f>
        <v>0</v>
      </c>
      <c r="W1171" s="33">
        <f>quantInv[[#This Row],[Total Cost GBP]]/USDtoGBP</f>
        <v>0</v>
      </c>
      <c r="X1171" s="33">
        <f>quantInv[[#This Row],[Total Cost GBP]]/CADtoGBP</f>
        <v>0</v>
      </c>
      <c r="Y1171" s="33">
        <f>quantInv[[#This Row],[Quantity]]*quantInv[[#This Row],[UNIT
VALUE AUD]]</f>
        <v>0</v>
      </c>
      <c r="Z1171" s="33"/>
    </row>
    <row r="1172" spans="1:26" x14ac:dyDescent="0.25">
      <c r="A1172" t="s">
        <v>2723</v>
      </c>
      <c r="C1172" t="s">
        <v>114</v>
      </c>
      <c r="E1172">
        <v>0</v>
      </c>
      <c r="F1172" s="33">
        <v>7.0499999999999993E-2</v>
      </c>
      <c r="G1172" s="33" t="s">
        <v>2875</v>
      </c>
      <c r="H1172" t="s">
        <v>2875</v>
      </c>
      <c r="I1172" t="str">
        <f>IF(quantInv[[#This Row],[Metal]] = "925 Silver",  "7113.11.00"," 7113.19.00")</f>
        <v xml:space="preserve"> 7113.19.00</v>
      </c>
      <c r="J1172" t="str">
        <f>IF(quantInv[[#This Row],[Metal]] = "925 Silver", "7113.11.10.00"," 7113.19.10.00")</f>
        <v xml:space="preserve"> 7113.19.10.00</v>
      </c>
      <c r="K1172" t="str">
        <f>IF(quantInv[[#This Row],[Metal]] = "925 Silver",  "7113.11.00"," 7113.19.00")</f>
        <v xml:space="preserve"> 7113.19.00</v>
      </c>
      <c r="L1172" t="str">
        <f>IFERROR(VLOOKUP(quantInv[[#This Row],[Description for New Invoice]],Map!$G$12:$H$32,2,FALSE), IF(quantInv[[#This Row],[Metal]] = "925 Silver", "7113.11.10.00", "7113.19.29.00"))</f>
        <v>7113.19.29.00</v>
      </c>
      <c r="M1172" t="str">
        <f>quantInv[[#This Row],[ASIN]] &amp; " " &amp; quantInv[[#This Row],[Short Description]]</f>
        <v xml:space="preserve"> </v>
      </c>
      <c r="N1172" s="33">
        <f>quantInv[[#This Row],[UNIT
VALUE]] / EURtoGBP</f>
        <v>8.0025880710357392E-2</v>
      </c>
      <c r="O1172" s="33">
        <f>quantInv[[#This Row],[UNIT
VALUE]]/USDtoGBP</f>
        <v>9.6643787449467625E-2</v>
      </c>
      <c r="P1172" s="33">
        <f>quantInv[[#This Row],[UNIT
VALUE]] / CADtoGBP</f>
        <v>0.1237096035502024</v>
      </c>
      <c r="Q1172" s="33">
        <f>quantInv[[#This Row],[UNIT
VALUE]]/AUDtoGBP</f>
        <v>0.12662547596810114</v>
      </c>
      <c r="R1172">
        <f>IFERROR(VLOOKUP(quantInv[[#This Row],[Assigned Item SKU]],skuQuantity[#All],2,FALSE),0)</f>
        <v>0</v>
      </c>
      <c r="S1172" t="str">
        <f>PROPER(quantInv[[#This Row],[Metal]] &amp; " " &amp; quantInv[[#This Row],[Item Type]])</f>
        <v xml:space="preserve"> </v>
      </c>
      <c r="T1172" s="33">
        <f>quantInv[[#This Row],[Quantity]]*quantInv[[#This Row],[WEIGHT]]</f>
        <v>0</v>
      </c>
      <c r="U1172" s="33">
        <f>quantInv[[#This Row],[UNIT
VALUE]]*quantInv[[#This Row],[Quantity]]</f>
        <v>0</v>
      </c>
      <c r="V1172" s="33">
        <f>quantInv[[#This Row],[Total Cost GBP]]/EURtoGBP</f>
        <v>0</v>
      </c>
      <c r="W1172" s="33">
        <f>quantInv[[#This Row],[Total Cost GBP]]/USDtoGBP</f>
        <v>0</v>
      </c>
      <c r="X1172" s="33">
        <f>quantInv[[#This Row],[Total Cost GBP]]/CADtoGBP</f>
        <v>0</v>
      </c>
      <c r="Y1172" s="33">
        <f>quantInv[[#This Row],[Quantity]]*quantInv[[#This Row],[UNIT
VALUE AUD]]</f>
        <v>0</v>
      </c>
      <c r="Z1172" s="33"/>
    </row>
    <row r="1173" spans="1:26" x14ac:dyDescent="0.25">
      <c r="A1173" t="s">
        <v>2724</v>
      </c>
      <c r="C1173" t="s">
        <v>114</v>
      </c>
      <c r="E1173">
        <v>0</v>
      </c>
      <c r="F1173" s="33">
        <v>7.0499999999999993E-2</v>
      </c>
      <c r="G1173" s="33" t="s">
        <v>2875</v>
      </c>
      <c r="H1173" t="s">
        <v>2875</v>
      </c>
      <c r="I1173" t="str">
        <f>IF(quantInv[[#This Row],[Metal]] = "925 Silver",  "7113.11.00"," 7113.19.00")</f>
        <v xml:space="preserve"> 7113.19.00</v>
      </c>
      <c r="J1173" t="str">
        <f>IF(quantInv[[#This Row],[Metal]] = "925 Silver", "7113.11.10.00"," 7113.19.10.00")</f>
        <v xml:space="preserve"> 7113.19.10.00</v>
      </c>
      <c r="K1173" t="str">
        <f>IF(quantInv[[#This Row],[Metal]] = "925 Silver",  "7113.11.00"," 7113.19.00")</f>
        <v xml:space="preserve"> 7113.19.00</v>
      </c>
      <c r="L1173" t="str">
        <f>IFERROR(VLOOKUP(quantInv[[#This Row],[Description for New Invoice]],Map!$G$12:$H$32,2,FALSE), IF(quantInv[[#This Row],[Metal]] = "925 Silver", "7113.11.10.00", "7113.19.29.00"))</f>
        <v>7113.19.29.00</v>
      </c>
      <c r="M1173" t="str">
        <f>quantInv[[#This Row],[ASIN]] &amp; " " &amp; quantInv[[#This Row],[Short Description]]</f>
        <v xml:space="preserve"> </v>
      </c>
      <c r="N1173" s="33">
        <f>quantInv[[#This Row],[UNIT
VALUE]] / EURtoGBP</f>
        <v>8.0025880710357392E-2</v>
      </c>
      <c r="O1173" s="33">
        <f>quantInv[[#This Row],[UNIT
VALUE]]/USDtoGBP</f>
        <v>9.6643787449467625E-2</v>
      </c>
      <c r="P1173" s="33">
        <f>quantInv[[#This Row],[UNIT
VALUE]] / CADtoGBP</f>
        <v>0.1237096035502024</v>
      </c>
      <c r="Q1173" s="33">
        <f>quantInv[[#This Row],[UNIT
VALUE]]/AUDtoGBP</f>
        <v>0.12662547596810114</v>
      </c>
      <c r="R1173">
        <f>IFERROR(VLOOKUP(quantInv[[#This Row],[Assigned Item SKU]],skuQuantity[#All],2,FALSE),0)</f>
        <v>0</v>
      </c>
      <c r="S1173" t="str">
        <f>PROPER(quantInv[[#This Row],[Metal]] &amp; " " &amp; quantInv[[#This Row],[Item Type]])</f>
        <v xml:space="preserve"> </v>
      </c>
      <c r="T1173" s="33">
        <f>quantInv[[#This Row],[Quantity]]*quantInv[[#This Row],[WEIGHT]]</f>
        <v>0</v>
      </c>
      <c r="U1173" s="33">
        <f>quantInv[[#This Row],[UNIT
VALUE]]*quantInv[[#This Row],[Quantity]]</f>
        <v>0</v>
      </c>
      <c r="V1173" s="33">
        <f>quantInv[[#This Row],[Total Cost GBP]]/EURtoGBP</f>
        <v>0</v>
      </c>
      <c r="W1173" s="33">
        <f>quantInv[[#This Row],[Total Cost GBP]]/USDtoGBP</f>
        <v>0</v>
      </c>
      <c r="X1173" s="33">
        <f>quantInv[[#This Row],[Total Cost GBP]]/CADtoGBP</f>
        <v>0</v>
      </c>
      <c r="Y1173" s="33">
        <f>quantInv[[#This Row],[Quantity]]*quantInv[[#This Row],[UNIT
VALUE AUD]]</f>
        <v>0</v>
      </c>
      <c r="Z1173" s="33"/>
    </row>
    <row r="1174" spans="1:26" x14ac:dyDescent="0.25">
      <c r="A1174" t="s">
        <v>2725</v>
      </c>
      <c r="C1174" t="s">
        <v>114</v>
      </c>
      <c r="E1174">
        <v>0</v>
      </c>
      <c r="F1174" s="33">
        <v>7.0499999999999993E-2</v>
      </c>
      <c r="G1174" s="33" t="s">
        <v>2875</v>
      </c>
      <c r="H1174" t="s">
        <v>2875</v>
      </c>
      <c r="I1174" t="str">
        <f>IF(quantInv[[#This Row],[Metal]] = "925 Silver",  "7113.11.00"," 7113.19.00")</f>
        <v xml:space="preserve"> 7113.19.00</v>
      </c>
      <c r="J1174" t="str">
        <f>IF(quantInv[[#This Row],[Metal]] = "925 Silver", "7113.11.10.00"," 7113.19.10.00")</f>
        <v xml:space="preserve"> 7113.19.10.00</v>
      </c>
      <c r="K1174" t="str">
        <f>IF(quantInv[[#This Row],[Metal]] = "925 Silver",  "7113.11.00"," 7113.19.00")</f>
        <v xml:space="preserve"> 7113.19.00</v>
      </c>
      <c r="L1174" t="str">
        <f>IFERROR(VLOOKUP(quantInv[[#This Row],[Description for New Invoice]],Map!$G$12:$H$32,2,FALSE), IF(quantInv[[#This Row],[Metal]] = "925 Silver", "7113.11.10.00", "7113.19.29.00"))</f>
        <v>7113.19.29.00</v>
      </c>
      <c r="M1174" t="str">
        <f>quantInv[[#This Row],[ASIN]] &amp; " " &amp; quantInv[[#This Row],[Short Description]]</f>
        <v xml:space="preserve"> </v>
      </c>
      <c r="N1174" s="33">
        <f>quantInv[[#This Row],[UNIT
VALUE]] / EURtoGBP</f>
        <v>8.0025880710357392E-2</v>
      </c>
      <c r="O1174" s="33">
        <f>quantInv[[#This Row],[UNIT
VALUE]]/USDtoGBP</f>
        <v>9.6643787449467625E-2</v>
      </c>
      <c r="P1174" s="33">
        <f>quantInv[[#This Row],[UNIT
VALUE]] / CADtoGBP</f>
        <v>0.1237096035502024</v>
      </c>
      <c r="Q1174" s="33">
        <f>quantInv[[#This Row],[UNIT
VALUE]]/AUDtoGBP</f>
        <v>0.12662547596810114</v>
      </c>
      <c r="R1174">
        <f>IFERROR(VLOOKUP(quantInv[[#This Row],[Assigned Item SKU]],skuQuantity[#All],2,FALSE),0)</f>
        <v>0</v>
      </c>
      <c r="S1174" t="str">
        <f>PROPER(quantInv[[#This Row],[Metal]] &amp; " " &amp; quantInv[[#This Row],[Item Type]])</f>
        <v xml:space="preserve"> </v>
      </c>
      <c r="T1174" s="33">
        <f>quantInv[[#This Row],[Quantity]]*quantInv[[#This Row],[WEIGHT]]</f>
        <v>0</v>
      </c>
      <c r="U1174" s="33">
        <f>quantInv[[#This Row],[UNIT
VALUE]]*quantInv[[#This Row],[Quantity]]</f>
        <v>0</v>
      </c>
      <c r="V1174" s="33">
        <f>quantInv[[#This Row],[Total Cost GBP]]/EURtoGBP</f>
        <v>0</v>
      </c>
      <c r="W1174" s="33">
        <f>quantInv[[#This Row],[Total Cost GBP]]/USDtoGBP</f>
        <v>0</v>
      </c>
      <c r="X1174" s="33">
        <f>quantInv[[#This Row],[Total Cost GBP]]/CADtoGBP</f>
        <v>0</v>
      </c>
      <c r="Y1174" s="33">
        <f>quantInv[[#This Row],[Quantity]]*quantInv[[#This Row],[UNIT
VALUE AUD]]</f>
        <v>0</v>
      </c>
      <c r="Z1174" s="33"/>
    </row>
    <row r="1175" spans="1:26" x14ac:dyDescent="0.25">
      <c r="A1175" t="s">
        <v>2726</v>
      </c>
      <c r="C1175" t="s">
        <v>114</v>
      </c>
      <c r="E1175">
        <v>0</v>
      </c>
      <c r="F1175" s="33">
        <v>7.0499999999999993E-2</v>
      </c>
      <c r="G1175" s="33" t="s">
        <v>2875</v>
      </c>
      <c r="H1175" t="s">
        <v>2875</v>
      </c>
      <c r="I1175" t="str">
        <f>IF(quantInv[[#This Row],[Metal]] = "925 Silver",  "7113.11.00"," 7113.19.00")</f>
        <v xml:space="preserve"> 7113.19.00</v>
      </c>
      <c r="J1175" t="str">
        <f>IF(quantInv[[#This Row],[Metal]] = "925 Silver", "7113.11.10.00"," 7113.19.10.00")</f>
        <v xml:space="preserve"> 7113.19.10.00</v>
      </c>
      <c r="K1175" t="str">
        <f>IF(quantInv[[#This Row],[Metal]] = "925 Silver",  "7113.11.00"," 7113.19.00")</f>
        <v xml:space="preserve"> 7113.19.00</v>
      </c>
      <c r="L1175" t="str">
        <f>IFERROR(VLOOKUP(quantInv[[#This Row],[Description for New Invoice]],Map!$G$12:$H$32,2,FALSE), IF(quantInv[[#This Row],[Metal]] = "925 Silver", "7113.11.10.00", "7113.19.29.00"))</f>
        <v>7113.19.29.00</v>
      </c>
      <c r="M1175" t="str">
        <f>quantInv[[#This Row],[ASIN]] &amp; " " &amp; quantInv[[#This Row],[Short Description]]</f>
        <v xml:space="preserve"> </v>
      </c>
      <c r="N1175" s="33">
        <f>quantInv[[#This Row],[UNIT
VALUE]] / EURtoGBP</f>
        <v>8.0025880710357392E-2</v>
      </c>
      <c r="O1175" s="33">
        <f>quantInv[[#This Row],[UNIT
VALUE]]/USDtoGBP</f>
        <v>9.6643787449467625E-2</v>
      </c>
      <c r="P1175" s="33">
        <f>quantInv[[#This Row],[UNIT
VALUE]] / CADtoGBP</f>
        <v>0.1237096035502024</v>
      </c>
      <c r="Q1175" s="33">
        <f>quantInv[[#This Row],[UNIT
VALUE]]/AUDtoGBP</f>
        <v>0.12662547596810114</v>
      </c>
      <c r="R1175">
        <f>IFERROR(VLOOKUP(quantInv[[#This Row],[Assigned Item SKU]],skuQuantity[#All],2,FALSE),0)</f>
        <v>0</v>
      </c>
      <c r="S1175" t="str">
        <f>PROPER(quantInv[[#This Row],[Metal]] &amp; " " &amp; quantInv[[#This Row],[Item Type]])</f>
        <v xml:space="preserve"> </v>
      </c>
      <c r="T1175" s="33">
        <f>quantInv[[#This Row],[Quantity]]*quantInv[[#This Row],[WEIGHT]]</f>
        <v>0</v>
      </c>
      <c r="U1175" s="33">
        <f>quantInv[[#This Row],[UNIT
VALUE]]*quantInv[[#This Row],[Quantity]]</f>
        <v>0</v>
      </c>
      <c r="V1175" s="33">
        <f>quantInv[[#This Row],[Total Cost GBP]]/EURtoGBP</f>
        <v>0</v>
      </c>
      <c r="W1175" s="33">
        <f>quantInv[[#This Row],[Total Cost GBP]]/USDtoGBP</f>
        <v>0</v>
      </c>
      <c r="X1175" s="33">
        <f>quantInv[[#This Row],[Total Cost GBP]]/CADtoGBP</f>
        <v>0</v>
      </c>
      <c r="Y1175" s="33">
        <f>quantInv[[#This Row],[Quantity]]*quantInv[[#This Row],[UNIT
VALUE AUD]]</f>
        <v>0</v>
      </c>
      <c r="Z1175" s="33"/>
    </row>
    <row r="1176" spans="1:26" x14ac:dyDescent="0.25">
      <c r="A1176" t="s">
        <v>2727</v>
      </c>
      <c r="C1176" t="s">
        <v>114</v>
      </c>
      <c r="E1176">
        <v>0</v>
      </c>
      <c r="F1176" s="33">
        <v>7.0499999999999993E-2</v>
      </c>
      <c r="G1176" s="33" t="s">
        <v>2875</v>
      </c>
      <c r="H1176" t="s">
        <v>2875</v>
      </c>
      <c r="I1176" t="str">
        <f>IF(quantInv[[#This Row],[Metal]] = "925 Silver",  "7113.11.00"," 7113.19.00")</f>
        <v xml:space="preserve"> 7113.19.00</v>
      </c>
      <c r="J1176" t="str">
        <f>IF(quantInv[[#This Row],[Metal]] = "925 Silver", "7113.11.10.00"," 7113.19.10.00")</f>
        <v xml:space="preserve"> 7113.19.10.00</v>
      </c>
      <c r="K1176" t="str">
        <f>IF(quantInv[[#This Row],[Metal]] = "925 Silver",  "7113.11.00"," 7113.19.00")</f>
        <v xml:space="preserve"> 7113.19.00</v>
      </c>
      <c r="L1176" t="str">
        <f>IFERROR(VLOOKUP(quantInv[[#This Row],[Description for New Invoice]],Map!$G$12:$H$32,2,FALSE), IF(quantInv[[#This Row],[Metal]] = "925 Silver", "7113.11.10.00", "7113.19.29.00"))</f>
        <v>7113.19.29.00</v>
      </c>
      <c r="M1176" t="str">
        <f>quantInv[[#This Row],[ASIN]] &amp; " " &amp; quantInv[[#This Row],[Short Description]]</f>
        <v xml:space="preserve"> </v>
      </c>
      <c r="N1176" s="33">
        <f>quantInv[[#This Row],[UNIT
VALUE]] / EURtoGBP</f>
        <v>8.0025880710357392E-2</v>
      </c>
      <c r="O1176" s="33">
        <f>quantInv[[#This Row],[UNIT
VALUE]]/USDtoGBP</f>
        <v>9.6643787449467625E-2</v>
      </c>
      <c r="P1176" s="33">
        <f>quantInv[[#This Row],[UNIT
VALUE]] / CADtoGBP</f>
        <v>0.1237096035502024</v>
      </c>
      <c r="Q1176" s="33">
        <f>quantInv[[#This Row],[UNIT
VALUE]]/AUDtoGBP</f>
        <v>0.12662547596810114</v>
      </c>
      <c r="R1176">
        <f>IFERROR(VLOOKUP(quantInv[[#This Row],[Assigned Item SKU]],skuQuantity[#All],2,FALSE),0)</f>
        <v>0</v>
      </c>
      <c r="S1176" t="str">
        <f>PROPER(quantInv[[#This Row],[Metal]] &amp; " " &amp; quantInv[[#This Row],[Item Type]])</f>
        <v xml:space="preserve"> </v>
      </c>
      <c r="T1176" s="33">
        <f>quantInv[[#This Row],[Quantity]]*quantInv[[#This Row],[WEIGHT]]</f>
        <v>0</v>
      </c>
      <c r="U1176" s="33">
        <f>quantInv[[#This Row],[UNIT
VALUE]]*quantInv[[#This Row],[Quantity]]</f>
        <v>0</v>
      </c>
      <c r="V1176" s="33">
        <f>quantInv[[#This Row],[Total Cost GBP]]/EURtoGBP</f>
        <v>0</v>
      </c>
      <c r="W1176" s="33">
        <f>quantInv[[#This Row],[Total Cost GBP]]/USDtoGBP</f>
        <v>0</v>
      </c>
      <c r="X1176" s="33">
        <f>quantInv[[#This Row],[Total Cost GBP]]/CADtoGBP</f>
        <v>0</v>
      </c>
      <c r="Y1176" s="33">
        <f>quantInv[[#This Row],[Quantity]]*quantInv[[#This Row],[UNIT
VALUE AUD]]</f>
        <v>0</v>
      </c>
      <c r="Z1176" s="33"/>
    </row>
    <row r="1177" spans="1:26" x14ac:dyDescent="0.25">
      <c r="A1177" t="s">
        <v>2728</v>
      </c>
      <c r="C1177" t="s">
        <v>114</v>
      </c>
      <c r="E1177">
        <v>0</v>
      </c>
      <c r="F1177" s="33">
        <v>7.0499999999999993E-2</v>
      </c>
      <c r="G1177" s="33" t="s">
        <v>2875</v>
      </c>
      <c r="H1177" t="s">
        <v>2875</v>
      </c>
      <c r="I1177" t="str">
        <f>IF(quantInv[[#This Row],[Metal]] = "925 Silver",  "7113.11.00"," 7113.19.00")</f>
        <v xml:space="preserve"> 7113.19.00</v>
      </c>
      <c r="J1177" t="str">
        <f>IF(quantInv[[#This Row],[Metal]] = "925 Silver", "7113.11.10.00"," 7113.19.10.00")</f>
        <v xml:space="preserve"> 7113.19.10.00</v>
      </c>
      <c r="K1177" t="str">
        <f>IF(quantInv[[#This Row],[Metal]] = "925 Silver",  "7113.11.00"," 7113.19.00")</f>
        <v xml:space="preserve"> 7113.19.00</v>
      </c>
      <c r="L1177" t="str">
        <f>IFERROR(VLOOKUP(quantInv[[#This Row],[Description for New Invoice]],Map!$G$12:$H$32,2,FALSE), IF(quantInv[[#This Row],[Metal]] = "925 Silver", "7113.11.10.00", "7113.19.29.00"))</f>
        <v>7113.19.29.00</v>
      </c>
      <c r="M1177" t="str">
        <f>quantInv[[#This Row],[ASIN]] &amp; " " &amp; quantInv[[#This Row],[Short Description]]</f>
        <v xml:space="preserve"> </v>
      </c>
      <c r="N1177" s="33">
        <f>quantInv[[#This Row],[UNIT
VALUE]] / EURtoGBP</f>
        <v>8.0025880710357392E-2</v>
      </c>
      <c r="O1177" s="33">
        <f>quantInv[[#This Row],[UNIT
VALUE]]/USDtoGBP</f>
        <v>9.6643787449467625E-2</v>
      </c>
      <c r="P1177" s="33">
        <f>quantInv[[#This Row],[UNIT
VALUE]] / CADtoGBP</f>
        <v>0.1237096035502024</v>
      </c>
      <c r="Q1177" s="33">
        <f>quantInv[[#This Row],[UNIT
VALUE]]/AUDtoGBP</f>
        <v>0.12662547596810114</v>
      </c>
      <c r="R1177">
        <f>IFERROR(VLOOKUP(quantInv[[#This Row],[Assigned Item SKU]],skuQuantity[#All],2,FALSE),0)</f>
        <v>0</v>
      </c>
      <c r="S1177" t="str">
        <f>PROPER(quantInv[[#This Row],[Metal]] &amp; " " &amp; quantInv[[#This Row],[Item Type]])</f>
        <v xml:space="preserve"> </v>
      </c>
      <c r="T1177" s="33">
        <f>quantInv[[#This Row],[Quantity]]*quantInv[[#This Row],[WEIGHT]]</f>
        <v>0</v>
      </c>
      <c r="U1177" s="33">
        <f>quantInv[[#This Row],[UNIT
VALUE]]*quantInv[[#This Row],[Quantity]]</f>
        <v>0</v>
      </c>
      <c r="V1177" s="33">
        <f>quantInv[[#This Row],[Total Cost GBP]]/EURtoGBP</f>
        <v>0</v>
      </c>
      <c r="W1177" s="33">
        <f>quantInv[[#This Row],[Total Cost GBP]]/USDtoGBP</f>
        <v>0</v>
      </c>
      <c r="X1177" s="33">
        <f>quantInv[[#This Row],[Total Cost GBP]]/CADtoGBP</f>
        <v>0</v>
      </c>
      <c r="Y1177" s="33">
        <f>quantInv[[#This Row],[Quantity]]*quantInv[[#This Row],[UNIT
VALUE AUD]]</f>
        <v>0</v>
      </c>
      <c r="Z1177" s="33"/>
    </row>
    <row r="1178" spans="1:26" x14ac:dyDescent="0.25">
      <c r="A1178" t="s">
        <v>2729</v>
      </c>
      <c r="C1178" t="s">
        <v>114</v>
      </c>
      <c r="E1178">
        <v>0</v>
      </c>
      <c r="F1178" s="33">
        <v>7.0499999999999993E-2</v>
      </c>
      <c r="G1178" s="33" t="s">
        <v>2875</v>
      </c>
      <c r="H1178" t="s">
        <v>2875</v>
      </c>
      <c r="I1178" t="str">
        <f>IF(quantInv[[#This Row],[Metal]] = "925 Silver",  "7113.11.00"," 7113.19.00")</f>
        <v xml:space="preserve"> 7113.19.00</v>
      </c>
      <c r="J1178" t="str">
        <f>IF(quantInv[[#This Row],[Metal]] = "925 Silver", "7113.11.10.00"," 7113.19.10.00")</f>
        <v xml:space="preserve"> 7113.19.10.00</v>
      </c>
      <c r="K1178" t="str">
        <f>IF(quantInv[[#This Row],[Metal]] = "925 Silver",  "7113.11.00"," 7113.19.00")</f>
        <v xml:space="preserve"> 7113.19.00</v>
      </c>
      <c r="L1178" t="str">
        <f>IFERROR(VLOOKUP(quantInv[[#This Row],[Description for New Invoice]],Map!$G$12:$H$32,2,FALSE), IF(quantInv[[#This Row],[Metal]] = "925 Silver", "7113.11.10.00", "7113.19.29.00"))</f>
        <v>7113.19.29.00</v>
      </c>
      <c r="M1178" t="str">
        <f>quantInv[[#This Row],[ASIN]] &amp; " " &amp; quantInv[[#This Row],[Short Description]]</f>
        <v xml:space="preserve"> </v>
      </c>
      <c r="N1178" s="33">
        <f>quantInv[[#This Row],[UNIT
VALUE]] / EURtoGBP</f>
        <v>8.0025880710357392E-2</v>
      </c>
      <c r="O1178" s="33">
        <f>quantInv[[#This Row],[UNIT
VALUE]]/USDtoGBP</f>
        <v>9.6643787449467625E-2</v>
      </c>
      <c r="P1178" s="33">
        <f>quantInv[[#This Row],[UNIT
VALUE]] / CADtoGBP</f>
        <v>0.1237096035502024</v>
      </c>
      <c r="Q1178" s="33">
        <f>quantInv[[#This Row],[UNIT
VALUE]]/AUDtoGBP</f>
        <v>0.12662547596810114</v>
      </c>
      <c r="R1178">
        <f>IFERROR(VLOOKUP(quantInv[[#This Row],[Assigned Item SKU]],skuQuantity[#All],2,FALSE),0)</f>
        <v>0</v>
      </c>
      <c r="S1178" t="str">
        <f>PROPER(quantInv[[#This Row],[Metal]] &amp; " " &amp; quantInv[[#This Row],[Item Type]])</f>
        <v xml:space="preserve"> </v>
      </c>
      <c r="T1178" s="33">
        <f>quantInv[[#This Row],[Quantity]]*quantInv[[#This Row],[WEIGHT]]</f>
        <v>0</v>
      </c>
      <c r="U1178" s="33">
        <f>quantInv[[#This Row],[UNIT
VALUE]]*quantInv[[#This Row],[Quantity]]</f>
        <v>0</v>
      </c>
      <c r="V1178" s="33">
        <f>quantInv[[#This Row],[Total Cost GBP]]/EURtoGBP</f>
        <v>0</v>
      </c>
      <c r="W1178" s="33">
        <f>quantInv[[#This Row],[Total Cost GBP]]/USDtoGBP</f>
        <v>0</v>
      </c>
      <c r="X1178" s="33">
        <f>quantInv[[#This Row],[Total Cost GBP]]/CADtoGBP</f>
        <v>0</v>
      </c>
      <c r="Y1178" s="33">
        <f>quantInv[[#This Row],[Quantity]]*quantInv[[#This Row],[UNIT
VALUE AUD]]</f>
        <v>0</v>
      </c>
      <c r="Z1178" s="33"/>
    </row>
    <row r="1179" spans="1:26" x14ac:dyDescent="0.25">
      <c r="A1179" t="s">
        <v>2730</v>
      </c>
      <c r="C1179" t="s">
        <v>114</v>
      </c>
      <c r="E1179">
        <v>0</v>
      </c>
      <c r="F1179" s="33">
        <v>7.0499999999999993E-2</v>
      </c>
      <c r="G1179" s="33" t="s">
        <v>2875</v>
      </c>
      <c r="H1179" t="s">
        <v>2875</v>
      </c>
      <c r="I1179" t="str">
        <f>IF(quantInv[[#This Row],[Metal]] = "925 Silver",  "7113.11.00"," 7113.19.00")</f>
        <v xml:space="preserve"> 7113.19.00</v>
      </c>
      <c r="J1179" t="str">
        <f>IF(quantInv[[#This Row],[Metal]] = "925 Silver", "7113.11.10.00"," 7113.19.10.00")</f>
        <v xml:space="preserve"> 7113.19.10.00</v>
      </c>
      <c r="K1179" t="str">
        <f>IF(quantInv[[#This Row],[Metal]] = "925 Silver",  "7113.11.00"," 7113.19.00")</f>
        <v xml:space="preserve"> 7113.19.00</v>
      </c>
      <c r="L1179" t="str">
        <f>IFERROR(VLOOKUP(quantInv[[#This Row],[Description for New Invoice]],Map!$G$12:$H$32,2,FALSE), IF(quantInv[[#This Row],[Metal]] = "925 Silver", "7113.11.10.00", "7113.19.29.00"))</f>
        <v>7113.19.29.00</v>
      </c>
      <c r="M1179" t="str">
        <f>quantInv[[#This Row],[ASIN]] &amp; " " &amp; quantInv[[#This Row],[Short Description]]</f>
        <v xml:space="preserve"> </v>
      </c>
      <c r="N1179" s="33">
        <f>quantInv[[#This Row],[UNIT
VALUE]] / EURtoGBP</f>
        <v>8.0025880710357392E-2</v>
      </c>
      <c r="O1179" s="33">
        <f>quantInv[[#This Row],[UNIT
VALUE]]/USDtoGBP</f>
        <v>9.6643787449467625E-2</v>
      </c>
      <c r="P1179" s="33">
        <f>quantInv[[#This Row],[UNIT
VALUE]] / CADtoGBP</f>
        <v>0.1237096035502024</v>
      </c>
      <c r="Q1179" s="33">
        <f>quantInv[[#This Row],[UNIT
VALUE]]/AUDtoGBP</f>
        <v>0.12662547596810114</v>
      </c>
      <c r="R1179">
        <f>IFERROR(VLOOKUP(quantInv[[#This Row],[Assigned Item SKU]],skuQuantity[#All],2,FALSE),0)</f>
        <v>0</v>
      </c>
      <c r="S1179" t="str">
        <f>PROPER(quantInv[[#This Row],[Metal]] &amp; " " &amp; quantInv[[#This Row],[Item Type]])</f>
        <v xml:space="preserve"> </v>
      </c>
      <c r="T1179" s="33">
        <f>quantInv[[#This Row],[Quantity]]*quantInv[[#This Row],[WEIGHT]]</f>
        <v>0</v>
      </c>
      <c r="U1179" s="33">
        <f>quantInv[[#This Row],[UNIT
VALUE]]*quantInv[[#This Row],[Quantity]]</f>
        <v>0</v>
      </c>
      <c r="V1179" s="33">
        <f>quantInv[[#This Row],[Total Cost GBP]]/EURtoGBP</f>
        <v>0</v>
      </c>
      <c r="W1179" s="33">
        <f>quantInv[[#This Row],[Total Cost GBP]]/USDtoGBP</f>
        <v>0</v>
      </c>
      <c r="X1179" s="33">
        <f>quantInv[[#This Row],[Total Cost GBP]]/CADtoGBP</f>
        <v>0</v>
      </c>
      <c r="Y1179" s="33">
        <f>quantInv[[#This Row],[Quantity]]*quantInv[[#This Row],[UNIT
VALUE AUD]]</f>
        <v>0</v>
      </c>
      <c r="Z1179" s="33"/>
    </row>
    <row r="1180" spans="1:26" x14ac:dyDescent="0.25">
      <c r="A1180" t="s">
        <v>2731</v>
      </c>
      <c r="C1180" t="s">
        <v>114</v>
      </c>
      <c r="E1180">
        <v>0</v>
      </c>
      <c r="F1180" s="33">
        <v>7.0499999999999993E-2</v>
      </c>
      <c r="G1180" s="33" t="s">
        <v>2875</v>
      </c>
      <c r="H1180" t="s">
        <v>2875</v>
      </c>
      <c r="I1180" t="str">
        <f>IF(quantInv[[#This Row],[Metal]] = "925 Silver",  "7113.11.00"," 7113.19.00")</f>
        <v xml:space="preserve"> 7113.19.00</v>
      </c>
      <c r="J1180" t="str">
        <f>IF(quantInv[[#This Row],[Metal]] = "925 Silver", "7113.11.10.00"," 7113.19.10.00")</f>
        <v xml:space="preserve"> 7113.19.10.00</v>
      </c>
      <c r="K1180" t="str">
        <f>IF(quantInv[[#This Row],[Metal]] = "925 Silver",  "7113.11.00"," 7113.19.00")</f>
        <v xml:space="preserve"> 7113.19.00</v>
      </c>
      <c r="L1180" t="str">
        <f>IFERROR(VLOOKUP(quantInv[[#This Row],[Description for New Invoice]],Map!$G$12:$H$32,2,FALSE), IF(quantInv[[#This Row],[Metal]] = "925 Silver", "7113.11.10.00", "7113.19.29.00"))</f>
        <v>7113.19.29.00</v>
      </c>
      <c r="M1180" t="str">
        <f>quantInv[[#This Row],[ASIN]] &amp; " " &amp; quantInv[[#This Row],[Short Description]]</f>
        <v xml:space="preserve"> </v>
      </c>
      <c r="N1180" s="33">
        <f>quantInv[[#This Row],[UNIT
VALUE]] / EURtoGBP</f>
        <v>8.0025880710357392E-2</v>
      </c>
      <c r="O1180" s="33">
        <f>quantInv[[#This Row],[UNIT
VALUE]]/USDtoGBP</f>
        <v>9.6643787449467625E-2</v>
      </c>
      <c r="P1180" s="33">
        <f>quantInv[[#This Row],[UNIT
VALUE]] / CADtoGBP</f>
        <v>0.1237096035502024</v>
      </c>
      <c r="Q1180" s="33">
        <f>quantInv[[#This Row],[UNIT
VALUE]]/AUDtoGBP</f>
        <v>0.12662547596810114</v>
      </c>
      <c r="R1180">
        <f>IFERROR(VLOOKUP(quantInv[[#This Row],[Assigned Item SKU]],skuQuantity[#All],2,FALSE),0)</f>
        <v>0</v>
      </c>
      <c r="S1180" t="str">
        <f>PROPER(quantInv[[#This Row],[Metal]] &amp; " " &amp; quantInv[[#This Row],[Item Type]])</f>
        <v xml:space="preserve"> </v>
      </c>
      <c r="T1180" s="33">
        <f>quantInv[[#This Row],[Quantity]]*quantInv[[#This Row],[WEIGHT]]</f>
        <v>0</v>
      </c>
      <c r="U1180" s="33">
        <f>quantInv[[#This Row],[UNIT
VALUE]]*quantInv[[#This Row],[Quantity]]</f>
        <v>0</v>
      </c>
      <c r="V1180" s="33">
        <f>quantInv[[#This Row],[Total Cost GBP]]/EURtoGBP</f>
        <v>0</v>
      </c>
      <c r="W1180" s="33">
        <f>quantInv[[#This Row],[Total Cost GBP]]/USDtoGBP</f>
        <v>0</v>
      </c>
      <c r="X1180" s="33">
        <f>quantInv[[#This Row],[Total Cost GBP]]/CADtoGBP</f>
        <v>0</v>
      </c>
      <c r="Y1180" s="33">
        <f>quantInv[[#This Row],[Quantity]]*quantInv[[#This Row],[UNIT
VALUE AUD]]</f>
        <v>0</v>
      </c>
      <c r="Z1180" s="33"/>
    </row>
    <row r="1181" spans="1:26" x14ac:dyDescent="0.25">
      <c r="A1181" t="s">
        <v>2732</v>
      </c>
      <c r="C1181" t="s">
        <v>114</v>
      </c>
      <c r="E1181">
        <v>0</v>
      </c>
      <c r="F1181" s="33">
        <v>7.0499999999999993E-2</v>
      </c>
      <c r="G1181" s="33" t="s">
        <v>2875</v>
      </c>
      <c r="H1181" t="s">
        <v>2875</v>
      </c>
      <c r="I1181" t="str">
        <f>IF(quantInv[[#This Row],[Metal]] = "925 Silver",  "7113.11.00"," 7113.19.00")</f>
        <v xml:space="preserve"> 7113.19.00</v>
      </c>
      <c r="J1181" t="str">
        <f>IF(quantInv[[#This Row],[Metal]] = "925 Silver", "7113.11.10.00"," 7113.19.10.00")</f>
        <v xml:space="preserve"> 7113.19.10.00</v>
      </c>
      <c r="K1181" t="str">
        <f>IF(quantInv[[#This Row],[Metal]] = "925 Silver",  "7113.11.00"," 7113.19.00")</f>
        <v xml:space="preserve"> 7113.19.00</v>
      </c>
      <c r="L1181" t="str">
        <f>IFERROR(VLOOKUP(quantInv[[#This Row],[Description for New Invoice]],Map!$G$12:$H$32,2,FALSE), IF(quantInv[[#This Row],[Metal]] = "925 Silver", "7113.11.10.00", "7113.19.29.00"))</f>
        <v>7113.19.29.00</v>
      </c>
      <c r="M1181" t="str">
        <f>quantInv[[#This Row],[ASIN]] &amp; " " &amp; quantInv[[#This Row],[Short Description]]</f>
        <v xml:space="preserve"> </v>
      </c>
      <c r="N1181" s="33">
        <f>quantInv[[#This Row],[UNIT
VALUE]] / EURtoGBP</f>
        <v>8.0025880710357392E-2</v>
      </c>
      <c r="O1181" s="33">
        <f>quantInv[[#This Row],[UNIT
VALUE]]/USDtoGBP</f>
        <v>9.6643787449467625E-2</v>
      </c>
      <c r="P1181" s="33">
        <f>quantInv[[#This Row],[UNIT
VALUE]] / CADtoGBP</f>
        <v>0.1237096035502024</v>
      </c>
      <c r="Q1181" s="33">
        <f>quantInv[[#This Row],[UNIT
VALUE]]/AUDtoGBP</f>
        <v>0.12662547596810114</v>
      </c>
      <c r="R1181">
        <f>IFERROR(VLOOKUP(quantInv[[#This Row],[Assigned Item SKU]],skuQuantity[#All],2,FALSE),0)</f>
        <v>0</v>
      </c>
      <c r="S1181" t="str">
        <f>PROPER(quantInv[[#This Row],[Metal]] &amp; " " &amp; quantInv[[#This Row],[Item Type]])</f>
        <v xml:space="preserve"> </v>
      </c>
      <c r="T1181" s="33">
        <f>quantInv[[#This Row],[Quantity]]*quantInv[[#This Row],[WEIGHT]]</f>
        <v>0</v>
      </c>
      <c r="U1181" s="33">
        <f>quantInv[[#This Row],[UNIT
VALUE]]*quantInv[[#This Row],[Quantity]]</f>
        <v>0</v>
      </c>
      <c r="V1181" s="33">
        <f>quantInv[[#This Row],[Total Cost GBP]]/EURtoGBP</f>
        <v>0</v>
      </c>
      <c r="W1181" s="33">
        <f>quantInv[[#This Row],[Total Cost GBP]]/USDtoGBP</f>
        <v>0</v>
      </c>
      <c r="X1181" s="33">
        <f>quantInv[[#This Row],[Total Cost GBP]]/CADtoGBP</f>
        <v>0</v>
      </c>
      <c r="Y1181" s="33">
        <f>quantInv[[#This Row],[Quantity]]*quantInv[[#This Row],[UNIT
VALUE AUD]]</f>
        <v>0</v>
      </c>
      <c r="Z1181" s="33"/>
    </row>
    <row r="1182" spans="1:26" x14ac:dyDescent="0.25">
      <c r="A1182" t="s">
        <v>2733</v>
      </c>
      <c r="C1182" t="s">
        <v>114</v>
      </c>
      <c r="E1182">
        <v>0</v>
      </c>
      <c r="F1182" s="33">
        <v>7.0499999999999993E-2</v>
      </c>
      <c r="G1182" s="33" t="s">
        <v>2875</v>
      </c>
      <c r="H1182" t="s">
        <v>2875</v>
      </c>
      <c r="I1182" t="str">
        <f>IF(quantInv[[#This Row],[Metal]] = "925 Silver",  "7113.11.00"," 7113.19.00")</f>
        <v xml:space="preserve"> 7113.19.00</v>
      </c>
      <c r="J1182" t="str">
        <f>IF(quantInv[[#This Row],[Metal]] = "925 Silver", "7113.11.10.00"," 7113.19.10.00")</f>
        <v xml:space="preserve"> 7113.19.10.00</v>
      </c>
      <c r="K1182" t="str">
        <f>IF(quantInv[[#This Row],[Metal]] = "925 Silver",  "7113.11.00"," 7113.19.00")</f>
        <v xml:space="preserve"> 7113.19.00</v>
      </c>
      <c r="L1182" t="str">
        <f>IFERROR(VLOOKUP(quantInv[[#This Row],[Description for New Invoice]],Map!$G$12:$H$32,2,FALSE), IF(quantInv[[#This Row],[Metal]] = "925 Silver", "7113.11.10.00", "7113.19.29.00"))</f>
        <v>7113.19.29.00</v>
      </c>
      <c r="M1182" t="str">
        <f>quantInv[[#This Row],[ASIN]] &amp; " " &amp; quantInv[[#This Row],[Short Description]]</f>
        <v xml:space="preserve"> </v>
      </c>
      <c r="N1182" s="33">
        <f>quantInv[[#This Row],[UNIT
VALUE]] / EURtoGBP</f>
        <v>8.0025880710357392E-2</v>
      </c>
      <c r="O1182" s="33">
        <f>quantInv[[#This Row],[UNIT
VALUE]]/USDtoGBP</f>
        <v>9.6643787449467625E-2</v>
      </c>
      <c r="P1182" s="33">
        <f>quantInv[[#This Row],[UNIT
VALUE]] / CADtoGBP</f>
        <v>0.1237096035502024</v>
      </c>
      <c r="Q1182" s="33">
        <f>quantInv[[#This Row],[UNIT
VALUE]]/AUDtoGBP</f>
        <v>0.12662547596810114</v>
      </c>
      <c r="R1182">
        <f>IFERROR(VLOOKUP(quantInv[[#This Row],[Assigned Item SKU]],skuQuantity[#All],2,FALSE),0)</f>
        <v>0</v>
      </c>
      <c r="S1182" t="str">
        <f>PROPER(quantInv[[#This Row],[Metal]] &amp; " " &amp; quantInv[[#This Row],[Item Type]])</f>
        <v xml:space="preserve"> </v>
      </c>
      <c r="T1182" s="33">
        <f>quantInv[[#This Row],[Quantity]]*quantInv[[#This Row],[WEIGHT]]</f>
        <v>0</v>
      </c>
      <c r="U1182" s="33">
        <f>quantInv[[#This Row],[UNIT
VALUE]]*quantInv[[#This Row],[Quantity]]</f>
        <v>0</v>
      </c>
      <c r="V1182" s="33">
        <f>quantInv[[#This Row],[Total Cost GBP]]/EURtoGBP</f>
        <v>0</v>
      </c>
      <c r="W1182" s="33">
        <f>quantInv[[#This Row],[Total Cost GBP]]/USDtoGBP</f>
        <v>0</v>
      </c>
      <c r="X1182" s="33">
        <f>quantInv[[#This Row],[Total Cost GBP]]/CADtoGBP</f>
        <v>0</v>
      </c>
      <c r="Y1182" s="33">
        <f>quantInv[[#This Row],[Quantity]]*quantInv[[#This Row],[UNIT
VALUE AUD]]</f>
        <v>0</v>
      </c>
      <c r="Z1182" s="33"/>
    </row>
    <row r="1183" spans="1:26" x14ac:dyDescent="0.25">
      <c r="A1183" t="s">
        <v>2734</v>
      </c>
      <c r="C1183" t="s">
        <v>114</v>
      </c>
      <c r="E1183">
        <v>0</v>
      </c>
      <c r="F1183" s="33">
        <v>7.0499999999999993E-2</v>
      </c>
      <c r="G1183" s="33" t="s">
        <v>2875</v>
      </c>
      <c r="H1183" t="s">
        <v>2875</v>
      </c>
      <c r="I1183" t="str">
        <f>IF(quantInv[[#This Row],[Metal]] = "925 Silver",  "7113.11.00"," 7113.19.00")</f>
        <v xml:space="preserve"> 7113.19.00</v>
      </c>
      <c r="J1183" t="str">
        <f>IF(quantInv[[#This Row],[Metal]] = "925 Silver", "7113.11.10.00"," 7113.19.10.00")</f>
        <v xml:space="preserve"> 7113.19.10.00</v>
      </c>
      <c r="K1183" t="str">
        <f>IF(quantInv[[#This Row],[Metal]] = "925 Silver",  "7113.11.00"," 7113.19.00")</f>
        <v xml:space="preserve"> 7113.19.00</v>
      </c>
      <c r="L1183" t="str">
        <f>IFERROR(VLOOKUP(quantInv[[#This Row],[Description for New Invoice]],Map!$G$12:$H$32,2,FALSE), IF(quantInv[[#This Row],[Metal]] = "925 Silver", "7113.11.10.00", "7113.19.29.00"))</f>
        <v>7113.19.29.00</v>
      </c>
      <c r="M1183" t="str">
        <f>quantInv[[#This Row],[ASIN]] &amp; " " &amp; quantInv[[#This Row],[Short Description]]</f>
        <v xml:space="preserve"> </v>
      </c>
      <c r="N1183" s="33">
        <f>quantInv[[#This Row],[UNIT
VALUE]] / EURtoGBP</f>
        <v>8.0025880710357392E-2</v>
      </c>
      <c r="O1183" s="33">
        <f>quantInv[[#This Row],[UNIT
VALUE]]/USDtoGBP</f>
        <v>9.6643787449467625E-2</v>
      </c>
      <c r="P1183" s="33">
        <f>quantInv[[#This Row],[UNIT
VALUE]] / CADtoGBP</f>
        <v>0.1237096035502024</v>
      </c>
      <c r="Q1183" s="33">
        <f>quantInv[[#This Row],[UNIT
VALUE]]/AUDtoGBP</f>
        <v>0.12662547596810114</v>
      </c>
      <c r="R1183">
        <f>IFERROR(VLOOKUP(quantInv[[#This Row],[Assigned Item SKU]],skuQuantity[#All],2,FALSE),0)</f>
        <v>0</v>
      </c>
      <c r="S1183" t="str">
        <f>PROPER(quantInv[[#This Row],[Metal]] &amp; " " &amp; quantInv[[#This Row],[Item Type]])</f>
        <v xml:space="preserve"> </v>
      </c>
      <c r="T1183" s="33">
        <f>quantInv[[#This Row],[Quantity]]*quantInv[[#This Row],[WEIGHT]]</f>
        <v>0</v>
      </c>
      <c r="U1183" s="33">
        <f>quantInv[[#This Row],[UNIT
VALUE]]*quantInv[[#This Row],[Quantity]]</f>
        <v>0</v>
      </c>
      <c r="V1183" s="33">
        <f>quantInv[[#This Row],[Total Cost GBP]]/EURtoGBP</f>
        <v>0</v>
      </c>
      <c r="W1183" s="33">
        <f>quantInv[[#This Row],[Total Cost GBP]]/USDtoGBP</f>
        <v>0</v>
      </c>
      <c r="X1183" s="33">
        <f>quantInv[[#This Row],[Total Cost GBP]]/CADtoGBP</f>
        <v>0</v>
      </c>
      <c r="Y1183" s="33">
        <f>quantInv[[#This Row],[Quantity]]*quantInv[[#This Row],[UNIT
VALUE AUD]]</f>
        <v>0</v>
      </c>
      <c r="Z1183" s="33"/>
    </row>
    <row r="1184" spans="1:26" x14ac:dyDescent="0.25">
      <c r="A1184" t="s">
        <v>2735</v>
      </c>
      <c r="C1184" t="s">
        <v>114</v>
      </c>
      <c r="E1184">
        <v>0</v>
      </c>
      <c r="F1184" s="33">
        <v>7.0499999999999993E-2</v>
      </c>
      <c r="G1184" s="33" t="s">
        <v>2875</v>
      </c>
      <c r="H1184" t="s">
        <v>2875</v>
      </c>
      <c r="I1184" t="str">
        <f>IF(quantInv[[#This Row],[Metal]] = "925 Silver",  "7113.11.00"," 7113.19.00")</f>
        <v xml:space="preserve"> 7113.19.00</v>
      </c>
      <c r="J1184" t="str">
        <f>IF(quantInv[[#This Row],[Metal]] = "925 Silver", "7113.11.10.00"," 7113.19.10.00")</f>
        <v xml:space="preserve"> 7113.19.10.00</v>
      </c>
      <c r="K1184" t="str">
        <f>IF(quantInv[[#This Row],[Metal]] = "925 Silver",  "7113.11.00"," 7113.19.00")</f>
        <v xml:space="preserve"> 7113.19.00</v>
      </c>
      <c r="L1184" t="str">
        <f>IFERROR(VLOOKUP(quantInv[[#This Row],[Description for New Invoice]],Map!$G$12:$H$32,2,FALSE), IF(quantInv[[#This Row],[Metal]] = "925 Silver", "7113.11.10.00", "7113.19.29.00"))</f>
        <v>7113.19.29.00</v>
      </c>
      <c r="M1184" t="str">
        <f>quantInv[[#This Row],[ASIN]] &amp; " " &amp; quantInv[[#This Row],[Short Description]]</f>
        <v xml:space="preserve"> </v>
      </c>
      <c r="N1184" s="33">
        <f>quantInv[[#This Row],[UNIT
VALUE]] / EURtoGBP</f>
        <v>8.0025880710357392E-2</v>
      </c>
      <c r="O1184" s="33">
        <f>quantInv[[#This Row],[UNIT
VALUE]]/USDtoGBP</f>
        <v>9.6643787449467625E-2</v>
      </c>
      <c r="P1184" s="33">
        <f>quantInv[[#This Row],[UNIT
VALUE]] / CADtoGBP</f>
        <v>0.1237096035502024</v>
      </c>
      <c r="Q1184" s="33">
        <f>quantInv[[#This Row],[UNIT
VALUE]]/AUDtoGBP</f>
        <v>0.12662547596810114</v>
      </c>
      <c r="R1184">
        <f>IFERROR(VLOOKUP(quantInv[[#This Row],[Assigned Item SKU]],skuQuantity[#All],2,FALSE),0)</f>
        <v>0</v>
      </c>
      <c r="S1184" t="str">
        <f>PROPER(quantInv[[#This Row],[Metal]] &amp; " " &amp; quantInv[[#This Row],[Item Type]])</f>
        <v xml:space="preserve"> </v>
      </c>
      <c r="T1184" s="33">
        <f>quantInv[[#This Row],[Quantity]]*quantInv[[#This Row],[WEIGHT]]</f>
        <v>0</v>
      </c>
      <c r="U1184" s="33">
        <f>quantInv[[#This Row],[UNIT
VALUE]]*quantInv[[#This Row],[Quantity]]</f>
        <v>0</v>
      </c>
      <c r="V1184" s="33">
        <f>quantInv[[#This Row],[Total Cost GBP]]/EURtoGBP</f>
        <v>0</v>
      </c>
      <c r="W1184" s="33">
        <f>quantInv[[#This Row],[Total Cost GBP]]/USDtoGBP</f>
        <v>0</v>
      </c>
      <c r="X1184" s="33">
        <f>quantInv[[#This Row],[Total Cost GBP]]/CADtoGBP</f>
        <v>0</v>
      </c>
      <c r="Y1184" s="33">
        <f>quantInv[[#This Row],[Quantity]]*quantInv[[#This Row],[UNIT
VALUE AUD]]</f>
        <v>0</v>
      </c>
      <c r="Z1184" s="33"/>
    </row>
    <row r="1185" spans="1:26" x14ac:dyDescent="0.25">
      <c r="A1185" t="s">
        <v>2736</v>
      </c>
      <c r="C1185" t="s">
        <v>114</v>
      </c>
      <c r="E1185">
        <v>0</v>
      </c>
      <c r="F1185" s="33">
        <v>7.0499999999999993E-2</v>
      </c>
      <c r="G1185" s="33" t="s">
        <v>2875</v>
      </c>
      <c r="H1185" t="s">
        <v>2875</v>
      </c>
      <c r="I1185" t="str">
        <f>IF(quantInv[[#This Row],[Metal]] = "925 Silver",  "7113.11.00"," 7113.19.00")</f>
        <v xml:space="preserve"> 7113.19.00</v>
      </c>
      <c r="J1185" t="str">
        <f>IF(quantInv[[#This Row],[Metal]] = "925 Silver", "7113.11.10.00"," 7113.19.10.00")</f>
        <v xml:space="preserve"> 7113.19.10.00</v>
      </c>
      <c r="K1185" t="str">
        <f>IF(quantInv[[#This Row],[Metal]] = "925 Silver",  "7113.11.00"," 7113.19.00")</f>
        <v xml:space="preserve"> 7113.19.00</v>
      </c>
      <c r="L1185" t="str">
        <f>IFERROR(VLOOKUP(quantInv[[#This Row],[Description for New Invoice]],Map!$G$12:$H$32,2,FALSE), IF(quantInv[[#This Row],[Metal]] = "925 Silver", "7113.11.10.00", "7113.19.29.00"))</f>
        <v>7113.19.29.00</v>
      </c>
      <c r="M1185" t="str">
        <f>quantInv[[#This Row],[ASIN]] &amp; " " &amp; quantInv[[#This Row],[Short Description]]</f>
        <v xml:space="preserve"> </v>
      </c>
      <c r="N1185" s="33">
        <f>quantInv[[#This Row],[UNIT
VALUE]] / EURtoGBP</f>
        <v>8.0025880710357392E-2</v>
      </c>
      <c r="O1185" s="33">
        <f>quantInv[[#This Row],[UNIT
VALUE]]/USDtoGBP</f>
        <v>9.6643787449467625E-2</v>
      </c>
      <c r="P1185" s="33">
        <f>quantInv[[#This Row],[UNIT
VALUE]] / CADtoGBP</f>
        <v>0.1237096035502024</v>
      </c>
      <c r="Q1185" s="33">
        <f>quantInv[[#This Row],[UNIT
VALUE]]/AUDtoGBP</f>
        <v>0.12662547596810114</v>
      </c>
      <c r="R1185">
        <f>IFERROR(VLOOKUP(quantInv[[#This Row],[Assigned Item SKU]],skuQuantity[#All],2,FALSE),0)</f>
        <v>0</v>
      </c>
      <c r="S1185" t="str">
        <f>PROPER(quantInv[[#This Row],[Metal]] &amp; " " &amp; quantInv[[#This Row],[Item Type]])</f>
        <v xml:space="preserve"> </v>
      </c>
      <c r="T1185" s="33">
        <f>quantInv[[#This Row],[Quantity]]*quantInv[[#This Row],[WEIGHT]]</f>
        <v>0</v>
      </c>
      <c r="U1185" s="33">
        <f>quantInv[[#This Row],[UNIT
VALUE]]*quantInv[[#This Row],[Quantity]]</f>
        <v>0</v>
      </c>
      <c r="V1185" s="33">
        <f>quantInv[[#This Row],[Total Cost GBP]]/EURtoGBP</f>
        <v>0</v>
      </c>
      <c r="W1185" s="33">
        <f>quantInv[[#This Row],[Total Cost GBP]]/USDtoGBP</f>
        <v>0</v>
      </c>
      <c r="X1185" s="33">
        <f>quantInv[[#This Row],[Total Cost GBP]]/CADtoGBP</f>
        <v>0</v>
      </c>
      <c r="Y1185" s="33">
        <f>quantInv[[#This Row],[Quantity]]*quantInv[[#This Row],[UNIT
VALUE AUD]]</f>
        <v>0</v>
      </c>
      <c r="Z1185" s="33"/>
    </row>
    <row r="1186" spans="1:26" x14ac:dyDescent="0.25">
      <c r="A1186" t="s">
        <v>2737</v>
      </c>
      <c r="C1186" t="s">
        <v>114</v>
      </c>
      <c r="E1186">
        <v>0</v>
      </c>
      <c r="F1186" s="33">
        <v>7.0499999999999993E-2</v>
      </c>
      <c r="G1186" s="33" t="s">
        <v>2875</v>
      </c>
      <c r="H1186" t="s">
        <v>2875</v>
      </c>
      <c r="I1186" t="str">
        <f>IF(quantInv[[#This Row],[Metal]] = "925 Silver",  "7113.11.00"," 7113.19.00")</f>
        <v xml:space="preserve"> 7113.19.00</v>
      </c>
      <c r="J1186" t="str">
        <f>IF(quantInv[[#This Row],[Metal]] = "925 Silver", "7113.11.10.00"," 7113.19.10.00")</f>
        <v xml:space="preserve"> 7113.19.10.00</v>
      </c>
      <c r="K1186" t="str">
        <f>IF(quantInv[[#This Row],[Metal]] = "925 Silver",  "7113.11.00"," 7113.19.00")</f>
        <v xml:space="preserve"> 7113.19.00</v>
      </c>
      <c r="L1186" t="str">
        <f>IFERROR(VLOOKUP(quantInv[[#This Row],[Description for New Invoice]],Map!$G$12:$H$32,2,FALSE), IF(quantInv[[#This Row],[Metal]] = "925 Silver", "7113.11.10.00", "7113.19.29.00"))</f>
        <v>7113.19.29.00</v>
      </c>
      <c r="M1186" t="str">
        <f>quantInv[[#This Row],[ASIN]] &amp; " " &amp; quantInv[[#This Row],[Short Description]]</f>
        <v xml:space="preserve"> </v>
      </c>
      <c r="N1186" s="33">
        <f>quantInv[[#This Row],[UNIT
VALUE]] / EURtoGBP</f>
        <v>8.0025880710357392E-2</v>
      </c>
      <c r="O1186" s="33">
        <f>quantInv[[#This Row],[UNIT
VALUE]]/USDtoGBP</f>
        <v>9.6643787449467625E-2</v>
      </c>
      <c r="P1186" s="33">
        <f>quantInv[[#This Row],[UNIT
VALUE]] / CADtoGBP</f>
        <v>0.1237096035502024</v>
      </c>
      <c r="Q1186" s="33">
        <f>quantInv[[#This Row],[UNIT
VALUE]]/AUDtoGBP</f>
        <v>0.12662547596810114</v>
      </c>
      <c r="R1186">
        <f>IFERROR(VLOOKUP(quantInv[[#This Row],[Assigned Item SKU]],skuQuantity[#All],2,FALSE),0)</f>
        <v>0</v>
      </c>
      <c r="S1186" t="str">
        <f>PROPER(quantInv[[#This Row],[Metal]] &amp; " " &amp; quantInv[[#This Row],[Item Type]])</f>
        <v xml:space="preserve"> </v>
      </c>
      <c r="T1186" s="33">
        <f>quantInv[[#This Row],[Quantity]]*quantInv[[#This Row],[WEIGHT]]</f>
        <v>0</v>
      </c>
      <c r="U1186" s="33">
        <f>quantInv[[#This Row],[UNIT
VALUE]]*quantInv[[#This Row],[Quantity]]</f>
        <v>0</v>
      </c>
      <c r="V1186" s="33">
        <f>quantInv[[#This Row],[Total Cost GBP]]/EURtoGBP</f>
        <v>0</v>
      </c>
      <c r="W1186" s="33">
        <f>quantInv[[#This Row],[Total Cost GBP]]/USDtoGBP</f>
        <v>0</v>
      </c>
      <c r="X1186" s="33">
        <f>quantInv[[#This Row],[Total Cost GBP]]/CADtoGBP</f>
        <v>0</v>
      </c>
      <c r="Y1186" s="33">
        <f>quantInv[[#This Row],[Quantity]]*quantInv[[#This Row],[UNIT
VALUE AUD]]</f>
        <v>0</v>
      </c>
      <c r="Z1186" s="33"/>
    </row>
    <row r="1187" spans="1:26" x14ac:dyDescent="0.25">
      <c r="A1187" t="s">
        <v>2738</v>
      </c>
      <c r="C1187" t="s">
        <v>114</v>
      </c>
      <c r="E1187">
        <v>0</v>
      </c>
      <c r="F1187" s="33">
        <v>7.0499999999999993E-2</v>
      </c>
      <c r="G1187" s="33" t="s">
        <v>2875</v>
      </c>
      <c r="H1187" t="s">
        <v>2875</v>
      </c>
      <c r="I1187" t="str">
        <f>IF(quantInv[[#This Row],[Metal]] = "925 Silver",  "7113.11.00"," 7113.19.00")</f>
        <v xml:space="preserve"> 7113.19.00</v>
      </c>
      <c r="J1187" t="str">
        <f>IF(quantInv[[#This Row],[Metal]] = "925 Silver", "7113.11.10.00"," 7113.19.10.00")</f>
        <v xml:space="preserve"> 7113.19.10.00</v>
      </c>
      <c r="K1187" t="str">
        <f>IF(quantInv[[#This Row],[Metal]] = "925 Silver",  "7113.11.00"," 7113.19.00")</f>
        <v xml:space="preserve"> 7113.19.00</v>
      </c>
      <c r="L1187" t="str">
        <f>IFERROR(VLOOKUP(quantInv[[#This Row],[Description for New Invoice]],Map!$G$12:$H$32,2,FALSE), IF(quantInv[[#This Row],[Metal]] = "925 Silver", "7113.11.10.00", "7113.19.29.00"))</f>
        <v>7113.19.29.00</v>
      </c>
      <c r="M1187" t="str">
        <f>quantInv[[#This Row],[ASIN]] &amp; " " &amp; quantInv[[#This Row],[Short Description]]</f>
        <v xml:space="preserve"> </v>
      </c>
      <c r="N1187" s="33">
        <f>quantInv[[#This Row],[UNIT
VALUE]] / EURtoGBP</f>
        <v>8.0025880710357392E-2</v>
      </c>
      <c r="O1187" s="33">
        <f>quantInv[[#This Row],[UNIT
VALUE]]/USDtoGBP</f>
        <v>9.6643787449467625E-2</v>
      </c>
      <c r="P1187" s="33">
        <f>quantInv[[#This Row],[UNIT
VALUE]] / CADtoGBP</f>
        <v>0.1237096035502024</v>
      </c>
      <c r="Q1187" s="33">
        <f>quantInv[[#This Row],[UNIT
VALUE]]/AUDtoGBP</f>
        <v>0.12662547596810114</v>
      </c>
      <c r="R1187">
        <f>IFERROR(VLOOKUP(quantInv[[#This Row],[Assigned Item SKU]],skuQuantity[#All],2,FALSE),0)</f>
        <v>0</v>
      </c>
      <c r="S1187" t="str">
        <f>PROPER(quantInv[[#This Row],[Metal]] &amp; " " &amp; quantInv[[#This Row],[Item Type]])</f>
        <v xml:space="preserve"> </v>
      </c>
      <c r="T1187" s="33">
        <f>quantInv[[#This Row],[Quantity]]*quantInv[[#This Row],[WEIGHT]]</f>
        <v>0</v>
      </c>
      <c r="U1187" s="33">
        <f>quantInv[[#This Row],[UNIT
VALUE]]*quantInv[[#This Row],[Quantity]]</f>
        <v>0</v>
      </c>
      <c r="V1187" s="33">
        <f>quantInv[[#This Row],[Total Cost GBP]]/EURtoGBP</f>
        <v>0</v>
      </c>
      <c r="W1187" s="33">
        <f>quantInv[[#This Row],[Total Cost GBP]]/USDtoGBP</f>
        <v>0</v>
      </c>
      <c r="X1187" s="33">
        <f>quantInv[[#This Row],[Total Cost GBP]]/CADtoGBP</f>
        <v>0</v>
      </c>
      <c r="Y1187" s="33">
        <f>quantInv[[#This Row],[Quantity]]*quantInv[[#This Row],[UNIT
VALUE AUD]]</f>
        <v>0</v>
      </c>
      <c r="Z1187" s="33"/>
    </row>
    <row r="1188" spans="1:26" x14ac:dyDescent="0.25">
      <c r="A1188" t="s">
        <v>2739</v>
      </c>
      <c r="C1188" t="s">
        <v>114</v>
      </c>
      <c r="E1188">
        <v>0</v>
      </c>
      <c r="F1188" s="33">
        <v>7.0499999999999993E-2</v>
      </c>
      <c r="G1188" s="33" t="s">
        <v>2875</v>
      </c>
      <c r="H1188" t="s">
        <v>2875</v>
      </c>
      <c r="I1188" t="str">
        <f>IF(quantInv[[#This Row],[Metal]] = "925 Silver",  "7113.11.00"," 7113.19.00")</f>
        <v xml:space="preserve"> 7113.19.00</v>
      </c>
      <c r="J1188" t="str">
        <f>IF(quantInv[[#This Row],[Metal]] = "925 Silver", "7113.11.10.00"," 7113.19.10.00")</f>
        <v xml:space="preserve"> 7113.19.10.00</v>
      </c>
      <c r="K1188" t="str">
        <f>IF(quantInv[[#This Row],[Metal]] = "925 Silver",  "7113.11.00"," 7113.19.00")</f>
        <v xml:space="preserve"> 7113.19.00</v>
      </c>
      <c r="L1188" t="str">
        <f>IFERROR(VLOOKUP(quantInv[[#This Row],[Description for New Invoice]],Map!$G$12:$H$32,2,FALSE), IF(quantInv[[#This Row],[Metal]] = "925 Silver", "7113.11.10.00", "7113.19.29.00"))</f>
        <v>7113.19.29.00</v>
      </c>
      <c r="M1188" t="str">
        <f>quantInv[[#This Row],[ASIN]] &amp; " " &amp; quantInv[[#This Row],[Short Description]]</f>
        <v xml:space="preserve"> </v>
      </c>
      <c r="N1188" s="33">
        <f>quantInv[[#This Row],[UNIT
VALUE]] / EURtoGBP</f>
        <v>8.0025880710357392E-2</v>
      </c>
      <c r="O1188" s="33">
        <f>quantInv[[#This Row],[UNIT
VALUE]]/USDtoGBP</f>
        <v>9.6643787449467625E-2</v>
      </c>
      <c r="P1188" s="33">
        <f>quantInv[[#This Row],[UNIT
VALUE]] / CADtoGBP</f>
        <v>0.1237096035502024</v>
      </c>
      <c r="Q1188" s="33">
        <f>quantInv[[#This Row],[UNIT
VALUE]]/AUDtoGBP</f>
        <v>0.12662547596810114</v>
      </c>
      <c r="R1188">
        <f>IFERROR(VLOOKUP(quantInv[[#This Row],[Assigned Item SKU]],skuQuantity[#All],2,FALSE),0)</f>
        <v>0</v>
      </c>
      <c r="S1188" t="str">
        <f>PROPER(quantInv[[#This Row],[Metal]] &amp; " " &amp; quantInv[[#This Row],[Item Type]])</f>
        <v xml:space="preserve"> </v>
      </c>
      <c r="T1188" s="33">
        <f>quantInv[[#This Row],[Quantity]]*quantInv[[#This Row],[WEIGHT]]</f>
        <v>0</v>
      </c>
      <c r="U1188" s="33">
        <f>quantInv[[#This Row],[UNIT
VALUE]]*quantInv[[#This Row],[Quantity]]</f>
        <v>0</v>
      </c>
      <c r="V1188" s="33">
        <f>quantInv[[#This Row],[Total Cost GBP]]/EURtoGBP</f>
        <v>0</v>
      </c>
      <c r="W1188" s="33">
        <f>quantInv[[#This Row],[Total Cost GBP]]/USDtoGBP</f>
        <v>0</v>
      </c>
      <c r="X1188" s="33">
        <f>quantInv[[#This Row],[Total Cost GBP]]/CADtoGBP</f>
        <v>0</v>
      </c>
      <c r="Y1188" s="33">
        <f>quantInv[[#This Row],[Quantity]]*quantInv[[#This Row],[UNIT
VALUE AUD]]</f>
        <v>0</v>
      </c>
      <c r="Z1188" s="33"/>
    </row>
    <row r="1189" spans="1:26" x14ac:dyDescent="0.25">
      <c r="A1189" t="s">
        <v>2740</v>
      </c>
      <c r="C1189" t="s">
        <v>114</v>
      </c>
      <c r="E1189">
        <v>0</v>
      </c>
      <c r="F1189" s="33">
        <v>7.0499999999999993E-2</v>
      </c>
      <c r="G1189" s="33" t="s">
        <v>2875</v>
      </c>
      <c r="H1189" t="s">
        <v>2875</v>
      </c>
      <c r="I1189" t="str">
        <f>IF(quantInv[[#This Row],[Metal]] = "925 Silver",  "7113.11.00"," 7113.19.00")</f>
        <v xml:space="preserve"> 7113.19.00</v>
      </c>
      <c r="J1189" t="str">
        <f>IF(quantInv[[#This Row],[Metal]] = "925 Silver", "7113.11.10.00"," 7113.19.10.00")</f>
        <v xml:space="preserve"> 7113.19.10.00</v>
      </c>
      <c r="K1189" t="str">
        <f>IF(quantInv[[#This Row],[Metal]] = "925 Silver",  "7113.11.00"," 7113.19.00")</f>
        <v xml:space="preserve"> 7113.19.00</v>
      </c>
      <c r="L1189" t="str">
        <f>IFERROR(VLOOKUP(quantInv[[#This Row],[Description for New Invoice]],Map!$G$12:$H$32,2,FALSE), IF(quantInv[[#This Row],[Metal]] = "925 Silver", "7113.11.10.00", "7113.19.29.00"))</f>
        <v>7113.19.29.00</v>
      </c>
      <c r="M1189" t="str">
        <f>quantInv[[#This Row],[ASIN]] &amp; " " &amp; quantInv[[#This Row],[Short Description]]</f>
        <v xml:space="preserve"> </v>
      </c>
      <c r="N1189" s="33">
        <f>quantInv[[#This Row],[UNIT
VALUE]] / EURtoGBP</f>
        <v>8.0025880710357392E-2</v>
      </c>
      <c r="O1189" s="33">
        <f>quantInv[[#This Row],[UNIT
VALUE]]/USDtoGBP</f>
        <v>9.6643787449467625E-2</v>
      </c>
      <c r="P1189" s="33">
        <f>quantInv[[#This Row],[UNIT
VALUE]] / CADtoGBP</f>
        <v>0.1237096035502024</v>
      </c>
      <c r="Q1189" s="33">
        <f>quantInv[[#This Row],[UNIT
VALUE]]/AUDtoGBP</f>
        <v>0.12662547596810114</v>
      </c>
      <c r="R1189">
        <f>IFERROR(VLOOKUP(quantInv[[#This Row],[Assigned Item SKU]],skuQuantity[#All],2,FALSE),0)</f>
        <v>0</v>
      </c>
      <c r="S1189" t="str">
        <f>PROPER(quantInv[[#This Row],[Metal]] &amp; " " &amp; quantInv[[#This Row],[Item Type]])</f>
        <v xml:space="preserve"> </v>
      </c>
      <c r="T1189" s="33">
        <f>quantInv[[#This Row],[Quantity]]*quantInv[[#This Row],[WEIGHT]]</f>
        <v>0</v>
      </c>
      <c r="U1189" s="33">
        <f>quantInv[[#This Row],[UNIT
VALUE]]*quantInv[[#This Row],[Quantity]]</f>
        <v>0</v>
      </c>
      <c r="V1189" s="33">
        <f>quantInv[[#This Row],[Total Cost GBP]]/EURtoGBP</f>
        <v>0</v>
      </c>
      <c r="W1189" s="33">
        <f>quantInv[[#This Row],[Total Cost GBP]]/USDtoGBP</f>
        <v>0</v>
      </c>
      <c r="X1189" s="33">
        <f>quantInv[[#This Row],[Total Cost GBP]]/CADtoGBP</f>
        <v>0</v>
      </c>
      <c r="Y1189" s="33">
        <f>quantInv[[#This Row],[Quantity]]*quantInv[[#This Row],[UNIT
VALUE AUD]]</f>
        <v>0</v>
      </c>
      <c r="Z1189" s="33"/>
    </row>
    <row r="1190" spans="1:26" x14ac:dyDescent="0.25">
      <c r="A1190" t="s">
        <v>2741</v>
      </c>
      <c r="C1190" t="s">
        <v>114</v>
      </c>
      <c r="E1190">
        <v>0</v>
      </c>
      <c r="F1190" s="33">
        <v>7.0499999999999993E-2</v>
      </c>
      <c r="G1190" s="33" t="s">
        <v>2875</v>
      </c>
      <c r="H1190" t="s">
        <v>2875</v>
      </c>
      <c r="I1190" t="str">
        <f>IF(quantInv[[#This Row],[Metal]] = "925 Silver",  "7113.11.00"," 7113.19.00")</f>
        <v xml:space="preserve"> 7113.19.00</v>
      </c>
      <c r="J1190" t="str">
        <f>IF(quantInv[[#This Row],[Metal]] = "925 Silver", "7113.11.10.00"," 7113.19.10.00")</f>
        <v xml:space="preserve"> 7113.19.10.00</v>
      </c>
      <c r="K1190" t="str">
        <f>IF(quantInv[[#This Row],[Metal]] = "925 Silver",  "7113.11.00"," 7113.19.00")</f>
        <v xml:space="preserve"> 7113.19.00</v>
      </c>
      <c r="L1190" t="str">
        <f>IFERROR(VLOOKUP(quantInv[[#This Row],[Description for New Invoice]],Map!$G$12:$H$32,2,FALSE), IF(quantInv[[#This Row],[Metal]] = "925 Silver", "7113.11.10.00", "7113.19.29.00"))</f>
        <v>7113.19.29.00</v>
      </c>
      <c r="M1190" t="str">
        <f>quantInv[[#This Row],[ASIN]] &amp; " " &amp; quantInv[[#This Row],[Short Description]]</f>
        <v xml:space="preserve"> </v>
      </c>
      <c r="N1190" s="33">
        <f>quantInv[[#This Row],[UNIT
VALUE]] / EURtoGBP</f>
        <v>8.0025880710357392E-2</v>
      </c>
      <c r="O1190" s="33">
        <f>quantInv[[#This Row],[UNIT
VALUE]]/USDtoGBP</f>
        <v>9.6643787449467625E-2</v>
      </c>
      <c r="P1190" s="33">
        <f>quantInv[[#This Row],[UNIT
VALUE]] / CADtoGBP</f>
        <v>0.1237096035502024</v>
      </c>
      <c r="Q1190" s="33">
        <f>quantInv[[#This Row],[UNIT
VALUE]]/AUDtoGBP</f>
        <v>0.12662547596810114</v>
      </c>
      <c r="R1190">
        <f>IFERROR(VLOOKUP(quantInv[[#This Row],[Assigned Item SKU]],skuQuantity[#All],2,FALSE),0)</f>
        <v>0</v>
      </c>
      <c r="S1190" t="str">
        <f>PROPER(quantInv[[#This Row],[Metal]] &amp; " " &amp; quantInv[[#This Row],[Item Type]])</f>
        <v xml:space="preserve"> </v>
      </c>
      <c r="T1190" s="33">
        <f>quantInv[[#This Row],[Quantity]]*quantInv[[#This Row],[WEIGHT]]</f>
        <v>0</v>
      </c>
      <c r="U1190" s="33">
        <f>quantInv[[#This Row],[UNIT
VALUE]]*quantInv[[#This Row],[Quantity]]</f>
        <v>0</v>
      </c>
      <c r="V1190" s="33">
        <f>quantInv[[#This Row],[Total Cost GBP]]/EURtoGBP</f>
        <v>0</v>
      </c>
      <c r="W1190" s="33">
        <f>quantInv[[#This Row],[Total Cost GBP]]/USDtoGBP</f>
        <v>0</v>
      </c>
      <c r="X1190" s="33">
        <f>quantInv[[#This Row],[Total Cost GBP]]/CADtoGBP</f>
        <v>0</v>
      </c>
      <c r="Y1190" s="33">
        <f>quantInv[[#This Row],[Quantity]]*quantInv[[#This Row],[UNIT
VALUE AUD]]</f>
        <v>0</v>
      </c>
      <c r="Z1190" s="33"/>
    </row>
    <row r="1191" spans="1:26" x14ac:dyDescent="0.25">
      <c r="A1191" t="s">
        <v>2742</v>
      </c>
      <c r="C1191" t="s">
        <v>114</v>
      </c>
      <c r="E1191">
        <v>0</v>
      </c>
      <c r="F1191" s="33">
        <v>7.0499999999999993E-2</v>
      </c>
      <c r="G1191" s="33" t="s">
        <v>2875</v>
      </c>
      <c r="H1191" t="s">
        <v>2875</v>
      </c>
      <c r="I1191" t="str">
        <f>IF(quantInv[[#This Row],[Metal]] = "925 Silver",  "7113.11.00"," 7113.19.00")</f>
        <v xml:space="preserve"> 7113.19.00</v>
      </c>
      <c r="J1191" t="str">
        <f>IF(quantInv[[#This Row],[Metal]] = "925 Silver", "7113.11.10.00"," 7113.19.10.00")</f>
        <v xml:space="preserve"> 7113.19.10.00</v>
      </c>
      <c r="K1191" t="str">
        <f>IF(quantInv[[#This Row],[Metal]] = "925 Silver",  "7113.11.00"," 7113.19.00")</f>
        <v xml:space="preserve"> 7113.19.00</v>
      </c>
      <c r="L1191" t="str">
        <f>IFERROR(VLOOKUP(quantInv[[#This Row],[Description for New Invoice]],Map!$G$12:$H$32,2,FALSE), IF(quantInv[[#This Row],[Metal]] = "925 Silver", "7113.11.10.00", "7113.19.29.00"))</f>
        <v>7113.19.29.00</v>
      </c>
      <c r="M1191" t="str">
        <f>quantInv[[#This Row],[ASIN]] &amp; " " &amp; quantInv[[#This Row],[Short Description]]</f>
        <v xml:space="preserve"> </v>
      </c>
      <c r="N1191" s="33">
        <f>quantInv[[#This Row],[UNIT
VALUE]] / EURtoGBP</f>
        <v>8.0025880710357392E-2</v>
      </c>
      <c r="O1191" s="33">
        <f>quantInv[[#This Row],[UNIT
VALUE]]/USDtoGBP</f>
        <v>9.6643787449467625E-2</v>
      </c>
      <c r="P1191" s="33">
        <f>quantInv[[#This Row],[UNIT
VALUE]] / CADtoGBP</f>
        <v>0.1237096035502024</v>
      </c>
      <c r="Q1191" s="33">
        <f>quantInv[[#This Row],[UNIT
VALUE]]/AUDtoGBP</f>
        <v>0.12662547596810114</v>
      </c>
      <c r="R1191">
        <f>IFERROR(VLOOKUP(quantInv[[#This Row],[Assigned Item SKU]],skuQuantity[#All],2,FALSE),0)</f>
        <v>0</v>
      </c>
      <c r="S1191" t="str">
        <f>PROPER(quantInv[[#This Row],[Metal]] &amp; " " &amp; quantInv[[#This Row],[Item Type]])</f>
        <v xml:space="preserve"> </v>
      </c>
      <c r="T1191" s="33">
        <f>quantInv[[#This Row],[Quantity]]*quantInv[[#This Row],[WEIGHT]]</f>
        <v>0</v>
      </c>
      <c r="U1191" s="33">
        <f>quantInv[[#This Row],[UNIT
VALUE]]*quantInv[[#This Row],[Quantity]]</f>
        <v>0</v>
      </c>
      <c r="V1191" s="33">
        <f>quantInv[[#This Row],[Total Cost GBP]]/EURtoGBP</f>
        <v>0</v>
      </c>
      <c r="W1191" s="33">
        <f>quantInv[[#This Row],[Total Cost GBP]]/USDtoGBP</f>
        <v>0</v>
      </c>
      <c r="X1191" s="33">
        <f>quantInv[[#This Row],[Total Cost GBP]]/CADtoGBP</f>
        <v>0</v>
      </c>
      <c r="Y1191" s="33">
        <f>quantInv[[#This Row],[Quantity]]*quantInv[[#This Row],[UNIT
VALUE AUD]]</f>
        <v>0</v>
      </c>
      <c r="Z1191" s="33"/>
    </row>
    <row r="1192" spans="1:26" x14ac:dyDescent="0.25">
      <c r="A1192" t="s">
        <v>2743</v>
      </c>
      <c r="C1192" t="s">
        <v>114</v>
      </c>
      <c r="E1192">
        <v>0</v>
      </c>
      <c r="F1192" s="33">
        <v>7.0499999999999993E-2</v>
      </c>
      <c r="G1192" s="33" t="s">
        <v>2875</v>
      </c>
      <c r="H1192" t="s">
        <v>2875</v>
      </c>
      <c r="I1192" t="str">
        <f>IF(quantInv[[#This Row],[Metal]] = "925 Silver",  "7113.11.00"," 7113.19.00")</f>
        <v xml:space="preserve"> 7113.19.00</v>
      </c>
      <c r="J1192" t="str">
        <f>IF(quantInv[[#This Row],[Metal]] = "925 Silver", "7113.11.10.00"," 7113.19.10.00")</f>
        <v xml:space="preserve"> 7113.19.10.00</v>
      </c>
      <c r="K1192" t="str">
        <f>IF(quantInv[[#This Row],[Metal]] = "925 Silver",  "7113.11.00"," 7113.19.00")</f>
        <v xml:space="preserve"> 7113.19.00</v>
      </c>
      <c r="L1192" t="str">
        <f>IFERROR(VLOOKUP(quantInv[[#This Row],[Description for New Invoice]],Map!$G$12:$H$32,2,FALSE), IF(quantInv[[#This Row],[Metal]] = "925 Silver", "7113.11.10.00", "7113.19.29.00"))</f>
        <v>7113.19.29.00</v>
      </c>
      <c r="M1192" t="str">
        <f>quantInv[[#This Row],[ASIN]] &amp; " " &amp; quantInv[[#This Row],[Short Description]]</f>
        <v xml:space="preserve"> </v>
      </c>
      <c r="N1192" s="33">
        <f>quantInv[[#This Row],[UNIT
VALUE]] / EURtoGBP</f>
        <v>8.0025880710357392E-2</v>
      </c>
      <c r="O1192" s="33">
        <f>quantInv[[#This Row],[UNIT
VALUE]]/USDtoGBP</f>
        <v>9.6643787449467625E-2</v>
      </c>
      <c r="P1192" s="33">
        <f>quantInv[[#This Row],[UNIT
VALUE]] / CADtoGBP</f>
        <v>0.1237096035502024</v>
      </c>
      <c r="Q1192" s="33">
        <f>quantInv[[#This Row],[UNIT
VALUE]]/AUDtoGBP</f>
        <v>0.12662547596810114</v>
      </c>
      <c r="R1192">
        <f>IFERROR(VLOOKUP(quantInv[[#This Row],[Assigned Item SKU]],skuQuantity[#All],2,FALSE),0)</f>
        <v>0</v>
      </c>
      <c r="S1192" t="str">
        <f>PROPER(quantInv[[#This Row],[Metal]] &amp; " " &amp; quantInv[[#This Row],[Item Type]])</f>
        <v xml:space="preserve"> </v>
      </c>
      <c r="T1192" s="33">
        <f>quantInv[[#This Row],[Quantity]]*quantInv[[#This Row],[WEIGHT]]</f>
        <v>0</v>
      </c>
      <c r="U1192" s="33">
        <f>quantInv[[#This Row],[UNIT
VALUE]]*quantInv[[#This Row],[Quantity]]</f>
        <v>0</v>
      </c>
      <c r="V1192" s="33">
        <f>quantInv[[#This Row],[Total Cost GBP]]/EURtoGBP</f>
        <v>0</v>
      </c>
      <c r="W1192" s="33">
        <f>quantInv[[#This Row],[Total Cost GBP]]/USDtoGBP</f>
        <v>0</v>
      </c>
      <c r="X1192" s="33">
        <f>quantInv[[#This Row],[Total Cost GBP]]/CADtoGBP</f>
        <v>0</v>
      </c>
      <c r="Y1192" s="33">
        <f>quantInv[[#This Row],[Quantity]]*quantInv[[#This Row],[UNIT
VALUE AUD]]</f>
        <v>0</v>
      </c>
      <c r="Z1192" s="33"/>
    </row>
    <row r="1193" spans="1:26" x14ac:dyDescent="0.25">
      <c r="A1193" t="s">
        <v>2744</v>
      </c>
      <c r="C1193" t="s">
        <v>114</v>
      </c>
      <c r="E1193">
        <v>0</v>
      </c>
      <c r="F1193" s="33">
        <v>7.0499999999999993E-2</v>
      </c>
      <c r="G1193" s="33" t="s">
        <v>2875</v>
      </c>
      <c r="H1193" t="s">
        <v>2875</v>
      </c>
      <c r="I1193" t="str">
        <f>IF(quantInv[[#This Row],[Metal]] = "925 Silver",  "7113.11.00"," 7113.19.00")</f>
        <v xml:space="preserve"> 7113.19.00</v>
      </c>
      <c r="J1193" t="str">
        <f>IF(quantInv[[#This Row],[Metal]] = "925 Silver", "7113.11.10.00"," 7113.19.10.00")</f>
        <v xml:space="preserve"> 7113.19.10.00</v>
      </c>
      <c r="K1193" t="str">
        <f>IF(quantInv[[#This Row],[Metal]] = "925 Silver",  "7113.11.00"," 7113.19.00")</f>
        <v xml:space="preserve"> 7113.19.00</v>
      </c>
      <c r="L1193" t="str">
        <f>IFERROR(VLOOKUP(quantInv[[#This Row],[Description for New Invoice]],Map!$G$12:$H$32,2,FALSE), IF(quantInv[[#This Row],[Metal]] = "925 Silver", "7113.11.10.00", "7113.19.29.00"))</f>
        <v>7113.19.29.00</v>
      </c>
      <c r="M1193" t="str">
        <f>quantInv[[#This Row],[ASIN]] &amp; " " &amp; quantInv[[#This Row],[Short Description]]</f>
        <v xml:space="preserve"> </v>
      </c>
      <c r="N1193" s="33">
        <f>quantInv[[#This Row],[UNIT
VALUE]] / EURtoGBP</f>
        <v>8.0025880710357392E-2</v>
      </c>
      <c r="O1193" s="33">
        <f>quantInv[[#This Row],[UNIT
VALUE]]/USDtoGBP</f>
        <v>9.6643787449467625E-2</v>
      </c>
      <c r="P1193" s="33">
        <f>quantInv[[#This Row],[UNIT
VALUE]] / CADtoGBP</f>
        <v>0.1237096035502024</v>
      </c>
      <c r="Q1193" s="33">
        <f>quantInv[[#This Row],[UNIT
VALUE]]/AUDtoGBP</f>
        <v>0.12662547596810114</v>
      </c>
      <c r="R1193">
        <f>IFERROR(VLOOKUP(quantInv[[#This Row],[Assigned Item SKU]],skuQuantity[#All],2,FALSE),0)</f>
        <v>0</v>
      </c>
      <c r="S1193" t="str">
        <f>PROPER(quantInv[[#This Row],[Metal]] &amp; " " &amp; quantInv[[#This Row],[Item Type]])</f>
        <v xml:space="preserve"> </v>
      </c>
      <c r="T1193" s="33">
        <f>quantInv[[#This Row],[Quantity]]*quantInv[[#This Row],[WEIGHT]]</f>
        <v>0</v>
      </c>
      <c r="U1193" s="33">
        <f>quantInv[[#This Row],[UNIT
VALUE]]*quantInv[[#This Row],[Quantity]]</f>
        <v>0</v>
      </c>
      <c r="V1193" s="33">
        <f>quantInv[[#This Row],[Total Cost GBP]]/EURtoGBP</f>
        <v>0</v>
      </c>
      <c r="W1193" s="33">
        <f>quantInv[[#This Row],[Total Cost GBP]]/USDtoGBP</f>
        <v>0</v>
      </c>
      <c r="X1193" s="33">
        <f>quantInv[[#This Row],[Total Cost GBP]]/CADtoGBP</f>
        <v>0</v>
      </c>
      <c r="Y1193" s="33">
        <f>quantInv[[#This Row],[Quantity]]*quantInv[[#This Row],[UNIT
VALUE AUD]]</f>
        <v>0</v>
      </c>
      <c r="Z1193" s="33"/>
    </row>
    <row r="1194" spans="1:26" x14ac:dyDescent="0.25">
      <c r="A1194" t="s">
        <v>2745</v>
      </c>
      <c r="C1194" t="s">
        <v>114</v>
      </c>
      <c r="E1194">
        <v>0</v>
      </c>
      <c r="F1194" s="33">
        <v>7.0499999999999993E-2</v>
      </c>
      <c r="G1194" s="33" t="s">
        <v>2875</v>
      </c>
      <c r="H1194" t="s">
        <v>2875</v>
      </c>
      <c r="I1194" t="str">
        <f>IF(quantInv[[#This Row],[Metal]] = "925 Silver",  "7113.11.00"," 7113.19.00")</f>
        <v xml:space="preserve"> 7113.19.00</v>
      </c>
      <c r="J1194" t="str">
        <f>IF(quantInv[[#This Row],[Metal]] = "925 Silver", "7113.11.10.00"," 7113.19.10.00")</f>
        <v xml:space="preserve"> 7113.19.10.00</v>
      </c>
      <c r="K1194" t="str">
        <f>IF(quantInv[[#This Row],[Metal]] = "925 Silver",  "7113.11.00"," 7113.19.00")</f>
        <v xml:space="preserve"> 7113.19.00</v>
      </c>
      <c r="L1194" t="str">
        <f>IFERROR(VLOOKUP(quantInv[[#This Row],[Description for New Invoice]],Map!$G$12:$H$32,2,FALSE), IF(quantInv[[#This Row],[Metal]] = "925 Silver", "7113.11.10.00", "7113.19.29.00"))</f>
        <v>7113.19.29.00</v>
      </c>
      <c r="M1194" t="str">
        <f>quantInv[[#This Row],[ASIN]] &amp; " " &amp; quantInv[[#This Row],[Short Description]]</f>
        <v xml:space="preserve"> </v>
      </c>
      <c r="N1194" s="33">
        <f>quantInv[[#This Row],[UNIT
VALUE]] / EURtoGBP</f>
        <v>8.0025880710357392E-2</v>
      </c>
      <c r="O1194" s="33">
        <f>quantInv[[#This Row],[UNIT
VALUE]]/USDtoGBP</f>
        <v>9.6643787449467625E-2</v>
      </c>
      <c r="P1194" s="33">
        <f>quantInv[[#This Row],[UNIT
VALUE]] / CADtoGBP</f>
        <v>0.1237096035502024</v>
      </c>
      <c r="Q1194" s="33">
        <f>quantInv[[#This Row],[UNIT
VALUE]]/AUDtoGBP</f>
        <v>0.12662547596810114</v>
      </c>
      <c r="R1194">
        <f>IFERROR(VLOOKUP(quantInv[[#This Row],[Assigned Item SKU]],skuQuantity[#All],2,FALSE),0)</f>
        <v>0</v>
      </c>
      <c r="S1194" t="str">
        <f>PROPER(quantInv[[#This Row],[Metal]] &amp; " " &amp; quantInv[[#This Row],[Item Type]])</f>
        <v xml:space="preserve"> </v>
      </c>
      <c r="T1194" s="33">
        <f>quantInv[[#This Row],[Quantity]]*quantInv[[#This Row],[WEIGHT]]</f>
        <v>0</v>
      </c>
      <c r="U1194" s="33">
        <f>quantInv[[#This Row],[UNIT
VALUE]]*quantInv[[#This Row],[Quantity]]</f>
        <v>0</v>
      </c>
      <c r="V1194" s="33">
        <f>quantInv[[#This Row],[Total Cost GBP]]/EURtoGBP</f>
        <v>0</v>
      </c>
      <c r="W1194" s="33">
        <f>quantInv[[#This Row],[Total Cost GBP]]/USDtoGBP</f>
        <v>0</v>
      </c>
      <c r="X1194" s="33">
        <f>quantInv[[#This Row],[Total Cost GBP]]/CADtoGBP</f>
        <v>0</v>
      </c>
      <c r="Y1194" s="33">
        <f>quantInv[[#This Row],[Quantity]]*quantInv[[#This Row],[UNIT
VALUE AUD]]</f>
        <v>0</v>
      </c>
      <c r="Z1194" s="33"/>
    </row>
    <row r="1195" spans="1:26" x14ac:dyDescent="0.25">
      <c r="A1195" t="s">
        <v>2746</v>
      </c>
      <c r="C1195" t="s">
        <v>114</v>
      </c>
      <c r="E1195">
        <v>0</v>
      </c>
      <c r="F1195" s="33">
        <v>7.0499999999999993E-2</v>
      </c>
      <c r="G1195" s="33" t="s">
        <v>2875</v>
      </c>
      <c r="H1195" t="s">
        <v>2875</v>
      </c>
      <c r="I1195" t="str">
        <f>IF(quantInv[[#This Row],[Metal]] = "925 Silver",  "7113.11.00"," 7113.19.00")</f>
        <v xml:space="preserve"> 7113.19.00</v>
      </c>
      <c r="J1195" t="str">
        <f>IF(quantInv[[#This Row],[Metal]] = "925 Silver", "7113.11.10.00"," 7113.19.10.00")</f>
        <v xml:space="preserve"> 7113.19.10.00</v>
      </c>
      <c r="K1195" t="str">
        <f>IF(quantInv[[#This Row],[Metal]] = "925 Silver",  "7113.11.00"," 7113.19.00")</f>
        <v xml:space="preserve"> 7113.19.00</v>
      </c>
      <c r="L1195" t="str">
        <f>IFERROR(VLOOKUP(quantInv[[#This Row],[Description for New Invoice]],Map!$G$12:$H$32,2,FALSE), IF(quantInv[[#This Row],[Metal]] = "925 Silver", "7113.11.10.00", "7113.19.29.00"))</f>
        <v>7113.19.29.00</v>
      </c>
      <c r="M1195" t="str">
        <f>quantInv[[#This Row],[ASIN]] &amp; " " &amp; quantInv[[#This Row],[Short Description]]</f>
        <v xml:space="preserve"> </v>
      </c>
      <c r="N1195" s="33">
        <f>quantInv[[#This Row],[UNIT
VALUE]] / EURtoGBP</f>
        <v>8.0025880710357392E-2</v>
      </c>
      <c r="O1195" s="33">
        <f>quantInv[[#This Row],[UNIT
VALUE]]/USDtoGBP</f>
        <v>9.6643787449467625E-2</v>
      </c>
      <c r="P1195" s="33">
        <f>quantInv[[#This Row],[UNIT
VALUE]] / CADtoGBP</f>
        <v>0.1237096035502024</v>
      </c>
      <c r="Q1195" s="33">
        <f>quantInv[[#This Row],[UNIT
VALUE]]/AUDtoGBP</f>
        <v>0.12662547596810114</v>
      </c>
      <c r="R1195">
        <f>IFERROR(VLOOKUP(quantInv[[#This Row],[Assigned Item SKU]],skuQuantity[#All],2,FALSE),0)</f>
        <v>0</v>
      </c>
      <c r="S1195" t="str">
        <f>PROPER(quantInv[[#This Row],[Metal]] &amp; " " &amp; quantInv[[#This Row],[Item Type]])</f>
        <v xml:space="preserve"> </v>
      </c>
      <c r="T1195" s="33">
        <f>quantInv[[#This Row],[Quantity]]*quantInv[[#This Row],[WEIGHT]]</f>
        <v>0</v>
      </c>
      <c r="U1195" s="33">
        <f>quantInv[[#This Row],[UNIT
VALUE]]*quantInv[[#This Row],[Quantity]]</f>
        <v>0</v>
      </c>
      <c r="V1195" s="33">
        <f>quantInv[[#This Row],[Total Cost GBP]]/EURtoGBP</f>
        <v>0</v>
      </c>
      <c r="W1195" s="33">
        <f>quantInv[[#This Row],[Total Cost GBP]]/USDtoGBP</f>
        <v>0</v>
      </c>
      <c r="X1195" s="33">
        <f>quantInv[[#This Row],[Total Cost GBP]]/CADtoGBP</f>
        <v>0</v>
      </c>
      <c r="Y1195" s="33">
        <f>quantInv[[#This Row],[Quantity]]*quantInv[[#This Row],[UNIT
VALUE AUD]]</f>
        <v>0</v>
      </c>
      <c r="Z1195" s="33"/>
    </row>
    <row r="1196" spans="1:26" x14ac:dyDescent="0.25">
      <c r="A1196" t="s">
        <v>2747</v>
      </c>
      <c r="C1196" t="s">
        <v>114</v>
      </c>
      <c r="E1196">
        <v>0</v>
      </c>
      <c r="F1196" s="33">
        <v>7.0499999999999993E-2</v>
      </c>
      <c r="G1196" s="33" t="s">
        <v>2875</v>
      </c>
      <c r="H1196" t="s">
        <v>2875</v>
      </c>
      <c r="I1196" t="str">
        <f>IF(quantInv[[#This Row],[Metal]] = "925 Silver",  "7113.11.00"," 7113.19.00")</f>
        <v xml:space="preserve"> 7113.19.00</v>
      </c>
      <c r="J1196" t="str">
        <f>IF(quantInv[[#This Row],[Metal]] = "925 Silver", "7113.11.10.00"," 7113.19.10.00")</f>
        <v xml:space="preserve"> 7113.19.10.00</v>
      </c>
      <c r="K1196" t="str">
        <f>IF(quantInv[[#This Row],[Metal]] = "925 Silver",  "7113.11.00"," 7113.19.00")</f>
        <v xml:space="preserve"> 7113.19.00</v>
      </c>
      <c r="L1196" t="str">
        <f>IFERROR(VLOOKUP(quantInv[[#This Row],[Description for New Invoice]],Map!$G$12:$H$32,2,FALSE), IF(quantInv[[#This Row],[Metal]] = "925 Silver", "7113.11.10.00", "7113.19.29.00"))</f>
        <v>7113.19.29.00</v>
      </c>
      <c r="M1196" t="str">
        <f>quantInv[[#This Row],[ASIN]] &amp; " " &amp; quantInv[[#This Row],[Short Description]]</f>
        <v xml:space="preserve"> </v>
      </c>
      <c r="N1196" s="33">
        <f>quantInv[[#This Row],[UNIT
VALUE]] / EURtoGBP</f>
        <v>8.0025880710357392E-2</v>
      </c>
      <c r="O1196" s="33">
        <f>quantInv[[#This Row],[UNIT
VALUE]]/USDtoGBP</f>
        <v>9.6643787449467625E-2</v>
      </c>
      <c r="P1196" s="33">
        <f>quantInv[[#This Row],[UNIT
VALUE]] / CADtoGBP</f>
        <v>0.1237096035502024</v>
      </c>
      <c r="Q1196" s="33">
        <f>quantInv[[#This Row],[UNIT
VALUE]]/AUDtoGBP</f>
        <v>0.12662547596810114</v>
      </c>
      <c r="R1196">
        <f>IFERROR(VLOOKUP(quantInv[[#This Row],[Assigned Item SKU]],skuQuantity[#All],2,FALSE),0)</f>
        <v>0</v>
      </c>
      <c r="S1196" t="str">
        <f>PROPER(quantInv[[#This Row],[Metal]] &amp; " " &amp; quantInv[[#This Row],[Item Type]])</f>
        <v xml:space="preserve"> </v>
      </c>
      <c r="T1196" s="33">
        <f>quantInv[[#This Row],[Quantity]]*quantInv[[#This Row],[WEIGHT]]</f>
        <v>0</v>
      </c>
      <c r="U1196" s="33">
        <f>quantInv[[#This Row],[UNIT
VALUE]]*quantInv[[#This Row],[Quantity]]</f>
        <v>0</v>
      </c>
      <c r="V1196" s="33">
        <f>quantInv[[#This Row],[Total Cost GBP]]/EURtoGBP</f>
        <v>0</v>
      </c>
      <c r="W1196" s="33">
        <f>quantInv[[#This Row],[Total Cost GBP]]/USDtoGBP</f>
        <v>0</v>
      </c>
      <c r="X1196" s="33">
        <f>quantInv[[#This Row],[Total Cost GBP]]/CADtoGBP</f>
        <v>0</v>
      </c>
      <c r="Y1196" s="33">
        <f>quantInv[[#This Row],[Quantity]]*quantInv[[#This Row],[UNIT
VALUE AUD]]</f>
        <v>0</v>
      </c>
      <c r="Z1196" s="33"/>
    </row>
    <row r="1197" spans="1:26" x14ac:dyDescent="0.25">
      <c r="A1197" t="s">
        <v>2748</v>
      </c>
      <c r="C1197" t="s">
        <v>114</v>
      </c>
      <c r="E1197">
        <v>0</v>
      </c>
      <c r="F1197" s="33">
        <v>7.0499999999999993E-2</v>
      </c>
      <c r="G1197" s="33" t="s">
        <v>2875</v>
      </c>
      <c r="H1197" t="s">
        <v>2875</v>
      </c>
      <c r="I1197" t="str">
        <f>IF(quantInv[[#This Row],[Metal]] = "925 Silver",  "7113.11.00"," 7113.19.00")</f>
        <v xml:space="preserve"> 7113.19.00</v>
      </c>
      <c r="J1197" t="str">
        <f>IF(quantInv[[#This Row],[Metal]] = "925 Silver", "7113.11.10.00"," 7113.19.10.00")</f>
        <v xml:space="preserve"> 7113.19.10.00</v>
      </c>
      <c r="K1197" t="str">
        <f>IF(quantInv[[#This Row],[Metal]] = "925 Silver",  "7113.11.00"," 7113.19.00")</f>
        <v xml:space="preserve"> 7113.19.00</v>
      </c>
      <c r="L1197" t="str">
        <f>IFERROR(VLOOKUP(quantInv[[#This Row],[Description for New Invoice]],Map!$G$12:$H$32,2,FALSE), IF(quantInv[[#This Row],[Metal]] = "925 Silver", "7113.11.10.00", "7113.19.29.00"))</f>
        <v>7113.19.29.00</v>
      </c>
      <c r="M1197" t="str">
        <f>quantInv[[#This Row],[ASIN]] &amp; " " &amp; quantInv[[#This Row],[Short Description]]</f>
        <v xml:space="preserve"> </v>
      </c>
      <c r="N1197" s="33">
        <f>quantInv[[#This Row],[UNIT
VALUE]] / EURtoGBP</f>
        <v>8.0025880710357392E-2</v>
      </c>
      <c r="O1197" s="33">
        <f>quantInv[[#This Row],[UNIT
VALUE]]/USDtoGBP</f>
        <v>9.6643787449467625E-2</v>
      </c>
      <c r="P1197" s="33">
        <f>quantInv[[#This Row],[UNIT
VALUE]] / CADtoGBP</f>
        <v>0.1237096035502024</v>
      </c>
      <c r="Q1197" s="33">
        <f>quantInv[[#This Row],[UNIT
VALUE]]/AUDtoGBP</f>
        <v>0.12662547596810114</v>
      </c>
      <c r="R1197">
        <f>IFERROR(VLOOKUP(quantInv[[#This Row],[Assigned Item SKU]],skuQuantity[#All],2,FALSE),0)</f>
        <v>0</v>
      </c>
      <c r="S1197" t="str">
        <f>PROPER(quantInv[[#This Row],[Metal]] &amp; " " &amp; quantInv[[#This Row],[Item Type]])</f>
        <v xml:space="preserve"> </v>
      </c>
      <c r="T1197" s="33">
        <f>quantInv[[#This Row],[Quantity]]*quantInv[[#This Row],[WEIGHT]]</f>
        <v>0</v>
      </c>
      <c r="U1197" s="33">
        <f>quantInv[[#This Row],[UNIT
VALUE]]*quantInv[[#This Row],[Quantity]]</f>
        <v>0</v>
      </c>
      <c r="V1197" s="33">
        <f>quantInv[[#This Row],[Total Cost GBP]]/EURtoGBP</f>
        <v>0</v>
      </c>
      <c r="W1197" s="33">
        <f>quantInv[[#This Row],[Total Cost GBP]]/USDtoGBP</f>
        <v>0</v>
      </c>
      <c r="X1197" s="33">
        <f>quantInv[[#This Row],[Total Cost GBP]]/CADtoGBP</f>
        <v>0</v>
      </c>
      <c r="Y1197" s="33">
        <f>quantInv[[#This Row],[Quantity]]*quantInv[[#This Row],[UNIT
VALUE AUD]]</f>
        <v>0</v>
      </c>
      <c r="Z1197" s="33"/>
    </row>
    <row r="1198" spans="1:26" x14ac:dyDescent="0.25">
      <c r="A1198" t="s">
        <v>2749</v>
      </c>
      <c r="C1198" t="s">
        <v>114</v>
      </c>
      <c r="E1198">
        <v>0</v>
      </c>
      <c r="F1198" s="33">
        <v>7.0499999999999993E-2</v>
      </c>
      <c r="G1198" s="33" t="s">
        <v>2875</v>
      </c>
      <c r="H1198" t="s">
        <v>2875</v>
      </c>
      <c r="I1198" t="str">
        <f>IF(quantInv[[#This Row],[Metal]] = "925 Silver",  "7113.11.00"," 7113.19.00")</f>
        <v xml:space="preserve"> 7113.19.00</v>
      </c>
      <c r="J1198" t="str">
        <f>IF(quantInv[[#This Row],[Metal]] = "925 Silver", "7113.11.10.00"," 7113.19.10.00")</f>
        <v xml:space="preserve"> 7113.19.10.00</v>
      </c>
      <c r="K1198" t="str">
        <f>IF(quantInv[[#This Row],[Metal]] = "925 Silver",  "7113.11.00"," 7113.19.00")</f>
        <v xml:space="preserve"> 7113.19.00</v>
      </c>
      <c r="L1198" t="str">
        <f>IFERROR(VLOOKUP(quantInv[[#This Row],[Description for New Invoice]],Map!$G$12:$H$32,2,FALSE), IF(quantInv[[#This Row],[Metal]] = "925 Silver", "7113.11.10.00", "7113.19.29.00"))</f>
        <v>7113.19.29.00</v>
      </c>
      <c r="M1198" t="str">
        <f>quantInv[[#This Row],[ASIN]] &amp; " " &amp; quantInv[[#This Row],[Short Description]]</f>
        <v xml:space="preserve"> </v>
      </c>
      <c r="N1198" s="33">
        <f>quantInv[[#This Row],[UNIT
VALUE]] / EURtoGBP</f>
        <v>8.0025880710357392E-2</v>
      </c>
      <c r="O1198" s="33">
        <f>quantInv[[#This Row],[UNIT
VALUE]]/USDtoGBP</f>
        <v>9.6643787449467625E-2</v>
      </c>
      <c r="P1198" s="33">
        <f>quantInv[[#This Row],[UNIT
VALUE]] / CADtoGBP</f>
        <v>0.1237096035502024</v>
      </c>
      <c r="Q1198" s="33">
        <f>quantInv[[#This Row],[UNIT
VALUE]]/AUDtoGBP</f>
        <v>0.12662547596810114</v>
      </c>
      <c r="R1198">
        <f>IFERROR(VLOOKUP(quantInv[[#This Row],[Assigned Item SKU]],skuQuantity[#All],2,FALSE),0)</f>
        <v>0</v>
      </c>
      <c r="S1198" t="str">
        <f>PROPER(quantInv[[#This Row],[Metal]] &amp; " " &amp; quantInv[[#This Row],[Item Type]])</f>
        <v xml:space="preserve"> </v>
      </c>
      <c r="T1198" s="33">
        <f>quantInv[[#This Row],[Quantity]]*quantInv[[#This Row],[WEIGHT]]</f>
        <v>0</v>
      </c>
      <c r="U1198" s="33">
        <f>quantInv[[#This Row],[UNIT
VALUE]]*quantInv[[#This Row],[Quantity]]</f>
        <v>0</v>
      </c>
      <c r="V1198" s="33">
        <f>quantInv[[#This Row],[Total Cost GBP]]/EURtoGBP</f>
        <v>0</v>
      </c>
      <c r="W1198" s="33">
        <f>quantInv[[#This Row],[Total Cost GBP]]/USDtoGBP</f>
        <v>0</v>
      </c>
      <c r="X1198" s="33">
        <f>quantInv[[#This Row],[Total Cost GBP]]/CADtoGBP</f>
        <v>0</v>
      </c>
      <c r="Y1198" s="33">
        <f>quantInv[[#This Row],[Quantity]]*quantInv[[#This Row],[UNIT
VALUE AUD]]</f>
        <v>0</v>
      </c>
      <c r="Z1198" s="33"/>
    </row>
    <row r="1199" spans="1:26" x14ac:dyDescent="0.25">
      <c r="A1199" t="s">
        <v>2750</v>
      </c>
      <c r="C1199" t="s">
        <v>114</v>
      </c>
      <c r="E1199">
        <v>0</v>
      </c>
      <c r="F1199" s="33">
        <v>7.0499999999999993E-2</v>
      </c>
      <c r="G1199" s="33" t="s">
        <v>2875</v>
      </c>
      <c r="H1199" t="s">
        <v>2875</v>
      </c>
      <c r="I1199" t="str">
        <f>IF(quantInv[[#This Row],[Metal]] = "925 Silver",  "7113.11.00"," 7113.19.00")</f>
        <v xml:space="preserve"> 7113.19.00</v>
      </c>
      <c r="J1199" t="str">
        <f>IF(quantInv[[#This Row],[Metal]] = "925 Silver", "7113.11.10.00"," 7113.19.10.00")</f>
        <v xml:space="preserve"> 7113.19.10.00</v>
      </c>
      <c r="K1199" t="str">
        <f>IF(quantInv[[#This Row],[Metal]] = "925 Silver",  "7113.11.00"," 7113.19.00")</f>
        <v xml:space="preserve"> 7113.19.00</v>
      </c>
      <c r="L1199" t="str">
        <f>IFERROR(VLOOKUP(quantInv[[#This Row],[Description for New Invoice]],Map!$G$12:$H$32,2,FALSE), IF(quantInv[[#This Row],[Metal]] = "925 Silver", "7113.11.10.00", "7113.19.29.00"))</f>
        <v>7113.19.29.00</v>
      </c>
      <c r="M1199" t="str">
        <f>quantInv[[#This Row],[ASIN]] &amp; " " &amp; quantInv[[#This Row],[Short Description]]</f>
        <v xml:space="preserve"> </v>
      </c>
      <c r="N1199" s="33">
        <f>quantInv[[#This Row],[UNIT
VALUE]] / EURtoGBP</f>
        <v>8.0025880710357392E-2</v>
      </c>
      <c r="O1199" s="33">
        <f>quantInv[[#This Row],[UNIT
VALUE]]/USDtoGBP</f>
        <v>9.6643787449467625E-2</v>
      </c>
      <c r="P1199" s="33">
        <f>quantInv[[#This Row],[UNIT
VALUE]] / CADtoGBP</f>
        <v>0.1237096035502024</v>
      </c>
      <c r="Q1199" s="33">
        <f>quantInv[[#This Row],[UNIT
VALUE]]/AUDtoGBP</f>
        <v>0.12662547596810114</v>
      </c>
      <c r="R1199">
        <f>IFERROR(VLOOKUP(quantInv[[#This Row],[Assigned Item SKU]],skuQuantity[#All],2,FALSE),0)</f>
        <v>0</v>
      </c>
      <c r="S1199" t="str">
        <f>PROPER(quantInv[[#This Row],[Metal]] &amp; " " &amp; quantInv[[#This Row],[Item Type]])</f>
        <v xml:space="preserve"> </v>
      </c>
      <c r="T1199" s="33">
        <f>quantInv[[#This Row],[Quantity]]*quantInv[[#This Row],[WEIGHT]]</f>
        <v>0</v>
      </c>
      <c r="U1199" s="33">
        <f>quantInv[[#This Row],[UNIT
VALUE]]*quantInv[[#This Row],[Quantity]]</f>
        <v>0</v>
      </c>
      <c r="V1199" s="33">
        <f>quantInv[[#This Row],[Total Cost GBP]]/EURtoGBP</f>
        <v>0</v>
      </c>
      <c r="W1199" s="33">
        <f>quantInv[[#This Row],[Total Cost GBP]]/USDtoGBP</f>
        <v>0</v>
      </c>
      <c r="X1199" s="33">
        <f>quantInv[[#This Row],[Total Cost GBP]]/CADtoGBP</f>
        <v>0</v>
      </c>
      <c r="Y1199" s="33">
        <f>quantInv[[#This Row],[Quantity]]*quantInv[[#This Row],[UNIT
VALUE AUD]]</f>
        <v>0</v>
      </c>
      <c r="Z1199" s="33"/>
    </row>
    <row r="1200" spans="1:26" x14ac:dyDescent="0.25">
      <c r="A1200" t="s">
        <v>2751</v>
      </c>
      <c r="C1200" t="s">
        <v>114</v>
      </c>
      <c r="E1200">
        <v>0</v>
      </c>
      <c r="F1200" s="33">
        <v>7.0499999999999993E-2</v>
      </c>
      <c r="G1200" s="33" t="s">
        <v>2875</v>
      </c>
      <c r="H1200" t="s">
        <v>2875</v>
      </c>
      <c r="I1200" t="str">
        <f>IF(quantInv[[#This Row],[Metal]] = "925 Silver",  "7113.11.00"," 7113.19.00")</f>
        <v xml:space="preserve"> 7113.19.00</v>
      </c>
      <c r="J1200" t="str">
        <f>IF(quantInv[[#This Row],[Metal]] = "925 Silver", "7113.11.10.00"," 7113.19.10.00")</f>
        <v xml:space="preserve"> 7113.19.10.00</v>
      </c>
      <c r="K1200" t="str">
        <f>IF(quantInv[[#This Row],[Metal]] = "925 Silver",  "7113.11.00"," 7113.19.00")</f>
        <v xml:space="preserve"> 7113.19.00</v>
      </c>
      <c r="L1200" t="str">
        <f>IFERROR(VLOOKUP(quantInv[[#This Row],[Description for New Invoice]],Map!$G$12:$H$32,2,FALSE), IF(quantInv[[#This Row],[Metal]] = "925 Silver", "7113.11.10.00", "7113.19.29.00"))</f>
        <v>7113.19.29.00</v>
      </c>
      <c r="M1200" t="str">
        <f>quantInv[[#This Row],[ASIN]] &amp; " " &amp; quantInv[[#This Row],[Short Description]]</f>
        <v xml:space="preserve"> </v>
      </c>
      <c r="N1200" s="33">
        <f>quantInv[[#This Row],[UNIT
VALUE]] / EURtoGBP</f>
        <v>8.0025880710357392E-2</v>
      </c>
      <c r="O1200" s="33">
        <f>quantInv[[#This Row],[UNIT
VALUE]]/USDtoGBP</f>
        <v>9.6643787449467625E-2</v>
      </c>
      <c r="P1200" s="33">
        <f>quantInv[[#This Row],[UNIT
VALUE]] / CADtoGBP</f>
        <v>0.1237096035502024</v>
      </c>
      <c r="Q1200" s="33">
        <f>quantInv[[#This Row],[UNIT
VALUE]]/AUDtoGBP</f>
        <v>0.12662547596810114</v>
      </c>
      <c r="R1200">
        <f>IFERROR(VLOOKUP(quantInv[[#This Row],[Assigned Item SKU]],skuQuantity[#All],2,FALSE),0)</f>
        <v>0</v>
      </c>
      <c r="S1200" t="str">
        <f>PROPER(quantInv[[#This Row],[Metal]] &amp; " " &amp; quantInv[[#This Row],[Item Type]])</f>
        <v xml:space="preserve"> </v>
      </c>
      <c r="T1200" s="33">
        <f>quantInv[[#This Row],[Quantity]]*quantInv[[#This Row],[WEIGHT]]</f>
        <v>0</v>
      </c>
      <c r="U1200" s="33">
        <f>quantInv[[#This Row],[UNIT
VALUE]]*quantInv[[#This Row],[Quantity]]</f>
        <v>0</v>
      </c>
      <c r="V1200" s="33">
        <f>quantInv[[#This Row],[Total Cost GBP]]/EURtoGBP</f>
        <v>0</v>
      </c>
      <c r="W1200" s="33">
        <f>quantInv[[#This Row],[Total Cost GBP]]/USDtoGBP</f>
        <v>0</v>
      </c>
      <c r="X1200" s="33">
        <f>quantInv[[#This Row],[Total Cost GBP]]/CADtoGBP</f>
        <v>0</v>
      </c>
      <c r="Y1200" s="33">
        <f>quantInv[[#This Row],[Quantity]]*quantInv[[#This Row],[UNIT
VALUE AUD]]</f>
        <v>0</v>
      </c>
      <c r="Z1200" s="33"/>
    </row>
    <row r="1201" spans="1:26" x14ac:dyDescent="0.25">
      <c r="A1201" t="s">
        <v>2752</v>
      </c>
      <c r="C1201" t="s">
        <v>114</v>
      </c>
      <c r="E1201">
        <v>0</v>
      </c>
      <c r="F1201" s="33">
        <v>7.0499999999999993E-2</v>
      </c>
      <c r="G1201" s="33" t="s">
        <v>2875</v>
      </c>
      <c r="H1201" t="s">
        <v>2875</v>
      </c>
      <c r="I1201" t="str">
        <f>IF(quantInv[[#This Row],[Metal]] = "925 Silver",  "7113.11.00"," 7113.19.00")</f>
        <v xml:space="preserve"> 7113.19.00</v>
      </c>
      <c r="J1201" t="str">
        <f>IF(quantInv[[#This Row],[Metal]] = "925 Silver", "7113.11.10.00"," 7113.19.10.00")</f>
        <v xml:space="preserve"> 7113.19.10.00</v>
      </c>
      <c r="K1201" t="str">
        <f>IF(quantInv[[#This Row],[Metal]] = "925 Silver",  "7113.11.00"," 7113.19.00")</f>
        <v xml:space="preserve"> 7113.19.00</v>
      </c>
      <c r="L1201" t="str">
        <f>IFERROR(VLOOKUP(quantInv[[#This Row],[Description for New Invoice]],Map!$G$12:$H$32,2,FALSE), IF(quantInv[[#This Row],[Metal]] = "925 Silver", "7113.11.10.00", "7113.19.29.00"))</f>
        <v>7113.19.29.00</v>
      </c>
      <c r="M1201" t="str">
        <f>quantInv[[#This Row],[ASIN]] &amp; " " &amp; quantInv[[#This Row],[Short Description]]</f>
        <v xml:space="preserve"> </v>
      </c>
      <c r="N1201" s="33">
        <f>quantInv[[#This Row],[UNIT
VALUE]] / EURtoGBP</f>
        <v>8.0025880710357392E-2</v>
      </c>
      <c r="O1201" s="33">
        <f>quantInv[[#This Row],[UNIT
VALUE]]/USDtoGBP</f>
        <v>9.6643787449467625E-2</v>
      </c>
      <c r="P1201" s="33">
        <f>quantInv[[#This Row],[UNIT
VALUE]] / CADtoGBP</f>
        <v>0.1237096035502024</v>
      </c>
      <c r="Q1201" s="33">
        <f>quantInv[[#This Row],[UNIT
VALUE]]/AUDtoGBP</f>
        <v>0.12662547596810114</v>
      </c>
      <c r="R1201">
        <f>IFERROR(VLOOKUP(quantInv[[#This Row],[Assigned Item SKU]],skuQuantity[#All],2,FALSE),0)</f>
        <v>0</v>
      </c>
      <c r="S1201" t="str">
        <f>PROPER(quantInv[[#This Row],[Metal]] &amp; " " &amp; quantInv[[#This Row],[Item Type]])</f>
        <v xml:space="preserve"> </v>
      </c>
      <c r="T1201" s="33">
        <f>quantInv[[#This Row],[Quantity]]*quantInv[[#This Row],[WEIGHT]]</f>
        <v>0</v>
      </c>
      <c r="U1201" s="33">
        <f>quantInv[[#This Row],[UNIT
VALUE]]*quantInv[[#This Row],[Quantity]]</f>
        <v>0</v>
      </c>
      <c r="V1201" s="33">
        <f>quantInv[[#This Row],[Total Cost GBP]]/EURtoGBP</f>
        <v>0</v>
      </c>
      <c r="W1201" s="33">
        <f>quantInv[[#This Row],[Total Cost GBP]]/USDtoGBP</f>
        <v>0</v>
      </c>
      <c r="X1201" s="33">
        <f>quantInv[[#This Row],[Total Cost GBP]]/CADtoGBP</f>
        <v>0</v>
      </c>
      <c r="Y1201" s="33">
        <f>quantInv[[#This Row],[Quantity]]*quantInv[[#This Row],[UNIT
VALUE AUD]]</f>
        <v>0</v>
      </c>
      <c r="Z1201" s="33"/>
    </row>
    <row r="1202" spans="1:26" x14ac:dyDescent="0.25">
      <c r="A1202" t="s">
        <v>2753</v>
      </c>
      <c r="C1202" t="s">
        <v>114</v>
      </c>
      <c r="E1202">
        <v>0</v>
      </c>
      <c r="F1202" s="33">
        <v>7.0499999999999993E-2</v>
      </c>
      <c r="G1202" s="33" t="s">
        <v>2875</v>
      </c>
      <c r="H1202" t="s">
        <v>2875</v>
      </c>
      <c r="I1202" t="str">
        <f>IF(quantInv[[#This Row],[Metal]] = "925 Silver",  "7113.11.00"," 7113.19.00")</f>
        <v xml:space="preserve"> 7113.19.00</v>
      </c>
      <c r="J1202" t="str">
        <f>IF(quantInv[[#This Row],[Metal]] = "925 Silver", "7113.11.10.00"," 7113.19.10.00")</f>
        <v xml:space="preserve"> 7113.19.10.00</v>
      </c>
      <c r="K1202" t="str">
        <f>IF(quantInv[[#This Row],[Metal]] = "925 Silver",  "7113.11.00"," 7113.19.00")</f>
        <v xml:space="preserve"> 7113.19.00</v>
      </c>
      <c r="L1202" t="str">
        <f>IFERROR(VLOOKUP(quantInv[[#This Row],[Description for New Invoice]],Map!$G$12:$H$32,2,FALSE), IF(quantInv[[#This Row],[Metal]] = "925 Silver", "7113.11.10.00", "7113.19.29.00"))</f>
        <v>7113.19.29.00</v>
      </c>
      <c r="M1202" t="str">
        <f>quantInv[[#This Row],[ASIN]] &amp; " " &amp; quantInv[[#This Row],[Short Description]]</f>
        <v xml:space="preserve"> </v>
      </c>
      <c r="N1202" s="33">
        <f>quantInv[[#This Row],[UNIT
VALUE]] / EURtoGBP</f>
        <v>8.0025880710357392E-2</v>
      </c>
      <c r="O1202" s="33">
        <f>quantInv[[#This Row],[UNIT
VALUE]]/USDtoGBP</f>
        <v>9.6643787449467625E-2</v>
      </c>
      <c r="P1202" s="33">
        <f>quantInv[[#This Row],[UNIT
VALUE]] / CADtoGBP</f>
        <v>0.1237096035502024</v>
      </c>
      <c r="Q1202" s="33">
        <f>quantInv[[#This Row],[UNIT
VALUE]]/AUDtoGBP</f>
        <v>0.12662547596810114</v>
      </c>
      <c r="R1202">
        <f>IFERROR(VLOOKUP(quantInv[[#This Row],[Assigned Item SKU]],skuQuantity[#All],2,FALSE),0)</f>
        <v>0</v>
      </c>
      <c r="S1202" t="str">
        <f>PROPER(quantInv[[#This Row],[Metal]] &amp; " " &amp; quantInv[[#This Row],[Item Type]])</f>
        <v xml:space="preserve"> </v>
      </c>
      <c r="T1202" s="33">
        <f>quantInv[[#This Row],[Quantity]]*quantInv[[#This Row],[WEIGHT]]</f>
        <v>0</v>
      </c>
      <c r="U1202" s="33">
        <f>quantInv[[#This Row],[UNIT
VALUE]]*quantInv[[#This Row],[Quantity]]</f>
        <v>0</v>
      </c>
      <c r="V1202" s="33">
        <f>quantInv[[#This Row],[Total Cost GBP]]/EURtoGBP</f>
        <v>0</v>
      </c>
      <c r="W1202" s="33">
        <f>quantInv[[#This Row],[Total Cost GBP]]/USDtoGBP</f>
        <v>0</v>
      </c>
      <c r="X1202" s="33">
        <f>quantInv[[#This Row],[Total Cost GBP]]/CADtoGBP</f>
        <v>0</v>
      </c>
      <c r="Y1202" s="33">
        <f>quantInv[[#This Row],[Quantity]]*quantInv[[#This Row],[UNIT
VALUE AUD]]</f>
        <v>0</v>
      </c>
      <c r="Z1202" s="33"/>
    </row>
    <row r="1203" spans="1:26" x14ac:dyDescent="0.25">
      <c r="A1203" t="s">
        <v>2754</v>
      </c>
      <c r="C1203" t="s">
        <v>114</v>
      </c>
      <c r="E1203">
        <v>0</v>
      </c>
      <c r="F1203" s="33">
        <v>7.0499999999999993E-2</v>
      </c>
      <c r="G1203" s="33" t="s">
        <v>2875</v>
      </c>
      <c r="H1203" t="s">
        <v>2875</v>
      </c>
      <c r="I1203" t="str">
        <f>IF(quantInv[[#This Row],[Metal]] = "925 Silver",  "7113.11.00"," 7113.19.00")</f>
        <v xml:space="preserve"> 7113.19.00</v>
      </c>
      <c r="J1203" t="str">
        <f>IF(quantInv[[#This Row],[Metal]] = "925 Silver", "7113.11.10.00"," 7113.19.10.00")</f>
        <v xml:space="preserve"> 7113.19.10.00</v>
      </c>
      <c r="K1203" t="str">
        <f>IF(quantInv[[#This Row],[Metal]] = "925 Silver",  "7113.11.00"," 7113.19.00")</f>
        <v xml:space="preserve"> 7113.19.00</v>
      </c>
      <c r="L1203" t="str">
        <f>IFERROR(VLOOKUP(quantInv[[#This Row],[Description for New Invoice]],Map!$G$12:$H$32,2,FALSE), IF(quantInv[[#This Row],[Metal]] = "925 Silver", "7113.11.10.00", "7113.19.29.00"))</f>
        <v>7113.19.29.00</v>
      </c>
      <c r="M1203" t="str">
        <f>quantInv[[#This Row],[ASIN]] &amp; " " &amp; quantInv[[#This Row],[Short Description]]</f>
        <v xml:space="preserve"> </v>
      </c>
      <c r="N1203" s="33">
        <f>quantInv[[#This Row],[UNIT
VALUE]] / EURtoGBP</f>
        <v>8.0025880710357392E-2</v>
      </c>
      <c r="O1203" s="33">
        <f>quantInv[[#This Row],[UNIT
VALUE]]/USDtoGBP</f>
        <v>9.6643787449467625E-2</v>
      </c>
      <c r="P1203" s="33">
        <f>quantInv[[#This Row],[UNIT
VALUE]] / CADtoGBP</f>
        <v>0.1237096035502024</v>
      </c>
      <c r="Q1203" s="33">
        <f>quantInv[[#This Row],[UNIT
VALUE]]/AUDtoGBP</f>
        <v>0.12662547596810114</v>
      </c>
      <c r="R1203">
        <f>IFERROR(VLOOKUP(quantInv[[#This Row],[Assigned Item SKU]],skuQuantity[#All],2,FALSE),0)</f>
        <v>0</v>
      </c>
      <c r="S1203" t="str">
        <f>PROPER(quantInv[[#This Row],[Metal]] &amp; " " &amp; quantInv[[#This Row],[Item Type]])</f>
        <v xml:space="preserve"> </v>
      </c>
      <c r="T1203" s="33">
        <f>quantInv[[#This Row],[Quantity]]*quantInv[[#This Row],[WEIGHT]]</f>
        <v>0</v>
      </c>
      <c r="U1203" s="33">
        <f>quantInv[[#This Row],[UNIT
VALUE]]*quantInv[[#This Row],[Quantity]]</f>
        <v>0</v>
      </c>
      <c r="V1203" s="33">
        <f>quantInv[[#This Row],[Total Cost GBP]]/EURtoGBP</f>
        <v>0</v>
      </c>
      <c r="W1203" s="33">
        <f>quantInv[[#This Row],[Total Cost GBP]]/USDtoGBP</f>
        <v>0</v>
      </c>
      <c r="X1203" s="33">
        <f>quantInv[[#This Row],[Total Cost GBP]]/CADtoGBP</f>
        <v>0</v>
      </c>
      <c r="Y1203" s="33">
        <f>quantInv[[#This Row],[Quantity]]*quantInv[[#This Row],[UNIT
VALUE AUD]]</f>
        <v>0</v>
      </c>
      <c r="Z1203" s="33"/>
    </row>
    <row r="1204" spans="1:26" x14ac:dyDescent="0.25">
      <c r="A1204" t="s">
        <v>2755</v>
      </c>
      <c r="C1204" t="s">
        <v>114</v>
      </c>
      <c r="E1204">
        <v>0</v>
      </c>
      <c r="F1204" s="33">
        <v>7.0499999999999993E-2</v>
      </c>
      <c r="G1204" s="33" t="s">
        <v>2875</v>
      </c>
      <c r="H1204" t="s">
        <v>2875</v>
      </c>
      <c r="I1204" t="str">
        <f>IF(quantInv[[#This Row],[Metal]] = "925 Silver",  "7113.11.00"," 7113.19.00")</f>
        <v xml:space="preserve"> 7113.19.00</v>
      </c>
      <c r="J1204" t="str">
        <f>IF(quantInv[[#This Row],[Metal]] = "925 Silver", "7113.11.10.00"," 7113.19.10.00")</f>
        <v xml:space="preserve"> 7113.19.10.00</v>
      </c>
      <c r="K1204" t="str">
        <f>IF(quantInv[[#This Row],[Metal]] = "925 Silver",  "7113.11.00"," 7113.19.00")</f>
        <v xml:space="preserve"> 7113.19.00</v>
      </c>
      <c r="L1204" t="str">
        <f>IFERROR(VLOOKUP(quantInv[[#This Row],[Description for New Invoice]],Map!$G$12:$H$32,2,FALSE), IF(quantInv[[#This Row],[Metal]] = "925 Silver", "7113.11.10.00", "7113.19.29.00"))</f>
        <v>7113.19.29.00</v>
      </c>
      <c r="M1204" t="str">
        <f>quantInv[[#This Row],[ASIN]] &amp; " " &amp; quantInv[[#This Row],[Short Description]]</f>
        <v xml:space="preserve"> </v>
      </c>
      <c r="N1204" s="33">
        <f>quantInv[[#This Row],[UNIT
VALUE]] / EURtoGBP</f>
        <v>8.0025880710357392E-2</v>
      </c>
      <c r="O1204" s="33">
        <f>quantInv[[#This Row],[UNIT
VALUE]]/USDtoGBP</f>
        <v>9.6643787449467625E-2</v>
      </c>
      <c r="P1204" s="33">
        <f>quantInv[[#This Row],[UNIT
VALUE]] / CADtoGBP</f>
        <v>0.1237096035502024</v>
      </c>
      <c r="Q1204" s="33">
        <f>quantInv[[#This Row],[UNIT
VALUE]]/AUDtoGBP</f>
        <v>0.12662547596810114</v>
      </c>
      <c r="R1204">
        <f>IFERROR(VLOOKUP(quantInv[[#This Row],[Assigned Item SKU]],skuQuantity[#All],2,FALSE),0)</f>
        <v>0</v>
      </c>
      <c r="S1204" t="str">
        <f>PROPER(quantInv[[#This Row],[Metal]] &amp; " " &amp; quantInv[[#This Row],[Item Type]])</f>
        <v xml:space="preserve"> </v>
      </c>
      <c r="T1204" s="33">
        <f>quantInv[[#This Row],[Quantity]]*quantInv[[#This Row],[WEIGHT]]</f>
        <v>0</v>
      </c>
      <c r="U1204" s="33">
        <f>quantInv[[#This Row],[UNIT
VALUE]]*quantInv[[#This Row],[Quantity]]</f>
        <v>0</v>
      </c>
      <c r="V1204" s="33">
        <f>quantInv[[#This Row],[Total Cost GBP]]/EURtoGBP</f>
        <v>0</v>
      </c>
      <c r="W1204" s="33">
        <f>quantInv[[#This Row],[Total Cost GBP]]/USDtoGBP</f>
        <v>0</v>
      </c>
      <c r="X1204" s="33">
        <f>quantInv[[#This Row],[Total Cost GBP]]/CADtoGBP</f>
        <v>0</v>
      </c>
      <c r="Y1204" s="33">
        <f>quantInv[[#This Row],[Quantity]]*quantInv[[#This Row],[UNIT
VALUE AUD]]</f>
        <v>0</v>
      </c>
      <c r="Z1204" s="33"/>
    </row>
    <row r="1205" spans="1:26" x14ac:dyDescent="0.25">
      <c r="A1205" t="s">
        <v>2756</v>
      </c>
      <c r="C1205" t="s">
        <v>114</v>
      </c>
      <c r="E1205">
        <v>0</v>
      </c>
      <c r="F1205" s="33">
        <v>7.0499999999999993E-2</v>
      </c>
      <c r="G1205" s="33" t="s">
        <v>2875</v>
      </c>
      <c r="H1205" t="s">
        <v>2875</v>
      </c>
      <c r="I1205" t="str">
        <f>IF(quantInv[[#This Row],[Metal]] = "925 Silver",  "7113.11.00"," 7113.19.00")</f>
        <v xml:space="preserve"> 7113.19.00</v>
      </c>
      <c r="J1205" t="str">
        <f>IF(quantInv[[#This Row],[Metal]] = "925 Silver", "7113.11.10.00"," 7113.19.10.00")</f>
        <v xml:space="preserve"> 7113.19.10.00</v>
      </c>
      <c r="K1205" t="str">
        <f>IF(quantInv[[#This Row],[Metal]] = "925 Silver",  "7113.11.00"," 7113.19.00")</f>
        <v xml:space="preserve"> 7113.19.00</v>
      </c>
      <c r="L1205" t="str">
        <f>IFERROR(VLOOKUP(quantInv[[#This Row],[Description for New Invoice]],Map!$G$12:$H$32,2,FALSE), IF(quantInv[[#This Row],[Metal]] = "925 Silver", "7113.11.10.00", "7113.19.29.00"))</f>
        <v>7113.19.29.00</v>
      </c>
      <c r="M1205" t="str">
        <f>quantInv[[#This Row],[ASIN]] &amp; " " &amp; quantInv[[#This Row],[Short Description]]</f>
        <v xml:space="preserve"> </v>
      </c>
      <c r="N1205" s="33">
        <f>quantInv[[#This Row],[UNIT
VALUE]] / EURtoGBP</f>
        <v>8.0025880710357392E-2</v>
      </c>
      <c r="O1205" s="33">
        <f>quantInv[[#This Row],[UNIT
VALUE]]/USDtoGBP</f>
        <v>9.6643787449467625E-2</v>
      </c>
      <c r="P1205" s="33">
        <f>quantInv[[#This Row],[UNIT
VALUE]] / CADtoGBP</f>
        <v>0.1237096035502024</v>
      </c>
      <c r="Q1205" s="33">
        <f>quantInv[[#This Row],[UNIT
VALUE]]/AUDtoGBP</f>
        <v>0.12662547596810114</v>
      </c>
      <c r="R1205">
        <f>IFERROR(VLOOKUP(quantInv[[#This Row],[Assigned Item SKU]],skuQuantity[#All],2,FALSE),0)</f>
        <v>0</v>
      </c>
      <c r="S1205" t="str">
        <f>PROPER(quantInv[[#This Row],[Metal]] &amp; " " &amp; quantInv[[#This Row],[Item Type]])</f>
        <v xml:space="preserve"> </v>
      </c>
      <c r="T1205" s="33">
        <f>quantInv[[#This Row],[Quantity]]*quantInv[[#This Row],[WEIGHT]]</f>
        <v>0</v>
      </c>
      <c r="U1205" s="33">
        <f>quantInv[[#This Row],[UNIT
VALUE]]*quantInv[[#This Row],[Quantity]]</f>
        <v>0</v>
      </c>
      <c r="V1205" s="33">
        <f>quantInv[[#This Row],[Total Cost GBP]]/EURtoGBP</f>
        <v>0</v>
      </c>
      <c r="W1205" s="33">
        <f>quantInv[[#This Row],[Total Cost GBP]]/USDtoGBP</f>
        <v>0</v>
      </c>
      <c r="X1205" s="33">
        <f>quantInv[[#This Row],[Total Cost GBP]]/CADtoGBP</f>
        <v>0</v>
      </c>
      <c r="Y1205" s="33">
        <f>quantInv[[#This Row],[Quantity]]*quantInv[[#This Row],[UNIT
VALUE AUD]]</f>
        <v>0</v>
      </c>
      <c r="Z1205" s="33"/>
    </row>
    <row r="1206" spans="1:26" x14ac:dyDescent="0.25">
      <c r="A1206" t="s">
        <v>2757</v>
      </c>
      <c r="C1206" t="s">
        <v>114</v>
      </c>
      <c r="E1206">
        <v>0</v>
      </c>
      <c r="F1206" s="33">
        <v>7.0499999999999993E-2</v>
      </c>
      <c r="G1206" s="33" t="s">
        <v>2875</v>
      </c>
      <c r="H1206" t="s">
        <v>2875</v>
      </c>
      <c r="I1206" t="str">
        <f>IF(quantInv[[#This Row],[Metal]] = "925 Silver",  "7113.11.00"," 7113.19.00")</f>
        <v xml:space="preserve"> 7113.19.00</v>
      </c>
      <c r="J1206" t="str">
        <f>IF(quantInv[[#This Row],[Metal]] = "925 Silver", "7113.11.10.00"," 7113.19.10.00")</f>
        <v xml:space="preserve"> 7113.19.10.00</v>
      </c>
      <c r="K1206" t="str">
        <f>IF(quantInv[[#This Row],[Metal]] = "925 Silver",  "7113.11.00"," 7113.19.00")</f>
        <v xml:space="preserve"> 7113.19.00</v>
      </c>
      <c r="L1206" t="str">
        <f>IFERROR(VLOOKUP(quantInv[[#This Row],[Description for New Invoice]],Map!$G$12:$H$32,2,FALSE), IF(quantInv[[#This Row],[Metal]] = "925 Silver", "7113.11.10.00", "7113.19.29.00"))</f>
        <v>7113.19.29.00</v>
      </c>
      <c r="M1206" t="str">
        <f>quantInv[[#This Row],[ASIN]] &amp; " " &amp; quantInv[[#This Row],[Short Description]]</f>
        <v xml:space="preserve"> </v>
      </c>
      <c r="N1206" s="33">
        <f>quantInv[[#This Row],[UNIT
VALUE]] / EURtoGBP</f>
        <v>8.0025880710357392E-2</v>
      </c>
      <c r="O1206" s="33">
        <f>quantInv[[#This Row],[UNIT
VALUE]]/USDtoGBP</f>
        <v>9.6643787449467625E-2</v>
      </c>
      <c r="P1206" s="33">
        <f>quantInv[[#This Row],[UNIT
VALUE]] / CADtoGBP</f>
        <v>0.1237096035502024</v>
      </c>
      <c r="Q1206" s="33">
        <f>quantInv[[#This Row],[UNIT
VALUE]]/AUDtoGBP</f>
        <v>0.12662547596810114</v>
      </c>
      <c r="R1206">
        <f>IFERROR(VLOOKUP(quantInv[[#This Row],[Assigned Item SKU]],skuQuantity[#All],2,FALSE),0)</f>
        <v>0</v>
      </c>
      <c r="S1206" t="str">
        <f>PROPER(quantInv[[#This Row],[Metal]] &amp; " " &amp; quantInv[[#This Row],[Item Type]])</f>
        <v xml:space="preserve"> </v>
      </c>
      <c r="T1206" s="33">
        <f>quantInv[[#This Row],[Quantity]]*quantInv[[#This Row],[WEIGHT]]</f>
        <v>0</v>
      </c>
      <c r="U1206" s="33">
        <f>quantInv[[#This Row],[UNIT
VALUE]]*quantInv[[#This Row],[Quantity]]</f>
        <v>0</v>
      </c>
      <c r="V1206" s="33">
        <f>quantInv[[#This Row],[Total Cost GBP]]/EURtoGBP</f>
        <v>0</v>
      </c>
      <c r="W1206" s="33">
        <f>quantInv[[#This Row],[Total Cost GBP]]/USDtoGBP</f>
        <v>0</v>
      </c>
      <c r="X1206" s="33">
        <f>quantInv[[#This Row],[Total Cost GBP]]/CADtoGBP</f>
        <v>0</v>
      </c>
      <c r="Y1206" s="33">
        <f>quantInv[[#This Row],[Quantity]]*quantInv[[#This Row],[UNIT
VALUE AUD]]</f>
        <v>0</v>
      </c>
      <c r="Z1206" s="33"/>
    </row>
    <row r="1207" spans="1:26" x14ac:dyDescent="0.25">
      <c r="A1207" t="s">
        <v>2758</v>
      </c>
      <c r="C1207" t="s">
        <v>114</v>
      </c>
      <c r="E1207">
        <v>0</v>
      </c>
      <c r="F1207" s="33">
        <v>7.0499999999999993E-2</v>
      </c>
      <c r="G1207" s="33" t="s">
        <v>2875</v>
      </c>
      <c r="H1207" t="s">
        <v>2875</v>
      </c>
      <c r="I1207" t="str">
        <f>IF(quantInv[[#This Row],[Metal]] = "925 Silver",  "7113.11.00"," 7113.19.00")</f>
        <v xml:space="preserve"> 7113.19.00</v>
      </c>
      <c r="J1207" t="str">
        <f>IF(quantInv[[#This Row],[Metal]] = "925 Silver", "7113.11.10.00"," 7113.19.10.00")</f>
        <v xml:space="preserve"> 7113.19.10.00</v>
      </c>
      <c r="K1207" t="str">
        <f>IF(quantInv[[#This Row],[Metal]] = "925 Silver",  "7113.11.00"," 7113.19.00")</f>
        <v xml:space="preserve"> 7113.19.00</v>
      </c>
      <c r="L1207" t="str">
        <f>IFERROR(VLOOKUP(quantInv[[#This Row],[Description for New Invoice]],Map!$G$12:$H$32,2,FALSE), IF(quantInv[[#This Row],[Metal]] = "925 Silver", "7113.11.10.00", "7113.19.29.00"))</f>
        <v>7113.19.29.00</v>
      </c>
      <c r="M1207" t="str">
        <f>quantInv[[#This Row],[ASIN]] &amp; " " &amp; quantInv[[#This Row],[Short Description]]</f>
        <v xml:space="preserve"> </v>
      </c>
      <c r="N1207" s="33">
        <f>quantInv[[#This Row],[UNIT
VALUE]] / EURtoGBP</f>
        <v>8.0025880710357392E-2</v>
      </c>
      <c r="O1207" s="33">
        <f>quantInv[[#This Row],[UNIT
VALUE]]/USDtoGBP</f>
        <v>9.6643787449467625E-2</v>
      </c>
      <c r="P1207" s="33">
        <f>quantInv[[#This Row],[UNIT
VALUE]] / CADtoGBP</f>
        <v>0.1237096035502024</v>
      </c>
      <c r="Q1207" s="33">
        <f>quantInv[[#This Row],[UNIT
VALUE]]/AUDtoGBP</f>
        <v>0.12662547596810114</v>
      </c>
      <c r="R1207">
        <f>IFERROR(VLOOKUP(quantInv[[#This Row],[Assigned Item SKU]],skuQuantity[#All],2,FALSE),0)</f>
        <v>0</v>
      </c>
      <c r="S1207" t="str">
        <f>PROPER(quantInv[[#This Row],[Metal]] &amp; " " &amp; quantInv[[#This Row],[Item Type]])</f>
        <v xml:space="preserve"> </v>
      </c>
      <c r="T1207" s="33">
        <f>quantInv[[#This Row],[Quantity]]*quantInv[[#This Row],[WEIGHT]]</f>
        <v>0</v>
      </c>
      <c r="U1207" s="33">
        <f>quantInv[[#This Row],[UNIT
VALUE]]*quantInv[[#This Row],[Quantity]]</f>
        <v>0</v>
      </c>
      <c r="V1207" s="33">
        <f>quantInv[[#This Row],[Total Cost GBP]]/EURtoGBP</f>
        <v>0</v>
      </c>
      <c r="W1207" s="33">
        <f>quantInv[[#This Row],[Total Cost GBP]]/USDtoGBP</f>
        <v>0</v>
      </c>
      <c r="X1207" s="33">
        <f>quantInv[[#This Row],[Total Cost GBP]]/CADtoGBP</f>
        <v>0</v>
      </c>
      <c r="Y1207" s="33">
        <f>quantInv[[#This Row],[Quantity]]*quantInv[[#This Row],[UNIT
VALUE AUD]]</f>
        <v>0</v>
      </c>
      <c r="Z1207" s="33"/>
    </row>
    <row r="1208" spans="1:26" x14ac:dyDescent="0.25">
      <c r="A1208" t="s">
        <v>2759</v>
      </c>
      <c r="C1208" t="s">
        <v>114</v>
      </c>
      <c r="E1208">
        <v>0</v>
      </c>
      <c r="F1208" s="33">
        <v>7.0499999999999993E-2</v>
      </c>
      <c r="G1208" s="33" t="s">
        <v>2875</v>
      </c>
      <c r="H1208" t="s">
        <v>2875</v>
      </c>
      <c r="I1208" t="str">
        <f>IF(quantInv[[#This Row],[Metal]] = "925 Silver",  "7113.11.00"," 7113.19.00")</f>
        <v xml:space="preserve"> 7113.19.00</v>
      </c>
      <c r="J1208" t="str">
        <f>IF(quantInv[[#This Row],[Metal]] = "925 Silver", "7113.11.10.00"," 7113.19.10.00")</f>
        <v xml:space="preserve"> 7113.19.10.00</v>
      </c>
      <c r="K1208" t="str">
        <f>IF(quantInv[[#This Row],[Metal]] = "925 Silver",  "7113.11.00"," 7113.19.00")</f>
        <v xml:space="preserve"> 7113.19.00</v>
      </c>
      <c r="L1208" t="str">
        <f>IFERROR(VLOOKUP(quantInv[[#This Row],[Description for New Invoice]],Map!$G$12:$H$32,2,FALSE), IF(quantInv[[#This Row],[Metal]] = "925 Silver", "7113.11.10.00", "7113.19.29.00"))</f>
        <v>7113.19.29.00</v>
      </c>
      <c r="M1208" t="str">
        <f>quantInv[[#This Row],[ASIN]] &amp; " " &amp; quantInv[[#This Row],[Short Description]]</f>
        <v xml:space="preserve"> </v>
      </c>
      <c r="N1208" s="33">
        <f>quantInv[[#This Row],[UNIT
VALUE]] / EURtoGBP</f>
        <v>8.0025880710357392E-2</v>
      </c>
      <c r="O1208" s="33">
        <f>quantInv[[#This Row],[UNIT
VALUE]]/USDtoGBP</f>
        <v>9.6643787449467625E-2</v>
      </c>
      <c r="P1208" s="33">
        <f>quantInv[[#This Row],[UNIT
VALUE]] / CADtoGBP</f>
        <v>0.1237096035502024</v>
      </c>
      <c r="Q1208" s="33">
        <f>quantInv[[#This Row],[UNIT
VALUE]]/AUDtoGBP</f>
        <v>0.12662547596810114</v>
      </c>
      <c r="R1208">
        <f>IFERROR(VLOOKUP(quantInv[[#This Row],[Assigned Item SKU]],skuQuantity[#All],2,FALSE),0)</f>
        <v>0</v>
      </c>
      <c r="S1208" t="str">
        <f>PROPER(quantInv[[#This Row],[Metal]] &amp; " " &amp; quantInv[[#This Row],[Item Type]])</f>
        <v xml:space="preserve"> </v>
      </c>
      <c r="T1208" s="33">
        <f>quantInv[[#This Row],[Quantity]]*quantInv[[#This Row],[WEIGHT]]</f>
        <v>0</v>
      </c>
      <c r="U1208" s="33">
        <f>quantInv[[#This Row],[UNIT
VALUE]]*quantInv[[#This Row],[Quantity]]</f>
        <v>0</v>
      </c>
      <c r="V1208" s="33">
        <f>quantInv[[#This Row],[Total Cost GBP]]/EURtoGBP</f>
        <v>0</v>
      </c>
      <c r="W1208" s="33">
        <f>quantInv[[#This Row],[Total Cost GBP]]/USDtoGBP</f>
        <v>0</v>
      </c>
      <c r="X1208" s="33">
        <f>quantInv[[#This Row],[Total Cost GBP]]/CADtoGBP</f>
        <v>0</v>
      </c>
      <c r="Y1208" s="33">
        <f>quantInv[[#This Row],[Quantity]]*quantInv[[#This Row],[UNIT
VALUE AUD]]</f>
        <v>0</v>
      </c>
      <c r="Z1208" s="33"/>
    </row>
    <row r="1209" spans="1:26" x14ac:dyDescent="0.25">
      <c r="A1209" t="s">
        <v>2760</v>
      </c>
      <c r="C1209" t="s">
        <v>114</v>
      </c>
      <c r="E1209">
        <v>0</v>
      </c>
      <c r="F1209" s="33">
        <v>7.0499999999999993E-2</v>
      </c>
      <c r="G1209" s="33" t="s">
        <v>2875</v>
      </c>
      <c r="H1209" t="s">
        <v>2875</v>
      </c>
      <c r="I1209" t="str">
        <f>IF(quantInv[[#This Row],[Metal]] = "925 Silver",  "7113.11.00"," 7113.19.00")</f>
        <v xml:space="preserve"> 7113.19.00</v>
      </c>
      <c r="J1209" t="str">
        <f>IF(quantInv[[#This Row],[Metal]] = "925 Silver", "7113.11.10.00"," 7113.19.10.00")</f>
        <v xml:space="preserve"> 7113.19.10.00</v>
      </c>
      <c r="K1209" t="str">
        <f>IF(quantInv[[#This Row],[Metal]] = "925 Silver",  "7113.11.00"," 7113.19.00")</f>
        <v xml:space="preserve"> 7113.19.00</v>
      </c>
      <c r="L1209" t="str">
        <f>IFERROR(VLOOKUP(quantInv[[#This Row],[Description for New Invoice]],Map!$G$12:$H$32,2,FALSE), IF(quantInv[[#This Row],[Metal]] = "925 Silver", "7113.11.10.00", "7113.19.29.00"))</f>
        <v>7113.19.29.00</v>
      </c>
      <c r="M1209" t="str">
        <f>quantInv[[#This Row],[ASIN]] &amp; " " &amp; quantInv[[#This Row],[Short Description]]</f>
        <v xml:space="preserve"> </v>
      </c>
      <c r="N1209" s="33">
        <f>quantInv[[#This Row],[UNIT
VALUE]] / EURtoGBP</f>
        <v>8.0025880710357392E-2</v>
      </c>
      <c r="O1209" s="33">
        <f>quantInv[[#This Row],[UNIT
VALUE]]/USDtoGBP</f>
        <v>9.6643787449467625E-2</v>
      </c>
      <c r="P1209" s="33">
        <f>quantInv[[#This Row],[UNIT
VALUE]] / CADtoGBP</f>
        <v>0.1237096035502024</v>
      </c>
      <c r="Q1209" s="33">
        <f>quantInv[[#This Row],[UNIT
VALUE]]/AUDtoGBP</f>
        <v>0.12662547596810114</v>
      </c>
      <c r="R1209">
        <f>IFERROR(VLOOKUP(quantInv[[#This Row],[Assigned Item SKU]],skuQuantity[#All],2,FALSE),0)</f>
        <v>0</v>
      </c>
      <c r="S1209" t="str">
        <f>PROPER(quantInv[[#This Row],[Metal]] &amp; " " &amp; quantInv[[#This Row],[Item Type]])</f>
        <v xml:space="preserve"> </v>
      </c>
      <c r="T1209" s="33">
        <f>quantInv[[#This Row],[Quantity]]*quantInv[[#This Row],[WEIGHT]]</f>
        <v>0</v>
      </c>
      <c r="U1209" s="33">
        <f>quantInv[[#This Row],[UNIT
VALUE]]*quantInv[[#This Row],[Quantity]]</f>
        <v>0</v>
      </c>
      <c r="V1209" s="33">
        <f>quantInv[[#This Row],[Total Cost GBP]]/EURtoGBP</f>
        <v>0</v>
      </c>
      <c r="W1209" s="33">
        <f>quantInv[[#This Row],[Total Cost GBP]]/USDtoGBP</f>
        <v>0</v>
      </c>
      <c r="X1209" s="33">
        <f>quantInv[[#This Row],[Total Cost GBP]]/CADtoGBP</f>
        <v>0</v>
      </c>
      <c r="Y1209" s="33">
        <f>quantInv[[#This Row],[Quantity]]*quantInv[[#This Row],[UNIT
VALUE AUD]]</f>
        <v>0</v>
      </c>
      <c r="Z1209" s="33"/>
    </row>
    <row r="1210" spans="1:26" x14ac:dyDescent="0.25">
      <c r="A1210" t="s">
        <v>2761</v>
      </c>
      <c r="C1210" t="s">
        <v>114</v>
      </c>
      <c r="E1210">
        <v>0</v>
      </c>
      <c r="F1210" s="33">
        <v>7.0499999999999993E-2</v>
      </c>
      <c r="G1210" s="33" t="s">
        <v>2875</v>
      </c>
      <c r="H1210" t="s">
        <v>2875</v>
      </c>
      <c r="I1210" t="str">
        <f>IF(quantInv[[#This Row],[Metal]] = "925 Silver",  "7113.11.00"," 7113.19.00")</f>
        <v xml:space="preserve"> 7113.19.00</v>
      </c>
      <c r="J1210" t="str">
        <f>IF(quantInv[[#This Row],[Metal]] = "925 Silver", "7113.11.10.00"," 7113.19.10.00")</f>
        <v xml:space="preserve"> 7113.19.10.00</v>
      </c>
      <c r="K1210" t="str">
        <f>IF(quantInv[[#This Row],[Metal]] = "925 Silver",  "7113.11.00"," 7113.19.00")</f>
        <v xml:space="preserve"> 7113.19.00</v>
      </c>
      <c r="L1210" t="str">
        <f>IFERROR(VLOOKUP(quantInv[[#This Row],[Description for New Invoice]],Map!$G$12:$H$32,2,FALSE), IF(quantInv[[#This Row],[Metal]] = "925 Silver", "7113.11.10.00", "7113.19.29.00"))</f>
        <v>7113.19.29.00</v>
      </c>
      <c r="M1210" t="str">
        <f>quantInv[[#This Row],[ASIN]] &amp; " " &amp; quantInv[[#This Row],[Short Description]]</f>
        <v xml:space="preserve"> </v>
      </c>
      <c r="N1210" s="33">
        <f>quantInv[[#This Row],[UNIT
VALUE]] / EURtoGBP</f>
        <v>8.0025880710357392E-2</v>
      </c>
      <c r="O1210" s="33">
        <f>quantInv[[#This Row],[UNIT
VALUE]]/USDtoGBP</f>
        <v>9.6643787449467625E-2</v>
      </c>
      <c r="P1210" s="33">
        <f>quantInv[[#This Row],[UNIT
VALUE]] / CADtoGBP</f>
        <v>0.1237096035502024</v>
      </c>
      <c r="Q1210" s="33">
        <f>quantInv[[#This Row],[UNIT
VALUE]]/AUDtoGBP</f>
        <v>0.12662547596810114</v>
      </c>
      <c r="R1210">
        <f>IFERROR(VLOOKUP(quantInv[[#This Row],[Assigned Item SKU]],skuQuantity[#All],2,FALSE),0)</f>
        <v>0</v>
      </c>
      <c r="S1210" t="str">
        <f>PROPER(quantInv[[#This Row],[Metal]] &amp; " " &amp; quantInv[[#This Row],[Item Type]])</f>
        <v xml:space="preserve"> </v>
      </c>
      <c r="T1210" s="33">
        <f>quantInv[[#This Row],[Quantity]]*quantInv[[#This Row],[WEIGHT]]</f>
        <v>0</v>
      </c>
      <c r="U1210" s="33">
        <f>quantInv[[#This Row],[UNIT
VALUE]]*quantInv[[#This Row],[Quantity]]</f>
        <v>0</v>
      </c>
      <c r="V1210" s="33">
        <f>quantInv[[#This Row],[Total Cost GBP]]/EURtoGBP</f>
        <v>0</v>
      </c>
      <c r="W1210" s="33">
        <f>quantInv[[#This Row],[Total Cost GBP]]/USDtoGBP</f>
        <v>0</v>
      </c>
      <c r="X1210" s="33">
        <f>quantInv[[#This Row],[Total Cost GBP]]/CADtoGBP</f>
        <v>0</v>
      </c>
      <c r="Y1210" s="33">
        <f>quantInv[[#This Row],[Quantity]]*quantInv[[#This Row],[UNIT
VALUE AUD]]</f>
        <v>0</v>
      </c>
      <c r="Z1210" s="33"/>
    </row>
    <row r="1211" spans="1:26" x14ac:dyDescent="0.25">
      <c r="A1211" t="s">
        <v>2762</v>
      </c>
      <c r="C1211" t="s">
        <v>114</v>
      </c>
      <c r="E1211">
        <v>0</v>
      </c>
      <c r="F1211" s="33">
        <v>7.0499999999999993E-2</v>
      </c>
      <c r="G1211" s="33" t="s">
        <v>2875</v>
      </c>
      <c r="H1211" t="s">
        <v>2875</v>
      </c>
      <c r="I1211" t="str">
        <f>IF(quantInv[[#This Row],[Metal]] = "925 Silver",  "7113.11.00"," 7113.19.00")</f>
        <v xml:space="preserve"> 7113.19.00</v>
      </c>
      <c r="J1211" t="str">
        <f>IF(quantInv[[#This Row],[Metal]] = "925 Silver", "7113.11.10.00"," 7113.19.10.00")</f>
        <v xml:space="preserve"> 7113.19.10.00</v>
      </c>
      <c r="K1211" t="str">
        <f>IF(quantInv[[#This Row],[Metal]] = "925 Silver",  "7113.11.00"," 7113.19.00")</f>
        <v xml:space="preserve"> 7113.19.00</v>
      </c>
      <c r="L1211" t="str">
        <f>IFERROR(VLOOKUP(quantInv[[#This Row],[Description for New Invoice]],Map!$G$12:$H$32,2,FALSE), IF(quantInv[[#This Row],[Metal]] = "925 Silver", "7113.11.10.00", "7113.19.29.00"))</f>
        <v>7113.19.29.00</v>
      </c>
      <c r="M1211" t="str">
        <f>quantInv[[#This Row],[ASIN]] &amp; " " &amp; quantInv[[#This Row],[Short Description]]</f>
        <v xml:space="preserve"> </v>
      </c>
      <c r="N1211" s="33">
        <f>quantInv[[#This Row],[UNIT
VALUE]] / EURtoGBP</f>
        <v>8.0025880710357392E-2</v>
      </c>
      <c r="O1211" s="33">
        <f>quantInv[[#This Row],[UNIT
VALUE]]/USDtoGBP</f>
        <v>9.6643787449467625E-2</v>
      </c>
      <c r="P1211" s="33">
        <f>quantInv[[#This Row],[UNIT
VALUE]] / CADtoGBP</f>
        <v>0.1237096035502024</v>
      </c>
      <c r="Q1211" s="33">
        <f>quantInv[[#This Row],[UNIT
VALUE]]/AUDtoGBP</f>
        <v>0.12662547596810114</v>
      </c>
      <c r="R1211">
        <f>IFERROR(VLOOKUP(quantInv[[#This Row],[Assigned Item SKU]],skuQuantity[#All],2,FALSE),0)</f>
        <v>0</v>
      </c>
      <c r="S1211" t="str">
        <f>PROPER(quantInv[[#This Row],[Metal]] &amp; " " &amp; quantInv[[#This Row],[Item Type]])</f>
        <v xml:space="preserve"> </v>
      </c>
      <c r="T1211" s="33">
        <f>quantInv[[#This Row],[Quantity]]*quantInv[[#This Row],[WEIGHT]]</f>
        <v>0</v>
      </c>
      <c r="U1211" s="33">
        <f>quantInv[[#This Row],[UNIT
VALUE]]*quantInv[[#This Row],[Quantity]]</f>
        <v>0</v>
      </c>
      <c r="V1211" s="33">
        <f>quantInv[[#This Row],[Total Cost GBP]]/EURtoGBP</f>
        <v>0</v>
      </c>
      <c r="W1211" s="33">
        <f>quantInv[[#This Row],[Total Cost GBP]]/USDtoGBP</f>
        <v>0</v>
      </c>
      <c r="X1211" s="33">
        <f>quantInv[[#This Row],[Total Cost GBP]]/CADtoGBP</f>
        <v>0</v>
      </c>
      <c r="Y1211" s="33">
        <f>quantInv[[#This Row],[Quantity]]*quantInv[[#This Row],[UNIT
VALUE AUD]]</f>
        <v>0</v>
      </c>
      <c r="Z1211" s="33"/>
    </row>
    <row r="1212" spans="1:26" x14ac:dyDescent="0.25">
      <c r="A1212" t="s">
        <v>2763</v>
      </c>
      <c r="C1212" t="s">
        <v>114</v>
      </c>
      <c r="E1212">
        <v>0</v>
      </c>
      <c r="F1212" s="33">
        <v>7.0499999999999993E-2</v>
      </c>
      <c r="G1212" s="33" t="s">
        <v>2875</v>
      </c>
      <c r="H1212" t="s">
        <v>2875</v>
      </c>
      <c r="I1212" t="str">
        <f>IF(quantInv[[#This Row],[Metal]] = "925 Silver",  "7113.11.00"," 7113.19.00")</f>
        <v xml:space="preserve"> 7113.19.00</v>
      </c>
      <c r="J1212" t="str">
        <f>IF(quantInv[[#This Row],[Metal]] = "925 Silver", "7113.11.10.00"," 7113.19.10.00")</f>
        <v xml:space="preserve"> 7113.19.10.00</v>
      </c>
      <c r="K1212" t="str">
        <f>IF(quantInv[[#This Row],[Metal]] = "925 Silver",  "7113.11.00"," 7113.19.00")</f>
        <v xml:space="preserve"> 7113.19.00</v>
      </c>
      <c r="L1212" t="str">
        <f>IFERROR(VLOOKUP(quantInv[[#This Row],[Description for New Invoice]],Map!$G$12:$H$32,2,FALSE), IF(quantInv[[#This Row],[Metal]] = "925 Silver", "7113.11.10.00", "7113.19.29.00"))</f>
        <v>7113.19.29.00</v>
      </c>
      <c r="M1212" t="str">
        <f>quantInv[[#This Row],[ASIN]] &amp; " " &amp; quantInv[[#This Row],[Short Description]]</f>
        <v xml:space="preserve"> </v>
      </c>
      <c r="N1212" s="33">
        <f>quantInv[[#This Row],[UNIT
VALUE]] / EURtoGBP</f>
        <v>8.0025880710357392E-2</v>
      </c>
      <c r="O1212" s="33">
        <f>quantInv[[#This Row],[UNIT
VALUE]]/USDtoGBP</f>
        <v>9.6643787449467625E-2</v>
      </c>
      <c r="P1212" s="33">
        <f>quantInv[[#This Row],[UNIT
VALUE]] / CADtoGBP</f>
        <v>0.1237096035502024</v>
      </c>
      <c r="Q1212" s="33">
        <f>quantInv[[#This Row],[UNIT
VALUE]]/AUDtoGBP</f>
        <v>0.12662547596810114</v>
      </c>
      <c r="R1212">
        <f>IFERROR(VLOOKUP(quantInv[[#This Row],[Assigned Item SKU]],skuQuantity[#All],2,FALSE),0)</f>
        <v>0</v>
      </c>
      <c r="S1212" t="str">
        <f>PROPER(quantInv[[#This Row],[Metal]] &amp; " " &amp; quantInv[[#This Row],[Item Type]])</f>
        <v xml:space="preserve"> </v>
      </c>
      <c r="T1212" s="33">
        <f>quantInv[[#This Row],[Quantity]]*quantInv[[#This Row],[WEIGHT]]</f>
        <v>0</v>
      </c>
      <c r="U1212" s="33">
        <f>quantInv[[#This Row],[UNIT
VALUE]]*quantInv[[#This Row],[Quantity]]</f>
        <v>0</v>
      </c>
      <c r="V1212" s="33">
        <f>quantInv[[#This Row],[Total Cost GBP]]/EURtoGBP</f>
        <v>0</v>
      </c>
      <c r="W1212" s="33">
        <f>quantInv[[#This Row],[Total Cost GBP]]/USDtoGBP</f>
        <v>0</v>
      </c>
      <c r="X1212" s="33">
        <f>quantInv[[#This Row],[Total Cost GBP]]/CADtoGBP</f>
        <v>0</v>
      </c>
      <c r="Y1212" s="33">
        <f>quantInv[[#This Row],[Quantity]]*quantInv[[#This Row],[UNIT
VALUE AUD]]</f>
        <v>0</v>
      </c>
      <c r="Z1212" s="33"/>
    </row>
    <row r="1213" spans="1:26" x14ac:dyDescent="0.25">
      <c r="A1213" t="s">
        <v>2764</v>
      </c>
      <c r="C1213" t="s">
        <v>114</v>
      </c>
      <c r="E1213">
        <v>0</v>
      </c>
      <c r="F1213" s="33">
        <v>7.0499999999999993E-2</v>
      </c>
      <c r="G1213" s="33" t="s">
        <v>2875</v>
      </c>
      <c r="H1213" t="s">
        <v>2875</v>
      </c>
      <c r="I1213" t="str">
        <f>IF(quantInv[[#This Row],[Metal]] = "925 Silver",  "7113.11.00"," 7113.19.00")</f>
        <v xml:space="preserve"> 7113.19.00</v>
      </c>
      <c r="J1213" t="str">
        <f>IF(quantInv[[#This Row],[Metal]] = "925 Silver", "7113.11.10.00"," 7113.19.10.00")</f>
        <v xml:space="preserve"> 7113.19.10.00</v>
      </c>
      <c r="K1213" t="str">
        <f>IF(quantInv[[#This Row],[Metal]] = "925 Silver",  "7113.11.00"," 7113.19.00")</f>
        <v xml:space="preserve"> 7113.19.00</v>
      </c>
      <c r="L1213" t="str">
        <f>IFERROR(VLOOKUP(quantInv[[#This Row],[Description for New Invoice]],Map!$G$12:$H$32,2,FALSE), IF(quantInv[[#This Row],[Metal]] = "925 Silver", "7113.11.10.00", "7113.19.29.00"))</f>
        <v>7113.19.29.00</v>
      </c>
      <c r="M1213" t="str">
        <f>quantInv[[#This Row],[ASIN]] &amp; " " &amp; quantInv[[#This Row],[Short Description]]</f>
        <v xml:space="preserve"> </v>
      </c>
      <c r="N1213" s="33">
        <f>quantInv[[#This Row],[UNIT
VALUE]] / EURtoGBP</f>
        <v>8.0025880710357392E-2</v>
      </c>
      <c r="O1213" s="33">
        <f>quantInv[[#This Row],[UNIT
VALUE]]/USDtoGBP</f>
        <v>9.6643787449467625E-2</v>
      </c>
      <c r="P1213" s="33">
        <f>quantInv[[#This Row],[UNIT
VALUE]] / CADtoGBP</f>
        <v>0.1237096035502024</v>
      </c>
      <c r="Q1213" s="33">
        <f>quantInv[[#This Row],[UNIT
VALUE]]/AUDtoGBP</f>
        <v>0.12662547596810114</v>
      </c>
      <c r="R1213">
        <f>IFERROR(VLOOKUP(quantInv[[#This Row],[Assigned Item SKU]],skuQuantity[#All],2,FALSE),0)</f>
        <v>0</v>
      </c>
      <c r="S1213" t="str">
        <f>PROPER(quantInv[[#This Row],[Metal]] &amp; " " &amp; quantInv[[#This Row],[Item Type]])</f>
        <v xml:space="preserve"> </v>
      </c>
      <c r="T1213" s="33">
        <f>quantInv[[#This Row],[Quantity]]*quantInv[[#This Row],[WEIGHT]]</f>
        <v>0</v>
      </c>
      <c r="U1213" s="33">
        <f>quantInv[[#This Row],[UNIT
VALUE]]*quantInv[[#This Row],[Quantity]]</f>
        <v>0</v>
      </c>
      <c r="V1213" s="33">
        <f>quantInv[[#This Row],[Total Cost GBP]]/EURtoGBP</f>
        <v>0</v>
      </c>
      <c r="W1213" s="33">
        <f>quantInv[[#This Row],[Total Cost GBP]]/USDtoGBP</f>
        <v>0</v>
      </c>
      <c r="X1213" s="33">
        <f>quantInv[[#This Row],[Total Cost GBP]]/CADtoGBP</f>
        <v>0</v>
      </c>
      <c r="Y1213" s="33">
        <f>quantInv[[#This Row],[Quantity]]*quantInv[[#This Row],[UNIT
VALUE AUD]]</f>
        <v>0</v>
      </c>
      <c r="Z1213" s="33"/>
    </row>
    <row r="1214" spans="1:26" x14ac:dyDescent="0.25">
      <c r="A1214" t="s">
        <v>2765</v>
      </c>
      <c r="C1214" t="s">
        <v>114</v>
      </c>
      <c r="E1214">
        <v>0</v>
      </c>
      <c r="F1214" s="33">
        <v>7.0499999999999993E-2</v>
      </c>
      <c r="G1214" s="33" t="s">
        <v>2875</v>
      </c>
      <c r="H1214" t="s">
        <v>2875</v>
      </c>
      <c r="I1214" t="str">
        <f>IF(quantInv[[#This Row],[Metal]] = "925 Silver",  "7113.11.00"," 7113.19.00")</f>
        <v xml:space="preserve"> 7113.19.00</v>
      </c>
      <c r="J1214" t="str">
        <f>IF(quantInv[[#This Row],[Metal]] = "925 Silver", "7113.11.10.00"," 7113.19.10.00")</f>
        <v xml:space="preserve"> 7113.19.10.00</v>
      </c>
      <c r="K1214" t="str">
        <f>IF(quantInv[[#This Row],[Metal]] = "925 Silver",  "7113.11.00"," 7113.19.00")</f>
        <v xml:space="preserve"> 7113.19.00</v>
      </c>
      <c r="L1214" t="str">
        <f>IFERROR(VLOOKUP(quantInv[[#This Row],[Description for New Invoice]],Map!$G$12:$H$32,2,FALSE), IF(quantInv[[#This Row],[Metal]] = "925 Silver", "7113.11.10.00", "7113.19.29.00"))</f>
        <v>7113.19.29.00</v>
      </c>
      <c r="M1214" t="str">
        <f>quantInv[[#This Row],[ASIN]] &amp; " " &amp; quantInv[[#This Row],[Short Description]]</f>
        <v xml:space="preserve"> </v>
      </c>
      <c r="N1214" s="33">
        <f>quantInv[[#This Row],[UNIT
VALUE]] / EURtoGBP</f>
        <v>8.0025880710357392E-2</v>
      </c>
      <c r="O1214" s="33">
        <f>quantInv[[#This Row],[UNIT
VALUE]]/USDtoGBP</f>
        <v>9.6643787449467625E-2</v>
      </c>
      <c r="P1214" s="33">
        <f>quantInv[[#This Row],[UNIT
VALUE]] / CADtoGBP</f>
        <v>0.1237096035502024</v>
      </c>
      <c r="Q1214" s="33">
        <f>quantInv[[#This Row],[UNIT
VALUE]]/AUDtoGBP</f>
        <v>0.12662547596810114</v>
      </c>
      <c r="R1214">
        <f>IFERROR(VLOOKUP(quantInv[[#This Row],[Assigned Item SKU]],skuQuantity[#All],2,FALSE),0)</f>
        <v>0</v>
      </c>
      <c r="S1214" t="str">
        <f>PROPER(quantInv[[#This Row],[Metal]] &amp; " " &amp; quantInv[[#This Row],[Item Type]])</f>
        <v xml:space="preserve"> </v>
      </c>
      <c r="T1214" s="33">
        <f>quantInv[[#This Row],[Quantity]]*quantInv[[#This Row],[WEIGHT]]</f>
        <v>0</v>
      </c>
      <c r="U1214" s="33">
        <f>quantInv[[#This Row],[UNIT
VALUE]]*quantInv[[#This Row],[Quantity]]</f>
        <v>0</v>
      </c>
      <c r="V1214" s="33">
        <f>quantInv[[#This Row],[Total Cost GBP]]/EURtoGBP</f>
        <v>0</v>
      </c>
      <c r="W1214" s="33">
        <f>quantInv[[#This Row],[Total Cost GBP]]/USDtoGBP</f>
        <v>0</v>
      </c>
      <c r="X1214" s="33">
        <f>quantInv[[#This Row],[Total Cost GBP]]/CADtoGBP</f>
        <v>0</v>
      </c>
      <c r="Y1214" s="33">
        <f>quantInv[[#This Row],[Quantity]]*quantInv[[#This Row],[UNIT
VALUE AUD]]</f>
        <v>0</v>
      </c>
      <c r="Z1214" s="33"/>
    </row>
    <row r="1215" spans="1:26" x14ac:dyDescent="0.25">
      <c r="A1215" t="s">
        <v>2766</v>
      </c>
      <c r="C1215" t="s">
        <v>114</v>
      </c>
      <c r="E1215">
        <v>0</v>
      </c>
      <c r="F1215" s="33">
        <v>7.0499999999999993E-2</v>
      </c>
      <c r="G1215" s="33" t="s">
        <v>2875</v>
      </c>
      <c r="H1215" t="s">
        <v>2875</v>
      </c>
      <c r="I1215" t="str">
        <f>IF(quantInv[[#This Row],[Metal]] = "925 Silver",  "7113.11.00"," 7113.19.00")</f>
        <v xml:space="preserve"> 7113.19.00</v>
      </c>
      <c r="J1215" t="str">
        <f>IF(quantInv[[#This Row],[Metal]] = "925 Silver", "7113.11.10.00"," 7113.19.10.00")</f>
        <v xml:space="preserve"> 7113.19.10.00</v>
      </c>
      <c r="K1215" t="str">
        <f>IF(quantInv[[#This Row],[Metal]] = "925 Silver",  "7113.11.00"," 7113.19.00")</f>
        <v xml:space="preserve"> 7113.19.00</v>
      </c>
      <c r="L1215" t="str">
        <f>IFERROR(VLOOKUP(quantInv[[#This Row],[Description for New Invoice]],Map!$G$12:$H$32,2,FALSE), IF(quantInv[[#This Row],[Metal]] = "925 Silver", "7113.11.10.00", "7113.19.29.00"))</f>
        <v>7113.19.29.00</v>
      </c>
      <c r="M1215" t="str">
        <f>quantInv[[#This Row],[ASIN]] &amp; " " &amp; quantInv[[#This Row],[Short Description]]</f>
        <v xml:space="preserve"> </v>
      </c>
      <c r="N1215" s="33">
        <f>quantInv[[#This Row],[UNIT
VALUE]] / EURtoGBP</f>
        <v>8.0025880710357392E-2</v>
      </c>
      <c r="O1215" s="33">
        <f>quantInv[[#This Row],[UNIT
VALUE]]/USDtoGBP</f>
        <v>9.6643787449467625E-2</v>
      </c>
      <c r="P1215" s="33">
        <f>quantInv[[#This Row],[UNIT
VALUE]] / CADtoGBP</f>
        <v>0.1237096035502024</v>
      </c>
      <c r="Q1215" s="33">
        <f>quantInv[[#This Row],[UNIT
VALUE]]/AUDtoGBP</f>
        <v>0.12662547596810114</v>
      </c>
      <c r="R1215">
        <f>IFERROR(VLOOKUP(quantInv[[#This Row],[Assigned Item SKU]],skuQuantity[#All],2,FALSE),0)</f>
        <v>0</v>
      </c>
      <c r="S1215" t="str">
        <f>PROPER(quantInv[[#This Row],[Metal]] &amp; " " &amp; quantInv[[#This Row],[Item Type]])</f>
        <v xml:space="preserve"> </v>
      </c>
      <c r="T1215" s="33">
        <f>quantInv[[#This Row],[Quantity]]*quantInv[[#This Row],[WEIGHT]]</f>
        <v>0</v>
      </c>
      <c r="U1215" s="33">
        <f>quantInv[[#This Row],[UNIT
VALUE]]*quantInv[[#This Row],[Quantity]]</f>
        <v>0</v>
      </c>
      <c r="V1215" s="33">
        <f>quantInv[[#This Row],[Total Cost GBP]]/EURtoGBP</f>
        <v>0</v>
      </c>
      <c r="W1215" s="33">
        <f>quantInv[[#This Row],[Total Cost GBP]]/USDtoGBP</f>
        <v>0</v>
      </c>
      <c r="X1215" s="33">
        <f>quantInv[[#This Row],[Total Cost GBP]]/CADtoGBP</f>
        <v>0</v>
      </c>
      <c r="Y1215" s="33">
        <f>quantInv[[#This Row],[Quantity]]*quantInv[[#This Row],[UNIT
VALUE AUD]]</f>
        <v>0</v>
      </c>
      <c r="Z1215" s="33"/>
    </row>
    <row r="1216" spans="1:26" x14ac:dyDescent="0.25">
      <c r="A1216" t="s">
        <v>2767</v>
      </c>
      <c r="C1216" t="s">
        <v>114</v>
      </c>
      <c r="E1216">
        <v>0</v>
      </c>
      <c r="F1216" s="33">
        <v>7.0499999999999993E-2</v>
      </c>
      <c r="G1216" s="33" t="s">
        <v>2875</v>
      </c>
      <c r="H1216" t="s">
        <v>2875</v>
      </c>
      <c r="I1216" t="str">
        <f>IF(quantInv[[#This Row],[Metal]] = "925 Silver",  "7113.11.00"," 7113.19.00")</f>
        <v xml:space="preserve"> 7113.19.00</v>
      </c>
      <c r="J1216" t="str">
        <f>IF(quantInv[[#This Row],[Metal]] = "925 Silver", "7113.11.10.00"," 7113.19.10.00")</f>
        <v xml:space="preserve"> 7113.19.10.00</v>
      </c>
      <c r="K1216" t="str">
        <f>IF(quantInv[[#This Row],[Metal]] = "925 Silver",  "7113.11.00"," 7113.19.00")</f>
        <v xml:space="preserve"> 7113.19.00</v>
      </c>
      <c r="L1216" t="str">
        <f>IFERROR(VLOOKUP(quantInv[[#This Row],[Description for New Invoice]],Map!$G$12:$H$32,2,FALSE), IF(quantInv[[#This Row],[Metal]] = "925 Silver", "7113.11.10.00", "7113.19.29.00"))</f>
        <v>7113.19.29.00</v>
      </c>
      <c r="M1216" t="str">
        <f>quantInv[[#This Row],[ASIN]] &amp; " " &amp; quantInv[[#This Row],[Short Description]]</f>
        <v xml:space="preserve"> </v>
      </c>
      <c r="N1216" s="33">
        <f>quantInv[[#This Row],[UNIT
VALUE]] / EURtoGBP</f>
        <v>8.0025880710357392E-2</v>
      </c>
      <c r="O1216" s="33">
        <f>quantInv[[#This Row],[UNIT
VALUE]]/USDtoGBP</f>
        <v>9.6643787449467625E-2</v>
      </c>
      <c r="P1216" s="33">
        <f>quantInv[[#This Row],[UNIT
VALUE]] / CADtoGBP</f>
        <v>0.1237096035502024</v>
      </c>
      <c r="Q1216" s="33">
        <f>quantInv[[#This Row],[UNIT
VALUE]]/AUDtoGBP</f>
        <v>0.12662547596810114</v>
      </c>
      <c r="R1216">
        <f>IFERROR(VLOOKUP(quantInv[[#This Row],[Assigned Item SKU]],skuQuantity[#All],2,FALSE),0)</f>
        <v>0</v>
      </c>
      <c r="S1216" t="str">
        <f>PROPER(quantInv[[#This Row],[Metal]] &amp; " " &amp; quantInv[[#This Row],[Item Type]])</f>
        <v xml:space="preserve"> </v>
      </c>
      <c r="T1216" s="33">
        <f>quantInv[[#This Row],[Quantity]]*quantInv[[#This Row],[WEIGHT]]</f>
        <v>0</v>
      </c>
      <c r="U1216" s="33">
        <f>quantInv[[#This Row],[UNIT
VALUE]]*quantInv[[#This Row],[Quantity]]</f>
        <v>0</v>
      </c>
      <c r="V1216" s="33">
        <f>quantInv[[#This Row],[Total Cost GBP]]/EURtoGBP</f>
        <v>0</v>
      </c>
      <c r="W1216" s="33">
        <f>quantInv[[#This Row],[Total Cost GBP]]/USDtoGBP</f>
        <v>0</v>
      </c>
      <c r="X1216" s="33">
        <f>quantInv[[#This Row],[Total Cost GBP]]/CADtoGBP</f>
        <v>0</v>
      </c>
      <c r="Y1216" s="33">
        <f>quantInv[[#This Row],[Quantity]]*quantInv[[#This Row],[UNIT
VALUE AUD]]</f>
        <v>0</v>
      </c>
      <c r="Z1216" s="33"/>
    </row>
    <row r="1217" spans="1:26" x14ac:dyDescent="0.25">
      <c r="A1217" t="s">
        <v>2768</v>
      </c>
      <c r="C1217" t="s">
        <v>114</v>
      </c>
      <c r="E1217">
        <v>0</v>
      </c>
      <c r="F1217" s="33">
        <v>7.0499999999999993E-2</v>
      </c>
      <c r="G1217" s="33" t="s">
        <v>2875</v>
      </c>
      <c r="H1217" t="s">
        <v>2875</v>
      </c>
      <c r="I1217" t="str">
        <f>IF(quantInv[[#This Row],[Metal]] = "925 Silver",  "7113.11.00"," 7113.19.00")</f>
        <v xml:space="preserve"> 7113.19.00</v>
      </c>
      <c r="J1217" t="str">
        <f>IF(quantInv[[#This Row],[Metal]] = "925 Silver", "7113.11.10.00"," 7113.19.10.00")</f>
        <v xml:space="preserve"> 7113.19.10.00</v>
      </c>
      <c r="K1217" t="str">
        <f>IF(quantInv[[#This Row],[Metal]] = "925 Silver",  "7113.11.00"," 7113.19.00")</f>
        <v xml:space="preserve"> 7113.19.00</v>
      </c>
      <c r="L1217" t="str">
        <f>IFERROR(VLOOKUP(quantInv[[#This Row],[Description for New Invoice]],Map!$G$12:$H$32,2,FALSE), IF(quantInv[[#This Row],[Metal]] = "925 Silver", "7113.11.10.00", "7113.19.29.00"))</f>
        <v>7113.19.29.00</v>
      </c>
      <c r="M1217" t="str">
        <f>quantInv[[#This Row],[ASIN]] &amp; " " &amp; quantInv[[#This Row],[Short Description]]</f>
        <v xml:space="preserve"> </v>
      </c>
      <c r="N1217" s="33">
        <f>quantInv[[#This Row],[UNIT
VALUE]] / EURtoGBP</f>
        <v>8.0025880710357392E-2</v>
      </c>
      <c r="O1217" s="33">
        <f>quantInv[[#This Row],[UNIT
VALUE]]/USDtoGBP</f>
        <v>9.6643787449467625E-2</v>
      </c>
      <c r="P1217" s="33">
        <f>quantInv[[#This Row],[UNIT
VALUE]] / CADtoGBP</f>
        <v>0.1237096035502024</v>
      </c>
      <c r="Q1217" s="33">
        <f>quantInv[[#This Row],[UNIT
VALUE]]/AUDtoGBP</f>
        <v>0.12662547596810114</v>
      </c>
      <c r="R1217">
        <f>IFERROR(VLOOKUP(quantInv[[#This Row],[Assigned Item SKU]],skuQuantity[#All],2,FALSE),0)</f>
        <v>0</v>
      </c>
      <c r="S1217" t="str">
        <f>PROPER(quantInv[[#This Row],[Metal]] &amp; " " &amp; quantInv[[#This Row],[Item Type]])</f>
        <v xml:space="preserve"> </v>
      </c>
      <c r="T1217" s="33">
        <f>quantInv[[#This Row],[Quantity]]*quantInv[[#This Row],[WEIGHT]]</f>
        <v>0</v>
      </c>
      <c r="U1217" s="33">
        <f>quantInv[[#This Row],[UNIT
VALUE]]*quantInv[[#This Row],[Quantity]]</f>
        <v>0</v>
      </c>
      <c r="V1217" s="33">
        <f>quantInv[[#This Row],[Total Cost GBP]]/EURtoGBP</f>
        <v>0</v>
      </c>
      <c r="W1217" s="33">
        <f>quantInv[[#This Row],[Total Cost GBP]]/USDtoGBP</f>
        <v>0</v>
      </c>
      <c r="X1217" s="33">
        <f>quantInv[[#This Row],[Total Cost GBP]]/CADtoGBP</f>
        <v>0</v>
      </c>
      <c r="Y1217" s="33">
        <f>quantInv[[#This Row],[Quantity]]*quantInv[[#This Row],[UNIT
VALUE AUD]]</f>
        <v>0</v>
      </c>
      <c r="Z1217" s="33"/>
    </row>
    <row r="1218" spans="1:26" x14ac:dyDescent="0.25">
      <c r="A1218" t="s">
        <v>2769</v>
      </c>
      <c r="C1218" t="s">
        <v>114</v>
      </c>
      <c r="E1218">
        <v>0</v>
      </c>
      <c r="F1218" s="33">
        <v>7.0499999999999993E-2</v>
      </c>
      <c r="G1218" s="33" t="s">
        <v>2875</v>
      </c>
      <c r="H1218" t="s">
        <v>2875</v>
      </c>
      <c r="I1218" t="str">
        <f>IF(quantInv[[#This Row],[Metal]] = "925 Silver",  "7113.11.00"," 7113.19.00")</f>
        <v xml:space="preserve"> 7113.19.00</v>
      </c>
      <c r="J1218" t="str">
        <f>IF(quantInv[[#This Row],[Metal]] = "925 Silver", "7113.11.10.00"," 7113.19.10.00")</f>
        <v xml:space="preserve"> 7113.19.10.00</v>
      </c>
      <c r="K1218" t="str">
        <f>IF(quantInv[[#This Row],[Metal]] = "925 Silver",  "7113.11.00"," 7113.19.00")</f>
        <v xml:space="preserve"> 7113.19.00</v>
      </c>
      <c r="L1218" t="str">
        <f>IFERROR(VLOOKUP(quantInv[[#This Row],[Description for New Invoice]],Map!$G$12:$H$32,2,FALSE), IF(quantInv[[#This Row],[Metal]] = "925 Silver", "7113.11.10.00", "7113.19.29.00"))</f>
        <v>7113.19.29.00</v>
      </c>
      <c r="M1218" t="str">
        <f>quantInv[[#This Row],[ASIN]] &amp; " " &amp; quantInv[[#This Row],[Short Description]]</f>
        <v xml:space="preserve"> </v>
      </c>
      <c r="N1218" s="33">
        <f>quantInv[[#This Row],[UNIT
VALUE]] / EURtoGBP</f>
        <v>8.0025880710357392E-2</v>
      </c>
      <c r="O1218" s="33">
        <f>quantInv[[#This Row],[UNIT
VALUE]]/USDtoGBP</f>
        <v>9.6643787449467625E-2</v>
      </c>
      <c r="P1218" s="33">
        <f>quantInv[[#This Row],[UNIT
VALUE]] / CADtoGBP</f>
        <v>0.1237096035502024</v>
      </c>
      <c r="Q1218" s="33">
        <f>quantInv[[#This Row],[UNIT
VALUE]]/AUDtoGBP</f>
        <v>0.12662547596810114</v>
      </c>
      <c r="R1218">
        <f>IFERROR(VLOOKUP(quantInv[[#This Row],[Assigned Item SKU]],skuQuantity[#All],2,FALSE),0)</f>
        <v>0</v>
      </c>
      <c r="S1218" t="str">
        <f>PROPER(quantInv[[#This Row],[Metal]] &amp; " " &amp; quantInv[[#This Row],[Item Type]])</f>
        <v xml:space="preserve"> </v>
      </c>
      <c r="T1218" s="33">
        <f>quantInv[[#This Row],[Quantity]]*quantInv[[#This Row],[WEIGHT]]</f>
        <v>0</v>
      </c>
      <c r="U1218" s="33">
        <f>quantInv[[#This Row],[UNIT
VALUE]]*quantInv[[#This Row],[Quantity]]</f>
        <v>0</v>
      </c>
      <c r="V1218" s="33">
        <f>quantInv[[#This Row],[Total Cost GBP]]/EURtoGBP</f>
        <v>0</v>
      </c>
      <c r="W1218" s="33">
        <f>quantInv[[#This Row],[Total Cost GBP]]/USDtoGBP</f>
        <v>0</v>
      </c>
      <c r="X1218" s="33">
        <f>quantInv[[#This Row],[Total Cost GBP]]/CADtoGBP</f>
        <v>0</v>
      </c>
      <c r="Y1218" s="33">
        <f>quantInv[[#This Row],[Quantity]]*quantInv[[#This Row],[UNIT
VALUE AUD]]</f>
        <v>0</v>
      </c>
      <c r="Z1218" s="33"/>
    </row>
    <row r="1219" spans="1:26" x14ac:dyDescent="0.25">
      <c r="A1219" t="s">
        <v>2770</v>
      </c>
      <c r="C1219" t="s">
        <v>114</v>
      </c>
      <c r="E1219">
        <v>0</v>
      </c>
      <c r="F1219" s="33">
        <v>7.0499999999999993E-2</v>
      </c>
      <c r="G1219" s="33" t="s">
        <v>2875</v>
      </c>
      <c r="H1219" t="s">
        <v>2875</v>
      </c>
      <c r="I1219" t="str">
        <f>IF(quantInv[[#This Row],[Metal]] = "925 Silver",  "7113.11.00"," 7113.19.00")</f>
        <v xml:space="preserve"> 7113.19.00</v>
      </c>
      <c r="J1219" t="str">
        <f>IF(quantInv[[#This Row],[Metal]] = "925 Silver", "7113.11.10.00"," 7113.19.10.00")</f>
        <v xml:space="preserve"> 7113.19.10.00</v>
      </c>
      <c r="K1219" t="str">
        <f>IF(quantInv[[#This Row],[Metal]] = "925 Silver",  "7113.11.00"," 7113.19.00")</f>
        <v xml:space="preserve"> 7113.19.00</v>
      </c>
      <c r="L1219" t="str">
        <f>IFERROR(VLOOKUP(quantInv[[#This Row],[Description for New Invoice]],Map!$G$12:$H$32,2,FALSE), IF(quantInv[[#This Row],[Metal]] = "925 Silver", "7113.11.10.00", "7113.19.29.00"))</f>
        <v>7113.19.29.00</v>
      </c>
      <c r="M1219" t="str">
        <f>quantInv[[#This Row],[ASIN]] &amp; " " &amp; quantInv[[#This Row],[Short Description]]</f>
        <v xml:space="preserve"> </v>
      </c>
      <c r="N1219" s="33">
        <f>quantInv[[#This Row],[UNIT
VALUE]] / EURtoGBP</f>
        <v>8.0025880710357392E-2</v>
      </c>
      <c r="O1219" s="33">
        <f>quantInv[[#This Row],[UNIT
VALUE]]/USDtoGBP</f>
        <v>9.6643787449467625E-2</v>
      </c>
      <c r="P1219" s="33">
        <f>quantInv[[#This Row],[UNIT
VALUE]] / CADtoGBP</f>
        <v>0.1237096035502024</v>
      </c>
      <c r="Q1219" s="33">
        <f>quantInv[[#This Row],[UNIT
VALUE]]/AUDtoGBP</f>
        <v>0.12662547596810114</v>
      </c>
      <c r="R1219">
        <f>IFERROR(VLOOKUP(quantInv[[#This Row],[Assigned Item SKU]],skuQuantity[#All],2,FALSE),0)</f>
        <v>0</v>
      </c>
      <c r="S1219" t="str">
        <f>PROPER(quantInv[[#This Row],[Metal]] &amp; " " &amp; quantInv[[#This Row],[Item Type]])</f>
        <v xml:space="preserve"> </v>
      </c>
      <c r="T1219" s="33">
        <f>quantInv[[#This Row],[Quantity]]*quantInv[[#This Row],[WEIGHT]]</f>
        <v>0</v>
      </c>
      <c r="U1219" s="33">
        <f>quantInv[[#This Row],[UNIT
VALUE]]*quantInv[[#This Row],[Quantity]]</f>
        <v>0</v>
      </c>
      <c r="V1219" s="33">
        <f>quantInv[[#This Row],[Total Cost GBP]]/EURtoGBP</f>
        <v>0</v>
      </c>
      <c r="W1219" s="33">
        <f>quantInv[[#This Row],[Total Cost GBP]]/USDtoGBP</f>
        <v>0</v>
      </c>
      <c r="X1219" s="33">
        <f>quantInv[[#This Row],[Total Cost GBP]]/CADtoGBP</f>
        <v>0</v>
      </c>
      <c r="Y1219" s="33">
        <f>quantInv[[#This Row],[Quantity]]*quantInv[[#This Row],[UNIT
VALUE AUD]]</f>
        <v>0</v>
      </c>
      <c r="Z1219" s="33"/>
    </row>
    <row r="1220" spans="1:26" x14ac:dyDescent="0.25">
      <c r="A1220" t="s">
        <v>2771</v>
      </c>
      <c r="C1220" t="s">
        <v>114</v>
      </c>
      <c r="E1220">
        <v>0</v>
      </c>
      <c r="F1220" s="33">
        <v>7.0499999999999993E-2</v>
      </c>
      <c r="G1220" s="33" t="s">
        <v>2875</v>
      </c>
      <c r="H1220" t="s">
        <v>2875</v>
      </c>
      <c r="I1220" t="str">
        <f>IF(quantInv[[#This Row],[Metal]] = "925 Silver",  "7113.11.00"," 7113.19.00")</f>
        <v xml:space="preserve"> 7113.19.00</v>
      </c>
      <c r="J1220" t="str">
        <f>IF(quantInv[[#This Row],[Metal]] = "925 Silver", "7113.11.10.00"," 7113.19.10.00")</f>
        <v xml:space="preserve"> 7113.19.10.00</v>
      </c>
      <c r="K1220" t="str">
        <f>IF(quantInv[[#This Row],[Metal]] = "925 Silver",  "7113.11.00"," 7113.19.00")</f>
        <v xml:space="preserve"> 7113.19.00</v>
      </c>
      <c r="L1220" t="str">
        <f>IFERROR(VLOOKUP(quantInv[[#This Row],[Description for New Invoice]],Map!$G$12:$H$32,2,FALSE), IF(quantInv[[#This Row],[Metal]] = "925 Silver", "7113.11.10.00", "7113.19.29.00"))</f>
        <v>7113.19.29.00</v>
      </c>
      <c r="M1220" t="str">
        <f>quantInv[[#This Row],[ASIN]] &amp; " " &amp; quantInv[[#This Row],[Short Description]]</f>
        <v xml:space="preserve"> </v>
      </c>
      <c r="N1220" s="33">
        <f>quantInv[[#This Row],[UNIT
VALUE]] / EURtoGBP</f>
        <v>8.0025880710357392E-2</v>
      </c>
      <c r="O1220" s="33">
        <f>quantInv[[#This Row],[UNIT
VALUE]]/USDtoGBP</f>
        <v>9.6643787449467625E-2</v>
      </c>
      <c r="P1220" s="33">
        <f>quantInv[[#This Row],[UNIT
VALUE]] / CADtoGBP</f>
        <v>0.1237096035502024</v>
      </c>
      <c r="Q1220" s="33">
        <f>quantInv[[#This Row],[UNIT
VALUE]]/AUDtoGBP</f>
        <v>0.12662547596810114</v>
      </c>
      <c r="R1220">
        <f>IFERROR(VLOOKUP(quantInv[[#This Row],[Assigned Item SKU]],skuQuantity[#All],2,FALSE),0)</f>
        <v>0</v>
      </c>
      <c r="S1220" t="str">
        <f>PROPER(quantInv[[#This Row],[Metal]] &amp; " " &amp; quantInv[[#This Row],[Item Type]])</f>
        <v xml:space="preserve"> </v>
      </c>
      <c r="T1220" s="33">
        <f>quantInv[[#This Row],[Quantity]]*quantInv[[#This Row],[WEIGHT]]</f>
        <v>0</v>
      </c>
      <c r="U1220" s="33">
        <f>quantInv[[#This Row],[UNIT
VALUE]]*quantInv[[#This Row],[Quantity]]</f>
        <v>0</v>
      </c>
      <c r="V1220" s="33">
        <f>quantInv[[#This Row],[Total Cost GBP]]/EURtoGBP</f>
        <v>0</v>
      </c>
      <c r="W1220" s="33">
        <f>quantInv[[#This Row],[Total Cost GBP]]/USDtoGBP</f>
        <v>0</v>
      </c>
      <c r="X1220" s="33">
        <f>quantInv[[#This Row],[Total Cost GBP]]/CADtoGBP</f>
        <v>0</v>
      </c>
      <c r="Y1220" s="33">
        <f>quantInv[[#This Row],[Quantity]]*quantInv[[#This Row],[UNIT
VALUE AUD]]</f>
        <v>0</v>
      </c>
      <c r="Z1220" s="33"/>
    </row>
    <row r="1221" spans="1:26" x14ac:dyDescent="0.25">
      <c r="A1221" t="s">
        <v>2772</v>
      </c>
      <c r="C1221" t="s">
        <v>114</v>
      </c>
      <c r="E1221">
        <v>0</v>
      </c>
      <c r="F1221" s="33">
        <v>7.0499999999999993E-2</v>
      </c>
      <c r="G1221" s="33" t="s">
        <v>2875</v>
      </c>
      <c r="H1221" t="s">
        <v>2875</v>
      </c>
      <c r="I1221" t="str">
        <f>IF(quantInv[[#This Row],[Metal]] = "925 Silver",  "7113.11.00"," 7113.19.00")</f>
        <v xml:space="preserve"> 7113.19.00</v>
      </c>
      <c r="J1221" t="str">
        <f>IF(quantInv[[#This Row],[Metal]] = "925 Silver", "7113.11.10.00"," 7113.19.10.00")</f>
        <v xml:space="preserve"> 7113.19.10.00</v>
      </c>
      <c r="K1221" t="str">
        <f>IF(quantInv[[#This Row],[Metal]] = "925 Silver",  "7113.11.00"," 7113.19.00")</f>
        <v xml:space="preserve"> 7113.19.00</v>
      </c>
      <c r="L1221" t="str">
        <f>IFERROR(VLOOKUP(quantInv[[#This Row],[Description for New Invoice]],Map!$G$12:$H$32,2,FALSE), IF(quantInv[[#This Row],[Metal]] = "925 Silver", "7113.11.10.00", "7113.19.29.00"))</f>
        <v>7113.19.29.00</v>
      </c>
      <c r="M1221" t="str">
        <f>quantInv[[#This Row],[ASIN]] &amp; " " &amp; quantInv[[#This Row],[Short Description]]</f>
        <v xml:space="preserve"> </v>
      </c>
      <c r="N1221" s="33">
        <f>quantInv[[#This Row],[UNIT
VALUE]] / EURtoGBP</f>
        <v>8.0025880710357392E-2</v>
      </c>
      <c r="O1221" s="33">
        <f>quantInv[[#This Row],[UNIT
VALUE]]/USDtoGBP</f>
        <v>9.6643787449467625E-2</v>
      </c>
      <c r="P1221" s="33">
        <f>quantInv[[#This Row],[UNIT
VALUE]] / CADtoGBP</f>
        <v>0.1237096035502024</v>
      </c>
      <c r="Q1221" s="33">
        <f>quantInv[[#This Row],[UNIT
VALUE]]/AUDtoGBP</f>
        <v>0.12662547596810114</v>
      </c>
      <c r="R1221">
        <f>IFERROR(VLOOKUP(quantInv[[#This Row],[Assigned Item SKU]],skuQuantity[#All],2,FALSE),0)</f>
        <v>0</v>
      </c>
      <c r="S1221" t="str">
        <f>PROPER(quantInv[[#This Row],[Metal]] &amp; " " &amp; quantInv[[#This Row],[Item Type]])</f>
        <v xml:space="preserve"> </v>
      </c>
      <c r="T1221" s="33">
        <f>quantInv[[#This Row],[Quantity]]*quantInv[[#This Row],[WEIGHT]]</f>
        <v>0</v>
      </c>
      <c r="U1221" s="33">
        <f>quantInv[[#This Row],[UNIT
VALUE]]*quantInv[[#This Row],[Quantity]]</f>
        <v>0</v>
      </c>
      <c r="V1221" s="33">
        <f>quantInv[[#This Row],[Total Cost GBP]]/EURtoGBP</f>
        <v>0</v>
      </c>
      <c r="W1221" s="33">
        <f>quantInv[[#This Row],[Total Cost GBP]]/USDtoGBP</f>
        <v>0</v>
      </c>
      <c r="X1221" s="33">
        <f>quantInv[[#This Row],[Total Cost GBP]]/CADtoGBP</f>
        <v>0</v>
      </c>
      <c r="Y1221" s="33">
        <f>quantInv[[#This Row],[Quantity]]*quantInv[[#This Row],[UNIT
VALUE AUD]]</f>
        <v>0</v>
      </c>
      <c r="Z1221" s="33"/>
    </row>
    <row r="1222" spans="1:26" x14ac:dyDescent="0.25">
      <c r="A1222" t="s">
        <v>2773</v>
      </c>
      <c r="C1222" t="s">
        <v>114</v>
      </c>
      <c r="E1222">
        <v>0</v>
      </c>
      <c r="F1222" s="33">
        <v>7.0499999999999993E-2</v>
      </c>
      <c r="G1222" s="33" t="s">
        <v>2875</v>
      </c>
      <c r="H1222" t="s">
        <v>2875</v>
      </c>
      <c r="I1222" t="str">
        <f>IF(quantInv[[#This Row],[Metal]] = "925 Silver",  "7113.11.00"," 7113.19.00")</f>
        <v xml:space="preserve"> 7113.19.00</v>
      </c>
      <c r="J1222" t="str">
        <f>IF(quantInv[[#This Row],[Metal]] = "925 Silver", "7113.11.10.00"," 7113.19.10.00")</f>
        <v xml:space="preserve"> 7113.19.10.00</v>
      </c>
      <c r="K1222" t="str">
        <f>IF(quantInv[[#This Row],[Metal]] = "925 Silver",  "7113.11.00"," 7113.19.00")</f>
        <v xml:space="preserve"> 7113.19.00</v>
      </c>
      <c r="L1222" t="str">
        <f>IFERROR(VLOOKUP(quantInv[[#This Row],[Description for New Invoice]],Map!$G$12:$H$32,2,FALSE), IF(quantInv[[#This Row],[Metal]] = "925 Silver", "7113.11.10.00", "7113.19.29.00"))</f>
        <v>7113.19.29.00</v>
      </c>
      <c r="M1222" t="str">
        <f>quantInv[[#This Row],[ASIN]] &amp; " " &amp; quantInv[[#This Row],[Short Description]]</f>
        <v xml:space="preserve"> </v>
      </c>
      <c r="N1222" s="33">
        <f>quantInv[[#This Row],[UNIT
VALUE]] / EURtoGBP</f>
        <v>8.0025880710357392E-2</v>
      </c>
      <c r="O1222" s="33">
        <f>quantInv[[#This Row],[UNIT
VALUE]]/USDtoGBP</f>
        <v>9.6643787449467625E-2</v>
      </c>
      <c r="P1222" s="33">
        <f>quantInv[[#This Row],[UNIT
VALUE]] / CADtoGBP</f>
        <v>0.1237096035502024</v>
      </c>
      <c r="Q1222" s="33">
        <f>quantInv[[#This Row],[UNIT
VALUE]]/AUDtoGBP</f>
        <v>0.12662547596810114</v>
      </c>
      <c r="R1222">
        <f>IFERROR(VLOOKUP(quantInv[[#This Row],[Assigned Item SKU]],skuQuantity[#All],2,FALSE),0)</f>
        <v>0</v>
      </c>
      <c r="S1222" t="str">
        <f>PROPER(quantInv[[#This Row],[Metal]] &amp; " " &amp; quantInv[[#This Row],[Item Type]])</f>
        <v xml:space="preserve"> </v>
      </c>
      <c r="T1222" s="33">
        <f>quantInv[[#This Row],[Quantity]]*quantInv[[#This Row],[WEIGHT]]</f>
        <v>0</v>
      </c>
      <c r="U1222" s="33">
        <f>quantInv[[#This Row],[UNIT
VALUE]]*quantInv[[#This Row],[Quantity]]</f>
        <v>0</v>
      </c>
      <c r="V1222" s="33">
        <f>quantInv[[#This Row],[Total Cost GBP]]/EURtoGBP</f>
        <v>0</v>
      </c>
      <c r="W1222" s="33">
        <f>quantInv[[#This Row],[Total Cost GBP]]/USDtoGBP</f>
        <v>0</v>
      </c>
      <c r="X1222" s="33">
        <f>quantInv[[#This Row],[Total Cost GBP]]/CADtoGBP</f>
        <v>0</v>
      </c>
      <c r="Y1222" s="33">
        <f>quantInv[[#This Row],[Quantity]]*quantInv[[#This Row],[UNIT
VALUE AUD]]</f>
        <v>0</v>
      </c>
      <c r="Z1222" s="33"/>
    </row>
    <row r="1223" spans="1:26" x14ac:dyDescent="0.25">
      <c r="A1223" t="s">
        <v>2774</v>
      </c>
      <c r="C1223" t="s">
        <v>114</v>
      </c>
      <c r="E1223">
        <v>0</v>
      </c>
      <c r="F1223" s="33">
        <v>7.0499999999999993E-2</v>
      </c>
      <c r="G1223" s="33" t="s">
        <v>2875</v>
      </c>
      <c r="H1223" t="s">
        <v>2875</v>
      </c>
      <c r="I1223" t="str">
        <f>IF(quantInv[[#This Row],[Metal]] = "925 Silver",  "7113.11.00"," 7113.19.00")</f>
        <v xml:space="preserve"> 7113.19.00</v>
      </c>
      <c r="J1223" t="str">
        <f>IF(quantInv[[#This Row],[Metal]] = "925 Silver", "7113.11.10.00"," 7113.19.10.00")</f>
        <v xml:space="preserve"> 7113.19.10.00</v>
      </c>
      <c r="K1223" t="str">
        <f>IF(quantInv[[#This Row],[Metal]] = "925 Silver",  "7113.11.00"," 7113.19.00")</f>
        <v xml:space="preserve"> 7113.19.00</v>
      </c>
      <c r="L1223" t="str">
        <f>IFERROR(VLOOKUP(quantInv[[#This Row],[Description for New Invoice]],Map!$G$12:$H$32,2,FALSE), IF(quantInv[[#This Row],[Metal]] = "925 Silver", "7113.11.10.00", "7113.19.29.00"))</f>
        <v>7113.19.29.00</v>
      </c>
      <c r="M1223" t="str">
        <f>quantInv[[#This Row],[ASIN]] &amp; " " &amp; quantInv[[#This Row],[Short Description]]</f>
        <v xml:space="preserve"> </v>
      </c>
      <c r="N1223" s="33">
        <f>quantInv[[#This Row],[UNIT
VALUE]] / EURtoGBP</f>
        <v>8.0025880710357392E-2</v>
      </c>
      <c r="O1223" s="33">
        <f>quantInv[[#This Row],[UNIT
VALUE]]/USDtoGBP</f>
        <v>9.6643787449467625E-2</v>
      </c>
      <c r="P1223" s="33">
        <f>quantInv[[#This Row],[UNIT
VALUE]] / CADtoGBP</f>
        <v>0.1237096035502024</v>
      </c>
      <c r="Q1223" s="33">
        <f>quantInv[[#This Row],[UNIT
VALUE]]/AUDtoGBP</f>
        <v>0.12662547596810114</v>
      </c>
      <c r="R1223">
        <f>IFERROR(VLOOKUP(quantInv[[#This Row],[Assigned Item SKU]],skuQuantity[#All],2,FALSE),0)</f>
        <v>0</v>
      </c>
      <c r="S1223" t="str">
        <f>PROPER(quantInv[[#This Row],[Metal]] &amp; " " &amp; quantInv[[#This Row],[Item Type]])</f>
        <v xml:space="preserve"> </v>
      </c>
      <c r="T1223" s="33">
        <f>quantInv[[#This Row],[Quantity]]*quantInv[[#This Row],[WEIGHT]]</f>
        <v>0</v>
      </c>
      <c r="U1223" s="33">
        <f>quantInv[[#This Row],[UNIT
VALUE]]*quantInv[[#This Row],[Quantity]]</f>
        <v>0</v>
      </c>
      <c r="V1223" s="33">
        <f>quantInv[[#This Row],[Total Cost GBP]]/EURtoGBP</f>
        <v>0</v>
      </c>
      <c r="W1223" s="33">
        <f>quantInv[[#This Row],[Total Cost GBP]]/USDtoGBP</f>
        <v>0</v>
      </c>
      <c r="X1223" s="33">
        <f>quantInv[[#This Row],[Total Cost GBP]]/CADtoGBP</f>
        <v>0</v>
      </c>
      <c r="Y1223" s="33">
        <f>quantInv[[#This Row],[Quantity]]*quantInv[[#This Row],[UNIT
VALUE AUD]]</f>
        <v>0</v>
      </c>
      <c r="Z1223" s="33"/>
    </row>
    <row r="1224" spans="1:26" x14ac:dyDescent="0.25">
      <c r="A1224" t="s">
        <v>2775</v>
      </c>
      <c r="C1224" t="s">
        <v>114</v>
      </c>
      <c r="E1224">
        <v>0</v>
      </c>
      <c r="F1224" s="33">
        <v>7.0499999999999993E-2</v>
      </c>
      <c r="G1224" s="33" t="s">
        <v>2875</v>
      </c>
      <c r="H1224" t="s">
        <v>2875</v>
      </c>
      <c r="I1224" t="str">
        <f>IF(quantInv[[#This Row],[Metal]] = "925 Silver",  "7113.11.00"," 7113.19.00")</f>
        <v xml:space="preserve"> 7113.19.00</v>
      </c>
      <c r="J1224" t="str">
        <f>IF(quantInv[[#This Row],[Metal]] = "925 Silver", "7113.11.10.00"," 7113.19.10.00")</f>
        <v xml:space="preserve"> 7113.19.10.00</v>
      </c>
      <c r="K1224" t="str">
        <f>IF(quantInv[[#This Row],[Metal]] = "925 Silver",  "7113.11.00"," 7113.19.00")</f>
        <v xml:space="preserve"> 7113.19.00</v>
      </c>
      <c r="L1224" t="str">
        <f>IFERROR(VLOOKUP(quantInv[[#This Row],[Description for New Invoice]],Map!$G$12:$H$32,2,FALSE), IF(quantInv[[#This Row],[Metal]] = "925 Silver", "7113.11.10.00", "7113.19.29.00"))</f>
        <v>7113.19.29.00</v>
      </c>
      <c r="M1224" t="str">
        <f>quantInv[[#This Row],[ASIN]] &amp; " " &amp; quantInv[[#This Row],[Short Description]]</f>
        <v xml:space="preserve"> </v>
      </c>
      <c r="N1224" s="33">
        <f>quantInv[[#This Row],[UNIT
VALUE]] / EURtoGBP</f>
        <v>8.0025880710357392E-2</v>
      </c>
      <c r="O1224" s="33">
        <f>quantInv[[#This Row],[UNIT
VALUE]]/USDtoGBP</f>
        <v>9.6643787449467625E-2</v>
      </c>
      <c r="P1224" s="33">
        <f>quantInv[[#This Row],[UNIT
VALUE]] / CADtoGBP</f>
        <v>0.1237096035502024</v>
      </c>
      <c r="Q1224" s="33">
        <f>quantInv[[#This Row],[UNIT
VALUE]]/AUDtoGBP</f>
        <v>0.12662547596810114</v>
      </c>
      <c r="R1224">
        <f>IFERROR(VLOOKUP(quantInv[[#This Row],[Assigned Item SKU]],skuQuantity[#All],2,FALSE),0)</f>
        <v>0</v>
      </c>
      <c r="S1224" t="str">
        <f>PROPER(quantInv[[#This Row],[Metal]] &amp; " " &amp; quantInv[[#This Row],[Item Type]])</f>
        <v xml:space="preserve"> </v>
      </c>
      <c r="T1224" s="33">
        <f>quantInv[[#This Row],[Quantity]]*quantInv[[#This Row],[WEIGHT]]</f>
        <v>0</v>
      </c>
      <c r="U1224" s="33">
        <f>quantInv[[#This Row],[UNIT
VALUE]]*quantInv[[#This Row],[Quantity]]</f>
        <v>0</v>
      </c>
      <c r="V1224" s="33">
        <f>quantInv[[#This Row],[Total Cost GBP]]/EURtoGBP</f>
        <v>0</v>
      </c>
      <c r="W1224" s="33">
        <f>quantInv[[#This Row],[Total Cost GBP]]/USDtoGBP</f>
        <v>0</v>
      </c>
      <c r="X1224" s="33">
        <f>quantInv[[#This Row],[Total Cost GBP]]/CADtoGBP</f>
        <v>0</v>
      </c>
      <c r="Y1224" s="33">
        <f>quantInv[[#This Row],[Quantity]]*quantInv[[#This Row],[UNIT
VALUE AUD]]</f>
        <v>0</v>
      </c>
      <c r="Z1224" s="33"/>
    </row>
    <row r="1225" spans="1:26" x14ac:dyDescent="0.25">
      <c r="A1225" t="s">
        <v>2776</v>
      </c>
      <c r="C1225" t="s">
        <v>114</v>
      </c>
      <c r="E1225">
        <v>0</v>
      </c>
      <c r="F1225" s="33">
        <v>7.0499999999999993E-2</v>
      </c>
      <c r="G1225" s="33" t="s">
        <v>2875</v>
      </c>
      <c r="H1225" t="s">
        <v>2875</v>
      </c>
      <c r="I1225" t="str">
        <f>IF(quantInv[[#This Row],[Metal]] = "925 Silver",  "7113.11.00"," 7113.19.00")</f>
        <v xml:space="preserve"> 7113.19.00</v>
      </c>
      <c r="J1225" t="str">
        <f>IF(quantInv[[#This Row],[Metal]] = "925 Silver", "7113.11.10.00"," 7113.19.10.00")</f>
        <v xml:space="preserve"> 7113.19.10.00</v>
      </c>
      <c r="K1225" t="str">
        <f>IF(quantInv[[#This Row],[Metal]] = "925 Silver",  "7113.11.00"," 7113.19.00")</f>
        <v xml:space="preserve"> 7113.19.00</v>
      </c>
      <c r="L1225" t="str">
        <f>IFERROR(VLOOKUP(quantInv[[#This Row],[Description for New Invoice]],Map!$G$12:$H$32,2,FALSE), IF(quantInv[[#This Row],[Metal]] = "925 Silver", "7113.11.10.00", "7113.19.29.00"))</f>
        <v>7113.19.29.00</v>
      </c>
      <c r="M1225" t="str">
        <f>quantInv[[#This Row],[ASIN]] &amp; " " &amp; quantInv[[#This Row],[Short Description]]</f>
        <v xml:space="preserve"> </v>
      </c>
      <c r="N1225" s="33">
        <f>quantInv[[#This Row],[UNIT
VALUE]] / EURtoGBP</f>
        <v>8.0025880710357392E-2</v>
      </c>
      <c r="O1225" s="33">
        <f>quantInv[[#This Row],[UNIT
VALUE]]/USDtoGBP</f>
        <v>9.6643787449467625E-2</v>
      </c>
      <c r="P1225" s="33">
        <f>quantInv[[#This Row],[UNIT
VALUE]] / CADtoGBP</f>
        <v>0.1237096035502024</v>
      </c>
      <c r="Q1225" s="33">
        <f>quantInv[[#This Row],[UNIT
VALUE]]/AUDtoGBP</f>
        <v>0.12662547596810114</v>
      </c>
      <c r="R1225">
        <f>IFERROR(VLOOKUP(quantInv[[#This Row],[Assigned Item SKU]],skuQuantity[#All],2,FALSE),0)</f>
        <v>0</v>
      </c>
      <c r="S1225" t="str">
        <f>PROPER(quantInv[[#This Row],[Metal]] &amp; " " &amp; quantInv[[#This Row],[Item Type]])</f>
        <v xml:space="preserve"> </v>
      </c>
      <c r="T1225" s="33">
        <f>quantInv[[#This Row],[Quantity]]*quantInv[[#This Row],[WEIGHT]]</f>
        <v>0</v>
      </c>
      <c r="U1225" s="33">
        <f>quantInv[[#This Row],[UNIT
VALUE]]*quantInv[[#This Row],[Quantity]]</f>
        <v>0</v>
      </c>
      <c r="V1225" s="33">
        <f>quantInv[[#This Row],[Total Cost GBP]]/EURtoGBP</f>
        <v>0</v>
      </c>
      <c r="W1225" s="33">
        <f>quantInv[[#This Row],[Total Cost GBP]]/USDtoGBP</f>
        <v>0</v>
      </c>
      <c r="X1225" s="33">
        <f>quantInv[[#This Row],[Total Cost GBP]]/CADtoGBP</f>
        <v>0</v>
      </c>
      <c r="Y1225" s="33">
        <f>quantInv[[#This Row],[Quantity]]*quantInv[[#This Row],[UNIT
VALUE AUD]]</f>
        <v>0</v>
      </c>
      <c r="Z1225" s="33"/>
    </row>
    <row r="1226" spans="1:26" x14ac:dyDescent="0.25">
      <c r="A1226" t="s">
        <v>2777</v>
      </c>
      <c r="C1226" t="s">
        <v>114</v>
      </c>
      <c r="E1226">
        <v>0</v>
      </c>
      <c r="F1226" s="33">
        <v>7.0499999999999993E-2</v>
      </c>
      <c r="G1226" s="33" t="s">
        <v>2875</v>
      </c>
      <c r="H1226" t="s">
        <v>2875</v>
      </c>
      <c r="I1226" t="str">
        <f>IF(quantInv[[#This Row],[Metal]] = "925 Silver",  "7113.11.00"," 7113.19.00")</f>
        <v xml:space="preserve"> 7113.19.00</v>
      </c>
      <c r="J1226" t="str">
        <f>IF(quantInv[[#This Row],[Metal]] = "925 Silver", "7113.11.10.00"," 7113.19.10.00")</f>
        <v xml:space="preserve"> 7113.19.10.00</v>
      </c>
      <c r="K1226" t="str">
        <f>IF(quantInv[[#This Row],[Metal]] = "925 Silver",  "7113.11.00"," 7113.19.00")</f>
        <v xml:space="preserve"> 7113.19.00</v>
      </c>
      <c r="L1226" t="str">
        <f>IFERROR(VLOOKUP(quantInv[[#This Row],[Description for New Invoice]],Map!$G$12:$H$32,2,FALSE), IF(quantInv[[#This Row],[Metal]] = "925 Silver", "7113.11.10.00", "7113.19.29.00"))</f>
        <v>7113.19.29.00</v>
      </c>
      <c r="M1226" t="str">
        <f>quantInv[[#This Row],[ASIN]] &amp; " " &amp; quantInv[[#This Row],[Short Description]]</f>
        <v xml:space="preserve"> </v>
      </c>
      <c r="N1226" s="33">
        <f>quantInv[[#This Row],[UNIT
VALUE]] / EURtoGBP</f>
        <v>8.0025880710357392E-2</v>
      </c>
      <c r="O1226" s="33">
        <f>quantInv[[#This Row],[UNIT
VALUE]]/USDtoGBP</f>
        <v>9.6643787449467625E-2</v>
      </c>
      <c r="P1226" s="33">
        <f>quantInv[[#This Row],[UNIT
VALUE]] / CADtoGBP</f>
        <v>0.1237096035502024</v>
      </c>
      <c r="Q1226" s="33">
        <f>quantInv[[#This Row],[UNIT
VALUE]]/AUDtoGBP</f>
        <v>0.12662547596810114</v>
      </c>
      <c r="R1226">
        <f>IFERROR(VLOOKUP(quantInv[[#This Row],[Assigned Item SKU]],skuQuantity[#All],2,FALSE),0)</f>
        <v>0</v>
      </c>
      <c r="S1226" t="str">
        <f>PROPER(quantInv[[#This Row],[Metal]] &amp; " " &amp; quantInv[[#This Row],[Item Type]])</f>
        <v xml:space="preserve"> </v>
      </c>
      <c r="T1226" s="33">
        <f>quantInv[[#This Row],[Quantity]]*quantInv[[#This Row],[WEIGHT]]</f>
        <v>0</v>
      </c>
      <c r="U1226" s="33">
        <f>quantInv[[#This Row],[UNIT
VALUE]]*quantInv[[#This Row],[Quantity]]</f>
        <v>0</v>
      </c>
      <c r="V1226" s="33">
        <f>quantInv[[#This Row],[Total Cost GBP]]/EURtoGBP</f>
        <v>0</v>
      </c>
      <c r="W1226" s="33">
        <f>quantInv[[#This Row],[Total Cost GBP]]/USDtoGBP</f>
        <v>0</v>
      </c>
      <c r="X1226" s="33">
        <f>quantInv[[#This Row],[Total Cost GBP]]/CADtoGBP</f>
        <v>0</v>
      </c>
      <c r="Y1226" s="33">
        <f>quantInv[[#This Row],[Quantity]]*quantInv[[#This Row],[UNIT
VALUE AUD]]</f>
        <v>0</v>
      </c>
      <c r="Z1226" s="33"/>
    </row>
    <row r="1227" spans="1:26" x14ac:dyDescent="0.25">
      <c r="A1227" t="s">
        <v>2778</v>
      </c>
      <c r="C1227" t="s">
        <v>114</v>
      </c>
      <c r="E1227">
        <v>0</v>
      </c>
      <c r="F1227" s="33">
        <v>7.0499999999999993E-2</v>
      </c>
      <c r="G1227" s="33" t="s">
        <v>2875</v>
      </c>
      <c r="H1227" t="s">
        <v>2875</v>
      </c>
      <c r="I1227" t="str">
        <f>IF(quantInv[[#This Row],[Metal]] = "925 Silver",  "7113.11.00"," 7113.19.00")</f>
        <v xml:space="preserve"> 7113.19.00</v>
      </c>
      <c r="J1227" t="str">
        <f>IF(quantInv[[#This Row],[Metal]] = "925 Silver", "7113.11.10.00"," 7113.19.10.00")</f>
        <v xml:space="preserve"> 7113.19.10.00</v>
      </c>
      <c r="K1227" t="str">
        <f>IF(quantInv[[#This Row],[Metal]] = "925 Silver",  "7113.11.00"," 7113.19.00")</f>
        <v xml:space="preserve"> 7113.19.00</v>
      </c>
      <c r="L1227" t="str">
        <f>IFERROR(VLOOKUP(quantInv[[#This Row],[Description for New Invoice]],Map!$G$12:$H$32,2,FALSE), IF(quantInv[[#This Row],[Metal]] = "925 Silver", "7113.11.10.00", "7113.19.29.00"))</f>
        <v>7113.19.29.00</v>
      </c>
      <c r="M1227" t="str">
        <f>quantInv[[#This Row],[ASIN]] &amp; " " &amp; quantInv[[#This Row],[Short Description]]</f>
        <v xml:space="preserve"> </v>
      </c>
      <c r="N1227" s="33">
        <f>quantInv[[#This Row],[UNIT
VALUE]] / EURtoGBP</f>
        <v>8.0025880710357392E-2</v>
      </c>
      <c r="O1227" s="33">
        <f>quantInv[[#This Row],[UNIT
VALUE]]/USDtoGBP</f>
        <v>9.6643787449467625E-2</v>
      </c>
      <c r="P1227" s="33">
        <f>quantInv[[#This Row],[UNIT
VALUE]] / CADtoGBP</f>
        <v>0.1237096035502024</v>
      </c>
      <c r="Q1227" s="33">
        <f>quantInv[[#This Row],[UNIT
VALUE]]/AUDtoGBP</f>
        <v>0.12662547596810114</v>
      </c>
      <c r="R1227">
        <f>IFERROR(VLOOKUP(quantInv[[#This Row],[Assigned Item SKU]],skuQuantity[#All],2,FALSE),0)</f>
        <v>0</v>
      </c>
      <c r="S1227" t="str">
        <f>PROPER(quantInv[[#This Row],[Metal]] &amp; " " &amp; quantInv[[#This Row],[Item Type]])</f>
        <v xml:space="preserve"> </v>
      </c>
      <c r="T1227" s="33">
        <f>quantInv[[#This Row],[Quantity]]*quantInv[[#This Row],[WEIGHT]]</f>
        <v>0</v>
      </c>
      <c r="U1227" s="33">
        <f>quantInv[[#This Row],[UNIT
VALUE]]*quantInv[[#This Row],[Quantity]]</f>
        <v>0</v>
      </c>
      <c r="V1227" s="33">
        <f>quantInv[[#This Row],[Total Cost GBP]]/EURtoGBP</f>
        <v>0</v>
      </c>
      <c r="W1227" s="33">
        <f>quantInv[[#This Row],[Total Cost GBP]]/USDtoGBP</f>
        <v>0</v>
      </c>
      <c r="X1227" s="33">
        <f>quantInv[[#This Row],[Total Cost GBP]]/CADtoGBP</f>
        <v>0</v>
      </c>
      <c r="Y1227" s="33">
        <f>quantInv[[#This Row],[Quantity]]*quantInv[[#This Row],[UNIT
VALUE AUD]]</f>
        <v>0</v>
      </c>
      <c r="Z1227" s="33"/>
    </row>
    <row r="1228" spans="1:26" x14ac:dyDescent="0.25">
      <c r="A1228" t="s">
        <v>2779</v>
      </c>
      <c r="C1228" t="s">
        <v>114</v>
      </c>
      <c r="E1228">
        <v>0</v>
      </c>
      <c r="F1228" s="33">
        <v>7.0499999999999993E-2</v>
      </c>
      <c r="G1228" s="33" t="s">
        <v>2875</v>
      </c>
      <c r="H1228" t="s">
        <v>2875</v>
      </c>
      <c r="I1228" t="str">
        <f>IF(quantInv[[#This Row],[Metal]] = "925 Silver",  "7113.11.00"," 7113.19.00")</f>
        <v xml:space="preserve"> 7113.19.00</v>
      </c>
      <c r="J1228" t="str">
        <f>IF(quantInv[[#This Row],[Metal]] = "925 Silver", "7113.11.10.00"," 7113.19.10.00")</f>
        <v xml:space="preserve"> 7113.19.10.00</v>
      </c>
      <c r="K1228" t="str">
        <f>IF(quantInv[[#This Row],[Metal]] = "925 Silver",  "7113.11.00"," 7113.19.00")</f>
        <v xml:space="preserve"> 7113.19.00</v>
      </c>
      <c r="L1228" t="str">
        <f>IFERROR(VLOOKUP(quantInv[[#This Row],[Description for New Invoice]],Map!$G$12:$H$32,2,FALSE), IF(quantInv[[#This Row],[Metal]] = "925 Silver", "7113.11.10.00", "7113.19.29.00"))</f>
        <v>7113.19.29.00</v>
      </c>
      <c r="M1228" t="str">
        <f>quantInv[[#This Row],[ASIN]] &amp; " " &amp; quantInv[[#This Row],[Short Description]]</f>
        <v xml:space="preserve"> </v>
      </c>
      <c r="N1228" s="33">
        <f>quantInv[[#This Row],[UNIT
VALUE]] / EURtoGBP</f>
        <v>8.0025880710357392E-2</v>
      </c>
      <c r="O1228" s="33">
        <f>quantInv[[#This Row],[UNIT
VALUE]]/USDtoGBP</f>
        <v>9.6643787449467625E-2</v>
      </c>
      <c r="P1228" s="33">
        <f>quantInv[[#This Row],[UNIT
VALUE]] / CADtoGBP</f>
        <v>0.1237096035502024</v>
      </c>
      <c r="Q1228" s="33">
        <f>quantInv[[#This Row],[UNIT
VALUE]]/AUDtoGBP</f>
        <v>0.12662547596810114</v>
      </c>
      <c r="R1228">
        <f>IFERROR(VLOOKUP(quantInv[[#This Row],[Assigned Item SKU]],skuQuantity[#All],2,FALSE),0)</f>
        <v>0</v>
      </c>
      <c r="S1228" t="str">
        <f>PROPER(quantInv[[#This Row],[Metal]] &amp; " " &amp; quantInv[[#This Row],[Item Type]])</f>
        <v xml:space="preserve"> </v>
      </c>
      <c r="T1228" s="33">
        <f>quantInv[[#This Row],[Quantity]]*quantInv[[#This Row],[WEIGHT]]</f>
        <v>0</v>
      </c>
      <c r="U1228" s="33">
        <f>quantInv[[#This Row],[UNIT
VALUE]]*quantInv[[#This Row],[Quantity]]</f>
        <v>0</v>
      </c>
      <c r="V1228" s="33">
        <f>quantInv[[#This Row],[Total Cost GBP]]/EURtoGBP</f>
        <v>0</v>
      </c>
      <c r="W1228" s="33">
        <f>quantInv[[#This Row],[Total Cost GBP]]/USDtoGBP</f>
        <v>0</v>
      </c>
      <c r="X1228" s="33">
        <f>quantInv[[#This Row],[Total Cost GBP]]/CADtoGBP</f>
        <v>0</v>
      </c>
      <c r="Y1228" s="33">
        <f>quantInv[[#This Row],[Quantity]]*quantInv[[#This Row],[UNIT
VALUE AUD]]</f>
        <v>0</v>
      </c>
      <c r="Z1228" s="33"/>
    </row>
    <row r="1229" spans="1:26" x14ac:dyDescent="0.25">
      <c r="A1229" t="s">
        <v>2780</v>
      </c>
      <c r="C1229" t="s">
        <v>114</v>
      </c>
      <c r="E1229">
        <v>0</v>
      </c>
      <c r="F1229" s="33">
        <v>7.0499999999999993E-2</v>
      </c>
      <c r="G1229" s="33" t="s">
        <v>2875</v>
      </c>
      <c r="H1229" t="s">
        <v>2875</v>
      </c>
      <c r="I1229" t="str">
        <f>IF(quantInv[[#This Row],[Metal]] = "925 Silver",  "7113.11.00"," 7113.19.00")</f>
        <v xml:space="preserve"> 7113.19.00</v>
      </c>
      <c r="J1229" t="str">
        <f>IF(quantInv[[#This Row],[Metal]] = "925 Silver", "7113.11.10.00"," 7113.19.10.00")</f>
        <v xml:space="preserve"> 7113.19.10.00</v>
      </c>
      <c r="K1229" t="str">
        <f>IF(quantInv[[#This Row],[Metal]] = "925 Silver",  "7113.11.00"," 7113.19.00")</f>
        <v xml:space="preserve"> 7113.19.00</v>
      </c>
      <c r="L1229" t="str">
        <f>IFERROR(VLOOKUP(quantInv[[#This Row],[Description for New Invoice]],Map!$G$12:$H$32,2,FALSE), IF(quantInv[[#This Row],[Metal]] = "925 Silver", "7113.11.10.00", "7113.19.29.00"))</f>
        <v>7113.19.29.00</v>
      </c>
      <c r="M1229" t="str">
        <f>quantInv[[#This Row],[ASIN]] &amp; " " &amp; quantInv[[#This Row],[Short Description]]</f>
        <v xml:space="preserve"> </v>
      </c>
      <c r="N1229" s="33">
        <f>quantInv[[#This Row],[UNIT
VALUE]] / EURtoGBP</f>
        <v>8.0025880710357392E-2</v>
      </c>
      <c r="O1229" s="33">
        <f>quantInv[[#This Row],[UNIT
VALUE]]/USDtoGBP</f>
        <v>9.6643787449467625E-2</v>
      </c>
      <c r="P1229" s="33">
        <f>quantInv[[#This Row],[UNIT
VALUE]] / CADtoGBP</f>
        <v>0.1237096035502024</v>
      </c>
      <c r="Q1229" s="33">
        <f>quantInv[[#This Row],[UNIT
VALUE]]/AUDtoGBP</f>
        <v>0.12662547596810114</v>
      </c>
      <c r="R1229">
        <f>IFERROR(VLOOKUP(quantInv[[#This Row],[Assigned Item SKU]],skuQuantity[#All],2,FALSE),0)</f>
        <v>0</v>
      </c>
      <c r="S1229" t="str">
        <f>PROPER(quantInv[[#This Row],[Metal]] &amp; " " &amp; quantInv[[#This Row],[Item Type]])</f>
        <v xml:space="preserve"> </v>
      </c>
      <c r="T1229" s="33">
        <f>quantInv[[#This Row],[Quantity]]*quantInv[[#This Row],[WEIGHT]]</f>
        <v>0</v>
      </c>
      <c r="U1229" s="33">
        <f>quantInv[[#This Row],[UNIT
VALUE]]*quantInv[[#This Row],[Quantity]]</f>
        <v>0</v>
      </c>
      <c r="V1229" s="33">
        <f>quantInv[[#This Row],[Total Cost GBP]]/EURtoGBP</f>
        <v>0</v>
      </c>
      <c r="W1229" s="33">
        <f>quantInv[[#This Row],[Total Cost GBP]]/USDtoGBP</f>
        <v>0</v>
      </c>
      <c r="X1229" s="33">
        <f>quantInv[[#This Row],[Total Cost GBP]]/CADtoGBP</f>
        <v>0</v>
      </c>
      <c r="Y1229" s="33">
        <f>quantInv[[#This Row],[Quantity]]*quantInv[[#This Row],[UNIT
VALUE AUD]]</f>
        <v>0</v>
      </c>
      <c r="Z1229" s="33"/>
    </row>
    <row r="1230" spans="1:26" x14ac:dyDescent="0.25">
      <c r="A1230" t="s">
        <v>2781</v>
      </c>
      <c r="C1230" t="s">
        <v>114</v>
      </c>
      <c r="E1230">
        <v>0</v>
      </c>
      <c r="F1230" s="33">
        <v>7.0499999999999993E-2</v>
      </c>
      <c r="G1230" s="33" t="s">
        <v>2875</v>
      </c>
      <c r="H1230" t="s">
        <v>2875</v>
      </c>
      <c r="I1230" t="str">
        <f>IF(quantInv[[#This Row],[Metal]] = "925 Silver",  "7113.11.00"," 7113.19.00")</f>
        <v xml:space="preserve"> 7113.19.00</v>
      </c>
      <c r="J1230" t="str">
        <f>IF(quantInv[[#This Row],[Metal]] = "925 Silver", "7113.11.10.00"," 7113.19.10.00")</f>
        <v xml:space="preserve"> 7113.19.10.00</v>
      </c>
      <c r="K1230" t="str">
        <f>IF(quantInv[[#This Row],[Metal]] = "925 Silver",  "7113.11.00"," 7113.19.00")</f>
        <v xml:space="preserve"> 7113.19.00</v>
      </c>
      <c r="L1230" t="str">
        <f>IFERROR(VLOOKUP(quantInv[[#This Row],[Description for New Invoice]],Map!$G$12:$H$32,2,FALSE), IF(quantInv[[#This Row],[Metal]] = "925 Silver", "7113.11.10.00", "7113.19.29.00"))</f>
        <v>7113.19.29.00</v>
      </c>
      <c r="M1230" t="str">
        <f>quantInv[[#This Row],[ASIN]] &amp; " " &amp; quantInv[[#This Row],[Short Description]]</f>
        <v xml:space="preserve"> </v>
      </c>
      <c r="N1230" s="33">
        <f>quantInv[[#This Row],[UNIT
VALUE]] / EURtoGBP</f>
        <v>8.0025880710357392E-2</v>
      </c>
      <c r="O1230" s="33">
        <f>quantInv[[#This Row],[UNIT
VALUE]]/USDtoGBP</f>
        <v>9.6643787449467625E-2</v>
      </c>
      <c r="P1230" s="33">
        <f>quantInv[[#This Row],[UNIT
VALUE]] / CADtoGBP</f>
        <v>0.1237096035502024</v>
      </c>
      <c r="Q1230" s="33">
        <f>quantInv[[#This Row],[UNIT
VALUE]]/AUDtoGBP</f>
        <v>0.12662547596810114</v>
      </c>
      <c r="R1230">
        <f>IFERROR(VLOOKUP(quantInv[[#This Row],[Assigned Item SKU]],skuQuantity[#All],2,FALSE),0)</f>
        <v>0</v>
      </c>
      <c r="S1230" t="str">
        <f>PROPER(quantInv[[#This Row],[Metal]] &amp; " " &amp; quantInv[[#This Row],[Item Type]])</f>
        <v xml:space="preserve"> </v>
      </c>
      <c r="T1230" s="33">
        <f>quantInv[[#This Row],[Quantity]]*quantInv[[#This Row],[WEIGHT]]</f>
        <v>0</v>
      </c>
      <c r="U1230" s="33">
        <f>quantInv[[#This Row],[UNIT
VALUE]]*quantInv[[#This Row],[Quantity]]</f>
        <v>0</v>
      </c>
      <c r="V1230" s="33">
        <f>quantInv[[#This Row],[Total Cost GBP]]/EURtoGBP</f>
        <v>0</v>
      </c>
      <c r="W1230" s="33">
        <f>quantInv[[#This Row],[Total Cost GBP]]/USDtoGBP</f>
        <v>0</v>
      </c>
      <c r="X1230" s="33">
        <f>quantInv[[#This Row],[Total Cost GBP]]/CADtoGBP</f>
        <v>0</v>
      </c>
      <c r="Y1230" s="33">
        <f>quantInv[[#This Row],[Quantity]]*quantInv[[#This Row],[UNIT
VALUE AUD]]</f>
        <v>0</v>
      </c>
      <c r="Z1230" s="33"/>
    </row>
    <row r="1231" spans="1:26" x14ac:dyDescent="0.25">
      <c r="A1231" t="s">
        <v>2782</v>
      </c>
      <c r="C1231" t="s">
        <v>114</v>
      </c>
      <c r="E1231">
        <v>0</v>
      </c>
      <c r="F1231" s="33">
        <v>7.0499999999999993E-2</v>
      </c>
      <c r="G1231" s="33" t="s">
        <v>2875</v>
      </c>
      <c r="H1231" t="s">
        <v>2875</v>
      </c>
      <c r="I1231" t="str">
        <f>IF(quantInv[[#This Row],[Metal]] = "925 Silver",  "7113.11.00"," 7113.19.00")</f>
        <v xml:space="preserve"> 7113.19.00</v>
      </c>
      <c r="J1231" t="str">
        <f>IF(quantInv[[#This Row],[Metal]] = "925 Silver", "7113.11.10.00"," 7113.19.10.00")</f>
        <v xml:space="preserve"> 7113.19.10.00</v>
      </c>
      <c r="K1231" t="str">
        <f>IF(quantInv[[#This Row],[Metal]] = "925 Silver",  "7113.11.00"," 7113.19.00")</f>
        <v xml:space="preserve"> 7113.19.00</v>
      </c>
      <c r="L1231" t="str">
        <f>IFERROR(VLOOKUP(quantInv[[#This Row],[Description for New Invoice]],Map!$G$12:$H$32,2,FALSE), IF(quantInv[[#This Row],[Metal]] = "925 Silver", "7113.11.10.00", "7113.19.29.00"))</f>
        <v>7113.19.29.00</v>
      </c>
      <c r="M1231" t="str">
        <f>quantInv[[#This Row],[ASIN]] &amp; " " &amp; quantInv[[#This Row],[Short Description]]</f>
        <v xml:space="preserve"> </v>
      </c>
      <c r="N1231" s="33">
        <f>quantInv[[#This Row],[UNIT
VALUE]] / EURtoGBP</f>
        <v>8.0025880710357392E-2</v>
      </c>
      <c r="O1231" s="33">
        <f>quantInv[[#This Row],[UNIT
VALUE]]/USDtoGBP</f>
        <v>9.6643787449467625E-2</v>
      </c>
      <c r="P1231" s="33">
        <f>quantInv[[#This Row],[UNIT
VALUE]] / CADtoGBP</f>
        <v>0.1237096035502024</v>
      </c>
      <c r="Q1231" s="33">
        <f>quantInv[[#This Row],[UNIT
VALUE]]/AUDtoGBP</f>
        <v>0.12662547596810114</v>
      </c>
      <c r="R1231">
        <f>IFERROR(VLOOKUP(quantInv[[#This Row],[Assigned Item SKU]],skuQuantity[#All],2,FALSE),0)</f>
        <v>0</v>
      </c>
      <c r="S1231" t="str">
        <f>PROPER(quantInv[[#This Row],[Metal]] &amp; " " &amp; quantInv[[#This Row],[Item Type]])</f>
        <v xml:space="preserve"> </v>
      </c>
      <c r="T1231" s="33">
        <f>quantInv[[#This Row],[Quantity]]*quantInv[[#This Row],[WEIGHT]]</f>
        <v>0</v>
      </c>
      <c r="U1231" s="33">
        <f>quantInv[[#This Row],[UNIT
VALUE]]*quantInv[[#This Row],[Quantity]]</f>
        <v>0</v>
      </c>
      <c r="V1231" s="33">
        <f>quantInv[[#This Row],[Total Cost GBP]]/EURtoGBP</f>
        <v>0</v>
      </c>
      <c r="W1231" s="33">
        <f>quantInv[[#This Row],[Total Cost GBP]]/USDtoGBP</f>
        <v>0</v>
      </c>
      <c r="X1231" s="33">
        <f>quantInv[[#This Row],[Total Cost GBP]]/CADtoGBP</f>
        <v>0</v>
      </c>
      <c r="Y1231" s="33">
        <f>quantInv[[#This Row],[Quantity]]*quantInv[[#This Row],[UNIT
VALUE AUD]]</f>
        <v>0</v>
      </c>
      <c r="Z1231" s="33"/>
    </row>
    <row r="1232" spans="1:26" x14ac:dyDescent="0.25">
      <c r="A1232" t="s">
        <v>2783</v>
      </c>
      <c r="C1232" t="s">
        <v>114</v>
      </c>
      <c r="E1232">
        <v>0</v>
      </c>
      <c r="F1232" s="33">
        <v>7.0499999999999993E-2</v>
      </c>
      <c r="G1232" s="33" t="s">
        <v>2875</v>
      </c>
      <c r="H1232" t="s">
        <v>2875</v>
      </c>
      <c r="I1232" t="str">
        <f>IF(quantInv[[#This Row],[Metal]] = "925 Silver",  "7113.11.00"," 7113.19.00")</f>
        <v xml:space="preserve"> 7113.19.00</v>
      </c>
      <c r="J1232" t="str">
        <f>IF(quantInv[[#This Row],[Metal]] = "925 Silver", "7113.11.10.00"," 7113.19.10.00")</f>
        <v xml:space="preserve"> 7113.19.10.00</v>
      </c>
      <c r="K1232" t="str">
        <f>IF(quantInv[[#This Row],[Metal]] = "925 Silver",  "7113.11.00"," 7113.19.00")</f>
        <v xml:space="preserve"> 7113.19.00</v>
      </c>
      <c r="L1232" t="str">
        <f>IFERROR(VLOOKUP(quantInv[[#This Row],[Description for New Invoice]],Map!$G$12:$H$32,2,FALSE), IF(quantInv[[#This Row],[Metal]] = "925 Silver", "7113.11.10.00", "7113.19.29.00"))</f>
        <v>7113.19.29.00</v>
      </c>
      <c r="M1232" t="str">
        <f>quantInv[[#This Row],[ASIN]] &amp; " " &amp; quantInv[[#This Row],[Short Description]]</f>
        <v xml:space="preserve"> </v>
      </c>
      <c r="N1232" s="33">
        <f>quantInv[[#This Row],[UNIT
VALUE]] / EURtoGBP</f>
        <v>8.0025880710357392E-2</v>
      </c>
      <c r="O1232" s="33">
        <f>quantInv[[#This Row],[UNIT
VALUE]]/USDtoGBP</f>
        <v>9.6643787449467625E-2</v>
      </c>
      <c r="P1232" s="33">
        <f>quantInv[[#This Row],[UNIT
VALUE]] / CADtoGBP</f>
        <v>0.1237096035502024</v>
      </c>
      <c r="Q1232" s="33">
        <f>quantInv[[#This Row],[UNIT
VALUE]]/AUDtoGBP</f>
        <v>0.12662547596810114</v>
      </c>
      <c r="R1232">
        <f>IFERROR(VLOOKUP(quantInv[[#This Row],[Assigned Item SKU]],skuQuantity[#All],2,FALSE),0)</f>
        <v>0</v>
      </c>
      <c r="S1232" t="str">
        <f>PROPER(quantInv[[#This Row],[Metal]] &amp; " " &amp; quantInv[[#This Row],[Item Type]])</f>
        <v xml:space="preserve"> </v>
      </c>
      <c r="T1232" s="33">
        <f>quantInv[[#This Row],[Quantity]]*quantInv[[#This Row],[WEIGHT]]</f>
        <v>0</v>
      </c>
      <c r="U1232" s="33">
        <f>quantInv[[#This Row],[UNIT
VALUE]]*quantInv[[#This Row],[Quantity]]</f>
        <v>0</v>
      </c>
      <c r="V1232" s="33">
        <f>quantInv[[#This Row],[Total Cost GBP]]/EURtoGBP</f>
        <v>0</v>
      </c>
      <c r="W1232" s="33">
        <f>quantInv[[#This Row],[Total Cost GBP]]/USDtoGBP</f>
        <v>0</v>
      </c>
      <c r="X1232" s="33">
        <f>quantInv[[#This Row],[Total Cost GBP]]/CADtoGBP</f>
        <v>0</v>
      </c>
      <c r="Y1232" s="33">
        <f>quantInv[[#This Row],[Quantity]]*quantInv[[#This Row],[UNIT
VALUE AUD]]</f>
        <v>0</v>
      </c>
      <c r="Z1232" s="33"/>
    </row>
    <row r="1233" spans="1:26" x14ac:dyDescent="0.25">
      <c r="A1233" t="s">
        <v>2784</v>
      </c>
      <c r="C1233" t="s">
        <v>114</v>
      </c>
      <c r="E1233">
        <v>0</v>
      </c>
      <c r="F1233" s="33">
        <v>7.0499999999999993E-2</v>
      </c>
      <c r="G1233" s="33" t="s">
        <v>2875</v>
      </c>
      <c r="H1233" t="s">
        <v>2875</v>
      </c>
      <c r="I1233" t="str">
        <f>IF(quantInv[[#This Row],[Metal]] = "925 Silver",  "7113.11.00"," 7113.19.00")</f>
        <v xml:space="preserve"> 7113.19.00</v>
      </c>
      <c r="J1233" t="str">
        <f>IF(quantInv[[#This Row],[Metal]] = "925 Silver", "7113.11.10.00"," 7113.19.10.00")</f>
        <v xml:space="preserve"> 7113.19.10.00</v>
      </c>
      <c r="K1233" t="str">
        <f>IF(quantInv[[#This Row],[Metal]] = "925 Silver",  "7113.11.00"," 7113.19.00")</f>
        <v xml:space="preserve"> 7113.19.00</v>
      </c>
      <c r="L1233" t="str">
        <f>IFERROR(VLOOKUP(quantInv[[#This Row],[Description for New Invoice]],Map!$G$12:$H$32,2,FALSE), IF(quantInv[[#This Row],[Metal]] = "925 Silver", "7113.11.10.00", "7113.19.29.00"))</f>
        <v>7113.19.29.00</v>
      </c>
      <c r="M1233" t="str">
        <f>quantInv[[#This Row],[ASIN]] &amp; " " &amp; quantInv[[#This Row],[Short Description]]</f>
        <v xml:space="preserve"> </v>
      </c>
      <c r="N1233" s="33">
        <f>quantInv[[#This Row],[UNIT
VALUE]] / EURtoGBP</f>
        <v>8.0025880710357392E-2</v>
      </c>
      <c r="O1233" s="33">
        <f>quantInv[[#This Row],[UNIT
VALUE]]/USDtoGBP</f>
        <v>9.6643787449467625E-2</v>
      </c>
      <c r="P1233" s="33">
        <f>quantInv[[#This Row],[UNIT
VALUE]] / CADtoGBP</f>
        <v>0.1237096035502024</v>
      </c>
      <c r="Q1233" s="33">
        <f>quantInv[[#This Row],[UNIT
VALUE]]/AUDtoGBP</f>
        <v>0.12662547596810114</v>
      </c>
      <c r="R1233">
        <f>IFERROR(VLOOKUP(quantInv[[#This Row],[Assigned Item SKU]],skuQuantity[#All],2,FALSE),0)</f>
        <v>0</v>
      </c>
      <c r="S1233" t="str">
        <f>PROPER(quantInv[[#This Row],[Metal]] &amp; " " &amp; quantInv[[#This Row],[Item Type]])</f>
        <v xml:space="preserve"> </v>
      </c>
      <c r="T1233" s="33">
        <f>quantInv[[#This Row],[Quantity]]*quantInv[[#This Row],[WEIGHT]]</f>
        <v>0</v>
      </c>
      <c r="U1233" s="33">
        <f>quantInv[[#This Row],[UNIT
VALUE]]*quantInv[[#This Row],[Quantity]]</f>
        <v>0</v>
      </c>
      <c r="V1233" s="33">
        <f>quantInv[[#This Row],[Total Cost GBP]]/EURtoGBP</f>
        <v>0</v>
      </c>
      <c r="W1233" s="33">
        <f>quantInv[[#This Row],[Total Cost GBP]]/USDtoGBP</f>
        <v>0</v>
      </c>
      <c r="X1233" s="33">
        <f>quantInv[[#This Row],[Total Cost GBP]]/CADtoGBP</f>
        <v>0</v>
      </c>
      <c r="Y1233" s="33">
        <f>quantInv[[#This Row],[Quantity]]*quantInv[[#This Row],[UNIT
VALUE AUD]]</f>
        <v>0</v>
      </c>
      <c r="Z1233" s="33"/>
    </row>
    <row r="1234" spans="1:26" x14ac:dyDescent="0.25">
      <c r="A1234" t="s">
        <v>2785</v>
      </c>
      <c r="C1234" t="s">
        <v>114</v>
      </c>
      <c r="E1234">
        <v>0</v>
      </c>
      <c r="F1234" s="33">
        <v>7.0499999999999993E-2</v>
      </c>
      <c r="G1234" s="33" t="s">
        <v>2875</v>
      </c>
      <c r="H1234" t="s">
        <v>2875</v>
      </c>
      <c r="I1234" t="str">
        <f>IF(quantInv[[#This Row],[Metal]] = "925 Silver",  "7113.11.00"," 7113.19.00")</f>
        <v xml:space="preserve"> 7113.19.00</v>
      </c>
      <c r="J1234" t="str">
        <f>IF(quantInv[[#This Row],[Metal]] = "925 Silver", "7113.11.10.00"," 7113.19.10.00")</f>
        <v xml:space="preserve"> 7113.19.10.00</v>
      </c>
      <c r="K1234" t="str">
        <f>IF(quantInv[[#This Row],[Metal]] = "925 Silver",  "7113.11.00"," 7113.19.00")</f>
        <v xml:space="preserve"> 7113.19.00</v>
      </c>
      <c r="L1234" t="str">
        <f>IFERROR(VLOOKUP(quantInv[[#This Row],[Description for New Invoice]],Map!$G$12:$H$32,2,FALSE), IF(quantInv[[#This Row],[Metal]] = "925 Silver", "7113.11.10.00", "7113.19.29.00"))</f>
        <v>7113.19.29.00</v>
      </c>
      <c r="M1234" t="str">
        <f>quantInv[[#This Row],[ASIN]] &amp; " " &amp; quantInv[[#This Row],[Short Description]]</f>
        <v xml:space="preserve"> </v>
      </c>
      <c r="N1234" s="33">
        <f>quantInv[[#This Row],[UNIT
VALUE]] / EURtoGBP</f>
        <v>8.0025880710357392E-2</v>
      </c>
      <c r="O1234" s="33">
        <f>quantInv[[#This Row],[UNIT
VALUE]]/USDtoGBP</f>
        <v>9.6643787449467625E-2</v>
      </c>
      <c r="P1234" s="33">
        <f>quantInv[[#This Row],[UNIT
VALUE]] / CADtoGBP</f>
        <v>0.1237096035502024</v>
      </c>
      <c r="Q1234" s="33">
        <f>quantInv[[#This Row],[UNIT
VALUE]]/AUDtoGBP</f>
        <v>0.12662547596810114</v>
      </c>
      <c r="R1234">
        <f>IFERROR(VLOOKUP(quantInv[[#This Row],[Assigned Item SKU]],skuQuantity[#All],2,FALSE),0)</f>
        <v>0</v>
      </c>
      <c r="S1234" t="str">
        <f>PROPER(quantInv[[#This Row],[Metal]] &amp; " " &amp; quantInv[[#This Row],[Item Type]])</f>
        <v xml:space="preserve"> </v>
      </c>
      <c r="T1234" s="33">
        <f>quantInv[[#This Row],[Quantity]]*quantInv[[#This Row],[WEIGHT]]</f>
        <v>0</v>
      </c>
      <c r="U1234" s="33">
        <f>quantInv[[#This Row],[UNIT
VALUE]]*quantInv[[#This Row],[Quantity]]</f>
        <v>0</v>
      </c>
      <c r="V1234" s="33">
        <f>quantInv[[#This Row],[Total Cost GBP]]/EURtoGBP</f>
        <v>0</v>
      </c>
      <c r="W1234" s="33">
        <f>quantInv[[#This Row],[Total Cost GBP]]/USDtoGBP</f>
        <v>0</v>
      </c>
      <c r="X1234" s="33">
        <f>quantInv[[#This Row],[Total Cost GBP]]/CADtoGBP</f>
        <v>0</v>
      </c>
      <c r="Y1234" s="33">
        <f>quantInv[[#This Row],[Quantity]]*quantInv[[#This Row],[UNIT
VALUE AUD]]</f>
        <v>0</v>
      </c>
      <c r="Z1234" s="33"/>
    </row>
    <row r="1235" spans="1:26" x14ac:dyDescent="0.25">
      <c r="A1235" t="s">
        <v>2786</v>
      </c>
      <c r="C1235" t="s">
        <v>114</v>
      </c>
      <c r="E1235">
        <v>0</v>
      </c>
      <c r="F1235" s="33">
        <v>7.0499999999999993E-2</v>
      </c>
      <c r="G1235" s="33" t="s">
        <v>2875</v>
      </c>
      <c r="H1235" t="s">
        <v>2875</v>
      </c>
      <c r="I1235" t="str">
        <f>IF(quantInv[[#This Row],[Metal]] = "925 Silver",  "7113.11.00"," 7113.19.00")</f>
        <v xml:space="preserve"> 7113.19.00</v>
      </c>
      <c r="J1235" t="str">
        <f>IF(quantInv[[#This Row],[Metal]] = "925 Silver", "7113.11.10.00"," 7113.19.10.00")</f>
        <v xml:space="preserve"> 7113.19.10.00</v>
      </c>
      <c r="K1235" t="str">
        <f>IF(quantInv[[#This Row],[Metal]] = "925 Silver",  "7113.11.00"," 7113.19.00")</f>
        <v xml:space="preserve"> 7113.19.00</v>
      </c>
      <c r="L1235" t="str">
        <f>IFERROR(VLOOKUP(quantInv[[#This Row],[Description for New Invoice]],Map!$G$12:$H$32,2,FALSE), IF(quantInv[[#This Row],[Metal]] = "925 Silver", "7113.11.10.00", "7113.19.29.00"))</f>
        <v>7113.19.29.00</v>
      </c>
      <c r="M1235" t="str">
        <f>quantInv[[#This Row],[ASIN]] &amp; " " &amp; quantInv[[#This Row],[Short Description]]</f>
        <v xml:space="preserve"> </v>
      </c>
      <c r="N1235" s="33">
        <f>quantInv[[#This Row],[UNIT
VALUE]] / EURtoGBP</f>
        <v>8.0025880710357392E-2</v>
      </c>
      <c r="O1235" s="33">
        <f>quantInv[[#This Row],[UNIT
VALUE]]/USDtoGBP</f>
        <v>9.6643787449467625E-2</v>
      </c>
      <c r="P1235" s="33">
        <f>quantInv[[#This Row],[UNIT
VALUE]] / CADtoGBP</f>
        <v>0.1237096035502024</v>
      </c>
      <c r="Q1235" s="33">
        <f>quantInv[[#This Row],[UNIT
VALUE]]/AUDtoGBP</f>
        <v>0.12662547596810114</v>
      </c>
      <c r="R1235">
        <f>IFERROR(VLOOKUP(quantInv[[#This Row],[Assigned Item SKU]],skuQuantity[#All],2,FALSE),0)</f>
        <v>0</v>
      </c>
      <c r="S1235" t="str">
        <f>PROPER(quantInv[[#This Row],[Metal]] &amp; " " &amp; quantInv[[#This Row],[Item Type]])</f>
        <v xml:space="preserve"> </v>
      </c>
      <c r="T1235" s="33">
        <f>quantInv[[#This Row],[Quantity]]*quantInv[[#This Row],[WEIGHT]]</f>
        <v>0</v>
      </c>
      <c r="U1235" s="33">
        <f>quantInv[[#This Row],[UNIT
VALUE]]*quantInv[[#This Row],[Quantity]]</f>
        <v>0</v>
      </c>
      <c r="V1235" s="33">
        <f>quantInv[[#This Row],[Total Cost GBP]]/EURtoGBP</f>
        <v>0</v>
      </c>
      <c r="W1235" s="33">
        <f>quantInv[[#This Row],[Total Cost GBP]]/USDtoGBP</f>
        <v>0</v>
      </c>
      <c r="X1235" s="33">
        <f>quantInv[[#This Row],[Total Cost GBP]]/CADtoGBP</f>
        <v>0</v>
      </c>
      <c r="Y1235" s="33">
        <f>quantInv[[#This Row],[Quantity]]*quantInv[[#This Row],[UNIT
VALUE AUD]]</f>
        <v>0</v>
      </c>
      <c r="Z1235" s="33"/>
    </row>
    <row r="1236" spans="1:26" x14ac:dyDescent="0.25">
      <c r="A1236" t="s">
        <v>2787</v>
      </c>
      <c r="C1236" t="s">
        <v>114</v>
      </c>
      <c r="E1236">
        <v>0</v>
      </c>
      <c r="F1236" s="33">
        <v>7.0499999999999993E-2</v>
      </c>
      <c r="G1236" s="33" t="s">
        <v>2875</v>
      </c>
      <c r="H1236" t="s">
        <v>2875</v>
      </c>
      <c r="I1236" t="str">
        <f>IF(quantInv[[#This Row],[Metal]] = "925 Silver",  "7113.11.00"," 7113.19.00")</f>
        <v xml:space="preserve"> 7113.19.00</v>
      </c>
      <c r="J1236" t="str">
        <f>IF(quantInv[[#This Row],[Metal]] = "925 Silver", "7113.11.10.00"," 7113.19.10.00")</f>
        <v xml:space="preserve"> 7113.19.10.00</v>
      </c>
      <c r="K1236" t="str">
        <f>IF(quantInv[[#This Row],[Metal]] = "925 Silver",  "7113.11.00"," 7113.19.00")</f>
        <v xml:space="preserve"> 7113.19.00</v>
      </c>
      <c r="L1236" t="str">
        <f>IFERROR(VLOOKUP(quantInv[[#This Row],[Description for New Invoice]],Map!$G$12:$H$32,2,FALSE), IF(quantInv[[#This Row],[Metal]] = "925 Silver", "7113.11.10.00", "7113.19.29.00"))</f>
        <v>7113.19.29.00</v>
      </c>
      <c r="M1236" t="str">
        <f>quantInv[[#This Row],[ASIN]] &amp; " " &amp; quantInv[[#This Row],[Short Description]]</f>
        <v xml:space="preserve"> </v>
      </c>
      <c r="N1236" s="33">
        <f>quantInv[[#This Row],[UNIT
VALUE]] / EURtoGBP</f>
        <v>8.0025880710357392E-2</v>
      </c>
      <c r="O1236" s="33">
        <f>quantInv[[#This Row],[UNIT
VALUE]]/USDtoGBP</f>
        <v>9.6643787449467625E-2</v>
      </c>
      <c r="P1236" s="33">
        <f>quantInv[[#This Row],[UNIT
VALUE]] / CADtoGBP</f>
        <v>0.1237096035502024</v>
      </c>
      <c r="Q1236" s="33">
        <f>quantInv[[#This Row],[UNIT
VALUE]]/AUDtoGBP</f>
        <v>0.12662547596810114</v>
      </c>
      <c r="R1236">
        <f>IFERROR(VLOOKUP(quantInv[[#This Row],[Assigned Item SKU]],skuQuantity[#All],2,FALSE),0)</f>
        <v>0</v>
      </c>
      <c r="S1236" t="str">
        <f>PROPER(quantInv[[#This Row],[Metal]] &amp; " " &amp; quantInv[[#This Row],[Item Type]])</f>
        <v xml:space="preserve"> </v>
      </c>
      <c r="T1236" s="33">
        <f>quantInv[[#This Row],[Quantity]]*quantInv[[#This Row],[WEIGHT]]</f>
        <v>0</v>
      </c>
      <c r="U1236" s="33">
        <f>quantInv[[#This Row],[UNIT
VALUE]]*quantInv[[#This Row],[Quantity]]</f>
        <v>0</v>
      </c>
      <c r="V1236" s="33">
        <f>quantInv[[#This Row],[Total Cost GBP]]/EURtoGBP</f>
        <v>0</v>
      </c>
      <c r="W1236" s="33">
        <f>quantInv[[#This Row],[Total Cost GBP]]/USDtoGBP</f>
        <v>0</v>
      </c>
      <c r="X1236" s="33">
        <f>quantInv[[#This Row],[Total Cost GBP]]/CADtoGBP</f>
        <v>0</v>
      </c>
      <c r="Y1236" s="33">
        <f>quantInv[[#This Row],[Quantity]]*quantInv[[#This Row],[UNIT
VALUE AUD]]</f>
        <v>0</v>
      </c>
      <c r="Z1236" s="33"/>
    </row>
    <row r="1237" spans="1:26" x14ac:dyDescent="0.25">
      <c r="A1237" t="s">
        <v>2788</v>
      </c>
      <c r="C1237" t="s">
        <v>114</v>
      </c>
      <c r="E1237">
        <v>0</v>
      </c>
      <c r="F1237" s="33">
        <v>7.0499999999999993E-2</v>
      </c>
      <c r="G1237" s="33" t="s">
        <v>2875</v>
      </c>
      <c r="H1237" t="s">
        <v>2875</v>
      </c>
      <c r="I1237" t="str">
        <f>IF(quantInv[[#This Row],[Metal]] = "925 Silver",  "7113.11.00"," 7113.19.00")</f>
        <v xml:space="preserve"> 7113.19.00</v>
      </c>
      <c r="J1237" t="str">
        <f>IF(quantInv[[#This Row],[Metal]] = "925 Silver", "7113.11.10.00"," 7113.19.10.00")</f>
        <v xml:space="preserve"> 7113.19.10.00</v>
      </c>
      <c r="K1237" t="str">
        <f>IF(quantInv[[#This Row],[Metal]] = "925 Silver",  "7113.11.00"," 7113.19.00")</f>
        <v xml:space="preserve"> 7113.19.00</v>
      </c>
      <c r="L1237" t="str">
        <f>IFERROR(VLOOKUP(quantInv[[#This Row],[Description for New Invoice]],Map!$G$12:$H$32,2,FALSE), IF(quantInv[[#This Row],[Metal]] = "925 Silver", "7113.11.10.00", "7113.19.29.00"))</f>
        <v>7113.19.29.00</v>
      </c>
      <c r="M1237" t="str">
        <f>quantInv[[#This Row],[ASIN]] &amp; " " &amp; quantInv[[#This Row],[Short Description]]</f>
        <v xml:space="preserve"> </v>
      </c>
      <c r="N1237" s="33">
        <f>quantInv[[#This Row],[UNIT
VALUE]] / EURtoGBP</f>
        <v>8.0025880710357392E-2</v>
      </c>
      <c r="O1237" s="33">
        <f>quantInv[[#This Row],[UNIT
VALUE]]/USDtoGBP</f>
        <v>9.6643787449467625E-2</v>
      </c>
      <c r="P1237" s="33">
        <f>quantInv[[#This Row],[UNIT
VALUE]] / CADtoGBP</f>
        <v>0.1237096035502024</v>
      </c>
      <c r="Q1237" s="33">
        <f>quantInv[[#This Row],[UNIT
VALUE]]/AUDtoGBP</f>
        <v>0.12662547596810114</v>
      </c>
      <c r="R1237">
        <f>IFERROR(VLOOKUP(quantInv[[#This Row],[Assigned Item SKU]],skuQuantity[#All],2,FALSE),0)</f>
        <v>0</v>
      </c>
      <c r="S1237" t="str">
        <f>PROPER(quantInv[[#This Row],[Metal]] &amp; " " &amp; quantInv[[#This Row],[Item Type]])</f>
        <v xml:space="preserve"> </v>
      </c>
      <c r="T1237" s="33">
        <f>quantInv[[#This Row],[Quantity]]*quantInv[[#This Row],[WEIGHT]]</f>
        <v>0</v>
      </c>
      <c r="U1237" s="33">
        <f>quantInv[[#This Row],[UNIT
VALUE]]*quantInv[[#This Row],[Quantity]]</f>
        <v>0</v>
      </c>
      <c r="V1237" s="33">
        <f>quantInv[[#This Row],[Total Cost GBP]]/EURtoGBP</f>
        <v>0</v>
      </c>
      <c r="W1237" s="33">
        <f>quantInv[[#This Row],[Total Cost GBP]]/USDtoGBP</f>
        <v>0</v>
      </c>
      <c r="X1237" s="33">
        <f>quantInv[[#This Row],[Total Cost GBP]]/CADtoGBP</f>
        <v>0</v>
      </c>
      <c r="Y1237" s="33">
        <f>quantInv[[#This Row],[Quantity]]*quantInv[[#This Row],[UNIT
VALUE AUD]]</f>
        <v>0</v>
      </c>
      <c r="Z1237" s="33"/>
    </row>
    <row r="1238" spans="1:26" x14ac:dyDescent="0.25">
      <c r="A1238" t="s">
        <v>2789</v>
      </c>
      <c r="C1238" t="s">
        <v>114</v>
      </c>
      <c r="E1238">
        <v>0</v>
      </c>
      <c r="F1238" s="33">
        <v>7.0499999999999993E-2</v>
      </c>
      <c r="G1238" s="33" t="s">
        <v>2875</v>
      </c>
      <c r="H1238" t="s">
        <v>2875</v>
      </c>
      <c r="I1238" t="str">
        <f>IF(quantInv[[#This Row],[Metal]] = "925 Silver",  "7113.11.00"," 7113.19.00")</f>
        <v xml:space="preserve"> 7113.19.00</v>
      </c>
      <c r="J1238" t="str">
        <f>IF(quantInv[[#This Row],[Metal]] = "925 Silver", "7113.11.10.00"," 7113.19.10.00")</f>
        <v xml:space="preserve"> 7113.19.10.00</v>
      </c>
      <c r="K1238" t="str">
        <f>IF(quantInv[[#This Row],[Metal]] = "925 Silver",  "7113.11.00"," 7113.19.00")</f>
        <v xml:space="preserve"> 7113.19.00</v>
      </c>
      <c r="L1238" t="str">
        <f>IFERROR(VLOOKUP(quantInv[[#This Row],[Description for New Invoice]],Map!$G$12:$H$32,2,FALSE), IF(quantInv[[#This Row],[Metal]] = "925 Silver", "7113.11.10.00", "7113.19.29.00"))</f>
        <v>7113.19.29.00</v>
      </c>
      <c r="M1238" t="str">
        <f>quantInv[[#This Row],[ASIN]] &amp; " " &amp; quantInv[[#This Row],[Short Description]]</f>
        <v xml:space="preserve"> </v>
      </c>
      <c r="N1238" s="33">
        <f>quantInv[[#This Row],[UNIT
VALUE]] / EURtoGBP</f>
        <v>8.0025880710357392E-2</v>
      </c>
      <c r="O1238" s="33">
        <f>quantInv[[#This Row],[UNIT
VALUE]]/USDtoGBP</f>
        <v>9.6643787449467625E-2</v>
      </c>
      <c r="P1238" s="33">
        <f>quantInv[[#This Row],[UNIT
VALUE]] / CADtoGBP</f>
        <v>0.1237096035502024</v>
      </c>
      <c r="Q1238" s="33">
        <f>quantInv[[#This Row],[UNIT
VALUE]]/AUDtoGBP</f>
        <v>0.12662547596810114</v>
      </c>
      <c r="R1238">
        <f>IFERROR(VLOOKUP(quantInv[[#This Row],[Assigned Item SKU]],skuQuantity[#All],2,FALSE),0)</f>
        <v>0</v>
      </c>
      <c r="S1238" t="str">
        <f>PROPER(quantInv[[#This Row],[Metal]] &amp; " " &amp; quantInv[[#This Row],[Item Type]])</f>
        <v xml:space="preserve"> </v>
      </c>
      <c r="T1238" s="33">
        <f>quantInv[[#This Row],[Quantity]]*quantInv[[#This Row],[WEIGHT]]</f>
        <v>0</v>
      </c>
      <c r="U1238" s="33">
        <f>quantInv[[#This Row],[UNIT
VALUE]]*quantInv[[#This Row],[Quantity]]</f>
        <v>0</v>
      </c>
      <c r="V1238" s="33">
        <f>quantInv[[#This Row],[Total Cost GBP]]/EURtoGBP</f>
        <v>0</v>
      </c>
      <c r="W1238" s="33">
        <f>quantInv[[#This Row],[Total Cost GBP]]/USDtoGBP</f>
        <v>0</v>
      </c>
      <c r="X1238" s="33">
        <f>quantInv[[#This Row],[Total Cost GBP]]/CADtoGBP</f>
        <v>0</v>
      </c>
      <c r="Y1238" s="33">
        <f>quantInv[[#This Row],[Quantity]]*quantInv[[#This Row],[UNIT
VALUE AUD]]</f>
        <v>0</v>
      </c>
      <c r="Z1238" s="33"/>
    </row>
    <row r="1239" spans="1:26" x14ac:dyDescent="0.25">
      <c r="A1239" t="s">
        <v>2790</v>
      </c>
      <c r="C1239" t="s">
        <v>114</v>
      </c>
      <c r="E1239">
        <v>0</v>
      </c>
      <c r="F1239" s="33">
        <v>7.0499999999999993E-2</v>
      </c>
      <c r="G1239" s="33" t="s">
        <v>2875</v>
      </c>
      <c r="H1239" t="s">
        <v>2875</v>
      </c>
      <c r="I1239" t="str">
        <f>IF(quantInv[[#This Row],[Metal]] = "925 Silver",  "7113.11.00"," 7113.19.00")</f>
        <v xml:space="preserve"> 7113.19.00</v>
      </c>
      <c r="J1239" t="str">
        <f>IF(quantInv[[#This Row],[Metal]] = "925 Silver", "7113.11.10.00"," 7113.19.10.00")</f>
        <v xml:space="preserve"> 7113.19.10.00</v>
      </c>
      <c r="K1239" t="str">
        <f>IF(quantInv[[#This Row],[Metal]] = "925 Silver",  "7113.11.00"," 7113.19.00")</f>
        <v xml:space="preserve"> 7113.19.00</v>
      </c>
      <c r="L1239" t="str">
        <f>IFERROR(VLOOKUP(quantInv[[#This Row],[Description for New Invoice]],Map!$G$12:$H$32,2,FALSE), IF(quantInv[[#This Row],[Metal]] = "925 Silver", "7113.11.10.00", "7113.19.29.00"))</f>
        <v>7113.19.29.00</v>
      </c>
      <c r="M1239" t="str">
        <f>quantInv[[#This Row],[ASIN]] &amp; " " &amp; quantInv[[#This Row],[Short Description]]</f>
        <v xml:space="preserve"> </v>
      </c>
      <c r="N1239" s="33">
        <f>quantInv[[#This Row],[UNIT
VALUE]] / EURtoGBP</f>
        <v>8.0025880710357392E-2</v>
      </c>
      <c r="O1239" s="33">
        <f>quantInv[[#This Row],[UNIT
VALUE]]/USDtoGBP</f>
        <v>9.6643787449467625E-2</v>
      </c>
      <c r="P1239" s="33">
        <f>quantInv[[#This Row],[UNIT
VALUE]] / CADtoGBP</f>
        <v>0.1237096035502024</v>
      </c>
      <c r="Q1239" s="33">
        <f>quantInv[[#This Row],[UNIT
VALUE]]/AUDtoGBP</f>
        <v>0.12662547596810114</v>
      </c>
      <c r="R1239">
        <f>IFERROR(VLOOKUP(quantInv[[#This Row],[Assigned Item SKU]],skuQuantity[#All],2,FALSE),0)</f>
        <v>0</v>
      </c>
      <c r="S1239" t="str">
        <f>PROPER(quantInv[[#This Row],[Metal]] &amp; " " &amp; quantInv[[#This Row],[Item Type]])</f>
        <v xml:space="preserve"> </v>
      </c>
      <c r="T1239" s="33">
        <f>quantInv[[#This Row],[Quantity]]*quantInv[[#This Row],[WEIGHT]]</f>
        <v>0</v>
      </c>
      <c r="U1239" s="33">
        <f>quantInv[[#This Row],[UNIT
VALUE]]*quantInv[[#This Row],[Quantity]]</f>
        <v>0</v>
      </c>
      <c r="V1239" s="33">
        <f>quantInv[[#This Row],[Total Cost GBP]]/EURtoGBP</f>
        <v>0</v>
      </c>
      <c r="W1239" s="33">
        <f>quantInv[[#This Row],[Total Cost GBP]]/USDtoGBP</f>
        <v>0</v>
      </c>
      <c r="X1239" s="33">
        <f>quantInv[[#This Row],[Total Cost GBP]]/CADtoGBP</f>
        <v>0</v>
      </c>
      <c r="Y1239" s="33">
        <f>quantInv[[#This Row],[Quantity]]*quantInv[[#This Row],[UNIT
VALUE AUD]]</f>
        <v>0</v>
      </c>
      <c r="Z1239" s="33"/>
    </row>
    <row r="1240" spans="1:26" x14ac:dyDescent="0.25">
      <c r="A1240" t="s">
        <v>2791</v>
      </c>
      <c r="C1240" t="s">
        <v>114</v>
      </c>
      <c r="E1240">
        <v>0</v>
      </c>
      <c r="F1240" s="33">
        <v>7.0499999999999993E-2</v>
      </c>
      <c r="G1240" s="33" t="s">
        <v>2875</v>
      </c>
      <c r="H1240" t="s">
        <v>2875</v>
      </c>
      <c r="I1240" t="str">
        <f>IF(quantInv[[#This Row],[Metal]] = "925 Silver",  "7113.11.00"," 7113.19.00")</f>
        <v xml:space="preserve"> 7113.19.00</v>
      </c>
      <c r="J1240" t="str">
        <f>IF(quantInv[[#This Row],[Metal]] = "925 Silver", "7113.11.10.00"," 7113.19.10.00")</f>
        <v xml:space="preserve"> 7113.19.10.00</v>
      </c>
      <c r="K1240" t="str">
        <f>IF(quantInv[[#This Row],[Metal]] = "925 Silver",  "7113.11.00"," 7113.19.00")</f>
        <v xml:space="preserve"> 7113.19.00</v>
      </c>
      <c r="L1240" t="str">
        <f>IFERROR(VLOOKUP(quantInv[[#This Row],[Description for New Invoice]],Map!$G$12:$H$32,2,FALSE), IF(quantInv[[#This Row],[Metal]] = "925 Silver", "7113.11.10.00", "7113.19.29.00"))</f>
        <v>7113.19.29.00</v>
      </c>
      <c r="M1240" t="str">
        <f>quantInv[[#This Row],[ASIN]] &amp; " " &amp; quantInv[[#This Row],[Short Description]]</f>
        <v xml:space="preserve"> </v>
      </c>
      <c r="N1240" s="33">
        <f>quantInv[[#This Row],[UNIT
VALUE]] / EURtoGBP</f>
        <v>8.0025880710357392E-2</v>
      </c>
      <c r="O1240" s="33">
        <f>quantInv[[#This Row],[UNIT
VALUE]]/USDtoGBP</f>
        <v>9.6643787449467625E-2</v>
      </c>
      <c r="P1240" s="33">
        <f>quantInv[[#This Row],[UNIT
VALUE]] / CADtoGBP</f>
        <v>0.1237096035502024</v>
      </c>
      <c r="Q1240" s="33">
        <f>quantInv[[#This Row],[UNIT
VALUE]]/AUDtoGBP</f>
        <v>0.12662547596810114</v>
      </c>
      <c r="R1240">
        <f>IFERROR(VLOOKUP(quantInv[[#This Row],[Assigned Item SKU]],skuQuantity[#All],2,FALSE),0)</f>
        <v>0</v>
      </c>
      <c r="S1240" t="str">
        <f>PROPER(quantInv[[#This Row],[Metal]] &amp; " " &amp; quantInv[[#This Row],[Item Type]])</f>
        <v xml:space="preserve"> </v>
      </c>
      <c r="T1240" s="33">
        <f>quantInv[[#This Row],[Quantity]]*quantInv[[#This Row],[WEIGHT]]</f>
        <v>0</v>
      </c>
      <c r="U1240" s="33">
        <f>quantInv[[#This Row],[UNIT
VALUE]]*quantInv[[#This Row],[Quantity]]</f>
        <v>0</v>
      </c>
      <c r="V1240" s="33">
        <f>quantInv[[#This Row],[Total Cost GBP]]/EURtoGBP</f>
        <v>0</v>
      </c>
      <c r="W1240" s="33">
        <f>quantInv[[#This Row],[Total Cost GBP]]/USDtoGBP</f>
        <v>0</v>
      </c>
      <c r="X1240" s="33">
        <f>quantInv[[#This Row],[Total Cost GBP]]/CADtoGBP</f>
        <v>0</v>
      </c>
      <c r="Y1240" s="33">
        <f>quantInv[[#This Row],[Quantity]]*quantInv[[#This Row],[UNIT
VALUE AUD]]</f>
        <v>0</v>
      </c>
      <c r="Z1240" s="33"/>
    </row>
    <row r="1241" spans="1:26" x14ac:dyDescent="0.25">
      <c r="A1241" t="s">
        <v>2792</v>
      </c>
      <c r="C1241" t="s">
        <v>114</v>
      </c>
      <c r="D1241" t="s">
        <v>2793</v>
      </c>
      <c r="E1241">
        <v>0</v>
      </c>
      <c r="F1241" s="33">
        <v>7.0499999999999993E-2</v>
      </c>
      <c r="G1241" s="33" t="s">
        <v>2875</v>
      </c>
      <c r="H1241" t="s">
        <v>2875</v>
      </c>
      <c r="I1241" t="str">
        <f>IF(quantInv[[#This Row],[Metal]] = "925 Silver",  "7113.11.00"," 7113.19.00")</f>
        <v xml:space="preserve"> 7113.19.00</v>
      </c>
      <c r="J1241" t="str">
        <f>IF(quantInv[[#This Row],[Metal]] = "925 Silver", "7113.11.10.00"," 7113.19.10.00")</f>
        <v xml:space="preserve"> 7113.19.10.00</v>
      </c>
      <c r="K1241" t="str">
        <f>IF(quantInv[[#This Row],[Metal]] = "925 Silver",  "7113.11.00"," 7113.19.00")</f>
        <v xml:space="preserve"> 7113.19.00</v>
      </c>
      <c r="L1241" t="str">
        <f>IFERROR(VLOOKUP(quantInv[[#This Row],[Description for New Invoice]],Map!$G$12:$H$32,2,FALSE), IF(quantInv[[#This Row],[Metal]] = "925 Silver", "7113.11.10.00", "7113.19.29.00"))</f>
        <v>7113.19.29.00</v>
      </c>
      <c r="M1241" t="str">
        <f>quantInv[[#This Row],[ASIN]] &amp; " " &amp; quantInv[[#This Row],[Short Description]]</f>
        <v xml:space="preserve"> Silver bracelet with Mountain Circle charm and CZ circle 18+2cm</v>
      </c>
      <c r="N1241" s="33">
        <f>quantInv[[#This Row],[UNIT
VALUE]] / EURtoGBP</f>
        <v>8.0025880710357392E-2</v>
      </c>
      <c r="O1241" s="33">
        <f>quantInv[[#This Row],[UNIT
VALUE]]/USDtoGBP</f>
        <v>9.6643787449467625E-2</v>
      </c>
      <c r="P1241" s="33">
        <f>quantInv[[#This Row],[UNIT
VALUE]] / CADtoGBP</f>
        <v>0.1237096035502024</v>
      </c>
      <c r="Q1241" s="33">
        <f>quantInv[[#This Row],[UNIT
VALUE]]/AUDtoGBP</f>
        <v>0.12662547596810114</v>
      </c>
      <c r="R1241">
        <f>IFERROR(VLOOKUP(quantInv[[#This Row],[Assigned Item SKU]],skuQuantity[#All],2,FALSE),0)</f>
        <v>0</v>
      </c>
      <c r="S1241" t="str">
        <f>PROPER(quantInv[[#This Row],[Metal]] &amp; " " &amp; quantInv[[#This Row],[Item Type]])</f>
        <v xml:space="preserve"> </v>
      </c>
      <c r="T1241" s="33">
        <f>quantInv[[#This Row],[Quantity]]*quantInv[[#This Row],[WEIGHT]]</f>
        <v>0</v>
      </c>
      <c r="U1241" s="33">
        <f>quantInv[[#This Row],[UNIT
VALUE]]*quantInv[[#This Row],[Quantity]]</f>
        <v>0</v>
      </c>
      <c r="V1241" s="33">
        <f>quantInv[[#This Row],[Total Cost GBP]]/EURtoGBP</f>
        <v>0</v>
      </c>
      <c r="W1241" s="33">
        <f>quantInv[[#This Row],[Total Cost GBP]]/USDtoGBP</f>
        <v>0</v>
      </c>
      <c r="X1241" s="33">
        <f>quantInv[[#This Row],[Total Cost GBP]]/CADtoGBP</f>
        <v>0</v>
      </c>
      <c r="Y1241" s="33">
        <f>quantInv[[#This Row],[Quantity]]*quantInv[[#This Row],[UNIT
VALUE AUD]]</f>
        <v>0</v>
      </c>
      <c r="Z1241" s="33"/>
    </row>
    <row r="1242" spans="1:26" x14ac:dyDescent="0.25">
      <c r="A1242" t="s">
        <v>2794</v>
      </c>
      <c r="C1242" t="s">
        <v>114</v>
      </c>
      <c r="D1242" t="s">
        <v>2795</v>
      </c>
      <c r="E1242">
        <v>0</v>
      </c>
      <c r="F1242" s="33">
        <v>7.0499999999999993E-2</v>
      </c>
      <c r="G1242" s="33" t="s">
        <v>2875</v>
      </c>
      <c r="H1242" t="s">
        <v>2875</v>
      </c>
      <c r="I1242" t="str">
        <f>IF(quantInv[[#This Row],[Metal]] = "925 Silver",  "7113.11.00"," 7113.19.00")</f>
        <v xml:space="preserve"> 7113.19.00</v>
      </c>
      <c r="J1242" t="str">
        <f>IF(quantInv[[#This Row],[Metal]] = "925 Silver", "7113.11.10.00"," 7113.19.10.00")</f>
        <v xml:space="preserve"> 7113.19.10.00</v>
      </c>
      <c r="K1242" t="str">
        <f>IF(quantInv[[#This Row],[Metal]] = "925 Silver",  "7113.11.00"," 7113.19.00")</f>
        <v xml:space="preserve"> 7113.19.00</v>
      </c>
      <c r="L1242" t="str">
        <f>IFERROR(VLOOKUP(quantInv[[#This Row],[Description for New Invoice]],Map!$G$12:$H$32,2,FALSE), IF(quantInv[[#This Row],[Metal]] = "925 Silver", "7113.11.10.00", "7113.19.29.00"))</f>
        <v>7113.19.29.00</v>
      </c>
      <c r="M1242" t="str">
        <f>quantInv[[#This Row],[ASIN]] &amp; " " &amp; quantInv[[#This Row],[Short Description]]</f>
        <v xml:space="preserve"> Silver bracelet with Trees Circle charm and CZ circle 18+2cm</v>
      </c>
      <c r="N1242" s="33">
        <f>quantInv[[#This Row],[UNIT
VALUE]] / EURtoGBP</f>
        <v>8.0025880710357392E-2</v>
      </c>
      <c r="O1242" s="33">
        <f>quantInv[[#This Row],[UNIT
VALUE]]/USDtoGBP</f>
        <v>9.6643787449467625E-2</v>
      </c>
      <c r="P1242" s="33">
        <f>quantInv[[#This Row],[UNIT
VALUE]] / CADtoGBP</f>
        <v>0.1237096035502024</v>
      </c>
      <c r="Q1242" s="33">
        <f>quantInv[[#This Row],[UNIT
VALUE]]/AUDtoGBP</f>
        <v>0.12662547596810114</v>
      </c>
      <c r="R1242">
        <f>IFERROR(VLOOKUP(quantInv[[#This Row],[Assigned Item SKU]],skuQuantity[#All],2,FALSE),0)</f>
        <v>0</v>
      </c>
      <c r="S1242" t="str">
        <f>PROPER(quantInv[[#This Row],[Metal]] &amp; " " &amp; quantInv[[#This Row],[Item Type]])</f>
        <v xml:space="preserve"> </v>
      </c>
      <c r="T1242" s="33">
        <f>quantInv[[#This Row],[Quantity]]*quantInv[[#This Row],[WEIGHT]]</f>
        <v>0</v>
      </c>
      <c r="U1242" s="33">
        <f>quantInv[[#This Row],[UNIT
VALUE]]*quantInv[[#This Row],[Quantity]]</f>
        <v>0</v>
      </c>
      <c r="V1242" s="33">
        <f>quantInv[[#This Row],[Total Cost GBP]]/EURtoGBP</f>
        <v>0</v>
      </c>
      <c r="W1242" s="33">
        <f>quantInv[[#This Row],[Total Cost GBP]]/USDtoGBP</f>
        <v>0</v>
      </c>
      <c r="X1242" s="33">
        <f>quantInv[[#This Row],[Total Cost GBP]]/CADtoGBP</f>
        <v>0</v>
      </c>
      <c r="Y1242" s="33">
        <f>quantInv[[#This Row],[Quantity]]*quantInv[[#This Row],[UNIT
VALUE AUD]]</f>
        <v>0</v>
      </c>
      <c r="Z1242" s="33"/>
    </row>
    <row r="1243" spans="1:26" x14ac:dyDescent="0.25">
      <c r="A1243" t="s">
        <v>2796</v>
      </c>
      <c r="C1243" t="s">
        <v>114</v>
      </c>
      <c r="D1243" t="s">
        <v>2797</v>
      </c>
      <c r="E1243">
        <v>0</v>
      </c>
      <c r="F1243" s="33">
        <v>7.0499999999999993E-2</v>
      </c>
      <c r="G1243" s="33" t="s">
        <v>2875</v>
      </c>
      <c r="H1243" t="s">
        <v>2875</v>
      </c>
      <c r="I1243" t="str">
        <f>IF(quantInv[[#This Row],[Metal]] = "925 Silver",  "7113.11.00"," 7113.19.00")</f>
        <v xml:space="preserve"> 7113.19.00</v>
      </c>
      <c r="J1243" t="str">
        <f>IF(quantInv[[#This Row],[Metal]] = "925 Silver", "7113.11.10.00"," 7113.19.10.00")</f>
        <v xml:space="preserve"> 7113.19.10.00</v>
      </c>
      <c r="K1243" t="str">
        <f>IF(quantInv[[#This Row],[Metal]] = "925 Silver",  "7113.11.00"," 7113.19.00")</f>
        <v xml:space="preserve"> 7113.19.00</v>
      </c>
      <c r="L1243" t="str">
        <f>IFERROR(VLOOKUP(quantInv[[#This Row],[Description for New Invoice]],Map!$G$12:$H$32,2,FALSE), IF(quantInv[[#This Row],[Metal]] = "925 Silver", "7113.11.10.00", "7113.19.29.00"))</f>
        <v>7113.19.29.00</v>
      </c>
      <c r="M1243" t="str">
        <f>quantInv[[#This Row],[ASIN]] &amp; " " &amp; quantInv[[#This Row],[Short Description]]</f>
        <v xml:space="preserve"> Silver bracelet with Wave Circle charm and CZ circle 18+2cm</v>
      </c>
      <c r="N1243" s="33">
        <f>quantInv[[#This Row],[UNIT
VALUE]] / EURtoGBP</f>
        <v>8.0025880710357392E-2</v>
      </c>
      <c r="O1243" s="33">
        <f>quantInv[[#This Row],[UNIT
VALUE]]/USDtoGBP</f>
        <v>9.6643787449467625E-2</v>
      </c>
      <c r="P1243" s="33">
        <f>quantInv[[#This Row],[UNIT
VALUE]] / CADtoGBP</f>
        <v>0.1237096035502024</v>
      </c>
      <c r="Q1243" s="33">
        <f>quantInv[[#This Row],[UNIT
VALUE]]/AUDtoGBP</f>
        <v>0.12662547596810114</v>
      </c>
      <c r="R1243">
        <f>IFERROR(VLOOKUP(quantInv[[#This Row],[Assigned Item SKU]],skuQuantity[#All],2,FALSE),0)</f>
        <v>0</v>
      </c>
      <c r="S1243" t="str">
        <f>PROPER(quantInv[[#This Row],[Metal]] &amp; " " &amp; quantInv[[#This Row],[Item Type]])</f>
        <v xml:space="preserve"> </v>
      </c>
      <c r="T1243" s="33">
        <f>quantInv[[#This Row],[Quantity]]*quantInv[[#This Row],[WEIGHT]]</f>
        <v>0</v>
      </c>
      <c r="U1243" s="33">
        <f>quantInv[[#This Row],[UNIT
VALUE]]*quantInv[[#This Row],[Quantity]]</f>
        <v>0</v>
      </c>
      <c r="V1243" s="33">
        <f>quantInv[[#This Row],[Total Cost GBP]]/EURtoGBP</f>
        <v>0</v>
      </c>
      <c r="W1243" s="33">
        <f>quantInv[[#This Row],[Total Cost GBP]]/USDtoGBP</f>
        <v>0</v>
      </c>
      <c r="X1243" s="33">
        <f>quantInv[[#This Row],[Total Cost GBP]]/CADtoGBP</f>
        <v>0</v>
      </c>
      <c r="Y1243" s="33">
        <f>quantInv[[#This Row],[Quantity]]*quantInv[[#This Row],[UNIT
VALUE AUD]]</f>
        <v>0</v>
      </c>
      <c r="Z1243" s="33"/>
    </row>
    <row r="1244" spans="1:26" x14ac:dyDescent="0.25">
      <c r="A1244" t="s">
        <v>2798</v>
      </c>
      <c r="C1244" t="s">
        <v>114</v>
      </c>
      <c r="D1244" t="s">
        <v>2799</v>
      </c>
      <c r="E1244">
        <v>0</v>
      </c>
      <c r="F1244" s="33">
        <v>7.0499999999999993E-2</v>
      </c>
      <c r="G1244" s="33" t="s">
        <v>2875</v>
      </c>
      <c r="H1244" t="s">
        <v>2875</v>
      </c>
      <c r="I1244" t="str">
        <f>IF(quantInv[[#This Row],[Metal]] = "925 Silver",  "7113.11.00"," 7113.19.00")</f>
        <v xml:space="preserve"> 7113.19.00</v>
      </c>
      <c r="J1244" t="str">
        <f>IF(quantInv[[#This Row],[Metal]] = "925 Silver", "7113.11.10.00"," 7113.19.10.00")</f>
        <v xml:space="preserve"> 7113.19.10.00</v>
      </c>
      <c r="K1244" t="str">
        <f>IF(quantInv[[#This Row],[Metal]] = "925 Silver",  "7113.11.00"," 7113.19.00")</f>
        <v xml:space="preserve"> 7113.19.00</v>
      </c>
      <c r="L1244" t="str">
        <f>IFERROR(VLOOKUP(quantInv[[#This Row],[Description for New Invoice]],Map!$G$12:$H$32,2,FALSE), IF(quantInv[[#This Row],[Metal]] = "925 Silver", "7113.11.10.00", "7113.19.29.00"))</f>
        <v>7113.19.29.00</v>
      </c>
      <c r="M1244" t="str">
        <f>quantInv[[#This Row],[ASIN]] &amp; " " &amp; quantInv[[#This Row],[Short Description]]</f>
        <v xml:space="preserve"> Silver bracelet with World map Circle charm and CZ circle 18+2cm</v>
      </c>
      <c r="N1244" s="33">
        <f>quantInv[[#This Row],[UNIT
VALUE]] / EURtoGBP</f>
        <v>8.0025880710357392E-2</v>
      </c>
      <c r="O1244" s="33">
        <f>quantInv[[#This Row],[UNIT
VALUE]]/USDtoGBP</f>
        <v>9.6643787449467625E-2</v>
      </c>
      <c r="P1244" s="33">
        <f>quantInv[[#This Row],[UNIT
VALUE]] / CADtoGBP</f>
        <v>0.1237096035502024</v>
      </c>
      <c r="Q1244" s="33">
        <f>quantInv[[#This Row],[UNIT
VALUE]]/AUDtoGBP</f>
        <v>0.12662547596810114</v>
      </c>
      <c r="R1244">
        <f>IFERROR(VLOOKUP(quantInv[[#This Row],[Assigned Item SKU]],skuQuantity[#All],2,FALSE),0)</f>
        <v>0</v>
      </c>
      <c r="S1244" t="str">
        <f>PROPER(quantInv[[#This Row],[Metal]] &amp; " " &amp; quantInv[[#This Row],[Item Type]])</f>
        <v xml:space="preserve"> </v>
      </c>
      <c r="T1244" s="33">
        <f>quantInv[[#This Row],[Quantity]]*quantInv[[#This Row],[WEIGHT]]</f>
        <v>0</v>
      </c>
      <c r="U1244" s="33">
        <f>quantInv[[#This Row],[UNIT
VALUE]]*quantInv[[#This Row],[Quantity]]</f>
        <v>0</v>
      </c>
      <c r="V1244" s="33">
        <f>quantInv[[#This Row],[Total Cost GBP]]/EURtoGBP</f>
        <v>0</v>
      </c>
      <c r="W1244" s="33">
        <f>quantInv[[#This Row],[Total Cost GBP]]/USDtoGBP</f>
        <v>0</v>
      </c>
      <c r="X1244" s="33">
        <f>quantInv[[#This Row],[Total Cost GBP]]/CADtoGBP</f>
        <v>0</v>
      </c>
      <c r="Y1244" s="33">
        <f>quantInv[[#This Row],[Quantity]]*quantInv[[#This Row],[UNIT
VALUE AUD]]</f>
        <v>0</v>
      </c>
      <c r="Z1244" s="33"/>
    </row>
    <row r="1245" spans="1:26" x14ac:dyDescent="0.25">
      <c r="A1245" t="s">
        <v>2800</v>
      </c>
      <c r="C1245" t="s">
        <v>114</v>
      </c>
      <c r="D1245" t="s">
        <v>2801</v>
      </c>
      <c r="E1245">
        <v>0</v>
      </c>
      <c r="F1245" s="33">
        <v>7.0499999999999993E-2</v>
      </c>
      <c r="G1245" s="33" t="s">
        <v>2875</v>
      </c>
      <c r="H1245" t="s">
        <v>2875</v>
      </c>
      <c r="I1245" t="str">
        <f>IF(quantInv[[#This Row],[Metal]] = "925 Silver",  "7113.11.00"," 7113.19.00")</f>
        <v xml:space="preserve"> 7113.19.00</v>
      </c>
      <c r="J1245" t="str">
        <f>IF(quantInv[[#This Row],[Metal]] = "925 Silver", "7113.11.10.00"," 7113.19.10.00")</f>
        <v xml:space="preserve"> 7113.19.10.00</v>
      </c>
      <c r="K1245" t="str">
        <f>IF(quantInv[[#This Row],[Metal]] = "925 Silver",  "7113.11.00"," 7113.19.00")</f>
        <v xml:space="preserve"> 7113.19.00</v>
      </c>
      <c r="L1245" t="str">
        <f>IFERROR(VLOOKUP(quantInv[[#This Row],[Description for New Invoice]],Map!$G$12:$H$32,2,FALSE), IF(quantInv[[#This Row],[Metal]] = "925 Silver", "7113.11.10.00", "7113.19.29.00"))</f>
        <v>7113.19.29.00</v>
      </c>
      <c r="M1245" t="str">
        <f>quantInv[[#This Row],[ASIN]] &amp; " " &amp; quantInv[[#This Row],[Short Description]]</f>
        <v xml:space="preserve"> Silver choker with cross charms</v>
      </c>
      <c r="N1245" s="33">
        <f>quantInv[[#This Row],[UNIT
VALUE]] / EURtoGBP</f>
        <v>8.0025880710357392E-2</v>
      </c>
      <c r="O1245" s="33">
        <f>quantInv[[#This Row],[UNIT
VALUE]]/USDtoGBP</f>
        <v>9.6643787449467625E-2</v>
      </c>
      <c r="P1245" s="33">
        <f>quantInv[[#This Row],[UNIT
VALUE]] / CADtoGBP</f>
        <v>0.1237096035502024</v>
      </c>
      <c r="Q1245" s="33">
        <f>quantInv[[#This Row],[UNIT
VALUE]]/AUDtoGBP</f>
        <v>0.12662547596810114</v>
      </c>
      <c r="R1245">
        <f>IFERROR(VLOOKUP(quantInv[[#This Row],[Assigned Item SKU]],skuQuantity[#All],2,FALSE),0)</f>
        <v>0</v>
      </c>
      <c r="S1245" t="str">
        <f>PROPER(quantInv[[#This Row],[Metal]] &amp; " " &amp; quantInv[[#This Row],[Item Type]])</f>
        <v xml:space="preserve"> </v>
      </c>
      <c r="T1245" s="33">
        <f>quantInv[[#This Row],[Quantity]]*quantInv[[#This Row],[WEIGHT]]</f>
        <v>0</v>
      </c>
      <c r="U1245" s="33">
        <f>quantInv[[#This Row],[UNIT
VALUE]]*quantInv[[#This Row],[Quantity]]</f>
        <v>0</v>
      </c>
      <c r="V1245" s="33">
        <f>quantInv[[#This Row],[Total Cost GBP]]/EURtoGBP</f>
        <v>0</v>
      </c>
      <c r="W1245" s="33">
        <f>quantInv[[#This Row],[Total Cost GBP]]/USDtoGBP</f>
        <v>0</v>
      </c>
      <c r="X1245" s="33">
        <f>quantInv[[#This Row],[Total Cost GBP]]/CADtoGBP</f>
        <v>0</v>
      </c>
      <c r="Y1245" s="33">
        <f>quantInv[[#This Row],[Quantity]]*quantInv[[#This Row],[UNIT
VALUE AUD]]</f>
        <v>0</v>
      </c>
      <c r="Z1245" s="33"/>
    </row>
    <row r="1246" spans="1:26" x14ac:dyDescent="0.25">
      <c r="A1246" t="s">
        <v>2802</v>
      </c>
      <c r="C1246" t="s">
        <v>114</v>
      </c>
      <c r="D1246" t="s">
        <v>2803</v>
      </c>
      <c r="E1246">
        <v>0</v>
      </c>
      <c r="F1246" s="33">
        <v>7.0499999999999993E-2</v>
      </c>
      <c r="G1246" s="33" t="s">
        <v>2875</v>
      </c>
      <c r="H1246" t="s">
        <v>2875</v>
      </c>
      <c r="I1246" t="str">
        <f>IF(quantInv[[#This Row],[Metal]] = "925 Silver",  "7113.11.00"," 7113.19.00")</f>
        <v xml:space="preserve"> 7113.19.00</v>
      </c>
      <c r="J1246" t="str">
        <f>IF(quantInv[[#This Row],[Metal]] = "925 Silver", "7113.11.10.00"," 7113.19.10.00")</f>
        <v xml:space="preserve"> 7113.19.10.00</v>
      </c>
      <c r="K1246" t="str">
        <f>IF(quantInv[[#This Row],[Metal]] = "925 Silver",  "7113.11.00"," 7113.19.00")</f>
        <v xml:space="preserve"> 7113.19.00</v>
      </c>
      <c r="L1246" t="str">
        <f>IFERROR(VLOOKUP(quantInv[[#This Row],[Description for New Invoice]],Map!$G$12:$H$32,2,FALSE), IF(quantInv[[#This Row],[Metal]] = "925 Silver", "7113.11.10.00", "7113.19.29.00"))</f>
        <v>7113.19.29.00</v>
      </c>
      <c r="M1246" t="str">
        <f>quantInv[[#This Row],[ASIN]] &amp; " " &amp; quantInv[[#This Row],[Short Description]]</f>
        <v xml:space="preserve"> Gold plated choker with cross charms</v>
      </c>
      <c r="N1246" s="33">
        <f>quantInv[[#This Row],[UNIT
VALUE]] / EURtoGBP</f>
        <v>8.0025880710357392E-2</v>
      </c>
      <c r="O1246" s="33">
        <f>quantInv[[#This Row],[UNIT
VALUE]]/USDtoGBP</f>
        <v>9.6643787449467625E-2</v>
      </c>
      <c r="P1246" s="33">
        <f>quantInv[[#This Row],[UNIT
VALUE]] / CADtoGBP</f>
        <v>0.1237096035502024</v>
      </c>
      <c r="Q1246" s="33">
        <f>quantInv[[#This Row],[UNIT
VALUE]]/AUDtoGBP</f>
        <v>0.12662547596810114</v>
      </c>
      <c r="R1246">
        <f>IFERROR(VLOOKUP(quantInv[[#This Row],[Assigned Item SKU]],skuQuantity[#All],2,FALSE),0)</f>
        <v>0</v>
      </c>
      <c r="S1246" t="str">
        <f>PROPER(quantInv[[#This Row],[Metal]] &amp; " " &amp; quantInv[[#This Row],[Item Type]])</f>
        <v xml:space="preserve"> </v>
      </c>
      <c r="T1246" s="33">
        <f>quantInv[[#This Row],[Quantity]]*quantInv[[#This Row],[WEIGHT]]</f>
        <v>0</v>
      </c>
      <c r="U1246" s="33">
        <f>quantInv[[#This Row],[UNIT
VALUE]]*quantInv[[#This Row],[Quantity]]</f>
        <v>0</v>
      </c>
      <c r="V1246" s="33">
        <f>quantInv[[#This Row],[Total Cost GBP]]/EURtoGBP</f>
        <v>0</v>
      </c>
      <c r="W1246" s="33">
        <f>quantInv[[#This Row],[Total Cost GBP]]/USDtoGBP</f>
        <v>0</v>
      </c>
      <c r="X1246" s="33">
        <f>quantInv[[#This Row],[Total Cost GBP]]/CADtoGBP</f>
        <v>0</v>
      </c>
      <c r="Y1246" s="33">
        <f>quantInv[[#This Row],[Quantity]]*quantInv[[#This Row],[UNIT
VALUE AUD]]</f>
        <v>0</v>
      </c>
      <c r="Z1246" s="33"/>
    </row>
    <row r="1247" spans="1:26" x14ac:dyDescent="0.25">
      <c r="A1247" t="s">
        <v>2804</v>
      </c>
      <c r="C1247" t="s">
        <v>114</v>
      </c>
      <c r="D1247" t="s">
        <v>2805</v>
      </c>
      <c r="E1247">
        <v>0</v>
      </c>
      <c r="F1247" s="33">
        <v>7.0499999999999993E-2</v>
      </c>
      <c r="G1247" s="33" t="s">
        <v>2875</v>
      </c>
      <c r="H1247" t="s">
        <v>2875</v>
      </c>
      <c r="I1247" t="str">
        <f>IF(quantInv[[#This Row],[Metal]] = "925 Silver",  "7113.11.00"," 7113.19.00")</f>
        <v xml:space="preserve"> 7113.19.00</v>
      </c>
      <c r="J1247" t="str">
        <f>IF(quantInv[[#This Row],[Metal]] = "925 Silver", "7113.11.10.00"," 7113.19.10.00")</f>
        <v xml:space="preserve"> 7113.19.10.00</v>
      </c>
      <c r="K1247" t="str">
        <f>IF(quantInv[[#This Row],[Metal]] = "925 Silver",  "7113.11.00"," 7113.19.00")</f>
        <v xml:space="preserve"> 7113.19.00</v>
      </c>
      <c r="L1247" t="str">
        <f>IFERROR(VLOOKUP(quantInv[[#This Row],[Description for New Invoice]],Map!$G$12:$H$32,2,FALSE), IF(quantInv[[#This Row],[Metal]] = "925 Silver", "7113.11.10.00", "7113.19.29.00"))</f>
        <v>7113.19.29.00</v>
      </c>
      <c r="M1247" t="str">
        <f>quantInv[[#This Row],[ASIN]] &amp; " " &amp; quantInv[[#This Row],[Short Description]]</f>
        <v xml:space="preserve"> Silver bracelet with cross charms 18+2cm</v>
      </c>
      <c r="N1247" s="33">
        <f>quantInv[[#This Row],[UNIT
VALUE]] / EURtoGBP</f>
        <v>8.0025880710357392E-2</v>
      </c>
      <c r="O1247" s="33">
        <f>quantInv[[#This Row],[UNIT
VALUE]]/USDtoGBP</f>
        <v>9.6643787449467625E-2</v>
      </c>
      <c r="P1247" s="33">
        <f>quantInv[[#This Row],[UNIT
VALUE]] / CADtoGBP</f>
        <v>0.1237096035502024</v>
      </c>
      <c r="Q1247" s="33">
        <f>quantInv[[#This Row],[UNIT
VALUE]]/AUDtoGBP</f>
        <v>0.12662547596810114</v>
      </c>
      <c r="R1247">
        <f>IFERROR(VLOOKUP(quantInv[[#This Row],[Assigned Item SKU]],skuQuantity[#All],2,FALSE),0)</f>
        <v>0</v>
      </c>
      <c r="S1247" t="str">
        <f>PROPER(quantInv[[#This Row],[Metal]] &amp; " " &amp; quantInv[[#This Row],[Item Type]])</f>
        <v xml:space="preserve"> </v>
      </c>
      <c r="T1247" s="33">
        <f>quantInv[[#This Row],[Quantity]]*quantInv[[#This Row],[WEIGHT]]</f>
        <v>0</v>
      </c>
      <c r="U1247" s="33">
        <f>quantInv[[#This Row],[UNIT
VALUE]]*quantInv[[#This Row],[Quantity]]</f>
        <v>0</v>
      </c>
      <c r="V1247" s="33">
        <f>quantInv[[#This Row],[Total Cost GBP]]/EURtoGBP</f>
        <v>0</v>
      </c>
      <c r="W1247" s="33">
        <f>quantInv[[#This Row],[Total Cost GBP]]/USDtoGBP</f>
        <v>0</v>
      </c>
      <c r="X1247" s="33">
        <f>quantInv[[#This Row],[Total Cost GBP]]/CADtoGBP</f>
        <v>0</v>
      </c>
      <c r="Y1247" s="33">
        <f>quantInv[[#This Row],[Quantity]]*quantInv[[#This Row],[UNIT
VALUE AUD]]</f>
        <v>0</v>
      </c>
      <c r="Z1247" s="33"/>
    </row>
    <row r="1248" spans="1:26" x14ac:dyDescent="0.25">
      <c r="A1248" t="s">
        <v>2806</v>
      </c>
      <c r="C1248" t="s">
        <v>114</v>
      </c>
      <c r="D1248" t="s">
        <v>2807</v>
      </c>
      <c r="E1248">
        <v>0</v>
      </c>
      <c r="F1248" s="33">
        <v>7.0499999999999993E-2</v>
      </c>
      <c r="G1248" s="33" t="s">
        <v>2875</v>
      </c>
      <c r="H1248" t="s">
        <v>2875</v>
      </c>
      <c r="I1248" t="str">
        <f>IF(quantInv[[#This Row],[Metal]] = "925 Silver",  "7113.11.00"," 7113.19.00")</f>
        <v xml:space="preserve"> 7113.19.00</v>
      </c>
      <c r="J1248" t="str">
        <f>IF(quantInv[[#This Row],[Metal]] = "925 Silver", "7113.11.10.00"," 7113.19.10.00")</f>
        <v xml:space="preserve"> 7113.19.10.00</v>
      </c>
      <c r="K1248" t="str">
        <f>IF(quantInv[[#This Row],[Metal]] = "925 Silver",  "7113.11.00"," 7113.19.00")</f>
        <v xml:space="preserve"> 7113.19.00</v>
      </c>
      <c r="L1248" t="str">
        <f>IFERROR(VLOOKUP(quantInv[[#This Row],[Description for New Invoice]],Map!$G$12:$H$32,2,FALSE), IF(quantInv[[#This Row],[Metal]] = "925 Silver", "7113.11.10.00", "7113.19.29.00"))</f>
        <v>7113.19.29.00</v>
      </c>
      <c r="M1248" t="str">
        <f>quantInv[[#This Row],[ASIN]] &amp; " " &amp; quantInv[[#This Row],[Short Description]]</f>
        <v xml:space="preserve"> Gold plated bracelet with cross charms 18+2cm</v>
      </c>
      <c r="N1248" s="33">
        <f>quantInv[[#This Row],[UNIT
VALUE]] / EURtoGBP</f>
        <v>8.0025880710357392E-2</v>
      </c>
      <c r="O1248" s="33">
        <f>quantInv[[#This Row],[UNIT
VALUE]]/USDtoGBP</f>
        <v>9.6643787449467625E-2</v>
      </c>
      <c r="P1248" s="33">
        <f>quantInv[[#This Row],[UNIT
VALUE]] / CADtoGBP</f>
        <v>0.1237096035502024</v>
      </c>
      <c r="Q1248" s="33">
        <f>quantInv[[#This Row],[UNIT
VALUE]]/AUDtoGBP</f>
        <v>0.12662547596810114</v>
      </c>
      <c r="R1248">
        <f>IFERROR(VLOOKUP(quantInv[[#This Row],[Assigned Item SKU]],skuQuantity[#All],2,FALSE),0)</f>
        <v>0</v>
      </c>
      <c r="S1248" t="str">
        <f>PROPER(quantInv[[#This Row],[Metal]] &amp; " " &amp; quantInv[[#This Row],[Item Type]])</f>
        <v xml:space="preserve"> </v>
      </c>
      <c r="T1248" s="33">
        <f>quantInv[[#This Row],[Quantity]]*quantInv[[#This Row],[WEIGHT]]</f>
        <v>0</v>
      </c>
      <c r="U1248" s="33">
        <f>quantInv[[#This Row],[UNIT
VALUE]]*quantInv[[#This Row],[Quantity]]</f>
        <v>0</v>
      </c>
      <c r="V1248" s="33">
        <f>quantInv[[#This Row],[Total Cost GBP]]/EURtoGBP</f>
        <v>0</v>
      </c>
      <c r="W1248" s="33">
        <f>quantInv[[#This Row],[Total Cost GBP]]/USDtoGBP</f>
        <v>0</v>
      </c>
      <c r="X1248" s="33">
        <f>quantInv[[#This Row],[Total Cost GBP]]/CADtoGBP</f>
        <v>0</v>
      </c>
      <c r="Y1248" s="33">
        <f>quantInv[[#This Row],[Quantity]]*quantInv[[#This Row],[UNIT
VALUE AUD]]</f>
        <v>0</v>
      </c>
      <c r="Z1248" s="33"/>
    </row>
    <row r="1249" spans="1:26" x14ac:dyDescent="0.25">
      <c r="A1249" t="s">
        <v>2808</v>
      </c>
      <c r="C1249" t="s">
        <v>114</v>
      </c>
      <c r="D1249" t="s">
        <v>2809</v>
      </c>
      <c r="E1249">
        <v>0</v>
      </c>
      <c r="F1249" s="33">
        <v>7.0499999999999993E-2</v>
      </c>
      <c r="G1249" s="33" t="s">
        <v>2875</v>
      </c>
      <c r="H1249" t="s">
        <v>2875</v>
      </c>
      <c r="I1249" t="str">
        <f>IF(quantInv[[#This Row],[Metal]] = "925 Silver",  "7113.11.00"," 7113.19.00")</f>
        <v xml:space="preserve"> 7113.19.00</v>
      </c>
      <c r="J1249" t="str">
        <f>IF(quantInv[[#This Row],[Metal]] = "925 Silver", "7113.11.10.00"," 7113.19.10.00")</f>
        <v xml:space="preserve"> 7113.19.10.00</v>
      </c>
      <c r="K1249" t="str">
        <f>IF(quantInv[[#This Row],[Metal]] = "925 Silver",  "7113.11.00"," 7113.19.00")</f>
        <v xml:space="preserve"> 7113.19.00</v>
      </c>
      <c r="L1249" t="str">
        <f>IFERROR(VLOOKUP(quantInv[[#This Row],[Description for New Invoice]],Map!$G$12:$H$32,2,FALSE), IF(quantInv[[#This Row],[Metal]] = "925 Silver", "7113.11.10.00", "7113.19.29.00"))</f>
        <v>7113.19.29.00</v>
      </c>
      <c r="M1249" t="str">
        <f>quantInv[[#This Row],[ASIN]] &amp; " " &amp; quantInv[[#This Row],[Short Description]]</f>
        <v xml:space="preserve"> Silver pendant neclace with heart CZ solitaire</v>
      </c>
      <c r="N1249" s="33">
        <f>quantInv[[#This Row],[UNIT
VALUE]] / EURtoGBP</f>
        <v>8.0025880710357392E-2</v>
      </c>
      <c r="O1249" s="33">
        <f>quantInv[[#This Row],[UNIT
VALUE]]/USDtoGBP</f>
        <v>9.6643787449467625E-2</v>
      </c>
      <c r="P1249" s="33">
        <f>quantInv[[#This Row],[UNIT
VALUE]] / CADtoGBP</f>
        <v>0.1237096035502024</v>
      </c>
      <c r="Q1249" s="33">
        <f>quantInv[[#This Row],[UNIT
VALUE]]/AUDtoGBP</f>
        <v>0.12662547596810114</v>
      </c>
      <c r="R1249">
        <f>IFERROR(VLOOKUP(quantInv[[#This Row],[Assigned Item SKU]],skuQuantity[#All],2,FALSE),0)</f>
        <v>0</v>
      </c>
      <c r="S1249" t="str">
        <f>PROPER(quantInv[[#This Row],[Metal]] &amp; " " &amp; quantInv[[#This Row],[Item Type]])</f>
        <v xml:space="preserve"> </v>
      </c>
      <c r="T1249" s="33">
        <f>quantInv[[#This Row],[Quantity]]*quantInv[[#This Row],[WEIGHT]]</f>
        <v>0</v>
      </c>
      <c r="U1249" s="33">
        <f>quantInv[[#This Row],[UNIT
VALUE]]*quantInv[[#This Row],[Quantity]]</f>
        <v>0</v>
      </c>
      <c r="V1249" s="33">
        <f>quantInv[[#This Row],[Total Cost GBP]]/EURtoGBP</f>
        <v>0</v>
      </c>
      <c r="W1249" s="33">
        <f>quantInv[[#This Row],[Total Cost GBP]]/USDtoGBP</f>
        <v>0</v>
      </c>
      <c r="X1249" s="33">
        <f>quantInv[[#This Row],[Total Cost GBP]]/CADtoGBP</f>
        <v>0</v>
      </c>
      <c r="Y1249" s="33">
        <f>quantInv[[#This Row],[Quantity]]*quantInv[[#This Row],[UNIT
VALUE AUD]]</f>
        <v>0</v>
      </c>
      <c r="Z1249" s="33"/>
    </row>
    <row r="1250" spans="1:26" x14ac:dyDescent="0.25">
      <c r="A1250" t="s">
        <v>2810</v>
      </c>
      <c r="C1250" t="s">
        <v>114</v>
      </c>
      <c r="D1250" t="s">
        <v>2811</v>
      </c>
      <c r="E1250">
        <v>0</v>
      </c>
      <c r="F1250" s="33">
        <v>7.0499999999999993E-2</v>
      </c>
      <c r="G1250" s="33" t="s">
        <v>2875</v>
      </c>
      <c r="H1250" t="s">
        <v>2875</v>
      </c>
      <c r="I1250" t="str">
        <f>IF(quantInv[[#This Row],[Metal]] = "925 Silver",  "7113.11.00"," 7113.19.00")</f>
        <v xml:space="preserve"> 7113.19.00</v>
      </c>
      <c r="J1250" t="str">
        <f>IF(quantInv[[#This Row],[Metal]] = "925 Silver", "7113.11.10.00"," 7113.19.10.00")</f>
        <v xml:space="preserve"> 7113.19.10.00</v>
      </c>
      <c r="K1250" t="str">
        <f>IF(quantInv[[#This Row],[Metal]] = "925 Silver",  "7113.11.00"," 7113.19.00")</f>
        <v xml:space="preserve"> 7113.19.00</v>
      </c>
      <c r="L1250" t="str">
        <f>IFERROR(VLOOKUP(quantInv[[#This Row],[Description for New Invoice]],Map!$G$12:$H$32,2,FALSE), IF(quantInv[[#This Row],[Metal]] = "925 Silver", "7113.11.10.00", "7113.19.29.00"))</f>
        <v>7113.19.29.00</v>
      </c>
      <c r="M1250" t="str">
        <f>quantInv[[#This Row],[ASIN]] &amp; " " &amp; quantInv[[#This Row],[Short Description]]</f>
        <v xml:space="preserve"> Silver pendant neclace with star CZ solitaire</v>
      </c>
      <c r="N1250" s="33">
        <f>quantInv[[#This Row],[UNIT
VALUE]] / EURtoGBP</f>
        <v>8.0025880710357392E-2</v>
      </c>
      <c r="O1250" s="33">
        <f>quantInv[[#This Row],[UNIT
VALUE]]/USDtoGBP</f>
        <v>9.6643787449467625E-2</v>
      </c>
      <c r="P1250" s="33">
        <f>quantInv[[#This Row],[UNIT
VALUE]] / CADtoGBP</f>
        <v>0.1237096035502024</v>
      </c>
      <c r="Q1250" s="33">
        <f>quantInv[[#This Row],[UNIT
VALUE]]/AUDtoGBP</f>
        <v>0.12662547596810114</v>
      </c>
      <c r="R1250">
        <f>IFERROR(VLOOKUP(quantInv[[#This Row],[Assigned Item SKU]],skuQuantity[#All],2,FALSE),0)</f>
        <v>0</v>
      </c>
      <c r="S1250" t="str">
        <f>PROPER(quantInv[[#This Row],[Metal]] &amp; " " &amp; quantInv[[#This Row],[Item Type]])</f>
        <v xml:space="preserve"> </v>
      </c>
      <c r="T1250" s="33">
        <f>quantInv[[#This Row],[Quantity]]*quantInv[[#This Row],[WEIGHT]]</f>
        <v>0</v>
      </c>
      <c r="U1250" s="33">
        <f>quantInv[[#This Row],[UNIT
VALUE]]*quantInv[[#This Row],[Quantity]]</f>
        <v>0</v>
      </c>
      <c r="V1250" s="33">
        <f>quantInv[[#This Row],[Total Cost GBP]]/EURtoGBP</f>
        <v>0</v>
      </c>
      <c r="W1250" s="33">
        <f>quantInv[[#This Row],[Total Cost GBP]]/USDtoGBP</f>
        <v>0</v>
      </c>
      <c r="X1250" s="33">
        <f>quantInv[[#This Row],[Total Cost GBP]]/CADtoGBP</f>
        <v>0</v>
      </c>
      <c r="Y1250" s="33">
        <f>quantInv[[#This Row],[Quantity]]*quantInv[[#This Row],[UNIT
VALUE AUD]]</f>
        <v>0</v>
      </c>
      <c r="Z1250" s="33"/>
    </row>
    <row r="1251" spans="1:26" x14ac:dyDescent="0.25">
      <c r="A1251" t="s">
        <v>2812</v>
      </c>
      <c r="C1251" t="s">
        <v>114</v>
      </c>
      <c r="D1251" t="s">
        <v>2813</v>
      </c>
      <c r="E1251">
        <v>0</v>
      </c>
      <c r="F1251" s="33">
        <v>7.0499999999999993E-2</v>
      </c>
      <c r="G1251" s="33" t="s">
        <v>2875</v>
      </c>
      <c r="H1251" t="s">
        <v>2875</v>
      </c>
      <c r="I1251" t="str">
        <f>IF(quantInv[[#This Row],[Metal]] = "925 Silver",  "7113.11.00"," 7113.19.00")</f>
        <v xml:space="preserve"> 7113.19.00</v>
      </c>
      <c r="J1251" t="str">
        <f>IF(quantInv[[#This Row],[Metal]] = "925 Silver", "7113.11.10.00"," 7113.19.10.00")</f>
        <v xml:space="preserve"> 7113.19.10.00</v>
      </c>
      <c r="K1251" t="str">
        <f>IF(quantInv[[#This Row],[Metal]] = "925 Silver",  "7113.11.00"," 7113.19.00")</f>
        <v xml:space="preserve"> 7113.19.00</v>
      </c>
      <c r="L1251" t="str">
        <f>IFERROR(VLOOKUP(quantInv[[#This Row],[Description for New Invoice]],Map!$G$12:$H$32,2,FALSE), IF(quantInv[[#This Row],[Metal]] = "925 Silver", "7113.11.10.00", "7113.19.29.00"))</f>
        <v>7113.19.29.00</v>
      </c>
      <c r="M1251" t="str">
        <f>quantInv[[#This Row],[ASIN]] &amp; " " &amp; quantInv[[#This Row],[Short Description]]</f>
        <v xml:space="preserve"> Gold plated pendant neclace with circle CZ solitaire</v>
      </c>
      <c r="N1251" s="33">
        <f>quantInv[[#This Row],[UNIT
VALUE]] / EURtoGBP</f>
        <v>8.0025880710357392E-2</v>
      </c>
      <c r="O1251" s="33">
        <f>quantInv[[#This Row],[UNIT
VALUE]]/USDtoGBP</f>
        <v>9.6643787449467625E-2</v>
      </c>
      <c r="P1251" s="33">
        <f>quantInv[[#This Row],[UNIT
VALUE]] / CADtoGBP</f>
        <v>0.1237096035502024</v>
      </c>
      <c r="Q1251" s="33">
        <f>quantInv[[#This Row],[UNIT
VALUE]]/AUDtoGBP</f>
        <v>0.12662547596810114</v>
      </c>
      <c r="R1251">
        <f>IFERROR(VLOOKUP(quantInv[[#This Row],[Assigned Item SKU]],skuQuantity[#All],2,FALSE),0)</f>
        <v>0</v>
      </c>
      <c r="S1251" t="str">
        <f>PROPER(quantInv[[#This Row],[Metal]] &amp; " " &amp; quantInv[[#This Row],[Item Type]])</f>
        <v xml:space="preserve"> </v>
      </c>
      <c r="T1251" s="33">
        <f>quantInv[[#This Row],[Quantity]]*quantInv[[#This Row],[WEIGHT]]</f>
        <v>0</v>
      </c>
      <c r="U1251" s="33">
        <f>quantInv[[#This Row],[UNIT
VALUE]]*quantInv[[#This Row],[Quantity]]</f>
        <v>0</v>
      </c>
      <c r="V1251" s="33">
        <f>quantInv[[#This Row],[Total Cost GBP]]/EURtoGBP</f>
        <v>0</v>
      </c>
      <c r="W1251" s="33">
        <f>quantInv[[#This Row],[Total Cost GBP]]/USDtoGBP</f>
        <v>0</v>
      </c>
      <c r="X1251" s="33">
        <f>quantInv[[#This Row],[Total Cost GBP]]/CADtoGBP</f>
        <v>0</v>
      </c>
      <c r="Y1251" s="33">
        <f>quantInv[[#This Row],[Quantity]]*quantInv[[#This Row],[UNIT
VALUE AUD]]</f>
        <v>0</v>
      </c>
      <c r="Z1251" s="33"/>
    </row>
    <row r="1252" spans="1:26" x14ac:dyDescent="0.25">
      <c r="A1252" t="s">
        <v>2814</v>
      </c>
      <c r="C1252" t="s">
        <v>114</v>
      </c>
      <c r="D1252" t="s">
        <v>2815</v>
      </c>
      <c r="E1252">
        <v>0</v>
      </c>
      <c r="F1252" s="33">
        <v>7.0499999999999993E-2</v>
      </c>
      <c r="G1252" s="33" t="s">
        <v>2875</v>
      </c>
      <c r="H1252" t="s">
        <v>2875</v>
      </c>
      <c r="I1252" t="str">
        <f>IF(quantInv[[#This Row],[Metal]] = "925 Silver",  "7113.11.00"," 7113.19.00")</f>
        <v xml:space="preserve"> 7113.19.00</v>
      </c>
      <c r="J1252" t="str">
        <f>IF(quantInv[[#This Row],[Metal]] = "925 Silver", "7113.11.10.00"," 7113.19.10.00")</f>
        <v xml:space="preserve"> 7113.19.10.00</v>
      </c>
      <c r="K1252" t="str">
        <f>IF(quantInv[[#This Row],[Metal]] = "925 Silver",  "7113.11.00"," 7113.19.00")</f>
        <v xml:space="preserve"> 7113.19.00</v>
      </c>
      <c r="L1252" t="str">
        <f>IFERROR(VLOOKUP(quantInv[[#This Row],[Description for New Invoice]],Map!$G$12:$H$32,2,FALSE), IF(quantInv[[#This Row],[Metal]] = "925 Silver", "7113.11.10.00", "7113.19.29.00"))</f>
        <v>7113.19.29.00</v>
      </c>
      <c r="M1252" t="str">
        <f>quantInv[[#This Row],[ASIN]] &amp; " " &amp; quantInv[[#This Row],[Short Description]]</f>
        <v xml:space="preserve"> Silver bracelet with heart CZ solitaire 18+2cm</v>
      </c>
      <c r="N1252" s="33">
        <f>quantInv[[#This Row],[UNIT
VALUE]] / EURtoGBP</f>
        <v>8.0025880710357392E-2</v>
      </c>
      <c r="O1252" s="33">
        <f>quantInv[[#This Row],[UNIT
VALUE]]/USDtoGBP</f>
        <v>9.6643787449467625E-2</v>
      </c>
      <c r="P1252" s="33">
        <f>quantInv[[#This Row],[UNIT
VALUE]] / CADtoGBP</f>
        <v>0.1237096035502024</v>
      </c>
      <c r="Q1252" s="33">
        <f>quantInv[[#This Row],[UNIT
VALUE]]/AUDtoGBP</f>
        <v>0.12662547596810114</v>
      </c>
      <c r="R1252">
        <f>IFERROR(VLOOKUP(quantInv[[#This Row],[Assigned Item SKU]],skuQuantity[#All],2,FALSE),0)</f>
        <v>0</v>
      </c>
      <c r="S1252" t="str">
        <f>PROPER(quantInv[[#This Row],[Metal]] &amp; " " &amp; quantInv[[#This Row],[Item Type]])</f>
        <v xml:space="preserve"> </v>
      </c>
      <c r="T1252" s="33">
        <f>quantInv[[#This Row],[Quantity]]*quantInv[[#This Row],[WEIGHT]]</f>
        <v>0</v>
      </c>
      <c r="U1252" s="33">
        <f>quantInv[[#This Row],[UNIT
VALUE]]*quantInv[[#This Row],[Quantity]]</f>
        <v>0</v>
      </c>
      <c r="V1252" s="33">
        <f>quantInv[[#This Row],[Total Cost GBP]]/EURtoGBP</f>
        <v>0</v>
      </c>
      <c r="W1252" s="33">
        <f>quantInv[[#This Row],[Total Cost GBP]]/USDtoGBP</f>
        <v>0</v>
      </c>
      <c r="X1252" s="33">
        <f>quantInv[[#This Row],[Total Cost GBP]]/CADtoGBP</f>
        <v>0</v>
      </c>
      <c r="Y1252" s="33">
        <f>quantInv[[#This Row],[Quantity]]*quantInv[[#This Row],[UNIT
VALUE AUD]]</f>
        <v>0</v>
      </c>
      <c r="Z1252" s="33"/>
    </row>
    <row r="1253" spans="1:26" x14ac:dyDescent="0.25">
      <c r="A1253" t="s">
        <v>2816</v>
      </c>
      <c r="C1253" t="s">
        <v>114</v>
      </c>
      <c r="D1253" t="s">
        <v>2817</v>
      </c>
      <c r="E1253">
        <v>0</v>
      </c>
      <c r="F1253" s="33">
        <v>7.0499999999999993E-2</v>
      </c>
      <c r="G1253" s="33" t="s">
        <v>2875</v>
      </c>
      <c r="H1253" t="s">
        <v>2875</v>
      </c>
      <c r="I1253" t="str">
        <f>IF(quantInv[[#This Row],[Metal]] = "925 Silver",  "7113.11.00"," 7113.19.00")</f>
        <v xml:space="preserve"> 7113.19.00</v>
      </c>
      <c r="J1253" t="str">
        <f>IF(quantInv[[#This Row],[Metal]] = "925 Silver", "7113.11.10.00"," 7113.19.10.00")</f>
        <v xml:space="preserve"> 7113.19.10.00</v>
      </c>
      <c r="K1253" t="str">
        <f>IF(quantInv[[#This Row],[Metal]] = "925 Silver",  "7113.11.00"," 7113.19.00")</f>
        <v xml:space="preserve"> 7113.19.00</v>
      </c>
      <c r="L1253" t="str">
        <f>IFERROR(VLOOKUP(quantInv[[#This Row],[Description for New Invoice]],Map!$G$12:$H$32,2,FALSE), IF(quantInv[[#This Row],[Metal]] = "925 Silver", "7113.11.10.00", "7113.19.29.00"))</f>
        <v>7113.19.29.00</v>
      </c>
      <c r="M1253" t="str">
        <f>quantInv[[#This Row],[ASIN]] &amp; " " &amp; quantInv[[#This Row],[Short Description]]</f>
        <v xml:space="preserve"> Silver bracelet with star CZ solitaire 18+2cm</v>
      </c>
      <c r="N1253" s="33">
        <f>quantInv[[#This Row],[UNIT
VALUE]] / EURtoGBP</f>
        <v>8.0025880710357392E-2</v>
      </c>
      <c r="O1253" s="33">
        <f>quantInv[[#This Row],[UNIT
VALUE]]/USDtoGBP</f>
        <v>9.6643787449467625E-2</v>
      </c>
      <c r="P1253" s="33">
        <f>quantInv[[#This Row],[UNIT
VALUE]] / CADtoGBP</f>
        <v>0.1237096035502024</v>
      </c>
      <c r="Q1253" s="33">
        <f>quantInv[[#This Row],[UNIT
VALUE]]/AUDtoGBP</f>
        <v>0.12662547596810114</v>
      </c>
      <c r="R1253">
        <f>IFERROR(VLOOKUP(quantInv[[#This Row],[Assigned Item SKU]],skuQuantity[#All],2,FALSE),0)</f>
        <v>0</v>
      </c>
      <c r="S1253" t="str">
        <f>PROPER(quantInv[[#This Row],[Metal]] &amp; " " &amp; quantInv[[#This Row],[Item Type]])</f>
        <v xml:space="preserve"> </v>
      </c>
      <c r="T1253" s="33">
        <f>quantInv[[#This Row],[Quantity]]*quantInv[[#This Row],[WEIGHT]]</f>
        <v>0</v>
      </c>
      <c r="U1253" s="33">
        <f>quantInv[[#This Row],[UNIT
VALUE]]*quantInv[[#This Row],[Quantity]]</f>
        <v>0</v>
      </c>
      <c r="V1253" s="33">
        <f>quantInv[[#This Row],[Total Cost GBP]]/EURtoGBP</f>
        <v>0</v>
      </c>
      <c r="W1253" s="33">
        <f>quantInv[[#This Row],[Total Cost GBP]]/USDtoGBP</f>
        <v>0</v>
      </c>
      <c r="X1253" s="33">
        <f>quantInv[[#This Row],[Total Cost GBP]]/CADtoGBP</f>
        <v>0</v>
      </c>
      <c r="Y1253" s="33">
        <f>quantInv[[#This Row],[Quantity]]*quantInv[[#This Row],[UNIT
VALUE AUD]]</f>
        <v>0</v>
      </c>
      <c r="Z1253" s="33"/>
    </row>
    <row r="1254" spans="1:26" x14ac:dyDescent="0.25">
      <c r="A1254" t="s">
        <v>2818</v>
      </c>
      <c r="C1254" t="s">
        <v>114</v>
      </c>
      <c r="D1254" t="s">
        <v>2819</v>
      </c>
      <c r="E1254">
        <v>0</v>
      </c>
      <c r="F1254" s="33">
        <v>7.0499999999999993E-2</v>
      </c>
      <c r="G1254" s="33" t="s">
        <v>2875</v>
      </c>
      <c r="H1254" t="s">
        <v>2875</v>
      </c>
      <c r="I1254" t="str">
        <f>IF(quantInv[[#This Row],[Metal]] = "925 Silver",  "7113.11.00"," 7113.19.00")</f>
        <v xml:space="preserve"> 7113.19.00</v>
      </c>
      <c r="J1254" t="str">
        <f>IF(quantInv[[#This Row],[Metal]] = "925 Silver", "7113.11.10.00"," 7113.19.10.00")</f>
        <v xml:space="preserve"> 7113.19.10.00</v>
      </c>
      <c r="K1254" t="str">
        <f>IF(quantInv[[#This Row],[Metal]] = "925 Silver",  "7113.11.00"," 7113.19.00")</f>
        <v xml:space="preserve"> 7113.19.00</v>
      </c>
      <c r="L1254" t="str">
        <f>IFERROR(VLOOKUP(quantInv[[#This Row],[Description for New Invoice]],Map!$G$12:$H$32,2,FALSE), IF(quantInv[[#This Row],[Metal]] = "925 Silver", "7113.11.10.00", "7113.19.29.00"))</f>
        <v>7113.19.29.00</v>
      </c>
      <c r="M1254" t="str">
        <f>quantInv[[#This Row],[ASIN]] &amp; " " &amp; quantInv[[#This Row],[Short Description]]</f>
        <v xml:space="preserve"> Gold plated bracelet with circle CZ solitaire 18+2cm</v>
      </c>
      <c r="N1254" s="33">
        <f>quantInv[[#This Row],[UNIT
VALUE]] / EURtoGBP</f>
        <v>8.0025880710357392E-2</v>
      </c>
      <c r="O1254" s="33">
        <f>quantInv[[#This Row],[UNIT
VALUE]]/USDtoGBP</f>
        <v>9.6643787449467625E-2</v>
      </c>
      <c r="P1254" s="33">
        <f>quantInv[[#This Row],[UNIT
VALUE]] / CADtoGBP</f>
        <v>0.1237096035502024</v>
      </c>
      <c r="Q1254" s="33">
        <f>quantInv[[#This Row],[UNIT
VALUE]]/AUDtoGBP</f>
        <v>0.12662547596810114</v>
      </c>
      <c r="R1254">
        <f>IFERROR(VLOOKUP(quantInv[[#This Row],[Assigned Item SKU]],skuQuantity[#All],2,FALSE),0)</f>
        <v>0</v>
      </c>
      <c r="S1254" t="str">
        <f>PROPER(quantInv[[#This Row],[Metal]] &amp; " " &amp; quantInv[[#This Row],[Item Type]])</f>
        <v xml:space="preserve"> </v>
      </c>
      <c r="T1254" s="33">
        <f>quantInv[[#This Row],[Quantity]]*quantInv[[#This Row],[WEIGHT]]</f>
        <v>0</v>
      </c>
      <c r="U1254" s="33">
        <f>quantInv[[#This Row],[UNIT
VALUE]]*quantInv[[#This Row],[Quantity]]</f>
        <v>0</v>
      </c>
      <c r="V1254" s="33">
        <f>quantInv[[#This Row],[Total Cost GBP]]/EURtoGBP</f>
        <v>0</v>
      </c>
      <c r="W1254" s="33">
        <f>quantInv[[#This Row],[Total Cost GBP]]/USDtoGBP</f>
        <v>0</v>
      </c>
      <c r="X1254" s="33">
        <f>quantInv[[#This Row],[Total Cost GBP]]/CADtoGBP</f>
        <v>0</v>
      </c>
      <c r="Y1254" s="33">
        <f>quantInv[[#This Row],[Quantity]]*quantInv[[#This Row],[UNIT
VALUE AUD]]</f>
        <v>0</v>
      </c>
      <c r="Z1254" s="33"/>
    </row>
    <row r="1255" spans="1:26" x14ac:dyDescent="0.25">
      <c r="A1255" t="s">
        <v>2820</v>
      </c>
      <c r="C1255" t="s">
        <v>114</v>
      </c>
      <c r="D1255" t="s">
        <v>2821</v>
      </c>
      <c r="E1255">
        <v>0</v>
      </c>
      <c r="F1255" s="33">
        <v>7.0499999999999993E-2</v>
      </c>
      <c r="G1255" s="33" t="s">
        <v>2875</v>
      </c>
      <c r="H1255" t="s">
        <v>2875</v>
      </c>
      <c r="I1255" t="str">
        <f>IF(quantInv[[#This Row],[Metal]] = "925 Silver",  "7113.11.00"," 7113.19.00")</f>
        <v xml:space="preserve"> 7113.19.00</v>
      </c>
      <c r="J1255" t="str">
        <f>IF(quantInv[[#This Row],[Metal]] = "925 Silver", "7113.11.10.00"," 7113.19.10.00")</f>
        <v xml:space="preserve"> 7113.19.10.00</v>
      </c>
      <c r="K1255" t="str">
        <f>IF(quantInv[[#This Row],[Metal]] = "925 Silver",  "7113.11.00"," 7113.19.00")</f>
        <v xml:space="preserve"> 7113.19.00</v>
      </c>
      <c r="L1255" t="str">
        <f>IFERROR(VLOOKUP(quantInv[[#This Row],[Description for New Invoice]],Map!$G$12:$H$32,2,FALSE), IF(quantInv[[#This Row],[Metal]] = "925 Silver", "7113.11.10.00", "7113.19.29.00"))</f>
        <v>7113.19.29.00</v>
      </c>
      <c r="M1255" t="str">
        <f>quantInv[[#This Row],[ASIN]] &amp; " " &amp; quantInv[[#This Row],[Short Description]]</f>
        <v xml:space="preserve"> Silver necklace with flat freshwater pearl pendant</v>
      </c>
      <c r="N1255" s="33">
        <f>quantInv[[#This Row],[UNIT
VALUE]] / EURtoGBP</f>
        <v>8.0025880710357392E-2</v>
      </c>
      <c r="O1255" s="33">
        <f>quantInv[[#This Row],[UNIT
VALUE]]/USDtoGBP</f>
        <v>9.6643787449467625E-2</v>
      </c>
      <c r="P1255" s="33">
        <f>quantInv[[#This Row],[UNIT
VALUE]] / CADtoGBP</f>
        <v>0.1237096035502024</v>
      </c>
      <c r="Q1255" s="33">
        <f>quantInv[[#This Row],[UNIT
VALUE]]/AUDtoGBP</f>
        <v>0.12662547596810114</v>
      </c>
      <c r="R1255">
        <f>IFERROR(VLOOKUP(quantInv[[#This Row],[Assigned Item SKU]],skuQuantity[#All],2,FALSE),0)</f>
        <v>0</v>
      </c>
      <c r="S1255" t="str">
        <f>PROPER(quantInv[[#This Row],[Metal]] &amp; " " &amp; quantInv[[#This Row],[Item Type]])</f>
        <v xml:space="preserve"> </v>
      </c>
      <c r="T1255" s="33">
        <f>quantInv[[#This Row],[Quantity]]*quantInv[[#This Row],[WEIGHT]]</f>
        <v>0</v>
      </c>
      <c r="U1255" s="33">
        <f>quantInv[[#This Row],[UNIT
VALUE]]*quantInv[[#This Row],[Quantity]]</f>
        <v>0</v>
      </c>
      <c r="V1255" s="33">
        <f>quantInv[[#This Row],[Total Cost GBP]]/EURtoGBP</f>
        <v>0</v>
      </c>
      <c r="W1255" s="33">
        <f>quantInv[[#This Row],[Total Cost GBP]]/USDtoGBP</f>
        <v>0</v>
      </c>
      <c r="X1255" s="33">
        <f>quantInv[[#This Row],[Total Cost GBP]]/CADtoGBP</f>
        <v>0</v>
      </c>
      <c r="Y1255" s="33">
        <f>quantInv[[#This Row],[Quantity]]*quantInv[[#This Row],[UNIT
VALUE AUD]]</f>
        <v>0</v>
      </c>
      <c r="Z1255" s="33"/>
    </row>
    <row r="1256" spans="1:26" x14ac:dyDescent="0.25">
      <c r="A1256" t="s">
        <v>2822</v>
      </c>
      <c r="C1256" t="s">
        <v>114</v>
      </c>
      <c r="D1256" t="s">
        <v>2823</v>
      </c>
      <c r="E1256">
        <v>0</v>
      </c>
      <c r="F1256" s="33">
        <v>7.0499999999999993E-2</v>
      </c>
      <c r="G1256" s="33" t="s">
        <v>2875</v>
      </c>
      <c r="H1256" t="s">
        <v>2875</v>
      </c>
      <c r="I1256" t="str">
        <f>IF(quantInv[[#This Row],[Metal]] = "925 Silver",  "7113.11.00"," 7113.19.00")</f>
        <v xml:space="preserve"> 7113.19.00</v>
      </c>
      <c r="J1256" t="str">
        <f>IF(quantInv[[#This Row],[Metal]] = "925 Silver", "7113.11.10.00"," 7113.19.10.00")</f>
        <v xml:space="preserve"> 7113.19.10.00</v>
      </c>
      <c r="K1256" t="str">
        <f>IF(quantInv[[#This Row],[Metal]] = "925 Silver",  "7113.11.00"," 7113.19.00")</f>
        <v xml:space="preserve"> 7113.19.00</v>
      </c>
      <c r="L1256" t="str">
        <f>IFERROR(VLOOKUP(quantInv[[#This Row],[Description for New Invoice]],Map!$G$12:$H$32,2,FALSE), IF(quantInv[[#This Row],[Metal]] = "925 Silver", "7113.11.10.00", "7113.19.29.00"))</f>
        <v>7113.19.29.00</v>
      </c>
      <c r="M1256" t="str">
        <f>quantInv[[#This Row],[ASIN]] &amp; " " &amp; quantInv[[#This Row],[Short Description]]</f>
        <v xml:space="preserve"> Silver necklace with spheric freshwater pearl pendant</v>
      </c>
      <c r="N1256" s="33">
        <f>quantInv[[#This Row],[UNIT
VALUE]] / EURtoGBP</f>
        <v>8.0025880710357392E-2</v>
      </c>
      <c r="O1256" s="33">
        <f>quantInv[[#This Row],[UNIT
VALUE]]/USDtoGBP</f>
        <v>9.6643787449467625E-2</v>
      </c>
      <c r="P1256" s="33">
        <f>quantInv[[#This Row],[UNIT
VALUE]] / CADtoGBP</f>
        <v>0.1237096035502024</v>
      </c>
      <c r="Q1256" s="33">
        <f>quantInv[[#This Row],[UNIT
VALUE]]/AUDtoGBP</f>
        <v>0.12662547596810114</v>
      </c>
      <c r="R1256">
        <f>IFERROR(VLOOKUP(quantInv[[#This Row],[Assigned Item SKU]],skuQuantity[#All],2,FALSE),0)</f>
        <v>0</v>
      </c>
      <c r="S1256" t="str">
        <f>PROPER(quantInv[[#This Row],[Metal]] &amp; " " &amp; quantInv[[#This Row],[Item Type]])</f>
        <v xml:space="preserve"> </v>
      </c>
      <c r="T1256" s="33">
        <f>quantInv[[#This Row],[Quantity]]*quantInv[[#This Row],[WEIGHT]]</f>
        <v>0</v>
      </c>
      <c r="U1256" s="33">
        <f>quantInv[[#This Row],[UNIT
VALUE]]*quantInv[[#This Row],[Quantity]]</f>
        <v>0</v>
      </c>
      <c r="V1256" s="33">
        <f>quantInv[[#This Row],[Total Cost GBP]]/EURtoGBP</f>
        <v>0</v>
      </c>
      <c r="W1256" s="33">
        <f>quantInv[[#This Row],[Total Cost GBP]]/USDtoGBP</f>
        <v>0</v>
      </c>
      <c r="X1256" s="33">
        <f>quantInv[[#This Row],[Total Cost GBP]]/CADtoGBP</f>
        <v>0</v>
      </c>
      <c r="Y1256" s="33">
        <f>quantInv[[#This Row],[Quantity]]*quantInv[[#This Row],[UNIT
VALUE AUD]]</f>
        <v>0</v>
      </c>
      <c r="Z1256" s="33"/>
    </row>
    <row r="1257" spans="1:26" x14ac:dyDescent="0.25">
      <c r="A1257" t="s">
        <v>2824</v>
      </c>
      <c r="C1257" t="s">
        <v>114</v>
      </c>
      <c r="D1257" t="s">
        <v>2825</v>
      </c>
      <c r="E1257">
        <v>0</v>
      </c>
      <c r="F1257" s="33">
        <v>7.0499999999999993E-2</v>
      </c>
      <c r="G1257" s="33" t="s">
        <v>2875</v>
      </c>
      <c r="H1257" t="s">
        <v>2875</v>
      </c>
      <c r="I1257" t="str">
        <f>IF(quantInv[[#This Row],[Metal]] = "925 Silver",  "7113.11.00"," 7113.19.00")</f>
        <v xml:space="preserve"> 7113.19.00</v>
      </c>
      <c r="J1257" t="str">
        <f>IF(quantInv[[#This Row],[Metal]] = "925 Silver", "7113.11.10.00"," 7113.19.10.00")</f>
        <v xml:space="preserve"> 7113.19.10.00</v>
      </c>
      <c r="K1257" t="str">
        <f>IF(quantInv[[#This Row],[Metal]] = "925 Silver",  "7113.11.00"," 7113.19.00")</f>
        <v xml:space="preserve"> 7113.19.00</v>
      </c>
      <c r="L1257" t="str">
        <f>IFERROR(VLOOKUP(quantInv[[#This Row],[Description for New Invoice]],Map!$G$12:$H$32,2,FALSE), IF(quantInv[[#This Row],[Metal]] = "925 Silver", "7113.11.10.00", "7113.19.29.00"))</f>
        <v>7113.19.29.00</v>
      </c>
      <c r="M1257" t="str">
        <f>quantInv[[#This Row],[ASIN]] &amp; " " &amp; quantInv[[#This Row],[Short Description]]</f>
        <v xml:space="preserve"> Silver stud earrings - Star shape filled with CZ</v>
      </c>
      <c r="N1257" s="33">
        <f>quantInv[[#This Row],[UNIT
VALUE]] / EURtoGBP</f>
        <v>8.0025880710357392E-2</v>
      </c>
      <c r="O1257" s="33">
        <f>quantInv[[#This Row],[UNIT
VALUE]]/USDtoGBP</f>
        <v>9.6643787449467625E-2</v>
      </c>
      <c r="P1257" s="33">
        <f>quantInv[[#This Row],[UNIT
VALUE]] / CADtoGBP</f>
        <v>0.1237096035502024</v>
      </c>
      <c r="Q1257" s="33">
        <f>quantInv[[#This Row],[UNIT
VALUE]]/AUDtoGBP</f>
        <v>0.12662547596810114</v>
      </c>
      <c r="R1257">
        <f>IFERROR(VLOOKUP(quantInv[[#This Row],[Assigned Item SKU]],skuQuantity[#All],2,FALSE),0)</f>
        <v>0</v>
      </c>
      <c r="S1257" t="str">
        <f>PROPER(quantInv[[#This Row],[Metal]] &amp; " " &amp; quantInv[[#This Row],[Item Type]])</f>
        <v xml:space="preserve"> </v>
      </c>
      <c r="T1257" s="33">
        <f>quantInv[[#This Row],[Quantity]]*quantInv[[#This Row],[WEIGHT]]</f>
        <v>0</v>
      </c>
      <c r="U1257" s="33">
        <f>quantInv[[#This Row],[UNIT
VALUE]]*quantInv[[#This Row],[Quantity]]</f>
        <v>0</v>
      </c>
      <c r="V1257" s="33">
        <f>quantInv[[#This Row],[Total Cost GBP]]/EURtoGBP</f>
        <v>0</v>
      </c>
      <c r="W1257" s="33">
        <f>quantInv[[#This Row],[Total Cost GBP]]/USDtoGBP</f>
        <v>0</v>
      </c>
      <c r="X1257" s="33">
        <f>quantInv[[#This Row],[Total Cost GBP]]/CADtoGBP</f>
        <v>0</v>
      </c>
      <c r="Y1257" s="33">
        <f>quantInv[[#This Row],[Quantity]]*quantInv[[#This Row],[UNIT
VALUE AUD]]</f>
        <v>0</v>
      </c>
      <c r="Z1257" s="33"/>
    </row>
    <row r="1258" spans="1:26" x14ac:dyDescent="0.25">
      <c r="A1258" t="s">
        <v>2826</v>
      </c>
      <c r="C1258" t="s">
        <v>114</v>
      </c>
      <c r="D1258" t="s">
        <v>2827</v>
      </c>
      <c r="E1258">
        <v>0</v>
      </c>
      <c r="F1258" s="33">
        <v>7.0499999999999993E-2</v>
      </c>
      <c r="G1258" s="33" t="s">
        <v>2875</v>
      </c>
      <c r="H1258" t="s">
        <v>2875</v>
      </c>
      <c r="I1258" t="str">
        <f>IF(quantInv[[#This Row],[Metal]] = "925 Silver",  "7113.11.00"," 7113.19.00")</f>
        <v xml:space="preserve"> 7113.19.00</v>
      </c>
      <c r="J1258" t="str">
        <f>IF(quantInv[[#This Row],[Metal]] = "925 Silver", "7113.11.10.00"," 7113.19.10.00")</f>
        <v xml:space="preserve"> 7113.19.10.00</v>
      </c>
      <c r="K1258" t="str">
        <f>IF(quantInv[[#This Row],[Metal]] = "925 Silver",  "7113.11.00"," 7113.19.00")</f>
        <v xml:space="preserve"> 7113.19.00</v>
      </c>
      <c r="L1258" t="str">
        <f>IFERROR(VLOOKUP(quantInv[[#This Row],[Description for New Invoice]],Map!$G$12:$H$32,2,FALSE), IF(quantInv[[#This Row],[Metal]] = "925 Silver", "7113.11.10.00", "7113.19.29.00"))</f>
        <v>7113.19.29.00</v>
      </c>
      <c r="M1258" t="str">
        <f>quantInv[[#This Row],[ASIN]] &amp; " " &amp; quantInv[[#This Row],[Short Description]]</f>
        <v xml:space="preserve"> Silver stud earrings - Moon shape filled with CZ</v>
      </c>
      <c r="N1258" s="33">
        <f>quantInv[[#This Row],[UNIT
VALUE]] / EURtoGBP</f>
        <v>8.0025880710357392E-2</v>
      </c>
      <c r="O1258" s="33">
        <f>quantInv[[#This Row],[UNIT
VALUE]]/USDtoGBP</f>
        <v>9.6643787449467625E-2</v>
      </c>
      <c r="P1258" s="33">
        <f>quantInv[[#This Row],[UNIT
VALUE]] / CADtoGBP</f>
        <v>0.1237096035502024</v>
      </c>
      <c r="Q1258" s="33">
        <f>quantInv[[#This Row],[UNIT
VALUE]]/AUDtoGBP</f>
        <v>0.12662547596810114</v>
      </c>
      <c r="R1258">
        <f>IFERROR(VLOOKUP(quantInv[[#This Row],[Assigned Item SKU]],skuQuantity[#All],2,FALSE),0)</f>
        <v>0</v>
      </c>
      <c r="S1258" t="str">
        <f>PROPER(quantInv[[#This Row],[Metal]] &amp; " " &amp; quantInv[[#This Row],[Item Type]])</f>
        <v xml:space="preserve"> </v>
      </c>
      <c r="T1258" s="33">
        <f>quantInv[[#This Row],[Quantity]]*quantInv[[#This Row],[WEIGHT]]</f>
        <v>0</v>
      </c>
      <c r="U1258" s="33">
        <f>quantInv[[#This Row],[UNIT
VALUE]]*quantInv[[#This Row],[Quantity]]</f>
        <v>0</v>
      </c>
      <c r="V1258" s="33">
        <f>quantInv[[#This Row],[Total Cost GBP]]/EURtoGBP</f>
        <v>0</v>
      </c>
      <c r="W1258" s="33">
        <f>quantInv[[#This Row],[Total Cost GBP]]/USDtoGBP</f>
        <v>0</v>
      </c>
      <c r="X1258" s="33">
        <f>quantInv[[#This Row],[Total Cost GBP]]/CADtoGBP</f>
        <v>0</v>
      </c>
      <c r="Y1258" s="33">
        <f>quantInv[[#This Row],[Quantity]]*quantInv[[#This Row],[UNIT
VALUE AUD]]</f>
        <v>0</v>
      </c>
      <c r="Z1258" s="33"/>
    </row>
    <row r="1259" spans="1:26" x14ac:dyDescent="0.25">
      <c r="A1259" t="s">
        <v>2824</v>
      </c>
      <c r="C1259" t="s">
        <v>114</v>
      </c>
      <c r="D1259" t="s">
        <v>2828</v>
      </c>
      <c r="E1259">
        <v>0</v>
      </c>
      <c r="F1259" s="33">
        <v>7.0499999999999993E-2</v>
      </c>
      <c r="G1259" s="33" t="s">
        <v>2875</v>
      </c>
      <c r="H1259" t="s">
        <v>2875</v>
      </c>
      <c r="I1259" t="str">
        <f>IF(quantInv[[#This Row],[Metal]] = "925 Silver",  "7113.11.00"," 7113.19.00")</f>
        <v xml:space="preserve"> 7113.19.00</v>
      </c>
      <c r="J1259" t="str">
        <f>IF(quantInv[[#This Row],[Metal]] = "925 Silver", "7113.11.10.00"," 7113.19.10.00")</f>
        <v xml:space="preserve"> 7113.19.10.00</v>
      </c>
      <c r="K1259" t="str">
        <f>IF(quantInv[[#This Row],[Metal]] = "925 Silver",  "7113.11.00"," 7113.19.00")</f>
        <v xml:space="preserve"> 7113.19.00</v>
      </c>
      <c r="L1259" t="str">
        <f>IFERROR(VLOOKUP(quantInv[[#This Row],[Description for New Invoice]],Map!$G$12:$H$32,2,FALSE), IF(quantInv[[#This Row],[Metal]] = "925 Silver", "7113.11.10.00", "7113.19.29.00"))</f>
        <v>7113.19.29.00</v>
      </c>
      <c r="M1259" t="str">
        <f>quantInv[[#This Row],[ASIN]] &amp; " " &amp; quantInv[[#This Row],[Short Description]]</f>
        <v xml:space="preserve"> Gold plated stud earrings - Star shape filled with CZ</v>
      </c>
      <c r="N1259" s="33">
        <f>quantInv[[#This Row],[UNIT
VALUE]] / EURtoGBP</f>
        <v>8.0025880710357392E-2</v>
      </c>
      <c r="O1259" s="33">
        <f>quantInv[[#This Row],[UNIT
VALUE]]/USDtoGBP</f>
        <v>9.6643787449467625E-2</v>
      </c>
      <c r="P1259" s="33">
        <f>quantInv[[#This Row],[UNIT
VALUE]] / CADtoGBP</f>
        <v>0.1237096035502024</v>
      </c>
      <c r="Q1259" s="33">
        <f>quantInv[[#This Row],[UNIT
VALUE]]/AUDtoGBP</f>
        <v>0.12662547596810114</v>
      </c>
      <c r="R1259">
        <f>IFERROR(VLOOKUP(quantInv[[#This Row],[Assigned Item SKU]],skuQuantity[#All],2,FALSE),0)</f>
        <v>0</v>
      </c>
      <c r="S1259" t="str">
        <f>PROPER(quantInv[[#This Row],[Metal]] &amp; " " &amp; quantInv[[#This Row],[Item Type]])</f>
        <v xml:space="preserve"> </v>
      </c>
      <c r="T1259" s="33">
        <f>quantInv[[#This Row],[Quantity]]*quantInv[[#This Row],[WEIGHT]]</f>
        <v>0</v>
      </c>
      <c r="U1259" s="33">
        <f>quantInv[[#This Row],[UNIT
VALUE]]*quantInv[[#This Row],[Quantity]]</f>
        <v>0</v>
      </c>
      <c r="V1259" s="33">
        <f>quantInv[[#This Row],[Total Cost GBP]]/EURtoGBP</f>
        <v>0</v>
      </c>
      <c r="W1259" s="33">
        <f>quantInv[[#This Row],[Total Cost GBP]]/USDtoGBP</f>
        <v>0</v>
      </c>
      <c r="X1259" s="33">
        <f>quantInv[[#This Row],[Total Cost GBP]]/CADtoGBP</f>
        <v>0</v>
      </c>
      <c r="Y1259" s="33">
        <f>quantInv[[#This Row],[Quantity]]*quantInv[[#This Row],[UNIT
VALUE AUD]]</f>
        <v>0</v>
      </c>
      <c r="Z1259" s="33"/>
    </row>
    <row r="1260" spans="1:26" x14ac:dyDescent="0.25">
      <c r="A1260" t="s">
        <v>2826</v>
      </c>
      <c r="C1260" t="s">
        <v>114</v>
      </c>
      <c r="D1260" t="s">
        <v>2829</v>
      </c>
      <c r="E1260">
        <v>0</v>
      </c>
      <c r="F1260" s="33">
        <v>7.0499999999999993E-2</v>
      </c>
      <c r="G1260" s="33" t="s">
        <v>2875</v>
      </c>
      <c r="H1260" t="s">
        <v>2875</v>
      </c>
      <c r="I1260" t="str">
        <f>IF(quantInv[[#This Row],[Metal]] = "925 Silver",  "7113.11.00"," 7113.19.00")</f>
        <v xml:space="preserve"> 7113.19.00</v>
      </c>
      <c r="J1260" t="str">
        <f>IF(quantInv[[#This Row],[Metal]] = "925 Silver", "7113.11.10.00"," 7113.19.10.00")</f>
        <v xml:space="preserve"> 7113.19.10.00</v>
      </c>
      <c r="K1260" t="str">
        <f>IF(quantInv[[#This Row],[Metal]] = "925 Silver",  "7113.11.00"," 7113.19.00")</f>
        <v xml:space="preserve"> 7113.19.00</v>
      </c>
      <c r="L1260" t="str">
        <f>IFERROR(VLOOKUP(quantInv[[#This Row],[Description for New Invoice]],Map!$G$12:$H$32,2,FALSE), IF(quantInv[[#This Row],[Metal]] = "925 Silver", "7113.11.10.00", "7113.19.29.00"))</f>
        <v>7113.19.29.00</v>
      </c>
      <c r="M1260" t="str">
        <f>quantInv[[#This Row],[ASIN]] &amp; " " &amp; quantInv[[#This Row],[Short Description]]</f>
        <v xml:space="preserve"> Gold plated stud earrings - Moon shape filled with CZ</v>
      </c>
      <c r="N1260" s="33">
        <f>quantInv[[#This Row],[UNIT
VALUE]] / EURtoGBP</f>
        <v>8.0025880710357392E-2</v>
      </c>
      <c r="O1260" s="33">
        <f>quantInv[[#This Row],[UNIT
VALUE]]/USDtoGBP</f>
        <v>9.6643787449467625E-2</v>
      </c>
      <c r="P1260" s="33">
        <f>quantInv[[#This Row],[UNIT
VALUE]] / CADtoGBP</f>
        <v>0.1237096035502024</v>
      </c>
      <c r="Q1260" s="33">
        <f>quantInv[[#This Row],[UNIT
VALUE]]/AUDtoGBP</f>
        <v>0.12662547596810114</v>
      </c>
      <c r="R1260">
        <f>IFERROR(VLOOKUP(quantInv[[#This Row],[Assigned Item SKU]],skuQuantity[#All],2,FALSE),0)</f>
        <v>0</v>
      </c>
      <c r="S1260" t="str">
        <f>PROPER(quantInv[[#This Row],[Metal]] &amp; " " &amp; quantInv[[#This Row],[Item Type]])</f>
        <v xml:space="preserve"> </v>
      </c>
      <c r="T1260" s="33">
        <f>quantInv[[#This Row],[Quantity]]*quantInv[[#This Row],[WEIGHT]]</f>
        <v>0</v>
      </c>
      <c r="U1260" s="33">
        <f>quantInv[[#This Row],[UNIT
VALUE]]*quantInv[[#This Row],[Quantity]]</f>
        <v>0</v>
      </c>
      <c r="V1260" s="33">
        <f>quantInv[[#This Row],[Total Cost GBP]]/EURtoGBP</f>
        <v>0</v>
      </c>
      <c r="W1260" s="33">
        <f>quantInv[[#This Row],[Total Cost GBP]]/USDtoGBP</f>
        <v>0</v>
      </c>
      <c r="X1260" s="33">
        <f>quantInv[[#This Row],[Total Cost GBP]]/CADtoGBP</f>
        <v>0</v>
      </c>
      <c r="Y1260" s="33">
        <f>quantInv[[#This Row],[Quantity]]*quantInv[[#This Row],[UNIT
VALUE AUD]]</f>
        <v>0</v>
      </c>
      <c r="Z1260" s="33"/>
    </row>
    <row r="1261" spans="1:26" x14ac:dyDescent="0.25">
      <c r="A1261" t="s">
        <v>2830</v>
      </c>
      <c r="C1261" t="s">
        <v>114</v>
      </c>
      <c r="D1261" t="s">
        <v>2972</v>
      </c>
      <c r="E1261">
        <v>0</v>
      </c>
      <c r="F1261" s="33">
        <v>7.0499999999999993E-2</v>
      </c>
      <c r="G1261" s="33" t="s">
        <v>2875</v>
      </c>
      <c r="H1261" t="s">
        <v>2875</v>
      </c>
      <c r="I1261" t="str">
        <f>IF(quantInv[[#This Row],[Metal]] = "925 Silver",  "7113.11.00"," 7113.19.00")</f>
        <v xml:space="preserve"> 7113.19.00</v>
      </c>
      <c r="J1261" t="str">
        <f>IF(quantInv[[#This Row],[Metal]] = "925 Silver", "7113.11.10.00"," 7113.19.10.00")</f>
        <v xml:space="preserve"> 7113.19.10.00</v>
      </c>
      <c r="K1261" t="str">
        <f>IF(quantInv[[#This Row],[Metal]] = "925 Silver",  "7113.11.00"," 7113.19.00")</f>
        <v xml:space="preserve"> 7113.19.00</v>
      </c>
      <c r="L1261" t="str">
        <f>IFERROR(VLOOKUP(quantInv[[#This Row],[Description for New Invoice]],Map!$G$12:$H$32,2,FALSE), IF(quantInv[[#This Row],[Metal]] = "925 Silver", "7113.11.10.00", "7113.19.29.00"))</f>
        <v>7113.19.29.00</v>
      </c>
      <c r="M1261" t="str">
        <f>quantInv[[#This Row],[ASIN]] &amp; " " &amp; quantInv[[#This Row],[Short Description]]</f>
        <v xml:space="preserve"> Silver bracelet with CZ North star  small star and moon charms 17+3cm</v>
      </c>
      <c r="N1261" s="33">
        <f>quantInv[[#This Row],[UNIT
VALUE]] / EURtoGBP</f>
        <v>8.0025880710357392E-2</v>
      </c>
      <c r="O1261" s="33">
        <f>quantInv[[#This Row],[UNIT
VALUE]]/USDtoGBP</f>
        <v>9.6643787449467625E-2</v>
      </c>
      <c r="P1261" s="33">
        <f>quantInv[[#This Row],[UNIT
VALUE]] / CADtoGBP</f>
        <v>0.1237096035502024</v>
      </c>
      <c r="Q1261" s="33">
        <f>quantInv[[#This Row],[UNIT
VALUE]]/AUDtoGBP</f>
        <v>0.12662547596810114</v>
      </c>
      <c r="R1261">
        <f>IFERROR(VLOOKUP(quantInv[[#This Row],[Assigned Item SKU]],skuQuantity[#All],2,FALSE),0)</f>
        <v>0</v>
      </c>
      <c r="S1261" t="str">
        <f>PROPER(quantInv[[#This Row],[Metal]] &amp; " " &amp; quantInv[[#This Row],[Item Type]])</f>
        <v xml:space="preserve"> </v>
      </c>
      <c r="T1261" s="33">
        <f>quantInv[[#This Row],[Quantity]]*quantInv[[#This Row],[WEIGHT]]</f>
        <v>0</v>
      </c>
      <c r="U1261" s="33">
        <f>quantInv[[#This Row],[UNIT
VALUE]]*quantInv[[#This Row],[Quantity]]</f>
        <v>0</v>
      </c>
      <c r="V1261" s="33">
        <f>quantInv[[#This Row],[Total Cost GBP]]/EURtoGBP</f>
        <v>0</v>
      </c>
      <c r="W1261" s="33">
        <f>quantInv[[#This Row],[Total Cost GBP]]/USDtoGBP</f>
        <v>0</v>
      </c>
      <c r="X1261" s="33">
        <f>quantInv[[#This Row],[Total Cost GBP]]/CADtoGBP</f>
        <v>0</v>
      </c>
      <c r="Y1261" s="33">
        <f>quantInv[[#This Row],[Quantity]]*quantInv[[#This Row],[UNIT
VALUE AUD]]</f>
        <v>0</v>
      </c>
      <c r="Z1261" s="33"/>
    </row>
    <row r="1262" spans="1:26" x14ac:dyDescent="0.25">
      <c r="A1262" t="s">
        <v>2831</v>
      </c>
      <c r="C1262" t="s">
        <v>114</v>
      </c>
      <c r="D1262" t="s">
        <v>2832</v>
      </c>
      <c r="E1262">
        <v>0</v>
      </c>
      <c r="F1262" s="33">
        <v>7.0499999999999993E-2</v>
      </c>
      <c r="G1262" s="33" t="s">
        <v>2875</v>
      </c>
      <c r="H1262" t="s">
        <v>2875</v>
      </c>
      <c r="I1262" t="str">
        <f>IF(quantInv[[#This Row],[Metal]] = "925 Silver",  "7113.11.00"," 7113.19.00")</f>
        <v xml:space="preserve"> 7113.19.00</v>
      </c>
      <c r="J1262" t="str">
        <f>IF(quantInv[[#This Row],[Metal]] = "925 Silver", "7113.11.10.00"," 7113.19.10.00")</f>
        <v xml:space="preserve"> 7113.19.10.00</v>
      </c>
      <c r="K1262" t="str">
        <f>IF(quantInv[[#This Row],[Metal]] = "925 Silver",  "7113.11.00"," 7113.19.00")</f>
        <v xml:space="preserve"> 7113.19.00</v>
      </c>
      <c r="L1262" t="str">
        <f>IFERROR(VLOOKUP(quantInv[[#This Row],[Description for New Invoice]],Map!$G$12:$H$32,2,FALSE), IF(quantInv[[#This Row],[Metal]] = "925 Silver", "7113.11.10.00", "7113.19.29.00"))</f>
        <v>7113.19.29.00</v>
      </c>
      <c r="M1262" t="str">
        <f>quantInv[[#This Row],[ASIN]] &amp; " " &amp; quantInv[[#This Row],[Short Description]]</f>
        <v xml:space="preserve"> Silver bracelet with star shape in line charms17+3cm</v>
      </c>
      <c r="N1262" s="33">
        <f>quantInv[[#This Row],[UNIT
VALUE]] / EURtoGBP</f>
        <v>8.0025880710357392E-2</v>
      </c>
      <c r="O1262" s="33">
        <f>quantInv[[#This Row],[UNIT
VALUE]]/USDtoGBP</f>
        <v>9.6643787449467625E-2</v>
      </c>
      <c r="P1262" s="33">
        <f>quantInv[[#This Row],[UNIT
VALUE]] / CADtoGBP</f>
        <v>0.1237096035502024</v>
      </c>
      <c r="Q1262" s="33">
        <f>quantInv[[#This Row],[UNIT
VALUE]]/AUDtoGBP</f>
        <v>0.12662547596810114</v>
      </c>
      <c r="R1262">
        <f>IFERROR(VLOOKUP(quantInv[[#This Row],[Assigned Item SKU]],skuQuantity[#All],2,FALSE),0)</f>
        <v>0</v>
      </c>
      <c r="S1262" t="str">
        <f>PROPER(quantInv[[#This Row],[Metal]] &amp; " " &amp; quantInv[[#This Row],[Item Type]])</f>
        <v xml:space="preserve"> </v>
      </c>
      <c r="T1262" s="33">
        <f>quantInv[[#This Row],[Quantity]]*quantInv[[#This Row],[WEIGHT]]</f>
        <v>0</v>
      </c>
      <c r="U1262" s="33">
        <f>quantInv[[#This Row],[UNIT
VALUE]]*quantInv[[#This Row],[Quantity]]</f>
        <v>0</v>
      </c>
      <c r="V1262" s="33">
        <f>quantInv[[#This Row],[Total Cost GBP]]/EURtoGBP</f>
        <v>0</v>
      </c>
      <c r="W1262" s="33">
        <f>quantInv[[#This Row],[Total Cost GBP]]/USDtoGBP</f>
        <v>0</v>
      </c>
      <c r="X1262" s="33">
        <f>quantInv[[#This Row],[Total Cost GBP]]/CADtoGBP</f>
        <v>0</v>
      </c>
      <c r="Y1262" s="33">
        <f>quantInv[[#This Row],[Quantity]]*quantInv[[#This Row],[UNIT
VALUE AUD]]</f>
        <v>0</v>
      </c>
      <c r="Z1262" s="33"/>
    </row>
    <row r="1263" spans="1:26" x14ac:dyDescent="0.25">
      <c r="A1263" t="s">
        <v>2833</v>
      </c>
      <c r="C1263" t="s">
        <v>114</v>
      </c>
      <c r="D1263" t="s">
        <v>2834</v>
      </c>
      <c r="E1263">
        <v>0</v>
      </c>
      <c r="F1263" s="33">
        <v>7.0499999999999993E-2</v>
      </c>
      <c r="G1263" s="33" t="s">
        <v>2875</v>
      </c>
      <c r="H1263" t="s">
        <v>2875</v>
      </c>
      <c r="I1263" t="str">
        <f>IF(quantInv[[#This Row],[Metal]] = "925 Silver",  "7113.11.00"," 7113.19.00")</f>
        <v xml:space="preserve"> 7113.19.00</v>
      </c>
      <c r="J1263" t="str">
        <f>IF(quantInv[[#This Row],[Metal]] = "925 Silver", "7113.11.10.00"," 7113.19.10.00")</f>
        <v xml:space="preserve"> 7113.19.10.00</v>
      </c>
      <c r="K1263" t="str">
        <f>IF(quantInv[[#This Row],[Metal]] = "925 Silver",  "7113.11.00"," 7113.19.00")</f>
        <v xml:space="preserve"> 7113.19.00</v>
      </c>
      <c r="L1263" t="str">
        <f>IFERROR(VLOOKUP(quantInv[[#This Row],[Description for New Invoice]],Map!$G$12:$H$32,2,FALSE), IF(quantInv[[#This Row],[Metal]] = "925 Silver", "7113.11.10.00", "7113.19.29.00"))</f>
        <v>7113.19.29.00</v>
      </c>
      <c r="M1263" t="str">
        <f>quantInv[[#This Row],[ASIN]] &amp; " " &amp; quantInv[[#This Row],[Short Description]]</f>
        <v xml:space="preserve"> Silver bracelet with moon shape in line charms 17+3cm</v>
      </c>
      <c r="N1263" s="33">
        <f>quantInv[[#This Row],[UNIT
VALUE]] / EURtoGBP</f>
        <v>8.0025880710357392E-2</v>
      </c>
      <c r="O1263" s="33">
        <f>quantInv[[#This Row],[UNIT
VALUE]]/USDtoGBP</f>
        <v>9.6643787449467625E-2</v>
      </c>
      <c r="P1263" s="33">
        <f>quantInv[[#This Row],[UNIT
VALUE]] / CADtoGBP</f>
        <v>0.1237096035502024</v>
      </c>
      <c r="Q1263" s="33">
        <f>quantInv[[#This Row],[UNIT
VALUE]]/AUDtoGBP</f>
        <v>0.12662547596810114</v>
      </c>
      <c r="R1263">
        <f>IFERROR(VLOOKUP(quantInv[[#This Row],[Assigned Item SKU]],skuQuantity[#All],2,FALSE),0)</f>
        <v>0</v>
      </c>
      <c r="S1263" t="str">
        <f>PROPER(quantInv[[#This Row],[Metal]] &amp; " " &amp; quantInv[[#This Row],[Item Type]])</f>
        <v xml:space="preserve"> </v>
      </c>
      <c r="T1263" s="33">
        <f>quantInv[[#This Row],[Quantity]]*quantInv[[#This Row],[WEIGHT]]</f>
        <v>0</v>
      </c>
      <c r="U1263" s="33">
        <f>quantInv[[#This Row],[UNIT
VALUE]]*quantInv[[#This Row],[Quantity]]</f>
        <v>0</v>
      </c>
      <c r="V1263" s="33">
        <f>quantInv[[#This Row],[Total Cost GBP]]/EURtoGBP</f>
        <v>0</v>
      </c>
      <c r="W1263" s="33">
        <f>quantInv[[#This Row],[Total Cost GBP]]/USDtoGBP</f>
        <v>0</v>
      </c>
      <c r="X1263" s="33">
        <f>quantInv[[#This Row],[Total Cost GBP]]/CADtoGBP</f>
        <v>0</v>
      </c>
      <c r="Y1263" s="33">
        <f>quantInv[[#This Row],[Quantity]]*quantInv[[#This Row],[UNIT
VALUE AUD]]</f>
        <v>0</v>
      </c>
      <c r="Z1263" s="33"/>
    </row>
    <row r="1264" spans="1:26" x14ac:dyDescent="0.25">
      <c r="A1264" t="s">
        <v>2835</v>
      </c>
      <c r="C1264" t="s">
        <v>114</v>
      </c>
      <c r="D1264" t="s">
        <v>2973</v>
      </c>
      <c r="E1264">
        <v>0</v>
      </c>
      <c r="F1264" s="33">
        <v>7.0499999999999993E-2</v>
      </c>
      <c r="G1264" s="33" t="s">
        <v>2875</v>
      </c>
      <c r="H1264" t="s">
        <v>2875</v>
      </c>
      <c r="I1264" t="str">
        <f>IF(quantInv[[#This Row],[Metal]] = "925 Silver",  "7113.11.00"," 7113.19.00")</f>
        <v xml:space="preserve"> 7113.19.00</v>
      </c>
      <c r="J1264" t="str">
        <f>IF(quantInv[[#This Row],[Metal]] = "925 Silver", "7113.11.10.00"," 7113.19.10.00")</f>
        <v xml:space="preserve"> 7113.19.10.00</v>
      </c>
      <c r="K1264" t="str">
        <f>IF(quantInv[[#This Row],[Metal]] = "925 Silver",  "7113.11.00"," 7113.19.00")</f>
        <v xml:space="preserve"> 7113.19.00</v>
      </c>
      <c r="L1264" t="str">
        <f>IFERROR(VLOOKUP(quantInv[[#This Row],[Description for New Invoice]],Map!$G$12:$H$32,2,FALSE), IF(quantInv[[#This Row],[Metal]] = "925 Silver", "7113.11.10.00", "7113.19.29.00"))</f>
        <v>7113.19.29.00</v>
      </c>
      <c r="M1264" t="str">
        <f>quantInv[[#This Row],[ASIN]] &amp; " " &amp; quantInv[[#This Row],[Short Description]]</f>
        <v xml:space="preserve"> Gold plated bracelet with CZ North star  small star and moon charms 17+3cm</v>
      </c>
      <c r="N1264" s="33">
        <f>quantInv[[#This Row],[UNIT
VALUE]] / EURtoGBP</f>
        <v>8.0025880710357392E-2</v>
      </c>
      <c r="O1264" s="33">
        <f>quantInv[[#This Row],[UNIT
VALUE]]/USDtoGBP</f>
        <v>9.6643787449467625E-2</v>
      </c>
      <c r="P1264" s="33">
        <f>quantInv[[#This Row],[UNIT
VALUE]] / CADtoGBP</f>
        <v>0.1237096035502024</v>
      </c>
      <c r="Q1264" s="33">
        <f>quantInv[[#This Row],[UNIT
VALUE]]/AUDtoGBP</f>
        <v>0.12662547596810114</v>
      </c>
      <c r="R1264">
        <f>IFERROR(VLOOKUP(quantInv[[#This Row],[Assigned Item SKU]],skuQuantity[#All],2,FALSE),0)</f>
        <v>0</v>
      </c>
      <c r="S1264" t="str">
        <f>PROPER(quantInv[[#This Row],[Metal]] &amp; " " &amp; quantInv[[#This Row],[Item Type]])</f>
        <v xml:space="preserve"> </v>
      </c>
      <c r="T1264" s="33">
        <f>quantInv[[#This Row],[Quantity]]*quantInv[[#This Row],[WEIGHT]]</f>
        <v>0</v>
      </c>
      <c r="U1264" s="33">
        <f>quantInv[[#This Row],[UNIT
VALUE]]*quantInv[[#This Row],[Quantity]]</f>
        <v>0</v>
      </c>
      <c r="V1264" s="33">
        <f>quantInv[[#This Row],[Total Cost GBP]]/EURtoGBP</f>
        <v>0</v>
      </c>
      <c r="W1264" s="33">
        <f>quantInv[[#This Row],[Total Cost GBP]]/USDtoGBP</f>
        <v>0</v>
      </c>
      <c r="X1264" s="33">
        <f>quantInv[[#This Row],[Total Cost GBP]]/CADtoGBP</f>
        <v>0</v>
      </c>
      <c r="Y1264" s="33">
        <f>quantInv[[#This Row],[Quantity]]*quantInv[[#This Row],[UNIT
VALUE AUD]]</f>
        <v>0</v>
      </c>
      <c r="Z1264" s="33"/>
    </row>
    <row r="1265" spans="1:26" x14ac:dyDescent="0.25">
      <c r="A1265" t="s">
        <v>2836</v>
      </c>
      <c r="C1265" t="s">
        <v>114</v>
      </c>
      <c r="D1265" t="s">
        <v>2837</v>
      </c>
      <c r="E1265">
        <v>0</v>
      </c>
      <c r="F1265" s="33">
        <v>7.0499999999999993E-2</v>
      </c>
      <c r="G1265" s="33" t="s">
        <v>2875</v>
      </c>
      <c r="H1265" t="s">
        <v>2875</v>
      </c>
      <c r="I1265" t="str">
        <f>IF(quantInv[[#This Row],[Metal]] = "925 Silver",  "7113.11.00"," 7113.19.00")</f>
        <v xml:space="preserve"> 7113.19.00</v>
      </c>
      <c r="J1265" t="str">
        <f>IF(quantInv[[#This Row],[Metal]] = "925 Silver", "7113.11.10.00"," 7113.19.10.00")</f>
        <v xml:space="preserve"> 7113.19.10.00</v>
      </c>
      <c r="K1265" t="str">
        <f>IF(quantInv[[#This Row],[Metal]] = "925 Silver",  "7113.11.00"," 7113.19.00")</f>
        <v xml:space="preserve"> 7113.19.00</v>
      </c>
      <c r="L1265" t="str">
        <f>IFERROR(VLOOKUP(quantInv[[#This Row],[Description for New Invoice]],Map!$G$12:$H$32,2,FALSE), IF(quantInv[[#This Row],[Metal]] = "925 Silver", "7113.11.10.00", "7113.19.29.00"))</f>
        <v>7113.19.29.00</v>
      </c>
      <c r="M1265" t="str">
        <f>quantInv[[#This Row],[ASIN]] &amp; " " &amp; quantInv[[#This Row],[Short Description]]</f>
        <v xml:space="preserve"> Gold plated bracelet with star shape in line charm 17+3cm</v>
      </c>
      <c r="N1265" s="33">
        <f>quantInv[[#This Row],[UNIT
VALUE]] / EURtoGBP</f>
        <v>8.0025880710357392E-2</v>
      </c>
      <c r="O1265" s="33">
        <f>quantInv[[#This Row],[UNIT
VALUE]]/USDtoGBP</f>
        <v>9.6643787449467625E-2</v>
      </c>
      <c r="P1265" s="33">
        <f>quantInv[[#This Row],[UNIT
VALUE]] / CADtoGBP</f>
        <v>0.1237096035502024</v>
      </c>
      <c r="Q1265" s="33">
        <f>quantInv[[#This Row],[UNIT
VALUE]]/AUDtoGBP</f>
        <v>0.12662547596810114</v>
      </c>
      <c r="R1265">
        <f>IFERROR(VLOOKUP(quantInv[[#This Row],[Assigned Item SKU]],skuQuantity[#All],2,FALSE),0)</f>
        <v>0</v>
      </c>
      <c r="S1265" t="str">
        <f>PROPER(quantInv[[#This Row],[Metal]] &amp; " " &amp; quantInv[[#This Row],[Item Type]])</f>
        <v xml:space="preserve"> </v>
      </c>
      <c r="T1265" s="33">
        <f>quantInv[[#This Row],[Quantity]]*quantInv[[#This Row],[WEIGHT]]</f>
        <v>0</v>
      </c>
      <c r="U1265" s="33">
        <f>quantInv[[#This Row],[UNIT
VALUE]]*quantInv[[#This Row],[Quantity]]</f>
        <v>0</v>
      </c>
      <c r="V1265" s="33">
        <f>quantInv[[#This Row],[Total Cost GBP]]/EURtoGBP</f>
        <v>0</v>
      </c>
      <c r="W1265" s="33">
        <f>quantInv[[#This Row],[Total Cost GBP]]/USDtoGBP</f>
        <v>0</v>
      </c>
      <c r="X1265" s="33">
        <f>quantInv[[#This Row],[Total Cost GBP]]/CADtoGBP</f>
        <v>0</v>
      </c>
      <c r="Y1265" s="33">
        <f>quantInv[[#This Row],[Quantity]]*quantInv[[#This Row],[UNIT
VALUE AUD]]</f>
        <v>0</v>
      </c>
      <c r="Z1265" s="33"/>
    </row>
    <row r="1266" spans="1:26" x14ac:dyDescent="0.25">
      <c r="A1266" t="s">
        <v>2838</v>
      </c>
      <c r="C1266" t="s">
        <v>114</v>
      </c>
      <c r="D1266" t="s">
        <v>2839</v>
      </c>
      <c r="E1266">
        <v>0</v>
      </c>
      <c r="F1266" s="33">
        <v>7.0499999999999993E-2</v>
      </c>
      <c r="G1266" s="33" t="s">
        <v>2875</v>
      </c>
      <c r="H1266" t="s">
        <v>2875</v>
      </c>
      <c r="I1266" t="str">
        <f>IF(quantInv[[#This Row],[Metal]] = "925 Silver",  "7113.11.00"," 7113.19.00")</f>
        <v xml:space="preserve"> 7113.19.00</v>
      </c>
      <c r="J1266" t="str">
        <f>IF(quantInv[[#This Row],[Metal]] = "925 Silver", "7113.11.10.00"," 7113.19.10.00")</f>
        <v xml:space="preserve"> 7113.19.10.00</v>
      </c>
      <c r="K1266" t="str">
        <f>IF(quantInv[[#This Row],[Metal]] = "925 Silver",  "7113.11.00"," 7113.19.00")</f>
        <v xml:space="preserve"> 7113.19.00</v>
      </c>
      <c r="L1266" t="str">
        <f>IFERROR(VLOOKUP(quantInv[[#This Row],[Description for New Invoice]],Map!$G$12:$H$32,2,FALSE), IF(quantInv[[#This Row],[Metal]] = "925 Silver", "7113.11.10.00", "7113.19.29.00"))</f>
        <v>7113.19.29.00</v>
      </c>
      <c r="M1266" t="str">
        <f>quantInv[[#This Row],[ASIN]] &amp; " " &amp; quantInv[[#This Row],[Short Description]]</f>
        <v xml:space="preserve"> Gold plated bracelet with moon shape in line charm 17+3cm</v>
      </c>
      <c r="N1266" s="33">
        <f>quantInv[[#This Row],[UNIT
VALUE]] / EURtoGBP</f>
        <v>8.0025880710357392E-2</v>
      </c>
      <c r="O1266" s="33">
        <f>quantInv[[#This Row],[UNIT
VALUE]]/USDtoGBP</f>
        <v>9.6643787449467625E-2</v>
      </c>
      <c r="P1266" s="33">
        <f>quantInv[[#This Row],[UNIT
VALUE]] / CADtoGBP</f>
        <v>0.1237096035502024</v>
      </c>
      <c r="Q1266" s="33">
        <f>quantInv[[#This Row],[UNIT
VALUE]]/AUDtoGBP</f>
        <v>0.12662547596810114</v>
      </c>
      <c r="R1266">
        <f>IFERROR(VLOOKUP(quantInv[[#This Row],[Assigned Item SKU]],skuQuantity[#All],2,FALSE),0)</f>
        <v>0</v>
      </c>
      <c r="S1266" t="str">
        <f>PROPER(quantInv[[#This Row],[Metal]] &amp; " " &amp; quantInv[[#This Row],[Item Type]])</f>
        <v xml:space="preserve"> </v>
      </c>
      <c r="T1266" s="33">
        <f>quantInv[[#This Row],[Quantity]]*quantInv[[#This Row],[WEIGHT]]</f>
        <v>0</v>
      </c>
      <c r="U1266" s="33">
        <f>quantInv[[#This Row],[UNIT
VALUE]]*quantInv[[#This Row],[Quantity]]</f>
        <v>0</v>
      </c>
      <c r="V1266" s="33">
        <f>quantInv[[#This Row],[Total Cost GBP]]/EURtoGBP</f>
        <v>0</v>
      </c>
      <c r="W1266" s="33">
        <f>quantInv[[#This Row],[Total Cost GBP]]/USDtoGBP</f>
        <v>0</v>
      </c>
      <c r="X1266" s="33">
        <f>quantInv[[#This Row],[Total Cost GBP]]/CADtoGBP</f>
        <v>0</v>
      </c>
      <c r="Y1266" s="33">
        <f>quantInv[[#This Row],[Quantity]]*quantInv[[#This Row],[UNIT
VALUE AUD]]</f>
        <v>0</v>
      </c>
      <c r="Z1266" s="33"/>
    </row>
    <row r="1267" spans="1:26" x14ac:dyDescent="0.25">
      <c r="A1267" t="s">
        <v>2840</v>
      </c>
      <c r="C1267" t="s">
        <v>114</v>
      </c>
      <c r="D1267" t="s">
        <v>2841</v>
      </c>
      <c r="E1267">
        <v>0</v>
      </c>
      <c r="F1267" s="33">
        <v>7.0499999999999993E-2</v>
      </c>
      <c r="G1267" s="33" t="s">
        <v>117</v>
      </c>
      <c r="H1267" t="s">
        <v>2875</v>
      </c>
      <c r="I1267" t="str">
        <f>IF(quantInv[[#This Row],[Metal]] = "925 Silver",  "7113.11.00"," 7113.19.00")</f>
        <v>7113.11.00</v>
      </c>
      <c r="J1267" t="str">
        <f>IF(quantInv[[#This Row],[Metal]] = "925 Silver", "7113.11.10.00"," 7113.19.10.00")</f>
        <v>7113.11.10.00</v>
      </c>
      <c r="K1267" t="str">
        <f>IF(quantInv[[#This Row],[Metal]] = "925 Silver",  "7113.11.00"," 7113.19.00")</f>
        <v>7113.11.00</v>
      </c>
      <c r="L1267" t="str">
        <f>IFERROR(VLOOKUP(quantInv[[#This Row],[Description for New Invoice]],Map!$G$12:$H$32,2,FALSE), IF(quantInv[[#This Row],[Metal]] = "925 Silver", "7113.11.10.00", "7113.19.29.00"))</f>
        <v>7113.11.10.00</v>
      </c>
      <c r="M1267" t="str">
        <f>quantInv[[#This Row],[ASIN]] &amp; " " &amp; quantInv[[#This Row],[Short Description]]</f>
        <v xml:space="preserve"> Silver choker with star silhouette charm 36+5cm</v>
      </c>
      <c r="N1267" s="33">
        <f>quantInv[[#This Row],[UNIT
VALUE]] / EURtoGBP</f>
        <v>8.0025880710357392E-2</v>
      </c>
      <c r="O1267" s="33">
        <f>quantInv[[#This Row],[UNIT
VALUE]]/USDtoGBP</f>
        <v>9.6643787449467625E-2</v>
      </c>
      <c r="P1267" s="33">
        <f>quantInv[[#This Row],[UNIT
VALUE]] / CADtoGBP</f>
        <v>0.1237096035502024</v>
      </c>
      <c r="Q1267" s="33">
        <f>quantInv[[#This Row],[UNIT
VALUE]]/AUDtoGBP</f>
        <v>0.12662547596810114</v>
      </c>
      <c r="R1267">
        <f>IFERROR(VLOOKUP(quantInv[[#This Row],[Assigned Item SKU]],skuQuantity[#All],2,FALSE),0)</f>
        <v>0</v>
      </c>
      <c r="S1267" t="str">
        <f>PROPER(quantInv[[#This Row],[Metal]] &amp; " " &amp; quantInv[[#This Row],[Item Type]])</f>
        <v xml:space="preserve">925 Silver </v>
      </c>
      <c r="T1267" s="33">
        <f>quantInv[[#This Row],[Quantity]]*quantInv[[#This Row],[WEIGHT]]</f>
        <v>0</v>
      </c>
      <c r="U1267" s="33">
        <f>quantInv[[#This Row],[UNIT
VALUE]]*quantInv[[#This Row],[Quantity]]</f>
        <v>0</v>
      </c>
      <c r="V1267" s="33">
        <f>quantInv[[#This Row],[Total Cost GBP]]/EURtoGBP</f>
        <v>0</v>
      </c>
      <c r="W1267" s="33">
        <f>quantInv[[#This Row],[Total Cost GBP]]/USDtoGBP</f>
        <v>0</v>
      </c>
      <c r="X1267" s="33">
        <f>quantInv[[#This Row],[Total Cost GBP]]/CADtoGBP</f>
        <v>0</v>
      </c>
      <c r="Y1267" s="33">
        <f>quantInv[[#This Row],[Quantity]]*quantInv[[#This Row],[UNIT
VALUE AUD]]</f>
        <v>0</v>
      </c>
      <c r="Z1267" s="33"/>
    </row>
    <row r="1268" spans="1:26" x14ac:dyDescent="0.25">
      <c r="A1268" t="s">
        <v>2842</v>
      </c>
      <c r="C1268" t="s">
        <v>114</v>
      </c>
      <c r="D1268" t="s">
        <v>2843</v>
      </c>
      <c r="E1268">
        <v>0</v>
      </c>
      <c r="F1268" s="33">
        <v>7.0499999999999993E-2</v>
      </c>
      <c r="G1268" s="33" t="s">
        <v>117</v>
      </c>
      <c r="H1268" t="s">
        <v>2875</v>
      </c>
      <c r="I1268" t="str">
        <f>IF(quantInv[[#This Row],[Metal]] = "925 Silver",  "7113.11.00"," 7113.19.00")</f>
        <v>7113.11.00</v>
      </c>
      <c r="J1268" t="str">
        <f>IF(quantInv[[#This Row],[Metal]] = "925 Silver", "7113.11.10.00"," 7113.19.10.00")</f>
        <v>7113.11.10.00</v>
      </c>
      <c r="K1268" t="str">
        <f>IF(quantInv[[#This Row],[Metal]] = "925 Silver",  "7113.11.00"," 7113.19.00")</f>
        <v>7113.11.00</v>
      </c>
      <c r="L1268" t="str">
        <f>IFERROR(VLOOKUP(quantInv[[#This Row],[Description for New Invoice]],Map!$G$12:$H$32,2,FALSE), IF(quantInv[[#This Row],[Metal]] = "925 Silver", "7113.11.10.00", "7113.19.29.00"))</f>
        <v>7113.11.10.00</v>
      </c>
      <c r="M1268" t="str">
        <f>quantInv[[#This Row],[ASIN]] &amp; " " &amp; quantInv[[#This Row],[Short Description]]</f>
        <v xml:space="preserve"> Silver choker with moon silhouette charm 36+5cm</v>
      </c>
      <c r="N1268" s="33">
        <f>quantInv[[#This Row],[UNIT
VALUE]] / EURtoGBP</f>
        <v>8.0025880710357392E-2</v>
      </c>
      <c r="O1268" s="33">
        <f>quantInv[[#This Row],[UNIT
VALUE]]/USDtoGBP</f>
        <v>9.6643787449467625E-2</v>
      </c>
      <c r="P1268" s="33">
        <f>quantInv[[#This Row],[UNIT
VALUE]] / CADtoGBP</f>
        <v>0.1237096035502024</v>
      </c>
      <c r="Q1268" s="33">
        <f>quantInv[[#This Row],[UNIT
VALUE]]/AUDtoGBP</f>
        <v>0.12662547596810114</v>
      </c>
      <c r="R1268">
        <f>IFERROR(VLOOKUP(quantInv[[#This Row],[Assigned Item SKU]],skuQuantity[#All],2,FALSE),0)</f>
        <v>0</v>
      </c>
      <c r="S1268" t="str">
        <f>PROPER(quantInv[[#This Row],[Metal]] &amp; " " &amp; quantInv[[#This Row],[Item Type]])</f>
        <v xml:space="preserve">925 Silver </v>
      </c>
      <c r="T1268" s="33">
        <f>quantInv[[#This Row],[Quantity]]*quantInv[[#This Row],[WEIGHT]]</f>
        <v>0</v>
      </c>
      <c r="U1268" s="33">
        <f>quantInv[[#This Row],[UNIT
VALUE]]*quantInv[[#This Row],[Quantity]]</f>
        <v>0</v>
      </c>
      <c r="V1268" s="33">
        <f>quantInv[[#This Row],[Total Cost GBP]]/EURtoGBP</f>
        <v>0</v>
      </c>
      <c r="W1268" s="33">
        <f>quantInv[[#This Row],[Total Cost GBP]]/USDtoGBP</f>
        <v>0</v>
      </c>
      <c r="X1268" s="33">
        <f>quantInv[[#This Row],[Total Cost GBP]]/CADtoGBP</f>
        <v>0</v>
      </c>
      <c r="Y1268" s="33">
        <f>quantInv[[#This Row],[Quantity]]*quantInv[[#This Row],[UNIT
VALUE AUD]]</f>
        <v>0</v>
      </c>
      <c r="Z1268" s="33"/>
    </row>
    <row r="1269" spans="1:26" x14ac:dyDescent="0.25">
      <c r="A1269" t="s">
        <v>2844</v>
      </c>
      <c r="C1269" t="s">
        <v>114</v>
      </c>
      <c r="D1269" t="s">
        <v>2845</v>
      </c>
      <c r="E1269">
        <v>0</v>
      </c>
      <c r="F1269" s="33">
        <v>7.0499999999999993E-2</v>
      </c>
      <c r="G1269" s="33" t="s">
        <v>117</v>
      </c>
      <c r="H1269" t="s">
        <v>2875</v>
      </c>
      <c r="I1269" t="str">
        <f>IF(quantInv[[#This Row],[Metal]] = "925 Silver",  "7113.11.00"," 7113.19.00")</f>
        <v>7113.11.00</v>
      </c>
      <c r="J1269" t="str">
        <f>IF(quantInv[[#This Row],[Metal]] = "925 Silver", "7113.11.10.00"," 7113.19.10.00")</f>
        <v>7113.11.10.00</v>
      </c>
      <c r="K1269" t="str">
        <f>IF(quantInv[[#This Row],[Metal]] = "925 Silver",  "7113.11.00"," 7113.19.00")</f>
        <v>7113.11.00</v>
      </c>
      <c r="L1269" t="str">
        <f>IFERROR(VLOOKUP(quantInv[[#This Row],[Description for New Invoice]],Map!$G$12:$H$32,2,FALSE), IF(quantInv[[#This Row],[Metal]] = "925 Silver", "7113.11.10.00", "7113.19.29.00"))</f>
        <v>7113.11.10.00</v>
      </c>
      <c r="M1269" t="str">
        <f>quantInv[[#This Row],[ASIN]] &amp; " " &amp; quantInv[[#This Row],[Short Description]]</f>
        <v xml:space="preserve"> Silver choker with CZ star and small star charm 36+5cm</v>
      </c>
      <c r="N1269" s="33">
        <f>quantInv[[#This Row],[UNIT
VALUE]] / EURtoGBP</f>
        <v>8.0025880710357392E-2</v>
      </c>
      <c r="O1269" s="33">
        <f>quantInv[[#This Row],[UNIT
VALUE]]/USDtoGBP</f>
        <v>9.6643787449467625E-2</v>
      </c>
      <c r="P1269" s="33">
        <f>quantInv[[#This Row],[UNIT
VALUE]] / CADtoGBP</f>
        <v>0.1237096035502024</v>
      </c>
      <c r="Q1269" s="33">
        <f>quantInv[[#This Row],[UNIT
VALUE]]/AUDtoGBP</f>
        <v>0.12662547596810114</v>
      </c>
      <c r="R1269">
        <f>IFERROR(VLOOKUP(quantInv[[#This Row],[Assigned Item SKU]],skuQuantity[#All],2,FALSE),0)</f>
        <v>0</v>
      </c>
      <c r="S1269" t="str">
        <f>PROPER(quantInv[[#This Row],[Metal]] &amp; " " &amp; quantInv[[#This Row],[Item Type]])</f>
        <v xml:space="preserve">925 Silver </v>
      </c>
      <c r="T1269" s="33">
        <f>quantInv[[#This Row],[Quantity]]*quantInv[[#This Row],[WEIGHT]]</f>
        <v>0</v>
      </c>
      <c r="U1269" s="33">
        <f>quantInv[[#This Row],[UNIT
VALUE]]*quantInv[[#This Row],[Quantity]]</f>
        <v>0</v>
      </c>
      <c r="V1269" s="33">
        <f>quantInv[[#This Row],[Total Cost GBP]]/EURtoGBP</f>
        <v>0</v>
      </c>
      <c r="W1269" s="33">
        <f>quantInv[[#This Row],[Total Cost GBP]]/USDtoGBP</f>
        <v>0</v>
      </c>
      <c r="X1269" s="33">
        <f>quantInv[[#This Row],[Total Cost GBP]]/CADtoGBP</f>
        <v>0</v>
      </c>
      <c r="Y1269" s="33">
        <f>quantInv[[#This Row],[Quantity]]*quantInv[[#This Row],[UNIT
VALUE AUD]]</f>
        <v>0</v>
      </c>
      <c r="Z1269" s="33"/>
    </row>
    <row r="1270" spans="1:26" x14ac:dyDescent="0.25">
      <c r="A1270" t="s">
        <v>2846</v>
      </c>
      <c r="C1270" t="s">
        <v>114</v>
      </c>
      <c r="D1270" t="s">
        <v>2847</v>
      </c>
      <c r="E1270">
        <v>0</v>
      </c>
      <c r="F1270" s="33">
        <v>7.0499999999999993E-2</v>
      </c>
      <c r="G1270" s="33" t="s">
        <v>117</v>
      </c>
      <c r="H1270" t="s">
        <v>2875</v>
      </c>
      <c r="I1270" t="str">
        <f>IF(quantInv[[#This Row],[Metal]] = "925 Silver",  "7113.11.00"," 7113.19.00")</f>
        <v>7113.11.00</v>
      </c>
      <c r="J1270" t="str">
        <f>IF(quantInv[[#This Row],[Metal]] = "925 Silver", "7113.11.10.00"," 7113.19.10.00")</f>
        <v>7113.11.10.00</v>
      </c>
      <c r="K1270" t="str">
        <f>IF(quantInv[[#This Row],[Metal]] = "925 Silver",  "7113.11.00"," 7113.19.00")</f>
        <v>7113.11.00</v>
      </c>
      <c r="L1270" t="str">
        <f>IFERROR(VLOOKUP(quantInv[[#This Row],[Description for New Invoice]],Map!$G$12:$H$32,2,FALSE), IF(quantInv[[#This Row],[Metal]] = "925 Silver", "7113.11.10.00", "7113.19.29.00"))</f>
        <v>7113.11.10.00</v>
      </c>
      <c r="M1270" t="str">
        <f>quantInv[[#This Row],[ASIN]] &amp; " " &amp; quantInv[[#This Row],[Short Description]]</f>
        <v xml:space="preserve"> Silver choker with star and moon charms 36+5cm</v>
      </c>
      <c r="N1270" s="33">
        <f>quantInv[[#This Row],[UNIT
VALUE]] / EURtoGBP</f>
        <v>8.0025880710357392E-2</v>
      </c>
      <c r="O1270" s="33">
        <f>quantInv[[#This Row],[UNIT
VALUE]]/USDtoGBP</f>
        <v>9.6643787449467625E-2</v>
      </c>
      <c r="P1270" s="33">
        <f>quantInv[[#This Row],[UNIT
VALUE]] / CADtoGBP</f>
        <v>0.1237096035502024</v>
      </c>
      <c r="Q1270" s="33">
        <f>quantInv[[#This Row],[UNIT
VALUE]]/AUDtoGBP</f>
        <v>0.12662547596810114</v>
      </c>
      <c r="R1270">
        <f>IFERROR(VLOOKUP(quantInv[[#This Row],[Assigned Item SKU]],skuQuantity[#All],2,FALSE),0)</f>
        <v>0</v>
      </c>
      <c r="S1270" t="str">
        <f>PROPER(quantInv[[#This Row],[Metal]] &amp; " " &amp; quantInv[[#This Row],[Item Type]])</f>
        <v xml:space="preserve">925 Silver </v>
      </c>
      <c r="T1270" s="33">
        <f>quantInv[[#This Row],[Quantity]]*quantInv[[#This Row],[WEIGHT]]</f>
        <v>0</v>
      </c>
      <c r="U1270" s="33">
        <f>quantInv[[#This Row],[UNIT
VALUE]]*quantInv[[#This Row],[Quantity]]</f>
        <v>0</v>
      </c>
      <c r="V1270" s="33">
        <f>quantInv[[#This Row],[Total Cost GBP]]/EURtoGBP</f>
        <v>0</v>
      </c>
      <c r="W1270" s="33">
        <f>quantInv[[#This Row],[Total Cost GBP]]/USDtoGBP</f>
        <v>0</v>
      </c>
      <c r="X1270" s="33">
        <f>quantInv[[#This Row],[Total Cost GBP]]/CADtoGBP</f>
        <v>0</v>
      </c>
      <c r="Y1270" s="33">
        <f>quantInv[[#This Row],[Quantity]]*quantInv[[#This Row],[UNIT
VALUE AUD]]</f>
        <v>0</v>
      </c>
      <c r="Z1270" s="33"/>
    </row>
    <row r="1271" spans="1:26" x14ac:dyDescent="0.25">
      <c r="A1271" t="s">
        <v>2848</v>
      </c>
      <c r="C1271" t="s">
        <v>114</v>
      </c>
      <c r="D1271" t="s">
        <v>2849</v>
      </c>
      <c r="E1271">
        <v>0</v>
      </c>
      <c r="F1271" s="33">
        <v>7.0499999999999993E-2</v>
      </c>
      <c r="G1271" s="33" t="s">
        <v>117</v>
      </c>
      <c r="H1271" t="s">
        <v>2875</v>
      </c>
      <c r="I1271" t="str">
        <f>IF(quantInv[[#This Row],[Metal]] = "925 Silver",  "7113.11.00"," 7113.19.00")</f>
        <v>7113.11.00</v>
      </c>
      <c r="J1271" t="str">
        <f>IF(quantInv[[#This Row],[Metal]] = "925 Silver", "7113.11.10.00"," 7113.19.10.00")</f>
        <v>7113.11.10.00</v>
      </c>
      <c r="K1271" t="str">
        <f>IF(quantInv[[#This Row],[Metal]] = "925 Silver",  "7113.11.00"," 7113.19.00")</f>
        <v>7113.11.00</v>
      </c>
      <c r="L1271" t="str">
        <f>IFERROR(VLOOKUP(quantInv[[#This Row],[Description for New Invoice]],Map!$G$12:$H$32,2,FALSE), IF(quantInv[[#This Row],[Metal]] = "925 Silver", "7113.11.10.00", "7113.19.29.00"))</f>
        <v>7113.11.10.00</v>
      </c>
      <c r="M1271" t="str">
        <f>quantInv[[#This Row],[ASIN]] &amp; " " &amp; quantInv[[#This Row],[Short Description]]</f>
        <v xml:space="preserve"> Gold plated choker with star silhouette charm 36+5cm</v>
      </c>
      <c r="N1271" s="33">
        <f>quantInv[[#This Row],[UNIT
VALUE]] / EURtoGBP</f>
        <v>8.0025880710357392E-2</v>
      </c>
      <c r="O1271" s="33">
        <f>quantInv[[#This Row],[UNIT
VALUE]]/USDtoGBP</f>
        <v>9.6643787449467625E-2</v>
      </c>
      <c r="P1271" s="33">
        <f>quantInv[[#This Row],[UNIT
VALUE]] / CADtoGBP</f>
        <v>0.1237096035502024</v>
      </c>
      <c r="Q1271" s="33">
        <f>quantInv[[#This Row],[UNIT
VALUE]]/AUDtoGBP</f>
        <v>0.12662547596810114</v>
      </c>
      <c r="R1271">
        <f>IFERROR(VLOOKUP(quantInv[[#This Row],[Assigned Item SKU]],skuQuantity[#All],2,FALSE),0)</f>
        <v>0</v>
      </c>
      <c r="S1271" t="str">
        <f>PROPER(quantInv[[#This Row],[Metal]] &amp; " " &amp; quantInv[[#This Row],[Item Type]])</f>
        <v xml:space="preserve">925 Silver </v>
      </c>
      <c r="T1271" s="33">
        <f>quantInv[[#This Row],[Quantity]]*quantInv[[#This Row],[WEIGHT]]</f>
        <v>0</v>
      </c>
      <c r="U1271" s="33">
        <f>quantInv[[#This Row],[UNIT
VALUE]]*quantInv[[#This Row],[Quantity]]</f>
        <v>0</v>
      </c>
      <c r="V1271" s="33">
        <f>quantInv[[#This Row],[Total Cost GBP]]/EURtoGBP</f>
        <v>0</v>
      </c>
      <c r="W1271" s="33">
        <f>quantInv[[#This Row],[Total Cost GBP]]/USDtoGBP</f>
        <v>0</v>
      </c>
      <c r="X1271" s="33">
        <f>quantInv[[#This Row],[Total Cost GBP]]/CADtoGBP</f>
        <v>0</v>
      </c>
      <c r="Y1271" s="33">
        <f>quantInv[[#This Row],[Quantity]]*quantInv[[#This Row],[UNIT
VALUE AUD]]</f>
        <v>0</v>
      </c>
      <c r="Z1271" s="33"/>
    </row>
    <row r="1272" spans="1:26" x14ac:dyDescent="0.25">
      <c r="A1272" t="s">
        <v>2850</v>
      </c>
      <c r="C1272" t="s">
        <v>114</v>
      </c>
      <c r="D1272" t="s">
        <v>2851</v>
      </c>
      <c r="E1272">
        <v>0</v>
      </c>
      <c r="F1272" s="33">
        <v>7.0499999999999993E-2</v>
      </c>
      <c r="G1272" s="33" t="s">
        <v>117</v>
      </c>
      <c r="H1272" t="s">
        <v>2875</v>
      </c>
      <c r="I1272" t="str">
        <f>IF(quantInv[[#This Row],[Metal]] = "925 Silver",  "7113.11.00"," 7113.19.00")</f>
        <v>7113.11.00</v>
      </c>
      <c r="J1272" t="str">
        <f>IF(quantInv[[#This Row],[Metal]] = "925 Silver", "7113.11.10.00"," 7113.19.10.00")</f>
        <v>7113.11.10.00</v>
      </c>
      <c r="K1272" t="str">
        <f>IF(quantInv[[#This Row],[Metal]] = "925 Silver",  "7113.11.00"," 7113.19.00")</f>
        <v>7113.11.00</v>
      </c>
      <c r="L1272" t="str">
        <f>IFERROR(VLOOKUP(quantInv[[#This Row],[Description for New Invoice]],Map!$G$12:$H$32,2,FALSE), IF(quantInv[[#This Row],[Metal]] = "925 Silver", "7113.11.10.00", "7113.19.29.00"))</f>
        <v>7113.11.10.00</v>
      </c>
      <c r="M1272" t="str">
        <f>quantInv[[#This Row],[ASIN]] &amp; " " &amp; quantInv[[#This Row],[Short Description]]</f>
        <v xml:space="preserve"> Gold plated choker with moon silhouette charm 36+5cm</v>
      </c>
      <c r="N1272" s="33">
        <f>quantInv[[#This Row],[UNIT
VALUE]] / EURtoGBP</f>
        <v>8.0025880710357392E-2</v>
      </c>
      <c r="O1272" s="33">
        <f>quantInv[[#This Row],[UNIT
VALUE]]/USDtoGBP</f>
        <v>9.6643787449467625E-2</v>
      </c>
      <c r="P1272" s="33">
        <f>quantInv[[#This Row],[UNIT
VALUE]] / CADtoGBP</f>
        <v>0.1237096035502024</v>
      </c>
      <c r="Q1272" s="33">
        <f>quantInv[[#This Row],[UNIT
VALUE]]/AUDtoGBP</f>
        <v>0.12662547596810114</v>
      </c>
      <c r="R1272">
        <f>IFERROR(VLOOKUP(quantInv[[#This Row],[Assigned Item SKU]],skuQuantity[#All],2,FALSE),0)</f>
        <v>0</v>
      </c>
      <c r="S1272" t="str">
        <f>PROPER(quantInv[[#This Row],[Metal]] &amp; " " &amp; quantInv[[#This Row],[Item Type]])</f>
        <v xml:space="preserve">925 Silver </v>
      </c>
      <c r="T1272" s="33">
        <f>quantInv[[#This Row],[Quantity]]*quantInv[[#This Row],[WEIGHT]]</f>
        <v>0</v>
      </c>
      <c r="U1272" s="33">
        <f>quantInv[[#This Row],[UNIT
VALUE]]*quantInv[[#This Row],[Quantity]]</f>
        <v>0</v>
      </c>
      <c r="V1272" s="33">
        <f>quantInv[[#This Row],[Total Cost GBP]]/EURtoGBP</f>
        <v>0</v>
      </c>
      <c r="W1272" s="33">
        <f>quantInv[[#This Row],[Total Cost GBP]]/USDtoGBP</f>
        <v>0</v>
      </c>
      <c r="X1272" s="33">
        <f>quantInv[[#This Row],[Total Cost GBP]]/CADtoGBP</f>
        <v>0</v>
      </c>
      <c r="Y1272" s="33">
        <f>quantInv[[#This Row],[Quantity]]*quantInv[[#This Row],[UNIT
VALUE AUD]]</f>
        <v>0</v>
      </c>
      <c r="Z1272" s="33"/>
    </row>
    <row r="1273" spans="1:26" x14ac:dyDescent="0.25">
      <c r="A1273" t="s">
        <v>2852</v>
      </c>
      <c r="C1273" t="s">
        <v>114</v>
      </c>
      <c r="D1273" t="s">
        <v>2853</v>
      </c>
      <c r="E1273">
        <v>0</v>
      </c>
      <c r="F1273" s="33">
        <v>7.0499999999999993E-2</v>
      </c>
      <c r="G1273" s="33" t="s">
        <v>117</v>
      </c>
      <c r="H1273" t="s">
        <v>2875</v>
      </c>
      <c r="I1273" t="str">
        <f>IF(quantInv[[#This Row],[Metal]] = "925 Silver",  "7113.11.00"," 7113.19.00")</f>
        <v>7113.11.00</v>
      </c>
      <c r="J1273" t="str">
        <f>IF(quantInv[[#This Row],[Metal]] = "925 Silver", "7113.11.10.00"," 7113.19.10.00")</f>
        <v>7113.11.10.00</v>
      </c>
      <c r="K1273" t="str">
        <f>IF(quantInv[[#This Row],[Metal]] = "925 Silver",  "7113.11.00"," 7113.19.00")</f>
        <v>7113.11.00</v>
      </c>
      <c r="L1273" t="str">
        <f>IFERROR(VLOOKUP(quantInv[[#This Row],[Description for New Invoice]],Map!$G$12:$H$32,2,FALSE), IF(quantInv[[#This Row],[Metal]] = "925 Silver", "7113.11.10.00", "7113.19.29.00"))</f>
        <v>7113.11.10.00</v>
      </c>
      <c r="M1273" t="str">
        <f>quantInv[[#This Row],[ASIN]] &amp; " " &amp; quantInv[[#This Row],[Short Description]]</f>
        <v xml:space="preserve"> Gold plated choker with CZ star and small star charm 36+5cm</v>
      </c>
      <c r="N1273" s="33">
        <f>quantInv[[#This Row],[UNIT
VALUE]] / EURtoGBP</f>
        <v>8.0025880710357392E-2</v>
      </c>
      <c r="O1273" s="33">
        <f>quantInv[[#This Row],[UNIT
VALUE]]/USDtoGBP</f>
        <v>9.6643787449467625E-2</v>
      </c>
      <c r="P1273" s="33">
        <f>quantInv[[#This Row],[UNIT
VALUE]] / CADtoGBP</f>
        <v>0.1237096035502024</v>
      </c>
      <c r="Q1273" s="33">
        <f>quantInv[[#This Row],[UNIT
VALUE]]/AUDtoGBP</f>
        <v>0.12662547596810114</v>
      </c>
      <c r="R1273">
        <f>IFERROR(VLOOKUP(quantInv[[#This Row],[Assigned Item SKU]],skuQuantity[#All],2,FALSE),0)</f>
        <v>0</v>
      </c>
      <c r="S1273" t="str">
        <f>PROPER(quantInv[[#This Row],[Metal]] &amp; " " &amp; quantInv[[#This Row],[Item Type]])</f>
        <v xml:space="preserve">925 Silver </v>
      </c>
      <c r="T1273" s="33">
        <f>quantInv[[#This Row],[Quantity]]*quantInv[[#This Row],[WEIGHT]]</f>
        <v>0</v>
      </c>
      <c r="U1273" s="33">
        <f>quantInv[[#This Row],[UNIT
VALUE]]*quantInv[[#This Row],[Quantity]]</f>
        <v>0</v>
      </c>
      <c r="V1273" s="33">
        <f>quantInv[[#This Row],[Total Cost GBP]]/EURtoGBP</f>
        <v>0</v>
      </c>
      <c r="W1273" s="33">
        <f>quantInv[[#This Row],[Total Cost GBP]]/USDtoGBP</f>
        <v>0</v>
      </c>
      <c r="X1273" s="33">
        <f>quantInv[[#This Row],[Total Cost GBP]]/CADtoGBP</f>
        <v>0</v>
      </c>
      <c r="Y1273" s="33">
        <f>quantInv[[#This Row],[Quantity]]*quantInv[[#This Row],[UNIT
VALUE AUD]]</f>
        <v>0</v>
      </c>
      <c r="Z1273" s="33"/>
    </row>
    <row r="1274" spans="1:26" x14ac:dyDescent="0.25">
      <c r="A1274" t="s">
        <v>2854</v>
      </c>
      <c r="C1274" t="s">
        <v>114</v>
      </c>
      <c r="D1274" t="s">
        <v>2855</v>
      </c>
      <c r="E1274">
        <v>0</v>
      </c>
      <c r="F1274" s="33">
        <v>7.0499999999999993E-2</v>
      </c>
      <c r="G1274" s="33" t="s">
        <v>117</v>
      </c>
      <c r="H1274" t="s">
        <v>2875</v>
      </c>
      <c r="I1274" t="str">
        <f>IF(quantInv[[#This Row],[Metal]] = "925 Silver",  "7113.11.00"," 7113.19.00")</f>
        <v>7113.11.00</v>
      </c>
      <c r="J1274" t="str">
        <f>IF(quantInv[[#This Row],[Metal]] = "925 Silver", "7113.11.10.00"," 7113.19.10.00")</f>
        <v>7113.11.10.00</v>
      </c>
      <c r="K1274" t="str">
        <f>IF(quantInv[[#This Row],[Metal]] = "925 Silver",  "7113.11.00"," 7113.19.00")</f>
        <v>7113.11.00</v>
      </c>
      <c r="L1274" t="str">
        <f>IFERROR(VLOOKUP(quantInv[[#This Row],[Description for New Invoice]],Map!$G$12:$H$32,2,FALSE), IF(quantInv[[#This Row],[Metal]] = "925 Silver", "7113.11.10.00", "7113.19.29.00"))</f>
        <v>7113.11.10.00</v>
      </c>
      <c r="M1274" t="str">
        <f>quantInv[[#This Row],[ASIN]] &amp; " " &amp; quantInv[[#This Row],[Short Description]]</f>
        <v xml:space="preserve"> Gold plated choker with star and moon charms 36+5cm</v>
      </c>
      <c r="N1274" s="33">
        <f>quantInv[[#This Row],[UNIT
VALUE]] / EURtoGBP</f>
        <v>8.0025880710357392E-2</v>
      </c>
      <c r="O1274" s="33">
        <f>quantInv[[#This Row],[UNIT
VALUE]]/USDtoGBP</f>
        <v>9.6643787449467625E-2</v>
      </c>
      <c r="P1274" s="33">
        <f>quantInv[[#This Row],[UNIT
VALUE]] / CADtoGBP</f>
        <v>0.1237096035502024</v>
      </c>
      <c r="Q1274" s="33">
        <f>quantInv[[#This Row],[UNIT
VALUE]]/AUDtoGBP</f>
        <v>0.12662547596810114</v>
      </c>
      <c r="R1274">
        <f>IFERROR(VLOOKUP(quantInv[[#This Row],[Assigned Item SKU]],skuQuantity[#All],2,FALSE),0)</f>
        <v>0</v>
      </c>
      <c r="S1274" t="str">
        <f>PROPER(quantInv[[#This Row],[Metal]] &amp; " " &amp; quantInv[[#This Row],[Item Type]])</f>
        <v xml:space="preserve">925 Silver </v>
      </c>
      <c r="T1274" s="33">
        <f>quantInv[[#This Row],[Quantity]]*quantInv[[#This Row],[WEIGHT]]</f>
        <v>0</v>
      </c>
      <c r="U1274" s="33">
        <f>quantInv[[#This Row],[UNIT
VALUE]]*quantInv[[#This Row],[Quantity]]</f>
        <v>0</v>
      </c>
      <c r="V1274" s="33">
        <f>quantInv[[#This Row],[Total Cost GBP]]/EURtoGBP</f>
        <v>0</v>
      </c>
      <c r="W1274" s="33">
        <f>quantInv[[#This Row],[Total Cost GBP]]/USDtoGBP</f>
        <v>0</v>
      </c>
      <c r="X1274" s="33">
        <f>quantInv[[#This Row],[Total Cost GBP]]/CADtoGBP</f>
        <v>0</v>
      </c>
      <c r="Y1274" s="33">
        <f>quantInv[[#This Row],[Quantity]]*quantInv[[#This Row],[UNIT
VALUE AUD]]</f>
        <v>0</v>
      </c>
      <c r="Z1274" s="33"/>
    </row>
    <row r="1275" spans="1:26" x14ac:dyDescent="0.25">
      <c r="A1275" t="s">
        <v>2856</v>
      </c>
      <c r="B1275" t="s">
        <v>2857</v>
      </c>
      <c r="C1275" t="s">
        <v>114</v>
      </c>
      <c r="D1275" t="s">
        <v>2215</v>
      </c>
      <c r="E1275">
        <v>1.32</v>
      </c>
      <c r="F1275" s="33">
        <v>30.163399999999999</v>
      </c>
      <c r="G1275" s="33" t="s">
        <v>3304</v>
      </c>
      <c r="H1275" t="s">
        <v>1414</v>
      </c>
      <c r="I1275" t="str">
        <f>IF(quantInv[[#This Row],[Metal]] = "925 Silver",  "7113.11.00"," 7113.19.00")</f>
        <v xml:space="preserve"> 7113.19.00</v>
      </c>
      <c r="J1275" t="str">
        <f>IF(quantInv[[#This Row],[Metal]] = "925 Silver", "7113.11.10.00"," 7113.19.10.00")</f>
        <v xml:space="preserve"> 7113.19.10.00</v>
      </c>
      <c r="K1275" t="str">
        <f>IF(quantInv[[#This Row],[Metal]] = "925 Silver",  "7113.11.00"," 7113.19.00")</f>
        <v xml:space="preserve"> 7113.19.00</v>
      </c>
      <c r="L1275" t="str">
        <f>IFERROR(VLOOKUP(quantInv[[#This Row],[Description for New Invoice]],Map!$G$12:$H$32,2,FALSE), IF(quantInv[[#This Row],[Metal]] = "925 Silver", "7113.11.10.00", "7113.19.29.00"))</f>
        <v>7113.19.10.00</v>
      </c>
      <c r="M1275" t="str">
        <f>quantInv[[#This Row],[ASIN]] &amp; " " &amp; quantInv[[#This Row],[Short Description]]</f>
        <v>B09KXY5RJQ Oval Link Chain Bracelet - Width 4.4 mm - Length 19 cm</v>
      </c>
      <c r="N1275" s="33">
        <f>quantInv[[#This Row],[UNIT
VALUE]] / EURtoGBP</f>
        <v>34.239044683954525</v>
      </c>
      <c r="O1275" s="33">
        <f>quantInv[[#This Row],[UNIT
VALUE]]/USDtoGBP</f>
        <v>41.349010189408112</v>
      </c>
      <c r="P1275" s="33">
        <f>quantInv[[#This Row],[UNIT
VALUE]] / CADtoGBP</f>
        <v>52.929110010300356</v>
      </c>
      <c r="Q1275" s="33">
        <f>quantInv[[#This Row],[UNIT
VALUE]]/AUDtoGBP</f>
        <v>54.17666499030102</v>
      </c>
      <c r="R1275">
        <f>IFERROR(VLOOKUP(quantInv[[#This Row],[Assigned Item SKU]],skuQuantity[#All],2,FALSE),0)</f>
        <v>0</v>
      </c>
      <c r="S1275" t="str">
        <f>PROPER(quantInv[[#This Row],[Metal]] &amp; " " &amp; quantInv[[#This Row],[Item Type]])</f>
        <v>9K Gold Bracelet</v>
      </c>
      <c r="T1275" s="33">
        <f>quantInv[[#This Row],[Quantity]]*quantInv[[#This Row],[WEIGHT]]</f>
        <v>0</v>
      </c>
      <c r="U1275" s="33">
        <f>quantInv[[#This Row],[UNIT
VALUE]]*quantInv[[#This Row],[Quantity]]</f>
        <v>0</v>
      </c>
      <c r="V1275" s="33">
        <f>quantInv[[#This Row],[Total Cost GBP]]/EURtoGBP</f>
        <v>0</v>
      </c>
      <c r="W1275" s="33">
        <f>quantInv[[#This Row],[Total Cost GBP]]/USDtoGBP</f>
        <v>0</v>
      </c>
      <c r="X1275" s="33">
        <f>quantInv[[#This Row],[Total Cost GBP]]/CADtoGBP</f>
        <v>0</v>
      </c>
      <c r="Y1275" s="33">
        <f>quantInv[[#This Row],[Quantity]]*quantInv[[#This Row],[UNIT
VALUE AUD]]</f>
        <v>0</v>
      </c>
      <c r="Z1275" s="33"/>
    </row>
    <row r="1276" spans="1:26" x14ac:dyDescent="0.25">
      <c r="A1276" t="s">
        <v>2858</v>
      </c>
      <c r="B1276" t="s">
        <v>2859</v>
      </c>
      <c r="C1276" t="s">
        <v>114</v>
      </c>
      <c r="D1276" t="s">
        <v>2218</v>
      </c>
      <c r="E1276">
        <v>1.17</v>
      </c>
      <c r="F1276" s="33">
        <v>27.050599999999999</v>
      </c>
      <c r="G1276" s="33" t="s">
        <v>3304</v>
      </c>
      <c r="H1276" t="s">
        <v>1414</v>
      </c>
      <c r="I1276" t="str">
        <f>IF(quantInv[[#This Row],[Metal]] = "925 Silver",  "7113.11.00"," 7113.19.00")</f>
        <v xml:space="preserve"> 7113.19.00</v>
      </c>
      <c r="J1276" t="str">
        <f>IF(quantInv[[#This Row],[Metal]] = "925 Silver", "7113.11.10.00"," 7113.19.10.00")</f>
        <v xml:space="preserve"> 7113.19.10.00</v>
      </c>
      <c r="K1276" t="str">
        <f>IF(quantInv[[#This Row],[Metal]] = "925 Silver",  "7113.11.00"," 7113.19.00")</f>
        <v xml:space="preserve"> 7113.19.00</v>
      </c>
      <c r="L1276" t="str">
        <f>IFERROR(VLOOKUP(quantInv[[#This Row],[Description for New Invoice]],Map!$G$12:$H$32,2,FALSE), IF(quantInv[[#This Row],[Metal]] = "925 Silver", "7113.11.10.00", "7113.19.29.00"))</f>
        <v>7113.19.10.00</v>
      </c>
      <c r="M1276" t="str">
        <f>quantInv[[#This Row],[ASIN]] &amp; " " &amp; quantInv[[#This Row],[Short Description]]</f>
        <v>B09KY12Y4F Round Link Chain Bracelet - Width 5.0 mm - Length 19 cm</v>
      </c>
      <c r="N1276" s="33">
        <f>quantInv[[#This Row],[UNIT
VALUE]] / EURtoGBP</f>
        <v>30.705646648845299</v>
      </c>
      <c r="O1276" s="33">
        <f>quantInv[[#This Row],[UNIT
VALUE]]/USDtoGBP</f>
        <v>37.081878535894596</v>
      </c>
      <c r="P1276" s="33">
        <f>quantInv[[#This Row],[UNIT
VALUE]] / CADtoGBP</f>
        <v>47.466936195675252</v>
      </c>
      <c r="Q1276" s="33">
        <f>quantInv[[#This Row],[UNIT
VALUE]]/AUDtoGBP</f>
        <v>48.585746102449882</v>
      </c>
      <c r="R1276">
        <f>IFERROR(VLOOKUP(quantInv[[#This Row],[Assigned Item SKU]],skuQuantity[#All],2,FALSE),0)</f>
        <v>2</v>
      </c>
      <c r="S1276" t="str">
        <f>PROPER(quantInv[[#This Row],[Metal]] &amp; " " &amp; quantInv[[#This Row],[Item Type]])</f>
        <v>9K Gold Bracelet</v>
      </c>
      <c r="T1276" s="33">
        <f>quantInv[[#This Row],[Quantity]]*quantInv[[#This Row],[WEIGHT]]</f>
        <v>2.34</v>
      </c>
      <c r="U1276" s="33">
        <f>quantInv[[#This Row],[UNIT
VALUE]]*quantInv[[#This Row],[Quantity]]</f>
        <v>54.101199999999999</v>
      </c>
      <c r="V1276" s="33">
        <f>quantInv[[#This Row],[Total Cost GBP]]/EURtoGBP</f>
        <v>61.411293297690598</v>
      </c>
      <c r="W1276" s="33">
        <f>quantInv[[#This Row],[Total Cost GBP]]/USDtoGBP</f>
        <v>74.163757071789192</v>
      </c>
      <c r="X1276" s="33">
        <f>quantInv[[#This Row],[Total Cost GBP]]/CADtoGBP</f>
        <v>94.933872391350505</v>
      </c>
      <c r="Y1276" s="33">
        <f>quantInv[[#This Row],[Quantity]]*quantInv[[#This Row],[UNIT
VALUE AUD]]</f>
        <v>97.171492204899764</v>
      </c>
      <c r="Z1276" s="33"/>
    </row>
  </sheetData>
  <phoneticPr fontId="19" type="noConversion"/>
  <conditionalFormatting sqref="A1:A1048576">
    <cfRule type="duplicateValues" dxfId="22" priority="3"/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AE7B11-97A0-448B-88C1-67A415BE30F0}">
  <sheetPr codeName="USTotal">
    <pageSetUpPr fitToPage="1"/>
  </sheetPr>
  <dimension ref="A1:F52"/>
  <sheetViews>
    <sheetView topLeftCell="A31" workbookViewId="0">
      <selection activeCell="A47" sqref="A47"/>
    </sheetView>
  </sheetViews>
  <sheetFormatPr defaultRowHeight="15" x14ac:dyDescent="0.25"/>
  <cols>
    <col min="1" max="1" width="18.28515625" customWidth="1"/>
    <col min="2" max="2" width="10.7109375" customWidth="1"/>
    <col min="3" max="3" width="12.85546875" customWidth="1"/>
    <col min="4" max="4" width="14.140625" customWidth="1"/>
    <col min="5" max="5" width="14" customWidth="1"/>
    <col min="6" max="6" width="16.42578125" customWidth="1"/>
  </cols>
  <sheetData>
    <row r="1" spans="1:6" x14ac:dyDescent="0.25">
      <c r="A1" s="238" t="s">
        <v>151</v>
      </c>
      <c r="B1" s="239"/>
      <c r="C1" s="239"/>
      <c r="D1" s="239"/>
      <c r="E1" s="239"/>
      <c r="F1" s="240"/>
    </row>
    <row r="2" spans="1:6" ht="18.75" x14ac:dyDescent="0.3">
      <c r="A2" s="114" t="s">
        <v>2862</v>
      </c>
      <c r="B2" s="62" t="s">
        <v>2877</v>
      </c>
      <c r="C2" s="254" t="s">
        <v>2987</v>
      </c>
      <c r="D2" s="255"/>
      <c r="E2" s="62" t="s">
        <v>2879</v>
      </c>
      <c r="F2" s="108"/>
    </row>
    <row r="3" spans="1:6" x14ac:dyDescent="0.25">
      <c r="A3" s="73" cm="1">
        <f t="array" ref="A3">dateShip[]</f>
        <v>44538</v>
      </c>
      <c r="B3" s="74" t="s">
        <v>122</v>
      </c>
      <c r="C3" s="74" t="str">
        <f>'Sku List'!G28</f>
        <v>FBA15FKLH7CH</v>
      </c>
      <c r="D3" s="74"/>
      <c r="E3" s="74" t="s">
        <v>68</v>
      </c>
      <c r="F3" s="75"/>
    </row>
    <row r="4" spans="1:6" ht="18.75" x14ac:dyDescent="0.3">
      <c r="A4" s="60" t="s">
        <v>2881</v>
      </c>
      <c r="B4" s="61"/>
      <c r="C4" s="61" t="s">
        <v>2880</v>
      </c>
      <c r="D4" s="61"/>
      <c r="E4" s="61"/>
      <c r="F4" s="115"/>
    </row>
    <row r="5" spans="1:6" x14ac:dyDescent="0.25">
      <c r="A5" s="241" t="s">
        <v>2882</v>
      </c>
      <c r="B5" s="242"/>
      <c r="C5" s="243" t="s">
        <v>2882</v>
      </c>
      <c r="D5" s="244"/>
      <c r="E5" s="244"/>
      <c r="F5" s="247"/>
    </row>
    <row r="6" spans="1:6" x14ac:dyDescent="0.25">
      <c r="A6" s="243"/>
      <c r="B6" s="244"/>
      <c r="C6" s="243"/>
      <c r="D6" s="244"/>
      <c r="E6" s="244"/>
      <c r="F6" s="247"/>
    </row>
    <row r="7" spans="1:6" x14ac:dyDescent="0.25">
      <c r="A7" s="243"/>
      <c r="B7" s="244"/>
      <c r="C7" s="243"/>
      <c r="D7" s="244"/>
      <c r="E7" s="244"/>
      <c r="F7" s="247"/>
    </row>
    <row r="8" spans="1:6" x14ac:dyDescent="0.25">
      <c r="A8" s="243"/>
      <c r="B8" s="244"/>
      <c r="C8" s="243"/>
      <c r="D8" s="244"/>
      <c r="E8" s="244"/>
      <c r="F8" s="247"/>
    </row>
    <row r="9" spans="1:6" x14ac:dyDescent="0.25">
      <c r="A9" s="245"/>
      <c r="B9" s="246"/>
      <c r="C9" s="243"/>
      <c r="D9" s="244"/>
      <c r="E9" s="244"/>
      <c r="F9" s="247"/>
    </row>
    <row r="10" spans="1:6" ht="18.75" x14ac:dyDescent="0.3">
      <c r="A10" s="66" t="s">
        <v>2883</v>
      </c>
      <c r="B10" s="66"/>
      <c r="C10" s="82" t="s">
        <v>2884</v>
      </c>
      <c r="D10" s="66"/>
      <c r="E10" s="66"/>
      <c r="F10" s="76"/>
    </row>
    <row r="11" spans="1:6" ht="18.75" x14ac:dyDescent="0.3">
      <c r="A11" s="85" t="s">
        <v>143</v>
      </c>
      <c r="B11" s="86"/>
      <c r="C11" s="84" t="s">
        <v>144</v>
      </c>
      <c r="D11" s="83"/>
      <c r="E11" s="83"/>
      <c r="F11" s="116"/>
    </row>
    <row r="12" spans="1:6" ht="18.75" x14ac:dyDescent="0.3">
      <c r="A12" s="63" t="s">
        <v>2885</v>
      </c>
      <c r="B12" s="64"/>
      <c r="C12" s="64" t="s">
        <v>2886</v>
      </c>
      <c r="D12" s="64"/>
      <c r="E12" s="64"/>
      <c r="F12" s="65"/>
    </row>
    <row r="13" spans="1:6" x14ac:dyDescent="0.25">
      <c r="A13" s="88" t="str">
        <f>'Sku List'!G25</f>
        <v>FR 21-12-04</v>
      </c>
      <c r="B13" s="88"/>
      <c r="C13" s="248" t="str">
        <f ca="1">'Sku List'!H16</f>
        <v>TRANSATLANTIC STERLING LIMITED
c/o FBA
Amazon Fulfillment Center (BWU2), 
13 Emporium Avenue 2178 
Kemps Creek, NSW  
Australia</v>
      </c>
      <c r="D13" s="248"/>
      <c r="E13" s="248"/>
      <c r="F13" s="249"/>
    </row>
    <row r="14" spans="1:6" ht="18.75" x14ac:dyDescent="0.3">
      <c r="A14" s="60" t="s">
        <v>2887</v>
      </c>
      <c r="B14" s="90"/>
      <c r="C14" s="248"/>
      <c r="D14" s="248"/>
      <c r="E14" s="248"/>
      <c r="F14" s="249"/>
    </row>
    <row r="15" spans="1:6" ht="18.75" x14ac:dyDescent="0.25">
      <c r="A15" s="92" t="str">
        <f>CONCATENATE(Map!A12, " ", Map!A13, " ",Map!A14, " ",Map!A15)</f>
        <v xml:space="preserve">Italy Poland Thailand </v>
      </c>
      <c r="B15" s="83"/>
      <c r="C15" s="248"/>
      <c r="D15" s="248"/>
      <c r="E15" s="248"/>
      <c r="F15" s="249"/>
    </row>
    <row r="16" spans="1:6" ht="15" customHeight="1" x14ac:dyDescent="0.3">
      <c r="A16" s="60" t="s">
        <v>126</v>
      </c>
      <c r="B16" s="90"/>
      <c r="C16" s="248"/>
      <c r="D16" s="248"/>
      <c r="E16" s="248"/>
      <c r="F16" s="249"/>
    </row>
    <row r="17" spans="1:6" ht="15" customHeight="1" x14ac:dyDescent="0.25">
      <c r="A17" s="93"/>
      <c r="B17" s="83"/>
      <c r="C17" s="248"/>
      <c r="D17" s="248"/>
      <c r="E17" s="248"/>
      <c r="F17" s="249"/>
    </row>
    <row r="18" spans="1:6" ht="18.75" x14ac:dyDescent="0.3">
      <c r="A18" s="60" t="s">
        <v>127</v>
      </c>
      <c r="B18" s="90"/>
      <c r="C18" s="248"/>
      <c r="D18" s="248"/>
      <c r="E18" s="248"/>
      <c r="F18" s="249"/>
    </row>
    <row r="19" spans="1:6" ht="18.75" x14ac:dyDescent="0.3">
      <c r="A19" s="89" t="str">
        <f>'Sku List'!G25</f>
        <v>FR 21-12-04</v>
      </c>
      <c r="B19" s="81"/>
      <c r="C19" s="248"/>
      <c r="D19" s="248"/>
      <c r="E19" s="248"/>
      <c r="F19" s="249"/>
    </row>
    <row r="20" spans="1:6" ht="39" customHeight="1" x14ac:dyDescent="0.25">
      <c r="A20" s="97" t="s">
        <v>128</v>
      </c>
      <c r="B20" s="113" t="s">
        <v>129</v>
      </c>
      <c r="C20" s="112" t="s">
        <v>2977</v>
      </c>
      <c r="D20" s="112" t="s">
        <v>2980</v>
      </c>
      <c r="E20" s="112" t="s">
        <v>130</v>
      </c>
      <c r="F20" s="112" t="s">
        <v>2982</v>
      </c>
    </row>
    <row r="21" spans="1:6" x14ac:dyDescent="0.25">
      <c r="A21" s="202" t="s">
        <v>3305</v>
      </c>
      <c r="B21" s="202" t="s">
        <v>114</v>
      </c>
      <c r="C21" s="202" t="s">
        <v>138</v>
      </c>
      <c r="D21" s="203">
        <v>289.39999999999998</v>
      </c>
      <c r="E21" s="202">
        <v>160</v>
      </c>
      <c r="F21" s="203">
        <v>510.15924977004261</v>
      </c>
    </row>
    <row r="22" spans="1:6" x14ac:dyDescent="0.25">
      <c r="A22" s="202" t="s">
        <v>3306</v>
      </c>
      <c r="B22" s="202" t="s">
        <v>114</v>
      </c>
      <c r="C22" s="202" t="s">
        <v>138</v>
      </c>
      <c r="D22" s="203">
        <v>1020.0423289183705</v>
      </c>
      <c r="E22" s="202">
        <v>385</v>
      </c>
      <c r="F22" s="203">
        <v>1552.3521452864563</v>
      </c>
    </row>
    <row r="23" spans="1:6" x14ac:dyDescent="0.25">
      <c r="A23" s="202" t="s">
        <v>3306</v>
      </c>
      <c r="B23" s="202" t="s">
        <v>113</v>
      </c>
      <c r="C23" s="202" t="s">
        <v>138</v>
      </c>
      <c r="D23" s="203">
        <v>28.56</v>
      </c>
      <c r="E23" s="202">
        <v>10</v>
      </c>
      <c r="F23" s="203">
        <v>38.5766357817797</v>
      </c>
    </row>
    <row r="24" spans="1:6" x14ac:dyDescent="0.25">
      <c r="A24" s="202" t="s">
        <v>3307</v>
      </c>
      <c r="B24" s="202" t="s">
        <v>114</v>
      </c>
      <c r="C24" s="202" t="s">
        <v>138</v>
      </c>
      <c r="D24" s="203">
        <v>2139.5599817595325</v>
      </c>
      <c r="E24" s="202">
        <v>470</v>
      </c>
      <c r="F24" s="203">
        <v>3001.0425191539753</v>
      </c>
    </row>
    <row r="25" spans="1:6" x14ac:dyDescent="0.25">
      <c r="A25" s="202" t="s">
        <v>3307</v>
      </c>
      <c r="B25" s="202" t="s">
        <v>113</v>
      </c>
      <c r="C25" s="202" t="s">
        <v>138</v>
      </c>
      <c r="D25" s="203">
        <v>174.49937615550971</v>
      </c>
      <c r="E25" s="202">
        <v>45</v>
      </c>
      <c r="F25" s="203">
        <v>232.38581296616917</v>
      </c>
    </row>
    <row r="26" spans="1:6" x14ac:dyDescent="0.25">
      <c r="A26" s="202" t="s">
        <v>3308</v>
      </c>
      <c r="B26" s="202" t="s">
        <v>114</v>
      </c>
      <c r="C26" s="202" t="s">
        <v>145</v>
      </c>
      <c r="D26" s="203">
        <v>36.35</v>
      </c>
      <c r="E26" s="202">
        <v>25</v>
      </c>
      <c r="F26" s="203">
        <v>76.946275650015139</v>
      </c>
    </row>
    <row r="27" spans="1:6" x14ac:dyDescent="0.25">
      <c r="A27" s="202" t="s">
        <v>3308</v>
      </c>
      <c r="B27" s="202" t="s">
        <v>113</v>
      </c>
      <c r="C27" s="202" t="s">
        <v>145</v>
      </c>
      <c r="D27" s="203">
        <v>1002.0500551378445</v>
      </c>
      <c r="E27" s="202">
        <v>245</v>
      </c>
      <c r="F27" s="203">
        <v>1553.0834851531838</v>
      </c>
    </row>
    <row r="28" spans="1:6" x14ac:dyDescent="0.25">
      <c r="A28" s="202" t="s">
        <v>3308</v>
      </c>
      <c r="B28" s="202" t="s">
        <v>115</v>
      </c>
      <c r="C28" s="202" t="s">
        <v>145</v>
      </c>
      <c r="D28" s="203">
        <v>137.65</v>
      </c>
      <c r="E28" s="202">
        <v>80</v>
      </c>
      <c r="F28" s="203">
        <v>359.80824775902931</v>
      </c>
    </row>
    <row r="29" spans="1:6" x14ac:dyDescent="0.25">
      <c r="A29" s="202" t="s">
        <v>3172</v>
      </c>
      <c r="B29" s="202" t="s">
        <v>114</v>
      </c>
      <c r="C29" s="202" t="s">
        <v>138</v>
      </c>
      <c r="D29" s="203">
        <v>27.750000000000004</v>
      </c>
      <c r="E29" s="202">
        <v>25</v>
      </c>
      <c r="F29" s="203">
        <v>72.18742588929419</v>
      </c>
    </row>
    <row r="30" spans="1:6" x14ac:dyDescent="0.25">
      <c r="A30" s="202" t="s">
        <v>3173</v>
      </c>
      <c r="B30" s="202" t="s">
        <v>116</v>
      </c>
      <c r="C30" s="202" t="s">
        <v>138</v>
      </c>
      <c r="D30" s="203">
        <v>81.649999999999991</v>
      </c>
      <c r="E30" s="202">
        <v>15</v>
      </c>
      <c r="F30" s="203">
        <v>159.16477834301827</v>
      </c>
    </row>
    <row r="31" spans="1:6" x14ac:dyDescent="0.25">
      <c r="A31" s="202" t="s">
        <v>3173</v>
      </c>
      <c r="B31" s="202" t="s">
        <v>115</v>
      </c>
      <c r="C31" s="202" t="s">
        <v>138</v>
      </c>
      <c r="D31" s="203">
        <v>54.2</v>
      </c>
      <c r="E31" s="202">
        <v>20</v>
      </c>
      <c r="F31" s="203">
        <v>154.39153482671975</v>
      </c>
    </row>
    <row r="32" spans="1:6" x14ac:dyDescent="0.25">
      <c r="A32" s="202" t="s">
        <v>3309</v>
      </c>
      <c r="B32" s="202" t="s">
        <v>114</v>
      </c>
      <c r="C32" s="202" t="s">
        <v>145</v>
      </c>
      <c r="D32" s="203">
        <v>205.75</v>
      </c>
      <c r="E32" s="202">
        <v>85</v>
      </c>
      <c r="F32" s="203">
        <v>579.65504336632944</v>
      </c>
    </row>
    <row r="33" spans="1:6" x14ac:dyDescent="0.25">
      <c r="A33" s="202" t="s">
        <v>3309</v>
      </c>
      <c r="B33" s="202" t="s">
        <v>113</v>
      </c>
      <c r="C33" s="202" t="s">
        <v>145</v>
      </c>
      <c r="D33" s="203">
        <v>95</v>
      </c>
      <c r="E33" s="202">
        <v>55</v>
      </c>
      <c r="F33" s="203">
        <v>203.36800172176731</v>
      </c>
    </row>
    <row r="34" spans="1:6" x14ac:dyDescent="0.25">
      <c r="A34" s="202" t="s">
        <v>3309</v>
      </c>
      <c r="B34" s="202" t="s">
        <v>115</v>
      </c>
      <c r="C34" s="202" t="s">
        <v>145</v>
      </c>
      <c r="D34" s="203">
        <v>53.9</v>
      </c>
      <c r="E34" s="202">
        <v>10</v>
      </c>
      <c r="F34" s="203">
        <v>111.66949743859695</v>
      </c>
    </row>
    <row r="35" spans="1:6" x14ac:dyDescent="0.25">
      <c r="A35" s="202" t="s">
        <v>3310</v>
      </c>
      <c r="B35" s="202" t="s">
        <v>113</v>
      </c>
      <c r="C35" s="202" t="s">
        <v>138</v>
      </c>
      <c r="D35" s="203">
        <v>20</v>
      </c>
      <c r="E35" s="202">
        <v>5</v>
      </c>
      <c r="F35" s="203">
        <v>41.817287037532061</v>
      </c>
    </row>
    <row r="36" spans="1:6" x14ac:dyDescent="0.25">
      <c r="A36" s="202" t="s">
        <v>3034</v>
      </c>
      <c r="B36" s="202" t="s">
        <v>115</v>
      </c>
      <c r="C36" s="202" t="s">
        <v>145</v>
      </c>
      <c r="D36" s="203">
        <v>16.45</v>
      </c>
      <c r="E36" s="202">
        <v>10</v>
      </c>
      <c r="F36" s="203">
        <v>54.398800246201759</v>
      </c>
    </row>
    <row r="37" spans="1:6" x14ac:dyDescent="0.25">
      <c r="A37" s="202" t="s">
        <v>3035</v>
      </c>
      <c r="B37" s="202" t="s">
        <v>115</v>
      </c>
      <c r="C37" s="202" t="s">
        <v>145</v>
      </c>
      <c r="D37" s="203">
        <v>52.800000000000004</v>
      </c>
      <c r="E37" s="202">
        <v>55</v>
      </c>
      <c r="F37" s="203">
        <v>155.45735815639296</v>
      </c>
    </row>
    <row r="38" spans="1:6" x14ac:dyDescent="0.25">
      <c r="A38" s="202" t="s">
        <v>3311</v>
      </c>
      <c r="B38" s="202" t="s">
        <v>114</v>
      </c>
      <c r="C38" s="202" t="s">
        <v>2992</v>
      </c>
      <c r="D38" s="203">
        <v>4.9800000000000004</v>
      </c>
      <c r="E38" s="202">
        <v>4</v>
      </c>
      <c r="F38" s="203">
        <v>156.86177745060542</v>
      </c>
    </row>
    <row r="39" spans="1:6" x14ac:dyDescent="0.25">
      <c r="A39" s="204" t="s">
        <v>2893</v>
      </c>
      <c r="B39" s="204"/>
      <c r="C39" s="204"/>
      <c r="D39" s="205">
        <f ca="1">SUM(D21:OFFSET(D39,-1,0))</f>
        <v>5440.5917419712559</v>
      </c>
      <c r="E39" s="204">
        <f ca="1">SUM(E21:OFFSET(E39,-1,0))</f>
        <v>1704</v>
      </c>
      <c r="F39" s="207">
        <f ca="1">SUM(F21:OFFSET(F39,-1,0))</f>
        <v>9013.3258759971104</v>
      </c>
    </row>
    <row r="40" spans="1:6" ht="31.5" x14ac:dyDescent="0.3">
      <c r="A40" s="94" t="s">
        <v>148</v>
      </c>
      <c r="B40" s="95"/>
      <c r="C40" s="4"/>
      <c r="D40" s="69" t="s">
        <v>132</v>
      </c>
      <c r="E40" s="69"/>
      <c r="F40" s="156">
        <v>100</v>
      </c>
    </row>
    <row r="41" spans="1:6" ht="15" customHeight="1" x14ac:dyDescent="0.3">
      <c r="A41" s="250" cm="1">
        <f t="array" ref="A41">boxesNumber[]</f>
        <v>3</v>
      </c>
      <c r="B41" s="77"/>
      <c r="C41" s="4"/>
      <c r="D41" s="69" t="s">
        <v>133</v>
      </c>
      <c r="E41" s="69"/>
      <c r="F41" s="156">
        <f ca="1">OFFSET(F40,-1,0)*0.005</f>
        <v>45.06662937998555</v>
      </c>
    </row>
    <row r="42" spans="1:6" ht="15.75" customHeight="1" x14ac:dyDescent="0.3">
      <c r="A42" s="250"/>
      <c r="B42" s="77"/>
      <c r="C42" s="4"/>
      <c r="D42" s="69" t="s">
        <v>134</v>
      </c>
      <c r="E42" s="69"/>
      <c r="F42" s="70">
        <v>0</v>
      </c>
    </row>
    <row r="43" spans="1:6" ht="15" customHeight="1" x14ac:dyDescent="0.25">
      <c r="A43" s="256" t="s">
        <v>3300</v>
      </c>
      <c r="B43" s="257"/>
      <c r="C43" s="258"/>
      <c r="D43" s="232" t="s">
        <v>119</v>
      </c>
      <c r="E43" s="233"/>
      <c r="F43" s="251">
        <f ca="1">SUM(F39:OFFSET(F43,-1,0))</f>
        <v>9158.3925053770963</v>
      </c>
    </row>
    <row r="44" spans="1:6" ht="15" customHeight="1" x14ac:dyDescent="0.25">
      <c r="A44" s="259"/>
      <c r="B44" s="260"/>
      <c r="C44" s="261"/>
      <c r="D44" s="234"/>
      <c r="E44" s="235"/>
      <c r="F44" s="252"/>
    </row>
    <row r="45" spans="1:6" ht="15" customHeight="1" x14ac:dyDescent="0.25">
      <c r="A45" s="259"/>
      <c r="B45" s="260"/>
      <c r="C45" s="261"/>
      <c r="D45" s="234"/>
      <c r="E45" s="235"/>
      <c r="F45" s="252"/>
    </row>
    <row r="46" spans="1:6" ht="15" customHeight="1" x14ac:dyDescent="0.25">
      <c r="A46" s="262"/>
      <c r="B46" s="263"/>
      <c r="C46" s="264"/>
      <c r="D46" s="236"/>
      <c r="E46" s="237"/>
      <c r="F46" s="253"/>
    </row>
    <row r="47" spans="1:6" x14ac:dyDescent="0.25">
      <c r="A47" s="36"/>
      <c r="B47" s="37"/>
      <c r="C47" s="37"/>
      <c r="D47" s="37"/>
      <c r="E47" s="37"/>
      <c r="F47" s="43"/>
    </row>
    <row r="48" spans="1:6" x14ac:dyDescent="0.25">
      <c r="A48" s="36"/>
      <c r="B48" s="37"/>
      <c r="C48" s="37"/>
      <c r="D48" s="37"/>
      <c r="E48" s="37"/>
      <c r="F48" s="43"/>
    </row>
    <row r="49" spans="1:6" x14ac:dyDescent="0.25">
      <c r="A49" s="38"/>
      <c r="B49" s="39"/>
      <c r="C49" s="39"/>
      <c r="D49" s="40"/>
      <c r="E49" s="40"/>
      <c r="F49" s="44"/>
    </row>
    <row r="50" spans="1:6" x14ac:dyDescent="0.25">
      <c r="A50" s="71" t="s">
        <v>135</v>
      </c>
      <c r="B50" s="51"/>
      <c r="C50" s="52"/>
      <c r="D50" s="50"/>
      <c r="E50" s="50"/>
      <c r="F50" s="135"/>
    </row>
    <row r="51" spans="1:6" x14ac:dyDescent="0.25">
      <c r="A51" s="41"/>
      <c r="B51" s="35"/>
      <c r="C51" s="30"/>
      <c r="D51" s="30"/>
      <c r="E51" s="30"/>
      <c r="F51" s="45"/>
    </row>
    <row r="52" spans="1:6" x14ac:dyDescent="0.25">
      <c r="A52" s="46"/>
      <c r="B52" s="47"/>
      <c r="C52" s="47"/>
      <c r="D52" s="47"/>
      <c r="E52" s="47"/>
      <c r="F52" s="49"/>
    </row>
  </sheetData>
  <mergeCells count="9">
    <mergeCell ref="D43:E46"/>
    <mergeCell ref="A1:F1"/>
    <mergeCell ref="A5:B9"/>
    <mergeCell ref="C5:F9"/>
    <mergeCell ref="C13:F19"/>
    <mergeCell ref="A41:A42"/>
    <mergeCell ref="F43:F46"/>
    <mergeCell ref="C2:D2"/>
    <mergeCell ref="A43:C46"/>
  </mergeCells>
  <pageMargins left="0.7" right="0.7" top="0.75" bottom="0.75" header="0.3" footer="0.3"/>
  <pageSetup paperSize="9" scale="88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AA23AB-068B-47BA-8FD9-AF1D949271F4}">
  <sheetPr codeName="USInvoice">
    <pageSetUpPr fitToPage="1"/>
  </sheetPr>
  <dimension ref="A1:H134"/>
  <sheetViews>
    <sheetView topLeftCell="A16" workbookViewId="0">
      <selection activeCell="L11" sqref="L11"/>
    </sheetView>
  </sheetViews>
  <sheetFormatPr defaultRowHeight="15" x14ac:dyDescent="0.25"/>
  <cols>
    <col min="1" max="1" width="24" customWidth="1"/>
    <col min="2" max="3" width="9.7109375" customWidth="1"/>
    <col min="4" max="4" width="13.7109375" customWidth="1"/>
    <col min="5" max="5" width="12.42578125" customWidth="1"/>
    <col min="6" max="6" width="8.42578125" customWidth="1"/>
    <col min="7" max="7" width="9.7109375" customWidth="1"/>
    <col min="8" max="8" width="31.7109375" customWidth="1"/>
    <col min="9" max="12" width="13.28515625" customWidth="1"/>
  </cols>
  <sheetData>
    <row r="1" spans="1:8" x14ac:dyDescent="0.25">
      <c r="A1" s="238" t="s">
        <v>151</v>
      </c>
      <c r="B1" s="239"/>
      <c r="C1" s="239"/>
      <c r="D1" s="239"/>
      <c r="E1" s="239"/>
      <c r="F1" s="239"/>
      <c r="G1" s="239"/>
      <c r="H1" s="240"/>
    </row>
    <row r="2" spans="1:8" ht="18.75" x14ac:dyDescent="0.3">
      <c r="A2" s="109" t="s">
        <v>2862</v>
      </c>
      <c r="B2" s="62" t="s">
        <v>2877</v>
      </c>
      <c r="C2" s="109"/>
      <c r="D2" s="62" t="s">
        <v>2878</v>
      </c>
      <c r="E2" s="62"/>
      <c r="F2" s="62"/>
      <c r="G2" s="62" t="s">
        <v>2879</v>
      </c>
      <c r="H2" s="72"/>
    </row>
    <row r="3" spans="1:8" x14ac:dyDescent="0.25">
      <c r="A3" s="73">
        <f>'Sku List'!G31</f>
        <v>44538</v>
      </c>
      <c r="B3" s="74" t="s">
        <v>122</v>
      </c>
      <c r="C3" s="74"/>
      <c r="D3" s="74" t="str">
        <f>'Sku List'!G28</f>
        <v>FBA15FKLH7CH</v>
      </c>
      <c r="E3" s="74"/>
      <c r="F3" s="4"/>
      <c r="G3" s="74" t="s">
        <v>68</v>
      </c>
      <c r="H3" s="75"/>
    </row>
    <row r="4" spans="1:8" ht="18.75" x14ac:dyDescent="0.3">
      <c r="A4" s="60" t="s">
        <v>2881</v>
      </c>
      <c r="B4" s="61"/>
      <c r="C4" s="110"/>
      <c r="D4" s="61" t="s">
        <v>2880</v>
      </c>
      <c r="E4" s="61"/>
      <c r="F4" s="61"/>
      <c r="G4" s="61"/>
      <c r="H4" s="110"/>
    </row>
    <row r="5" spans="1:8" ht="14.45" customHeight="1" x14ac:dyDescent="0.25">
      <c r="A5" s="241" t="s">
        <v>2882</v>
      </c>
      <c r="B5" s="242"/>
      <c r="C5" s="273"/>
      <c r="D5" s="243" t="s">
        <v>2882</v>
      </c>
      <c r="E5" s="244"/>
      <c r="F5" s="244"/>
      <c r="G5" s="244"/>
      <c r="H5" s="247"/>
    </row>
    <row r="6" spans="1:8" ht="15" customHeight="1" x14ac:dyDescent="0.25">
      <c r="A6" s="243"/>
      <c r="B6" s="244"/>
      <c r="C6" s="247"/>
      <c r="D6" s="243"/>
      <c r="E6" s="244"/>
      <c r="F6" s="244"/>
      <c r="G6" s="244"/>
      <c r="H6" s="247"/>
    </row>
    <row r="7" spans="1:8" ht="15" customHeight="1" x14ac:dyDescent="0.25">
      <c r="A7" s="243"/>
      <c r="B7" s="244"/>
      <c r="C7" s="247"/>
      <c r="D7" s="243"/>
      <c r="E7" s="244"/>
      <c r="F7" s="244"/>
      <c r="G7" s="244"/>
      <c r="H7" s="247"/>
    </row>
    <row r="8" spans="1:8" x14ac:dyDescent="0.25">
      <c r="A8" s="243"/>
      <c r="B8" s="244"/>
      <c r="C8" s="247"/>
      <c r="D8" s="243"/>
      <c r="E8" s="244"/>
      <c r="F8" s="244"/>
      <c r="G8" s="244"/>
      <c r="H8" s="247"/>
    </row>
    <row r="9" spans="1:8" ht="15" customHeight="1" x14ac:dyDescent="0.25">
      <c r="A9" s="245"/>
      <c r="B9" s="246"/>
      <c r="C9" s="274"/>
      <c r="D9" s="243"/>
      <c r="E9" s="244"/>
      <c r="F9" s="244"/>
      <c r="G9" s="244"/>
      <c r="H9" s="247"/>
    </row>
    <row r="10" spans="1:8" ht="18.75" x14ac:dyDescent="0.3">
      <c r="A10" s="66" t="s">
        <v>2883</v>
      </c>
      <c r="B10" s="66"/>
      <c r="C10" s="76"/>
      <c r="D10" s="82" t="s">
        <v>2884</v>
      </c>
      <c r="E10" s="66"/>
      <c r="F10" s="66"/>
      <c r="G10" s="66"/>
      <c r="H10" s="76"/>
    </row>
    <row r="11" spans="1:8" ht="18.75" x14ac:dyDescent="0.3">
      <c r="A11" s="85" t="s">
        <v>143</v>
      </c>
      <c r="B11" s="86"/>
      <c r="C11" s="87"/>
      <c r="D11" s="84" t="s">
        <v>144</v>
      </c>
      <c r="E11" s="83"/>
      <c r="F11" s="83"/>
      <c r="G11" s="83"/>
      <c r="H11" s="100"/>
    </row>
    <row r="12" spans="1:8" ht="18.75" x14ac:dyDescent="0.3">
      <c r="A12" s="63" t="s">
        <v>2885</v>
      </c>
      <c r="B12" s="64"/>
      <c r="C12" s="65"/>
      <c r="D12" s="64" t="s">
        <v>2886</v>
      </c>
      <c r="E12" s="64"/>
      <c r="F12" s="64"/>
      <c r="G12" s="64"/>
      <c r="H12" s="65"/>
    </row>
    <row r="13" spans="1:8" ht="15" customHeight="1" x14ac:dyDescent="0.25">
      <c r="A13" s="88" t="str">
        <f>'Sku List'!G25</f>
        <v>FR 21-12-04</v>
      </c>
      <c r="B13" s="88"/>
      <c r="C13" s="88"/>
      <c r="D13" s="248" t="str">
        <f ca="1">'Sku List'!H16</f>
        <v>TRANSATLANTIC STERLING LIMITED
c/o FBA
Amazon Fulfillment Center (BWU2), 
13 Emporium Avenue 2178 
Kemps Creek, NSW  
Australia</v>
      </c>
      <c r="E13" s="248"/>
      <c r="F13" s="248"/>
      <c r="G13" s="248"/>
      <c r="H13" s="249"/>
    </row>
    <row r="14" spans="1:8" ht="18.75" x14ac:dyDescent="0.3">
      <c r="A14" s="60" t="s">
        <v>2887</v>
      </c>
      <c r="B14" s="90"/>
      <c r="C14" s="91"/>
      <c r="D14" s="248"/>
      <c r="E14" s="248"/>
      <c r="F14" s="248"/>
      <c r="G14" s="248"/>
      <c r="H14" s="249"/>
    </row>
    <row r="15" spans="1:8" ht="18.75" x14ac:dyDescent="0.25">
      <c r="A15" s="92" t="str">
        <f>CONCATENATE(Map!A12, " ", Map!A13, " ",Map!A14, " ",Map!A15)</f>
        <v xml:space="preserve">Italy Poland Thailand </v>
      </c>
      <c r="B15" s="83"/>
      <c r="C15" s="100"/>
      <c r="D15" s="248"/>
      <c r="E15" s="248"/>
      <c r="F15" s="248"/>
      <c r="G15" s="248"/>
      <c r="H15" s="249"/>
    </row>
    <row r="16" spans="1:8" ht="18.75" x14ac:dyDescent="0.3">
      <c r="A16" s="60" t="s">
        <v>126</v>
      </c>
      <c r="B16" s="90"/>
      <c r="C16" s="91"/>
      <c r="D16" s="248"/>
      <c r="E16" s="248"/>
      <c r="F16" s="248"/>
      <c r="G16" s="248"/>
      <c r="H16" s="249"/>
    </row>
    <row r="17" spans="1:8" x14ac:dyDescent="0.25">
      <c r="A17" s="93"/>
      <c r="B17" s="83"/>
      <c r="C17" s="100"/>
      <c r="D17" s="248"/>
      <c r="E17" s="248"/>
      <c r="F17" s="248"/>
      <c r="G17" s="248"/>
      <c r="H17" s="249"/>
    </row>
    <row r="18" spans="1:8" ht="18.75" x14ac:dyDescent="0.3">
      <c r="A18" s="60" t="s">
        <v>127</v>
      </c>
      <c r="B18" s="90"/>
      <c r="C18" s="91"/>
      <c r="D18" s="248"/>
      <c r="E18" s="248"/>
      <c r="F18" s="248"/>
      <c r="G18" s="248"/>
      <c r="H18" s="249"/>
    </row>
    <row r="19" spans="1:8" ht="18.75" x14ac:dyDescent="0.3">
      <c r="A19" s="89" t="str">
        <f>'Sku List'!G25</f>
        <v>FR 21-12-04</v>
      </c>
      <c r="B19" s="81"/>
      <c r="C19" s="78"/>
      <c r="D19" s="248"/>
      <c r="E19" s="248"/>
      <c r="F19" s="248"/>
      <c r="G19" s="248"/>
      <c r="H19" s="249"/>
    </row>
    <row r="20" spans="1:8" ht="42.6" customHeight="1" x14ac:dyDescent="0.25">
      <c r="A20" s="99" t="s">
        <v>2888</v>
      </c>
      <c r="B20" s="99" t="s">
        <v>129</v>
      </c>
      <c r="C20" s="99" t="s">
        <v>2889</v>
      </c>
      <c r="D20" s="34" t="s">
        <v>2977</v>
      </c>
      <c r="E20" s="34" t="s">
        <v>2990</v>
      </c>
      <c r="F20" s="34" t="s">
        <v>130</v>
      </c>
      <c r="G20" s="34" t="s">
        <v>2981</v>
      </c>
      <c r="H20" s="34" t="s">
        <v>2892</v>
      </c>
    </row>
    <row r="21" spans="1:8" ht="27" customHeight="1" x14ac:dyDescent="0.25">
      <c r="A21" s="202" t="s">
        <v>3102</v>
      </c>
      <c r="B21" s="202" t="s">
        <v>113</v>
      </c>
      <c r="C21" s="203" t="s">
        <v>117</v>
      </c>
      <c r="D21" s="202" t="s">
        <v>145</v>
      </c>
      <c r="E21" s="203">
        <v>24</v>
      </c>
      <c r="F21" s="202">
        <v>20</v>
      </c>
      <c r="G21" s="203">
        <v>2.2455629534889776</v>
      </c>
      <c r="H21" s="155">
        <f>PRODUCT(G21,F21)</f>
        <v>44.911259069779554</v>
      </c>
    </row>
    <row r="22" spans="1:8" ht="27" customHeight="1" x14ac:dyDescent="0.25">
      <c r="A22" s="202" t="s">
        <v>3093</v>
      </c>
      <c r="B22" s="202" t="s">
        <v>114</v>
      </c>
      <c r="C22" s="203" t="s">
        <v>117</v>
      </c>
      <c r="D22" s="202" t="s">
        <v>138</v>
      </c>
      <c r="E22" s="203">
        <v>27.200000000000003</v>
      </c>
      <c r="F22" s="202">
        <v>20</v>
      </c>
      <c r="G22" s="203">
        <v>2.2639321272736992</v>
      </c>
      <c r="H22" s="155">
        <f t="shared" ref="H22:H85" si="0">PRODUCT(G22,F22)</f>
        <v>45.278642545473986</v>
      </c>
    </row>
    <row r="23" spans="1:8" ht="27" customHeight="1" x14ac:dyDescent="0.25">
      <c r="A23" s="202" t="s">
        <v>3072</v>
      </c>
      <c r="B23" s="202" t="s">
        <v>113</v>
      </c>
      <c r="C23" s="203" t="s">
        <v>117</v>
      </c>
      <c r="D23" s="202" t="s">
        <v>138</v>
      </c>
      <c r="E23" s="203">
        <v>11.825301204819301</v>
      </c>
      <c r="F23" s="202">
        <v>5</v>
      </c>
      <c r="G23" s="203">
        <v>3.3337308751540475</v>
      </c>
      <c r="H23" s="155">
        <f t="shared" si="0"/>
        <v>16.668654375770238</v>
      </c>
    </row>
    <row r="24" spans="1:8" ht="27" customHeight="1" x14ac:dyDescent="0.25">
      <c r="A24" s="202" t="s">
        <v>3055</v>
      </c>
      <c r="B24" s="202" t="s">
        <v>114</v>
      </c>
      <c r="C24" s="203" t="s">
        <v>117</v>
      </c>
      <c r="D24" s="202" t="s">
        <v>138</v>
      </c>
      <c r="E24" s="203">
        <v>25.470588235294098</v>
      </c>
      <c r="F24" s="202">
        <v>5</v>
      </c>
      <c r="G24" s="203">
        <v>8.2289786053958771</v>
      </c>
      <c r="H24" s="155">
        <f t="shared" si="0"/>
        <v>41.144893026979389</v>
      </c>
    </row>
    <row r="25" spans="1:8" ht="27" customHeight="1" x14ac:dyDescent="0.25">
      <c r="A25" s="202" t="s">
        <v>3228</v>
      </c>
      <c r="B25" s="202" t="s">
        <v>114</v>
      </c>
      <c r="C25" s="203" t="s">
        <v>117</v>
      </c>
      <c r="D25" s="202" t="s">
        <v>138</v>
      </c>
      <c r="E25" s="203">
        <v>59.800000000000004</v>
      </c>
      <c r="F25" s="202">
        <v>10</v>
      </c>
      <c r="G25" s="203">
        <v>10.623002866413611</v>
      </c>
      <c r="H25" s="155">
        <f t="shared" si="0"/>
        <v>106.23002866413611</v>
      </c>
    </row>
    <row r="26" spans="1:8" ht="27" customHeight="1" x14ac:dyDescent="0.25">
      <c r="A26" s="202" t="s">
        <v>3231</v>
      </c>
      <c r="B26" s="202" t="s">
        <v>114</v>
      </c>
      <c r="C26" s="203" t="s">
        <v>117</v>
      </c>
      <c r="D26" s="202" t="s">
        <v>138</v>
      </c>
      <c r="E26" s="203">
        <v>110.68627450980399</v>
      </c>
      <c r="F26" s="202">
        <v>50</v>
      </c>
      <c r="G26" s="203">
        <v>3.2846550228038214</v>
      </c>
      <c r="H26" s="155">
        <f t="shared" si="0"/>
        <v>164.23275114019106</v>
      </c>
    </row>
    <row r="27" spans="1:8" ht="27" customHeight="1" x14ac:dyDescent="0.25">
      <c r="A27" s="202" t="s">
        <v>3083</v>
      </c>
      <c r="B27" s="202" t="s">
        <v>114</v>
      </c>
      <c r="C27" s="203" t="s">
        <v>117</v>
      </c>
      <c r="D27" s="202" t="s">
        <v>138</v>
      </c>
      <c r="E27" s="203">
        <v>81.515580736543995</v>
      </c>
      <c r="F27" s="202">
        <v>25</v>
      </c>
      <c r="G27" s="203">
        <v>4.8090222801628002</v>
      </c>
      <c r="H27" s="155">
        <f t="shared" si="0"/>
        <v>120.22555700407</v>
      </c>
    </row>
    <row r="28" spans="1:8" ht="27" customHeight="1" x14ac:dyDescent="0.25">
      <c r="A28" s="202" t="s">
        <v>3096</v>
      </c>
      <c r="B28" s="202" t="s">
        <v>113</v>
      </c>
      <c r="C28" s="203" t="s">
        <v>117</v>
      </c>
      <c r="D28" s="202" t="s">
        <v>145</v>
      </c>
      <c r="E28" s="203">
        <v>71.408000000000001</v>
      </c>
      <c r="F28" s="202">
        <v>40</v>
      </c>
      <c r="G28" s="203">
        <v>2.8256998449586903</v>
      </c>
      <c r="H28" s="155">
        <f t="shared" si="0"/>
        <v>113.02799379834761</v>
      </c>
    </row>
    <row r="29" spans="1:8" ht="27" customHeight="1" x14ac:dyDescent="0.25">
      <c r="A29" s="202" t="s">
        <v>3100</v>
      </c>
      <c r="B29" s="202" t="s">
        <v>113</v>
      </c>
      <c r="C29" s="203" t="s">
        <v>117</v>
      </c>
      <c r="D29" s="202" t="s">
        <v>145</v>
      </c>
      <c r="E29" s="203">
        <v>408.82000000000016</v>
      </c>
      <c r="F29" s="202">
        <v>60</v>
      </c>
      <c r="G29" s="203">
        <v>10.168708523707886</v>
      </c>
      <c r="H29" s="155">
        <f t="shared" si="0"/>
        <v>610.12251142247317</v>
      </c>
    </row>
    <row r="30" spans="1:8" ht="27" customHeight="1" x14ac:dyDescent="0.25">
      <c r="A30" s="202" t="s">
        <v>3252</v>
      </c>
      <c r="B30" s="202" t="s">
        <v>114</v>
      </c>
      <c r="C30" s="203" t="s">
        <v>117</v>
      </c>
      <c r="D30" s="202" t="s">
        <v>145</v>
      </c>
      <c r="E30" s="203">
        <v>11.6</v>
      </c>
      <c r="F30" s="202">
        <v>10</v>
      </c>
      <c r="G30" s="203">
        <v>2.6415968569521153</v>
      </c>
      <c r="H30" s="155">
        <f t="shared" si="0"/>
        <v>26.415968569521155</v>
      </c>
    </row>
    <row r="31" spans="1:8" ht="27" customHeight="1" x14ac:dyDescent="0.25">
      <c r="A31" s="202" t="s">
        <v>3182</v>
      </c>
      <c r="B31" s="202" t="s">
        <v>113</v>
      </c>
      <c r="C31" s="203" t="s">
        <v>117</v>
      </c>
      <c r="D31" s="202" t="s">
        <v>145</v>
      </c>
      <c r="E31" s="203">
        <v>30</v>
      </c>
      <c r="F31" s="202">
        <v>15</v>
      </c>
      <c r="G31" s="203">
        <v>4.2575358164617958</v>
      </c>
      <c r="H31" s="155">
        <f t="shared" si="0"/>
        <v>63.863037246926936</v>
      </c>
    </row>
    <row r="32" spans="1:8" ht="27" customHeight="1" x14ac:dyDescent="0.25">
      <c r="A32" s="202" t="s">
        <v>3186</v>
      </c>
      <c r="B32" s="202" t="s">
        <v>115</v>
      </c>
      <c r="C32" s="203" t="s">
        <v>117</v>
      </c>
      <c r="D32" s="202" t="s">
        <v>138</v>
      </c>
      <c r="E32" s="203">
        <v>54.2</v>
      </c>
      <c r="F32" s="202">
        <v>20</v>
      </c>
      <c r="G32" s="203">
        <v>7.7195767413359881</v>
      </c>
      <c r="H32" s="155">
        <f t="shared" si="0"/>
        <v>154.39153482671975</v>
      </c>
    </row>
    <row r="33" spans="1:8" ht="27" customHeight="1" x14ac:dyDescent="0.25">
      <c r="A33" s="202" t="s">
        <v>3038</v>
      </c>
      <c r="B33" s="202" t="s">
        <v>115</v>
      </c>
      <c r="C33" s="203" t="s">
        <v>117</v>
      </c>
      <c r="D33" s="202" t="s">
        <v>145</v>
      </c>
      <c r="E33" s="203">
        <v>27.900000000000002</v>
      </c>
      <c r="F33" s="202">
        <v>15</v>
      </c>
      <c r="G33" s="203">
        <v>3.994198631085303</v>
      </c>
      <c r="H33" s="155">
        <f t="shared" si="0"/>
        <v>59.912979466279545</v>
      </c>
    </row>
    <row r="34" spans="1:8" ht="27" customHeight="1" x14ac:dyDescent="0.25">
      <c r="A34" s="202" t="s">
        <v>3255</v>
      </c>
      <c r="B34" s="202" t="s">
        <v>115</v>
      </c>
      <c r="C34" s="203" t="s">
        <v>117</v>
      </c>
      <c r="D34" s="202" t="s">
        <v>145</v>
      </c>
      <c r="E34" s="203">
        <v>20</v>
      </c>
      <c r="F34" s="202">
        <v>5</v>
      </c>
      <c r="G34" s="203">
        <v>7.8864072226494653</v>
      </c>
      <c r="H34" s="155">
        <f t="shared" si="0"/>
        <v>39.432036113247328</v>
      </c>
    </row>
    <row r="35" spans="1:8" ht="27" customHeight="1" x14ac:dyDescent="0.25">
      <c r="A35" s="202" t="s">
        <v>3190</v>
      </c>
      <c r="B35" s="202" t="s">
        <v>114</v>
      </c>
      <c r="C35" s="203" t="s">
        <v>117</v>
      </c>
      <c r="D35" s="202" t="s">
        <v>138</v>
      </c>
      <c r="E35" s="203">
        <v>5.5500000000000007</v>
      </c>
      <c r="F35" s="202">
        <v>5</v>
      </c>
      <c r="G35" s="203">
        <v>3.2092591602545912</v>
      </c>
      <c r="H35" s="155">
        <f t="shared" si="0"/>
        <v>16.046295801272954</v>
      </c>
    </row>
    <row r="36" spans="1:8" ht="27" customHeight="1" x14ac:dyDescent="0.25">
      <c r="A36" s="202" t="s">
        <v>3074</v>
      </c>
      <c r="B36" s="202" t="s">
        <v>114</v>
      </c>
      <c r="C36" s="203" t="s">
        <v>117</v>
      </c>
      <c r="D36" s="202" t="s">
        <v>138</v>
      </c>
      <c r="E36" s="203">
        <v>57.94</v>
      </c>
      <c r="F36" s="202">
        <v>20</v>
      </c>
      <c r="G36" s="203">
        <v>4.151022025187701</v>
      </c>
      <c r="H36" s="155">
        <f t="shared" si="0"/>
        <v>83.020440503754017</v>
      </c>
    </row>
    <row r="37" spans="1:8" ht="27" customHeight="1" x14ac:dyDescent="0.25">
      <c r="A37" s="202" t="s">
        <v>3235</v>
      </c>
      <c r="B37" s="202" t="s">
        <v>114</v>
      </c>
      <c r="C37" s="203" t="s">
        <v>117</v>
      </c>
      <c r="D37" s="202" t="s">
        <v>138</v>
      </c>
      <c r="E37" s="203">
        <v>163.1</v>
      </c>
      <c r="F37" s="202">
        <v>70</v>
      </c>
      <c r="G37" s="203">
        <v>3.3194742029629203</v>
      </c>
      <c r="H37" s="155">
        <f t="shared" si="0"/>
        <v>232.36319420740443</v>
      </c>
    </row>
    <row r="38" spans="1:8" ht="27" customHeight="1" x14ac:dyDescent="0.25">
      <c r="A38" s="202" t="s">
        <v>3247</v>
      </c>
      <c r="B38" s="202" t="s">
        <v>114</v>
      </c>
      <c r="C38" s="203" t="s">
        <v>117</v>
      </c>
      <c r="D38" s="202" t="s">
        <v>138</v>
      </c>
      <c r="E38" s="203">
        <v>76.404255319149001</v>
      </c>
      <c r="F38" s="202">
        <v>15</v>
      </c>
      <c r="G38" s="203">
        <v>7.0266202228153363</v>
      </c>
      <c r="H38" s="155">
        <f t="shared" si="0"/>
        <v>105.39930334223004</v>
      </c>
    </row>
    <row r="39" spans="1:8" ht="27" customHeight="1" x14ac:dyDescent="0.25">
      <c r="A39" s="202" t="s">
        <v>3189</v>
      </c>
      <c r="B39" s="202" t="s">
        <v>114</v>
      </c>
      <c r="C39" s="203" t="s">
        <v>117</v>
      </c>
      <c r="D39" s="202" t="s">
        <v>138</v>
      </c>
      <c r="E39" s="203">
        <v>22.200000000000003</v>
      </c>
      <c r="F39" s="202">
        <v>20</v>
      </c>
      <c r="G39" s="203">
        <v>2.807056504401062</v>
      </c>
      <c r="H39" s="155">
        <f t="shared" si="0"/>
        <v>56.141130088021242</v>
      </c>
    </row>
    <row r="40" spans="1:8" ht="27" customHeight="1" x14ac:dyDescent="0.25">
      <c r="A40" s="202" t="s">
        <v>3058</v>
      </c>
      <c r="B40" s="202" t="s">
        <v>113</v>
      </c>
      <c r="C40" s="203" t="s">
        <v>117</v>
      </c>
      <c r="D40" s="202" t="s">
        <v>138</v>
      </c>
      <c r="E40" s="203">
        <v>9.8000000000000007</v>
      </c>
      <c r="F40" s="202">
        <v>5</v>
      </c>
      <c r="G40" s="203">
        <v>3.6255814049127943</v>
      </c>
      <c r="H40" s="155">
        <f t="shared" si="0"/>
        <v>18.127907024563971</v>
      </c>
    </row>
    <row r="41" spans="1:8" ht="27" customHeight="1" x14ac:dyDescent="0.25">
      <c r="A41" s="202" t="s">
        <v>3088</v>
      </c>
      <c r="B41" s="202" t="s">
        <v>114</v>
      </c>
      <c r="C41" s="203" t="s">
        <v>117</v>
      </c>
      <c r="D41" s="202" t="s">
        <v>138</v>
      </c>
      <c r="E41" s="203">
        <v>30.788461538461547</v>
      </c>
      <c r="F41" s="202">
        <v>5</v>
      </c>
      <c r="G41" s="203">
        <v>8.4400870205337206</v>
      </c>
      <c r="H41" s="155">
        <f t="shared" si="0"/>
        <v>42.200435102668607</v>
      </c>
    </row>
    <row r="42" spans="1:8" ht="27" customHeight="1" x14ac:dyDescent="0.25">
      <c r="A42" s="202" t="s">
        <v>3098</v>
      </c>
      <c r="B42" s="202" t="s">
        <v>113</v>
      </c>
      <c r="C42" s="203" t="s">
        <v>117</v>
      </c>
      <c r="D42" s="202" t="s">
        <v>145</v>
      </c>
      <c r="E42" s="203">
        <v>17.33333333333335</v>
      </c>
      <c r="F42" s="202">
        <v>5</v>
      </c>
      <c r="G42" s="203">
        <v>5.2420686979682873</v>
      </c>
      <c r="H42" s="155">
        <f t="shared" si="0"/>
        <v>26.210343489841435</v>
      </c>
    </row>
    <row r="43" spans="1:8" ht="27" customHeight="1" x14ac:dyDescent="0.25">
      <c r="A43" s="202" t="s">
        <v>3257</v>
      </c>
      <c r="B43" s="202" t="s">
        <v>114</v>
      </c>
      <c r="C43" s="203" t="s">
        <v>117</v>
      </c>
      <c r="D43" s="202" t="s">
        <v>145</v>
      </c>
      <c r="E43" s="203">
        <v>13.75</v>
      </c>
      <c r="F43" s="202">
        <v>5</v>
      </c>
      <c r="G43" s="203">
        <v>5.9059635385608713</v>
      </c>
      <c r="H43" s="155">
        <f t="shared" si="0"/>
        <v>29.529817692804357</v>
      </c>
    </row>
    <row r="44" spans="1:8" ht="27" customHeight="1" x14ac:dyDescent="0.25">
      <c r="A44" s="202" t="s">
        <v>3077</v>
      </c>
      <c r="B44" s="202" t="s">
        <v>114</v>
      </c>
      <c r="C44" s="203" t="s">
        <v>117</v>
      </c>
      <c r="D44" s="202" t="s">
        <v>138</v>
      </c>
      <c r="E44" s="203">
        <v>34.647058823529399</v>
      </c>
      <c r="F44" s="202">
        <v>5</v>
      </c>
      <c r="G44" s="203">
        <v>9.4316111547493229</v>
      </c>
      <c r="H44" s="155">
        <f t="shared" si="0"/>
        <v>47.158055773746611</v>
      </c>
    </row>
    <row r="45" spans="1:8" ht="27" customHeight="1" x14ac:dyDescent="0.25">
      <c r="A45" s="202" t="s">
        <v>3003</v>
      </c>
      <c r="B45" s="202" t="s">
        <v>114</v>
      </c>
      <c r="C45" s="203" t="s">
        <v>117</v>
      </c>
      <c r="D45" s="202" t="s">
        <v>138</v>
      </c>
      <c r="E45" s="203">
        <v>22.270270270270252</v>
      </c>
      <c r="F45" s="202">
        <v>5</v>
      </c>
      <c r="G45" s="203">
        <v>5.7555830636217706</v>
      </c>
      <c r="H45" s="155">
        <f t="shared" si="0"/>
        <v>28.777915318108853</v>
      </c>
    </row>
    <row r="46" spans="1:8" ht="27" customHeight="1" x14ac:dyDescent="0.25">
      <c r="A46" s="202" t="s">
        <v>3180</v>
      </c>
      <c r="B46" s="202" t="s">
        <v>113</v>
      </c>
      <c r="C46" s="203" t="s">
        <v>117</v>
      </c>
      <c r="D46" s="202" t="s">
        <v>145</v>
      </c>
      <c r="E46" s="203">
        <v>10</v>
      </c>
      <c r="F46" s="202">
        <v>10</v>
      </c>
      <c r="G46" s="203">
        <v>2.2044379375530343</v>
      </c>
      <c r="H46" s="155">
        <f t="shared" si="0"/>
        <v>22.044379375530344</v>
      </c>
    </row>
    <row r="47" spans="1:8" ht="27" customHeight="1" x14ac:dyDescent="0.25">
      <c r="A47" s="202" t="s">
        <v>2898</v>
      </c>
      <c r="B47" s="202" t="s">
        <v>113</v>
      </c>
      <c r="C47" s="203" t="s">
        <v>117</v>
      </c>
      <c r="D47" s="202" t="s">
        <v>138</v>
      </c>
      <c r="E47" s="203">
        <v>27.608000000000001</v>
      </c>
      <c r="F47" s="202">
        <v>10</v>
      </c>
      <c r="G47" s="203">
        <v>3.7115326882189166</v>
      </c>
      <c r="H47" s="155">
        <f t="shared" si="0"/>
        <v>37.115326882189166</v>
      </c>
    </row>
    <row r="48" spans="1:8" ht="27" customHeight="1" x14ac:dyDescent="0.25">
      <c r="A48" s="202" t="s">
        <v>3065</v>
      </c>
      <c r="B48" s="202" t="s">
        <v>113</v>
      </c>
      <c r="C48" s="203" t="s">
        <v>117</v>
      </c>
      <c r="D48" s="202" t="s">
        <v>138</v>
      </c>
      <c r="E48" s="203">
        <v>75.566074950690393</v>
      </c>
      <c r="F48" s="202">
        <v>20</v>
      </c>
      <c r="G48" s="203">
        <v>4.9034727334290178</v>
      </c>
      <c r="H48" s="155">
        <f t="shared" si="0"/>
        <v>98.069454668580363</v>
      </c>
    </row>
    <row r="49" spans="1:8" ht="27" customHeight="1" x14ac:dyDescent="0.25">
      <c r="A49" s="202" t="s">
        <v>3234</v>
      </c>
      <c r="B49" s="202" t="s">
        <v>114</v>
      </c>
      <c r="C49" s="203" t="s">
        <v>117</v>
      </c>
      <c r="D49" s="202" t="s">
        <v>138</v>
      </c>
      <c r="E49" s="203">
        <v>222.00000000000003</v>
      </c>
      <c r="F49" s="202">
        <v>100</v>
      </c>
      <c r="G49" s="203">
        <v>3.1852695676252907</v>
      </c>
      <c r="H49" s="155">
        <f t="shared" si="0"/>
        <v>318.52695676252904</v>
      </c>
    </row>
    <row r="50" spans="1:8" ht="27" customHeight="1" x14ac:dyDescent="0.25">
      <c r="A50" s="202" t="s">
        <v>3091</v>
      </c>
      <c r="B50" s="202" t="s">
        <v>114</v>
      </c>
      <c r="C50" s="203" t="s">
        <v>117</v>
      </c>
      <c r="D50" s="202" t="s">
        <v>138</v>
      </c>
      <c r="E50" s="203">
        <v>68.399999999999991</v>
      </c>
      <c r="F50" s="202">
        <v>15</v>
      </c>
      <c r="G50" s="203">
        <v>5.9873910701140396</v>
      </c>
      <c r="H50" s="155">
        <f t="shared" si="0"/>
        <v>89.81086605171059</v>
      </c>
    </row>
    <row r="51" spans="1:8" ht="27" customHeight="1" x14ac:dyDescent="0.25">
      <c r="A51" s="202" t="s">
        <v>2904</v>
      </c>
      <c r="B51" s="202" t="s">
        <v>114</v>
      </c>
      <c r="C51" s="203" t="s">
        <v>117</v>
      </c>
      <c r="D51" s="202" t="s">
        <v>138</v>
      </c>
      <c r="E51" s="203">
        <v>191.31578947368399</v>
      </c>
      <c r="F51" s="202">
        <v>50</v>
      </c>
      <c r="G51" s="203">
        <v>5.3293908151389413</v>
      </c>
      <c r="H51" s="155">
        <f t="shared" si="0"/>
        <v>266.46954075694708</v>
      </c>
    </row>
    <row r="52" spans="1:8" ht="27" customHeight="1" x14ac:dyDescent="0.25">
      <c r="A52" s="202" t="s">
        <v>3080</v>
      </c>
      <c r="B52" s="202" t="s">
        <v>114</v>
      </c>
      <c r="C52" s="203" t="s">
        <v>117</v>
      </c>
      <c r="D52" s="202" t="s">
        <v>138</v>
      </c>
      <c r="E52" s="203">
        <v>17.8</v>
      </c>
      <c r="F52" s="202">
        <v>10</v>
      </c>
      <c r="G52" s="203">
        <v>2.7991056679867796</v>
      </c>
      <c r="H52" s="155">
        <f t="shared" si="0"/>
        <v>27.991056679867796</v>
      </c>
    </row>
    <row r="53" spans="1:8" ht="27" customHeight="1" x14ac:dyDescent="0.25">
      <c r="A53" s="202" t="s">
        <v>3099</v>
      </c>
      <c r="B53" s="202" t="s">
        <v>113</v>
      </c>
      <c r="C53" s="203" t="s">
        <v>117</v>
      </c>
      <c r="D53" s="202" t="s">
        <v>145</v>
      </c>
      <c r="E53" s="203">
        <v>370.63157894736815</v>
      </c>
      <c r="F53" s="202">
        <v>70</v>
      </c>
      <c r="G53" s="203">
        <v>7.9857926778279955</v>
      </c>
      <c r="H53" s="155">
        <f t="shared" si="0"/>
        <v>559.00548744795969</v>
      </c>
    </row>
    <row r="54" spans="1:8" ht="27" customHeight="1" x14ac:dyDescent="0.25">
      <c r="A54" s="202" t="s">
        <v>2900</v>
      </c>
      <c r="B54" s="202" t="s">
        <v>114</v>
      </c>
      <c r="C54" s="203" t="s">
        <v>117</v>
      </c>
      <c r="D54" s="202" t="s">
        <v>138</v>
      </c>
      <c r="E54" s="203">
        <v>230.26499999999999</v>
      </c>
      <c r="F54" s="202">
        <v>45</v>
      </c>
      <c r="G54" s="203">
        <v>6.5335312817433717</v>
      </c>
      <c r="H54" s="155">
        <f t="shared" si="0"/>
        <v>294.00890767845175</v>
      </c>
    </row>
    <row r="55" spans="1:8" ht="27" customHeight="1" x14ac:dyDescent="0.25">
      <c r="A55" s="202" t="s">
        <v>3289</v>
      </c>
      <c r="B55" s="202" t="s">
        <v>113</v>
      </c>
      <c r="C55" s="203" t="s">
        <v>117</v>
      </c>
      <c r="D55" s="202" t="s">
        <v>138</v>
      </c>
      <c r="E55" s="203">
        <v>28.56</v>
      </c>
      <c r="F55" s="202">
        <v>10</v>
      </c>
      <c r="G55" s="203">
        <v>3.8576635781779696</v>
      </c>
      <c r="H55" s="155">
        <f t="shared" si="0"/>
        <v>38.576635781779693</v>
      </c>
    </row>
    <row r="56" spans="1:8" ht="27" customHeight="1" x14ac:dyDescent="0.25">
      <c r="A56" s="202" t="s">
        <v>3109</v>
      </c>
      <c r="B56" s="202" t="s">
        <v>113</v>
      </c>
      <c r="C56" s="203" t="s">
        <v>117</v>
      </c>
      <c r="D56" s="202" t="s">
        <v>145</v>
      </c>
      <c r="E56" s="203">
        <v>36</v>
      </c>
      <c r="F56" s="202">
        <v>20</v>
      </c>
      <c r="G56" s="203">
        <v>3.8468339906481717</v>
      </c>
      <c r="H56" s="155">
        <f t="shared" si="0"/>
        <v>76.936679812963433</v>
      </c>
    </row>
    <row r="57" spans="1:8" ht="27" customHeight="1" x14ac:dyDescent="0.25">
      <c r="A57" s="202" t="s">
        <v>3078</v>
      </c>
      <c r="B57" s="202" t="s">
        <v>114</v>
      </c>
      <c r="C57" s="203" t="s">
        <v>117</v>
      </c>
      <c r="D57" s="202" t="s">
        <v>138</v>
      </c>
      <c r="E57" s="203">
        <v>43.098039215686242</v>
      </c>
      <c r="F57" s="202">
        <v>5</v>
      </c>
      <c r="G57" s="203">
        <v>11.61576075110729</v>
      </c>
      <c r="H57" s="155">
        <f t="shared" si="0"/>
        <v>58.078803755536448</v>
      </c>
    </row>
    <row r="58" spans="1:8" ht="27" customHeight="1" x14ac:dyDescent="0.25">
      <c r="A58" s="202" t="s">
        <v>3104</v>
      </c>
      <c r="B58" s="202" t="s">
        <v>114</v>
      </c>
      <c r="C58" s="203" t="s">
        <v>117</v>
      </c>
      <c r="D58" s="202" t="s">
        <v>145</v>
      </c>
      <c r="E58" s="203">
        <v>24.75</v>
      </c>
      <c r="F58" s="202">
        <v>15</v>
      </c>
      <c r="G58" s="203">
        <v>3.3686871386995993</v>
      </c>
      <c r="H58" s="155">
        <f t="shared" si="0"/>
        <v>50.530307080493991</v>
      </c>
    </row>
    <row r="59" spans="1:8" ht="27" customHeight="1" x14ac:dyDescent="0.25">
      <c r="A59" s="202" t="s">
        <v>3081</v>
      </c>
      <c r="B59" s="202" t="s">
        <v>114</v>
      </c>
      <c r="C59" s="203" t="s">
        <v>117</v>
      </c>
      <c r="D59" s="202" t="s">
        <v>138</v>
      </c>
      <c r="E59" s="203">
        <v>472.35294117647078</v>
      </c>
      <c r="F59" s="202">
        <v>55</v>
      </c>
      <c r="G59" s="203">
        <v>10.641783290357692</v>
      </c>
      <c r="H59" s="155">
        <f t="shared" si="0"/>
        <v>585.29808096967304</v>
      </c>
    </row>
    <row r="60" spans="1:8" ht="27" customHeight="1" x14ac:dyDescent="0.25">
      <c r="A60" s="202" t="s">
        <v>3176</v>
      </c>
      <c r="B60" s="202" t="s">
        <v>114</v>
      </c>
      <c r="C60" s="203" t="s">
        <v>117</v>
      </c>
      <c r="D60" s="202" t="s">
        <v>138</v>
      </c>
      <c r="E60" s="203">
        <v>18.64077669902915</v>
      </c>
      <c r="F60" s="202">
        <v>5</v>
      </c>
      <c r="G60" s="203">
        <v>5.4300100207955495</v>
      </c>
      <c r="H60" s="155">
        <f t="shared" si="0"/>
        <v>27.150050103977748</v>
      </c>
    </row>
    <row r="61" spans="1:8" ht="27" customHeight="1" x14ac:dyDescent="0.25">
      <c r="A61" s="202" t="s">
        <v>3082</v>
      </c>
      <c r="B61" s="202" t="s">
        <v>114</v>
      </c>
      <c r="C61" s="203" t="s">
        <v>117</v>
      </c>
      <c r="D61" s="202" t="s">
        <v>138</v>
      </c>
      <c r="E61" s="203">
        <v>12.705882352941201</v>
      </c>
      <c r="F61" s="202">
        <v>5</v>
      </c>
      <c r="G61" s="203">
        <v>3.8532769098114694</v>
      </c>
      <c r="H61" s="155">
        <f t="shared" si="0"/>
        <v>19.266384549057346</v>
      </c>
    </row>
    <row r="62" spans="1:8" ht="27" customHeight="1" x14ac:dyDescent="0.25">
      <c r="A62" s="202" t="s">
        <v>3260</v>
      </c>
      <c r="B62" s="202" t="s">
        <v>114</v>
      </c>
      <c r="C62" s="203" t="s">
        <v>117</v>
      </c>
      <c r="D62" s="202" t="s">
        <v>145</v>
      </c>
      <c r="E62" s="203">
        <v>8.6999999999999993</v>
      </c>
      <c r="F62" s="202">
        <v>5</v>
      </c>
      <c r="G62" s="203">
        <v>5.0931961402801704</v>
      </c>
      <c r="H62" s="155">
        <f t="shared" si="0"/>
        <v>25.465980701400852</v>
      </c>
    </row>
    <row r="63" spans="1:8" ht="27" customHeight="1" x14ac:dyDescent="0.25">
      <c r="A63" s="202" t="s">
        <v>3262</v>
      </c>
      <c r="B63" s="202" t="s">
        <v>114</v>
      </c>
      <c r="C63" s="203" t="s">
        <v>117</v>
      </c>
      <c r="D63" s="202" t="s">
        <v>145</v>
      </c>
      <c r="E63" s="203">
        <v>12.25</v>
      </c>
      <c r="F63" s="202">
        <v>5</v>
      </c>
      <c r="G63" s="203">
        <v>7.0652777377951237</v>
      </c>
      <c r="H63" s="155">
        <f t="shared" si="0"/>
        <v>35.326388688975619</v>
      </c>
    </row>
    <row r="64" spans="1:8" ht="27" customHeight="1" x14ac:dyDescent="0.25">
      <c r="A64" s="202" t="s">
        <v>2903</v>
      </c>
      <c r="B64" s="202" t="s">
        <v>114</v>
      </c>
      <c r="C64" s="203" t="s">
        <v>117</v>
      </c>
      <c r="D64" s="202" t="s">
        <v>138</v>
      </c>
      <c r="E64" s="203">
        <v>9.3999999999999986</v>
      </c>
      <c r="F64" s="202">
        <v>5</v>
      </c>
      <c r="G64" s="203">
        <v>2.9294719685037212</v>
      </c>
      <c r="H64" s="155">
        <f t="shared" si="0"/>
        <v>14.647359842518606</v>
      </c>
    </row>
    <row r="65" spans="1:8" ht="27" customHeight="1" x14ac:dyDescent="0.25">
      <c r="A65" s="202" t="s">
        <v>2905</v>
      </c>
      <c r="B65" s="202" t="s">
        <v>114</v>
      </c>
      <c r="C65" s="203" t="s">
        <v>117</v>
      </c>
      <c r="D65" s="202" t="s">
        <v>138</v>
      </c>
      <c r="E65" s="203">
        <v>61.250000000000007</v>
      </c>
      <c r="F65" s="202">
        <v>25</v>
      </c>
      <c r="G65" s="203">
        <v>4.4421871380141829</v>
      </c>
      <c r="H65" s="155">
        <f t="shared" si="0"/>
        <v>111.05467845035457</v>
      </c>
    </row>
    <row r="66" spans="1:8" ht="27" customHeight="1" x14ac:dyDescent="0.25">
      <c r="A66" s="202" t="s">
        <v>2907</v>
      </c>
      <c r="B66" s="202" t="s">
        <v>114</v>
      </c>
      <c r="C66" s="203" t="s">
        <v>117</v>
      </c>
      <c r="D66" s="202" t="s">
        <v>138</v>
      </c>
      <c r="E66" s="203">
        <v>39.673469387755198</v>
      </c>
      <c r="F66" s="202">
        <v>20</v>
      </c>
      <c r="G66" s="203">
        <v>3.8073539753496655</v>
      </c>
      <c r="H66" s="155">
        <f t="shared" si="0"/>
        <v>76.147079506993308</v>
      </c>
    </row>
    <row r="67" spans="1:8" ht="27" customHeight="1" x14ac:dyDescent="0.25">
      <c r="A67" s="202" t="s">
        <v>3056</v>
      </c>
      <c r="B67" s="202" t="s">
        <v>114</v>
      </c>
      <c r="C67" s="203" t="s">
        <v>117</v>
      </c>
      <c r="D67" s="202" t="s">
        <v>138</v>
      </c>
      <c r="E67" s="203">
        <v>195.98039215686276</v>
      </c>
      <c r="F67" s="202">
        <v>25</v>
      </c>
      <c r="G67" s="203">
        <v>12.406046474009676</v>
      </c>
      <c r="H67" s="155">
        <f t="shared" si="0"/>
        <v>310.15116185024192</v>
      </c>
    </row>
    <row r="68" spans="1:8" ht="27" customHeight="1" x14ac:dyDescent="0.25">
      <c r="A68" s="202" t="s">
        <v>3229</v>
      </c>
      <c r="B68" s="202" t="s">
        <v>114</v>
      </c>
      <c r="C68" s="203" t="s">
        <v>117</v>
      </c>
      <c r="D68" s="202" t="s">
        <v>138</v>
      </c>
      <c r="E68" s="203">
        <v>93.899999999999991</v>
      </c>
      <c r="F68" s="202">
        <v>15</v>
      </c>
      <c r="G68" s="203">
        <v>11.113350139756511</v>
      </c>
      <c r="H68" s="155">
        <f t="shared" si="0"/>
        <v>166.70025209634767</v>
      </c>
    </row>
    <row r="69" spans="1:8" ht="27" customHeight="1" x14ac:dyDescent="0.25">
      <c r="A69" s="202" t="s">
        <v>3084</v>
      </c>
      <c r="B69" s="202" t="s">
        <v>114</v>
      </c>
      <c r="C69" s="203" t="s">
        <v>117</v>
      </c>
      <c r="D69" s="202" t="s">
        <v>138</v>
      </c>
      <c r="E69" s="203">
        <v>27.720238095238049</v>
      </c>
      <c r="F69" s="202">
        <v>15</v>
      </c>
      <c r="G69" s="203">
        <v>3.0664182715704134</v>
      </c>
      <c r="H69" s="155">
        <f t="shared" si="0"/>
        <v>45.996274073556201</v>
      </c>
    </row>
    <row r="70" spans="1:8" ht="27" customHeight="1" x14ac:dyDescent="0.25">
      <c r="A70" s="202" t="s">
        <v>3243</v>
      </c>
      <c r="B70" s="202" t="s">
        <v>114</v>
      </c>
      <c r="C70" s="203" t="s">
        <v>117</v>
      </c>
      <c r="D70" s="202" t="s">
        <v>138</v>
      </c>
      <c r="E70" s="203">
        <v>19.554455445544601</v>
      </c>
      <c r="F70" s="202">
        <v>10</v>
      </c>
      <c r="G70" s="203">
        <v>3.2167987465095145</v>
      </c>
      <c r="H70" s="155">
        <f t="shared" si="0"/>
        <v>32.167987465095145</v>
      </c>
    </row>
    <row r="71" spans="1:8" ht="27" customHeight="1" x14ac:dyDescent="0.25">
      <c r="A71" s="202" t="s">
        <v>3103</v>
      </c>
      <c r="B71" s="202" t="s">
        <v>113</v>
      </c>
      <c r="C71" s="203" t="s">
        <v>117</v>
      </c>
      <c r="D71" s="202" t="s">
        <v>145</v>
      </c>
      <c r="E71" s="203">
        <v>25</v>
      </c>
      <c r="F71" s="202">
        <v>10</v>
      </c>
      <c r="G71" s="203">
        <v>4.2453353950674657</v>
      </c>
      <c r="H71" s="155">
        <f t="shared" si="0"/>
        <v>42.453353950674654</v>
      </c>
    </row>
    <row r="72" spans="1:8" ht="27" customHeight="1" x14ac:dyDescent="0.25">
      <c r="A72" s="202" t="s">
        <v>3041</v>
      </c>
      <c r="B72" s="202" t="s">
        <v>114</v>
      </c>
      <c r="C72" s="203" t="s">
        <v>117</v>
      </c>
      <c r="D72" s="202" t="s">
        <v>145</v>
      </c>
      <c r="E72" s="203">
        <v>20.5</v>
      </c>
      <c r="F72" s="202">
        <v>10</v>
      </c>
      <c r="G72" s="203">
        <v>5.9542168905923782</v>
      </c>
      <c r="H72" s="155">
        <f t="shared" si="0"/>
        <v>59.542168905923781</v>
      </c>
    </row>
    <row r="73" spans="1:8" ht="27" customHeight="1" x14ac:dyDescent="0.25">
      <c r="A73" s="202" t="s">
        <v>3290</v>
      </c>
      <c r="B73" s="202" t="s">
        <v>114</v>
      </c>
      <c r="C73" s="203" t="s">
        <v>117</v>
      </c>
      <c r="D73" s="202" t="s">
        <v>138</v>
      </c>
      <c r="E73" s="203">
        <v>73.943502824858797</v>
      </c>
      <c r="F73" s="202">
        <v>20</v>
      </c>
      <c r="G73" s="203">
        <v>5.3888850048596062</v>
      </c>
      <c r="H73" s="155">
        <f t="shared" si="0"/>
        <v>107.77770009719212</v>
      </c>
    </row>
    <row r="74" spans="1:8" ht="27" customHeight="1" x14ac:dyDescent="0.25">
      <c r="A74" s="202" t="s">
        <v>3291</v>
      </c>
      <c r="B74" s="202" t="s">
        <v>114</v>
      </c>
      <c r="C74" s="203" t="s">
        <v>117</v>
      </c>
      <c r="D74" s="202" t="s">
        <v>138</v>
      </c>
      <c r="E74" s="203">
        <v>10.321100917431201</v>
      </c>
      <c r="F74" s="202">
        <v>5</v>
      </c>
      <c r="G74" s="203">
        <v>3.3692354722454123</v>
      </c>
      <c r="H74" s="155">
        <f t="shared" si="0"/>
        <v>16.846177361227063</v>
      </c>
    </row>
    <row r="75" spans="1:8" ht="27" customHeight="1" x14ac:dyDescent="0.25">
      <c r="A75" s="202" t="s">
        <v>3086</v>
      </c>
      <c r="B75" s="202" t="s">
        <v>114</v>
      </c>
      <c r="C75" s="203" t="s">
        <v>117</v>
      </c>
      <c r="D75" s="202" t="s">
        <v>138</v>
      </c>
      <c r="E75" s="203">
        <v>83.368421052631604</v>
      </c>
      <c r="F75" s="202">
        <v>40</v>
      </c>
      <c r="G75" s="203">
        <v>3.0288574236822514</v>
      </c>
      <c r="H75" s="155">
        <f t="shared" si="0"/>
        <v>121.15429694729005</v>
      </c>
    </row>
    <row r="76" spans="1:8" ht="27" customHeight="1" x14ac:dyDescent="0.25">
      <c r="A76" s="202" t="s">
        <v>3087</v>
      </c>
      <c r="B76" s="202" t="s">
        <v>114</v>
      </c>
      <c r="C76" s="203" t="s">
        <v>117</v>
      </c>
      <c r="D76" s="202" t="s">
        <v>138</v>
      </c>
      <c r="E76" s="203">
        <v>44.078431372548998</v>
      </c>
      <c r="F76" s="202">
        <v>20</v>
      </c>
      <c r="G76" s="203">
        <v>3.1878741519679004</v>
      </c>
      <c r="H76" s="155">
        <f t="shared" si="0"/>
        <v>63.757483039358007</v>
      </c>
    </row>
    <row r="77" spans="1:8" ht="27" customHeight="1" x14ac:dyDescent="0.25">
      <c r="A77" s="202" t="s">
        <v>3089</v>
      </c>
      <c r="B77" s="202" t="s">
        <v>114</v>
      </c>
      <c r="C77" s="203" t="s">
        <v>117</v>
      </c>
      <c r="D77" s="202" t="s">
        <v>138</v>
      </c>
      <c r="E77" s="203">
        <v>55.294117647058798</v>
      </c>
      <c r="F77" s="202">
        <v>30</v>
      </c>
      <c r="G77" s="203">
        <v>2.9704599010532116</v>
      </c>
      <c r="H77" s="155">
        <f t="shared" si="0"/>
        <v>89.113797031596349</v>
      </c>
    </row>
    <row r="78" spans="1:8" ht="27" customHeight="1" x14ac:dyDescent="0.25">
      <c r="A78" s="202" t="s">
        <v>3178</v>
      </c>
      <c r="B78" s="202" t="s">
        <v>114</v>
      </c>
      <c r="C78" s="203" t="s">
        <v>117</v>
      </c>
      <c r="D78" s="202" t="s">
        <v>138</v>
      </c>
      <c r="E78" s="203">
        <v>71.7</v>
      </c>
      <c r="F78" s="202">
        <v>15</v>
      </c>
      <c r="G78" s="203">
        <v>6.2636140938171287</v>
      </c>
      <c r="H78" s="155">
        <f t="shared" si="0"/>
        <v>93.954211407256935</v>
      </c>
    </row>
    <row r="79" spans="1:8" ht="27" customHeight="1" x14ac:dyDescent="0.25">
      <c r="A79" s="202" t="s">
        <v>3179</v>
      </c>
      <c r="B79" s="202" t="s">
        <v>114</v>
      </c>
      <c r="C79" s="203" t="s">
        <v>117</v>
      </c>
      <c r="D79" s="202" t="s">
        <v>138</v>
      </c>
      <c r="E79" s="203">
        <v>130</v>
      </c>
      <c r="F79" s="202">
        <v>100</v>
      </c>
      <c r="G79" s="203">
        <v>2.1755133430114202</v>
      </c>
      <c r="H79" s="155">
        <f t="shared" si="0"/>
        <v>217.55133430114202</v>
      </c>
    </row>
    <row r="80" spans="1:8" ht="27" customHeight="1" x14ac:dyDescent="0.25">
      <c r="A80" s="202" t="s">
        <v>3097</v>
      </c>
      <c r="B80" s="202" t="s">
        <v>113</v>
      </c>
      <c r="C80" s="203" t="s">
        <v>117</v>
      </c>
      <c r="D80" s="202" t="s">
        <v>145</v>
      </c>
      <c r="E80" s="203">
        <v>39.857142857142904</v>
      </c>
      <c r="F80" s="202">
        <v>15</v>
      </c>
      <c r="G80" s="203">
        <v>4.0787790805268935</v>
      </c>
      <c r="H80" s="155">
        <f t="shared" si="0"/>
        <v>61.181686207903404</v>
      </c>
    </row>
    <row r="81" spans="1:8" ht="27" customHeight="1" x14ac:dyDescent="0.25">
      <c r="A81" s="202" t="s">
        <v>3181</v>
      </c>
      <c r="B81" s="202" t="s">
        <v>113</v>
      </c>
      <c r="C81" s="203" t="s">
        <v>117</v>
      </c>
      <c r="D81" s="202" t="s">
        <v>145</v>
      </c>
      <c r="E81" s="203">
        <v>5</v>
      </c>
      <c r="F81" s="202">
        <v>5</v>
      </c>
      <c r="G81" s="203">
        <v>2.2044379375530343</v>
      </c>
      <c r="H81" s="155">
        <f t="shared" si="0"/>
        <v>11.022189687765172</v>
      </c>
    </row>
    <row r="82" spans="1:8" ht="27" customHeight="1" x14ac:dyDescent="0.25">
      <c r="A82" s="202" t="s">
        <v>3037</v>
      </c>
      <c r="B82" s="202" t="s">
        <v>114</v>
      </c>
      <c r="C82" s="203" t="s">
        <v>117</v>
      </c>
      <c r="D82" s="202" t="s">
        <v>138</v>
      </c>
      <c r="E82" s="203">
        <v>126</v>
      </c>
      <c r="F82" s="202">
        <v>10</v>
      </c>
      <c r="G82" s="203">
        <v>18.153541617830708</v>
      </c>
      <c r="H82" s="155">
        <f t="shared" si="0"/>
        <v>181.53541617830709</v>
      </c>
    </row>
    <row r="83" spans="1:8" ht="27" customHeight="1" x14ac:dyDescent="0.25">
      <c r="A83" s="202" t="s">
        <v>3273</v>
      </c>
      <c r="B83" s="202" t="s">
        <v>115</v>
      </c>
      <c r="C83" s="203" t="s">
        <v>117</v>
      </c>
      <c r="D83" s="202" t="s">
        <v>145</v>
      </c>
      <c r="E83" s="203">
        <v>8.1999999999999993</v>
      </c>
      <c r="F83" s="202">
        <v>5</v>
      </c>
      <c r="G83" s="203">
        <v>5.4398800246201766</v>
      </c>
      <c r="H83" s="155">
        <f t="shared" si="0"/>
        <v>27.199400123100883</v>
      </c>
    </row>
    <row r="84" spans="1:8" ht="27" customHeight="1" x14ac:dyDescent="0.25">
      <c r="A84" s="202" t="s">
        <v>3196</v>
      </c>
      <c r="B84" s="202" t="s">
        <v>115</v>
      </c>
      <c r="C84" s="203" t="s">
        <v>117</v>
      </c>
      <c r="D84" s="202" t="s">
        <v>145</v>
      </c>
      <c r="E84" s="203">
        <v>53.9</v>
      </c>
      <c r="F84" s="202">
        <v>10</v>
      </c>
      <c r="G84" s="203">
        <v>11.166949743859693</v>
      </c>
      <c r="H84" s="155">
        <f t="shared" si="0"/>
        <v>111.66949743859692</v>
      </c>
    </row>
    <row r="85" spans="1:8" ht="27" customHeight="1" x14ac:dyDescent="0.25">
      <c r="A85" s="202" t="s">
        <v>3165</v>
      </c>
      <c r="B85" s="202" t="s">
        <v>114</v>
      </c>
      <c r="C85" s="203" t="s">
        <v>117</v>
      </c>
      <c r="D85" s="202" t="s">
        <v>138</v>
      </c>
      <c r="E85" s="203">
        <v>54.15</v>
      </c>
      <c r="F85" s="202">
        <v>25</v>
      </c>
      <c r="G85" s="203">
        <v>4.1134611772995395</v>
      </c>
      <c r="H85" s="155">
        <f t="shared" si="0"/>
        <v>102.83652943248849</v>
      </c>
    </row>
    <row r="86" spans="1:8" ht="27" customHeight="1" x14ac:dyDescent="0.25">
      <c r="A86" s="202" t="s">
        <v>3292</v>
      </c>
      <c r="B86" s="202" t="s">
        <v>113</v>
      </c>
      <c r="C86" s="203" t="s">
        <v>117</v>
      </c>
      <c r="D86" s="202" t="s">
        <v>145</v>
      </c>
      <c r="E86" s="203">
        <v>10</v>
      </c>
      <c r="F86" s="202">
        <v>5</v>
      </c>
      <c r="G86" s="203">
        <v>4.2575358164617958</v>
      </c>
      <c r="H86" s="155">
        <f t="shared" ref="H86:H120" si="1">PRODUCT(G86,F86)</f>
        <v>21.28767908230898</v>
      </c>
    </row>
    <row r="87" spans="1:8" ht="27" customHeight="1" x14ac:dyDescent="0.25">
      <c r="A87" s="202" t="s">
        <v>3220</v>
      </c>
      <c r="B87" s="202" t="s">
        <v>114</v>
      </c>
      <c r="C87" s="203" t="s">
        <v>117</v>
      </c>
      <c r="D87" s="202" t="s">
        <v>138</v>
      </c>
      <c r="E87" s="203">
        <v>13.85</v>
      </c>
      <c r="F87" s="202">
        <v>5</v>
      </c>
      <c r="G87" s="203">
        <v>6.3650557997924562</v>
      </c>
      <c r="H87" s="155">
        <f t="shared" si="1"/>
        <v>31.825278998962283</v>
      </c>
    </row>
    <row r="88" spans="1:8" ht="27" customHeight="1" x14ac:dyDescent="0.25">
      <c r="A88" s="202" t="s">
        <v>2899</v>
      </c>
      <c r="B88" s="202" t="s">
        <v>114</v>
      </c>
      <c r="C88" s="203" t="s">
        <v>117</v>
      </c>
      <c r="D88" s="202" t="s">
        <v>138</v>
      </c>
      <c r="E88" s="203">
        <v>70.034313725490108</v>
      </c>
      <c r="F88" s="202">
        <v>35</v>
      </c>
      <c r="G88" s="203">
        <v>3.0148749182640309</v>
      </c>
      <c r="H88" s="155">
        <f t="shared" si="1"/>
        <v>105.52062213924108</v>
      </c>
    </row>
    <row r="89" spans="1:8" ht="27" customHeight="1" x14ac:dyDescent="0.25">
      <c r="A89" s="202" t="s">
        <v>3241</v>
      </c>
      <c r="B89" s="202" t="s">
        <v>114</v>
      </c>
      <c r="C89" s="203" t="s">
        <v>117</v>
      </c>
      <c r="D89" s="202" t="s">
        <v>138</v>
      </c>
      <c r="E89" s="203">
        <v>47.659420289855049</v>
      </c>
      <c r="F89" s="202">
        <v>5</v>
      </c>
      <c r="G89" s="203">
        <v>12.847454978388804</v>
      </c>
      <c r="H89" s="155">
        <f t="shared" si="1"/>
        <v>64.237274891944026</v>
      </c>
    </row>
    <row r="90" spans="1:8" ht="27" customHeight="1" x14ac:dyDescent="0.25">
      <c r="A90" s="202" t="s">
        <v>3244</v>
      </c>
      <c r="B90" s="202" t="s">
        <v>114</v>
      </c>
      <c r="C90" s="203" t="s">
        <v>117</v>
      </c>
      <c r="D90" s="202" t="s">
        <v>138</v>
      </c>
      <c r="E90" s="203">
        <v>84.3</v>
      </c>
      <c r="F90" s="202">
        <v>30</v>
      </c>
      <c r="G90" s="203">
        <v>4.9909319339861247</v>
      </c>
      <c r="H90" s="155">
        <f t="shared" si="1"/>
        <v>149.72795801958375</v>
      </c>
    </row>
    <row r="91" spans="1:8" ht="27" customHeight="1" x14ac:dyDescent="0.25">
      <c r="A91" s="202" t="s">
        <v>3036</v>
      </c>
      <c r="B91" s="202" t="s">
        <v>115</v>
      </c>
      <c r="C91" s="203" t="s">
        <v>117</v>
      </c>
      <c r="D91" s="202" t="s">
        <v>145</v>
      </c>
      <c r="E91" s="203">
        <v>32.400000000000006</v>
      </c>
      <c r="F91" s="202">
        <v>40</v>
      </c>
      <c r="G91" s="203">
        <v>2.4817576283477476</v>
      </c>
      <c r="H91" s="155">
        <f t="shared" si="1"/>
        <v>99.270305133909901</v>
      </c>
    </row>
    <row r="92" spans="1:8" ht="27" customHeight="1" x14ac:dyDescent="0.25">
      <c r="A92" s="202" t="s">
        <v>3184</v>
      </c>
      <c r="B92" s="202" t="s">
        <v>115</v>
      </c>
      <c r="C92" s="203" t="s">
        <v>117</v>
      </c>
      <c r="D92" s="202" t="s">
        <v>145</v>
      </c>
      <c r="E92" s="203">
        <v>13.3</v>
      </c>
      <c r="F92" s="202">
        <v>10</v>
      </c>
      <c r="G92" s="203">
        <v>3.8495756583772343</v>
      </c>
      <c r="H92" s="155">
        <f t="shared" si="1"/>
        <v>38.495756583772341</v>
      </c>
    </row>
    <row r="93" spans="1:8" ht="27" customHeight="1" x14ac:dyDescent="0.25">
      <c r="A93" s="202" t="s">
        <v>3185</v>
      </c>
      <c r="B93" s="202" t="s">
        <v>115</v>
      </c>
      <c r="C93" s="203" t="s">
        <v>117</v>
      </c>
      <c r="D93" s="202" t="s">
        <v>145</v>
      </c>
      <c r="E93" s="203">
        <v>7.1</v>
      </c>
      <c r="F93" s="202">
        <v>5</v>
      </c>
      <c r="G93" s="203">
        <v>3.5382592877421408</v>
      </c>
      <c r="H93" s="155">
        <f t="shared" si="1"/>
        <v>17.691296438710705</v>
      </c>
    </row>
    <row r="94" spans="1:8" ht="27" customHeight="1" x14ac:dyDescent="0.25">
      <c r="A94" s="202" t="s">
        <v>3293</v>
      </c>
      <c r="B94" s="202" t="s">
        <v>116</v>
      </c>
      <c r="C94" s="203" t="s">
        <v>117</v>
      </c>
      <c r="D94" s="202" t="s">
        <v>138</v>
      </c>
      <c r="E94" s="203">
        <v>53.099999999999994</v>
      </c>
      <c r="F94" s="202">
        <v>10</v>
      </c>
      <c r="G94" s="203">
        <v>10.388590275578732</v>
      </c>
      <c r="H94" s="155">
        <f t="shared" si="1"/>
        <v>103.88590275578733</v>
      </c>
    </row>
    <row r="95" spans="1:8" ht="27" customHeight="1" x14ac:dyDescent="0.25">
      <c r="A95" s="202" t="s">
        <v>3294</v>
      </c>
      <c r="B95" s="202" t="s">
        <v>116</v>
      </c>
      <c r="C95" s="203" t="s">
        <v>117</v>
      </c>
      <c r="D95" s="202" t="s">
        <v>138</v>
      </c>
      <c r="E95" s="203">
        <v>28.55</v>
      </c>
      <c r="F95" s="202">
        <v>5</v>
      </c>
      <c r="G95" s="203">
        <v>11.05577511744619</v>
      </c>
      <c r="H95" s="155">
        <f t="shared" si="1"/>
        <v>55.278875587230949</v>
      </c>
    </row>
    <row r="96" spans="1:8" ht="27" customHeight="1" x14ac:dyDescent="0.25">
      <c r="A96" s="202" t="s">
        <v>2908</v>
      </c>
      <c r="B96" s="202" t="s">
        <v>114</v>
      </c>
      <c r="C96" s="203" t="s">
        <v>117</v>
      </c>
      <c r="D96" s="202" t="s">
        <v>138</v>
      </c>
      <c r="E96" s="203">
        <v>89.1</v>
      </c>
      <c r="F96" s="202">
        <v>5</v>
      </c>
      <c r="G96" s="203">
        <v>23.492254103248467</v>
      </c>
      <c r="H96" s="155">
        <f t="shared" si="1"/>
        <v>117.46127051624234</v>
      </c>
    </row>
    <row r="97" spans="1:8" ht="27" customHeight="1" x14ac:dyDescent="0.25">
      <c r="A97" s="202" t="s">
        <v>3110</v>
      </c>
      <c r="B97" s="202" t="s">
        <v>113</v>
      </c>
      <c r="C97" s="203" t="s">
        <v>117</v>
      </c>
      <c r="D97" s="202" t="s">
        <v>145</v>
      </c>
      <c r="E97" s="203">
        <v>9</v>
      </c>
      <c r="F97" s="202">
        <v>5</v>
      </c>
      <c r="G97" s="203">
        <v>3.8468339906481717</v>
      </c>
      <c r="H97" s="155">
        <f t="shared" si="1"/>
        <v>19.234169953240858</v>
      </c>
    </row>
    <row r="98" spans="1:8" ht="27" customHeight="1" x14ac:dyDescent="0.25">
      <c r="A98" s="202" t="s">
        <v>3039</v>
      </c>
      <c r="B98" s="202" t="s">
        <v>115</v>
      </c>
      <c r="C98" s="203" t="s">
        <v>117</v>
      </c>
      <c r="D98" s="202" t="s">
        <v>145</v>
      </c>
      <c r="E98" s="203">
        <v>35.25</v>
      </c>
      <c r="F98" s="202">
        <v>15</v>
      </c>
      <c r="G98" s="203">
        <v>5.3842241697201993</v>
      </c>
      <c r="H98" s="155">
        <f t="shared" si="1"/>
        <v>80.763362545802991</v>
      </c>
    </row>
    <row r="99" spans="1:8" ht="27" customHeight="1" x14ac:dyDescent="0.25">
      <c r="A99" s="202" t="s">
        <v>3042</v>
      </c>
      <c r="B99" s="202" t="s">
        <v>114</v>
      </c>
      <c r="C99" s="203" t="s">
        <v>117</v>
      </c>
      <c r="D99" s="202" t="s">
        <v>145</v>
      </c>
      <c r="E99" s="203">
        <v>46.65</v>
      </c>
      <c r="F99" s="202">
        <v>15</v>
      </c>
      <c r="G99" s="203">
        <v>8.8984938648330392</v>
      </c>
      <c r="H99" s="155">
        <f t="shared" si="1"/>
        <v>133.4774079724956</v>
      </c>
    </row>
    <row r="100" spans="1:8" ht="27" customHeight="1" x14ac:dyDescent="0.25">
      <c r="A100" s="202" t="s">
        <v>3263</v>
      </c>
      <c r="B100" s="202" t="s">
        <v>114</v>
      </c>
      <c r="C100" s="203" t="s">
        <v>117</v>
      </c>
      <c r="D100" s="202" t="s">
        <v>145</v>
      </c>
      <c r="E100" s="203">
        <v>33.450000000000003</v>
      </c>
      <c r="F100" s="202">
        <v>15</v>
      </c>
      <c r="G100" s="203">
        <v>6.4541600009869997</v>
      </c>
      <c r="H100" s="155">
        <f t="shared" si="1"/>
        <v>96.812400014804993</v>
      </c>
    </row>
    <row r="101" spans="1:8" ht="27" customHeight="1" x14ac:dyDescent="0.25">
      <c r="A101" s="202" t="s">
        <v>3295</v>
      </c>
      <c r="B101" s="202" t="s">
        <v>114</v>
      </c>
      <c r="C101" s="203" t="s">
        <v>117</v>
      </c>
      <c r="D101" s="202" t="s">
        <v>145</v>
      </c>
      <c r="E101" s="203">
        <v>13.75</v>
      </c>
      <c r="F101" s="202">
        <v>5</v>
      </c>
      <c r="G101" s="203">
        <v>7.1014677518187534</v>
      </c>
      <c r="H101" s="155">
        <f t="shared" si="1"/>
        <v>35.50733875909377</v>
      </c>
    </row>
    <row r="102" spans="1:8" ht="27" customHeight="1" x14ac:dyDescent="0.25">
      <c r="A102" s="202" t="s">
        <v>3296</v>
      </c>
      <c r="B102" s="202" t="s">
        <v>114</v>
      </c>
      <c r="C102" s="203" t="s">
        <v>117</v>
      </c>
      <c r="D102" s="202" t="s">
        <v>145</v>
      </c>
      <c r="E102" s="203">
        <v>13.100000000000001</v>
      </c>
      <c r="F102" s="202">
        <v>5</v>
      </c>
      <c r="G102" s="203">
        <v>7.5375300041262099</v>
      </c>
      <c r="H102" s="155">
        <f t="shared" si="1"/>
        <v>37.687650020631047</v>
      </c>
    </row>
    <row r="103" spans="1:8" ht="27" customHeight="1" x14ac:dyDescent="0.25">
      <c r="A103" s="202" t="s">
        <v>3284</v>
      </c>
      <c r="B103" s="202" t="s">
        <v>115</v>
      </c>
      <c r="C103" s="203" t="s">
        <v>117</v>
      </c>
      <c r="D103" s="202" t="s">
        <v>145</v>
      </c>
      <c r="E103" s="203">
        <v>15.649999999999999</v>
      </c>
      <c r="F103" s="202">
        <v>5</v>
      </c>
      <c r="G103" s="203">
        <v>3.8273681497718246</v>
      </c>
      <c r="H103" s="155">
        <f t="shared" si="1"/>
        <v>19.136840748859122</v>
      </c>
    </row>
    <row r="104" spans="1:8" ht="27" customHeight="1" x14ac:dyDescent="0.25">
      <c r="A104" s="202" t="s">
        <v>3166</v>
      </c>
      <c r="B104" s="202" t="s">
        <v>114</v>
      </c>
      <c r="C104" s="203" t="s">
        <v>117</v>
      </c>
      <c r="D104" s="202" t="s">
        <v>138</v>
      </c>
      <c r="E104" s="203">
        <v>43.088235294117602</v>
      </c>
      <c r="F104" s="202">
        <v>15</v>
      </c>
      <c r="G104" s="203">
        <v>5.2995066368921551</v>
      </c>
      <c r="H104" s="155">
        <f t="shared" si="1"/>
        <v>79.49259955338232</v>
      </c>
    </row>
    <row r="105" spans="1:8" ht="27" customHeight="1" x14ac:dyDescent="0.25">
      <c r="A105" s="202" t="s">
        <v>2906</v>
      </c>
      <c r="B105" s="202" t="s">
        <v>113</v>
      </c>
      <c r="C105" s="203" t="s">
        <v>117</v>
      </c>
      <c r="D105" s="202" t="s">
        <v>138</v>
      </c>
      <c r="E105" s="203">
        <v>49.699999999999996</v>
      </c>
      <c r="F105" s="202">
        <v>5</v>
      </c>
      <c r="G105" s="203">
        <v>12.480894003013093</v>
      </c>
      <c r="H105" s="155">
        <f t="shared" si="1"/>
        <v>62.404470015065463</v>
      </c>
    </row>
    <row r="106" spans="1:8" ht="27" customHeight="1" x14ac:dyDescent="0.25">
      <c r="A106" s="202" t="s">
        <v>3297</v>
      </c>
      <c r="B106" s="202" t="s">
        <v>115</v>
      </c>
      <c r="C106" s="203" t="s">
        <v>117</v>
      </c>
      <c r="D106" s="202" t="s">
        <v>145</v>
      </c>
      <c r="E106" s="203">
        <v>8.25</v>
      </c>
      <c r="F106" s="202">
        <v>5</v>
      </c>
      <c r="G106" s="203">
        <v>5.4398800246201766</v>
      </c>
      <c r="H106" s="155">
        <f t="shared" si="1"/>
        <v>27.199400123100883</v>
      </c>
    </row>
    <row r="107" spans="1:8" ht="27" customHeight="1" x14ac:dyDescent="0.25">
      <c r="A107" s="202" t="s">
        <v>3248</v>
      </c>
      <c r="B107" s="202" t="s">
        <v>114</v>
      </c>
      <c r="C107" s="203" t="s">
        <v>117</v>
      </c>
      <c r="D107" s="202" t="s">
        <v>138</v>
      </c>
      <c r="E107" s="203">
        <v>38.235294117647001</v>
      </c>
      <c r="F107" s="202">
        <v>20</v>
      </c>
      <c r="G107" s="203">
        <v>3.0632653536819912</v>
      </c>
      <c r="H107" s="155">
        <f t="shared" si="1"/>
        <v>61.265307073639825</v>
      </c>
    </row>
    <row r="108" spans="1:8" ht="27" customHeight="1" x14ac:dyDescent="0.25">
      <c r="A108" s="202" t="s">
        <v>3183</v>
      </c>
      <c r="B108" s="202" t="s">
        <v>113</v>
      </c>
      <c r="C108" s="203" t="s">
        <v>117</v>
      </c>
      <c r="D108" s="202" t="s">
        <v>145</v>
      </c>
      <c r="E108" s="203">
        <v>40</v>
      </c>
      <c r="F108" s="202">
        <v>20</v>
      </c>
      <c r="G108" s="203">
        <v>4.2575358164617958</v>
      </c>
      <c r="H108" s="155">
        <f t="shared" si="1"/>
        <v>85.150716329235919</v>
      </c>
    </row>
    <row r="109" spans="1:8" ht="27" customHeight="1" x14ac:dyDescent="0.25">
      <c r="A109" s="202" t="s">
        <v>3106</v>
      </c>
      <c r="B109" s="202" t="s">
        <v>113</v>
      </c>
      <c r="C109" s="203" t="s">
        <v>117</v>
      </c>
      <c r="D109" s="202" t="s">
        <v>138</v>
      </c>
      <c r="E109" s="203">
        <v>20</v>
      </c>
      <c r="F109" s="202">
        <v>5</v>
      </c>
      <c r="G109" s="203">
        <v>8.363457407506413</v>
      </c>
      <c r="H109" s="155">
        <f t="shared" si="1"/>
        <v>41.817287037532068</v>
      </c>
    </row>
    <row r="110" spans="1:8" ht="27" customHeight="1" x14ac:dyDescent="0.25">
      <c r="A110" s="202" t="s">
        <v>3261</v>
      </c>
      <c r="B110" s="202" t="s">
        <v>114</v>
      </c>
      <c r="C110" s="203" t="s">
        <v>117</v>
      </c>
      <c r="D110" s="202" t="s">
        <v>145</v>
      </c>
      <c r="E110" s="203">
        <v>43.6</v>
      </c>
      <c r="F110" s="202">
        <v>20</v>
      </c>
      <c r="G110" s="203">
        <v>6.3152945305099646</v>
      </c>
      <c r="H110" s="155">
        <f t="shared" si="1"/>
        <v>126.3058906101993</v>
      </c>
    </row>
    <row r="111" spans="1:8" ht="27" customHeight="1" x14ac:dyDescent="0.25">
      <c r="A111" s="202" t="s">
        <v>3125</v>
      </c>
      <c r="B111" s="202" t="s">
        <v>115</v>
      </c>
      <c r="C111" s="203" t="s">
        <v>117</v>
      </c>
      <c r="D111" s="202" t="s">
        <v>145</v>
      </c>
      <c r="E111" s="203">
        <v>4.1499999999999995</v>
      </c>
      <c r="F111" s="202">
        <v>5</v>
      </c>
      <c r="G111" s="203">
        <v>4.0140757221210093</v>
      </c>
      <c r="H111" s="155">
        <f t="shared" si="1"/>
        <v>20.070378610605047</v>
      </c>
    </row>
    <row r="112" spans="1:8" ht="27" customHeight="1" x14ac:dyDescent="0.25">
      <c r="A112" s="202" t="s">
        <v>3126</v>
      </c>
      <c r="B112" s="202" t="s">
        <v>115</v>
      </c>
      <c r="C112" s="203" t="s">
        <v>117</v>
      </c>
      <c r="D112" s="202" t="s">
        <v>145</v>
      </c>
      <c r="E112" s="203">
        <v>4.4000000000000004</v>
      </c>
      <c r="F112" s="202">
        <v>5</v>
      </c>
      <c r="G112" s="203">
        <v>4.0140757221210093</v>
      </c>
      <c r="H112" s="155">
        <f t="shared" si="1"/>
        <v>20.070378610605047</v>
      </c>
    </row>
    <row r="113" spans="1:8" ht="27" customHeight="1" x14ac:dyDescent="0.25">
      <c r="A113" s="202" t="s">
        <v>3127</v>
      </c>
      <c r="B113" s="202" t="s">
        <v>115</v>
      </c>
      <c r="C113" s="203" t="s">
        <v>117</v>
      </c>
      <c r="D113" s="202" t="s">
        <v>145</v>
      </c>
      <c r="E113" s="203">
        <v>4.8499999999999996</v>
      </c>
      <c r="F113" s="202">
        <v>5</v>
      </c>
      <c r="G113" s="203">
        <v>4.0140757221210093</v>
      </c>
      <c r="H113" s="155">
        <f t="shared" si="1"/>
        <v>20.070378610605047</v>
      </c>
    </row>
    <row r="114" spans="1:8" ht="27" customHeight="1" x14ac:dyDescent="0.25">
      <c r="A114" s="202" t="s">
        <v>3128</v>
      </c>
      <c r="B114" s="202" t="s">
        <v>115</v>
      </c>
      <c r="C114" s="203" t="s">
        <v>117</v>
      </c>
      <c r="D114" s="202" t="s">
        <v>145</v>
      </c>
      <c r="E114" s="203">
        <v>5</v>
      </c>
      <c r="F114" s="202">
        <v>5</v>
      </c>
      <c r="G114" s="203">
        <v>4.0140757221210093</v>
      </c>
      <c r="H114" s="155">
        <f t="shared" si="1"/>
        <v>20.070378610605047</v>
      </c>
    </row>
    <row r="115" spans="1:8" ht="27" customHeight="1" x14ac:dyDescent="0.25">
      <c r="A115" s="202" t="s">
        <v>3130</v>
      </c>
      <c r="B115" s="202" t="s">
        <v>115</v>
      </c>
      <c r="C115" s="203" t="s">
        <v>117</v>
      </c>
      <c r="D115" s="202" t="s">
        <v>145</v>
      </c>
      <c r="E115" s="203">
        <v>5</v>
      </c>
      <c r="F115" s="202">
        <v>5</v>
      </c>
      <c r="G115" s="203">
        <v>4.0140757221210093</v>
      </c>
      <c r="H115" s="155">
        <f t="shared" si="1"/>
        <v>20.070378610605047</v>
      </c>
    </row>
    <row r="116" spans="1:8" ht="27" customHeight="1" x14ac:dyDescent="0.25">
      <c r="A116" s="202" t="s">
        <v>3131</v>
      </c>
      <c r="B116" s="202" t="s">
        <v>115</v>
      </c>
      <c r="C116" s="203" t="s">
        <v>117</v>
      </c>
      <c r="D116" s="202" t="s">
        <v>145</v>
      </c>
      <c r="E116" s="203">
        <v>4.95</v>
      </c>
      <c r="F116" s="202">
        <v>5</v>
      </c>
      <c r="G116" s="203">
        <v>4.0140757221210093</v>
      </c>
      <c r="H116" s="155">
        <f t="shared" si="1"/>
        <v>20.070378610605047</v>
      </c>
    </row>
    <row r="117" spans="1:8" ht="27" customHeight="1" x14ac:dyDescent="0.25">
      <c r="A117" s="202" t="s">
        <v>3132</v>
      </c>
      <c r="B117" s="202" t="s">
        <v>115</v>
      </c>
      <c r="C117" s="203" t="s">
        <v>117</v>
      </c>
      <c r="D117" s="202" t="s">
        <v>145</v>
      </c>
      <c r="E117" s="203">
        <v>5.6999999999999993</v>
      </c>
      <c r="F117" s="202">
        <v>5</v>
      </c>
      <c r="G117" s="203">
        <v>4.0140757221210093</v>
      </c>
      <c r="H117" s="155">
        <f t="shared" si="1"/>
        <v>20.070378610605047</v>
      </c>
    </row>
    <row r="118" spans="1:8" ht="27" customHeight="1" x14ac:dyDescent="0.25">
      <c r="A118" s="202" t="s">
        <v>3133</v>
      </c>
      <c r="B118" s="202" t="s">
        <v>115</v>
      </c>
      <c r="C118" s="203" t="s">
        <v>117</v>
      </c>
      <c r="D118" s="202" t="s">
        <v>145</v>
      </c>
      <c r="E118" s="203">
        <v>4.8</v>
      </c>
      <c r="F118" s="202">
        <v>5</v>
      </c>
      <c r="G118" s="203">
        <v>4.0140757221210093</v>
      </c>
      <c r="H118" s="155">
        <f t="shared" si="1"/>
        <v>20.070378610605047</v>
      </c>
    </row>
    <row r="119" spans="1:8" ht="27" customHeight="1" x14ac:dyDescent="0.25">
      <c r="A119" s="202" t="s">
        <v>3298</v>
      </c>
      <c r="B119" s="202" t="s">
        <v>114</v>
      </c>
      <c r="C119" s="203" t="s">
        <v>3304</v>
      </c>
      <c r="D119" s="202" t="s">
        <v>2992</v>
      </c>
      <c r="E119" s="203">
        <v>2.64</v>
      </c>
      <c r="F119" s="202">
        <v>2</v>
      </c>
      <c r="G119" s="203">
        <v>41.349010189408112</v>
      </c>
      <c r="H119" s="155">
        <f t="shared" si="1"/>
        <v>82.698020378816224</v>
      </c>
    </row>
    <row r="120" spans="1:8" ht="27" customHeight="1" x14ac:dyDescent="0.25">
      <c r="A120" s="202" t="s">
        <v>3299</v>
      </c>
      <c r="B120" s="202" t="s">
        <v>114</v>
      </c>
      <c r="C120" s="203" t="s">
        <v>3304</v>
      </c>
      <c r="D120" s="202" t="s">
        <v>2992</v>
      </c>
      <c r="E120" s="203">
        <v>2.34</v>
      </c>
      <c r="F120" s="202">
        <v>2</v>
      </c>
      <c r="G120" s="203">
        <v>37.081878535894596</v>
      </c>
      <c r="H120" s="155">
        <f t="shared" si="1"/>
        <v>74.163757071789192</v>
      </c>
    </row>
    <row r="121" spans="1:8" ht="30" customHeight="1" x14ac:dyDescent="0.25">
      <c r="A121" s="204" t="s">
        <v>2893</v>
      </c>
      <c r="B121" s="204"/>
      <c r="C121" s="204"/>
      <c r="D121" s="204"/>
      <c r="E121" s="205">
        <f ca="1">SUM(E21:OFFSET(E121,-1,0))</f>
        <v>5440.5917419712578</v>
      </c>
      <c r="F121" s="205"/>
      <c r="G121" s="206"/>
      <c r="H121" s="155">
        <f ca="1">SUM(H21:OFFSET(H121,-1,0))</f>
        <v>9013.325875997105</v>
      </c>
    </row>
    <row r="122" spans="1:8" ht="21" x14ac:dyDescent="0.3">
      <c r="A122" s="94" t="s">
        <v>148</v>
      </c>
      <c r="B122" s="95"/>
      <c r="C122" s="79"/>
      <c r="D122" s="79"/>
      <c r="E122" s="80"/>
      <c r="F122" s="69" t="s">
        <v>132</v>
      </c>
      <c r="G122" s="158"/>
      <c r="H122" s="156">
        <v>100</v>
      </c>
    </row>
    <row r="123" spans="1:8" ht="15" customHeight="1" x14ac:dyDescent="0.3">
      <c r="A123" s="250" cm="1">
        <f t="array" ref="A123">boxesNumber[]</f>
        <v>3</v>
      </c>
      <c r="B123" s="77"/>
      <c r="C123" s="4"/>
      <c r="D123" s="4"/>
      <c r="E123" s="75"/>
      <c r="F123" s="69" t="s">
        <v>133</v>
      </c>
      <c r="G123" s="158"/>
      <c r="H123" s="156">
        <f ca="1">OFFSET(H122,-1,0)*0.005</f>
        <v>45.066629379985528</v>
      </c>
    </row>
    <row r="124" spans="1:8" ht="15.75" customHeight="1" x14ac:dyDescent="0.3">
      <c r="A124" s="250"/>
      <c r="B124" s="96"/>
      <c r="C124" s="81"/>
      <c r="D124" s="81"/>
      <c r="E124" s="78"/>
      <c r="F124" s="69" t="s">
        <v>134</v>
      </c>
      <c r="G124" s="158"/>
      <c r="H124" s="159">
        <v>0</v>
      </c>
    </row>
    <row r="125" spans="1:8" ht="15" customHeight="1" x14ac:dyDescent="0.25">
      <c r="A125" s="241" t="s">
        <v>2894</v>
      </c>
      <c r="B125" s="265"/>
      <c r="C125" s="265"/>
      <c r="D125" s="265"/>
      <c r="E125" s="266"/>
      <c r="F125" s="232" t="s">
        <v>119</v>
      </c>
      <c r="G125" s="275">
        <f ca="1">SUM(H121:H124)</f>
        <v>9158.3925053770909</v>
      </c>
      <c r="H125" s="276"/>
    </row>
    <row r="126" spans="1:8" ht="15" customHeight="1" x14ac:dyDescent="0.25">
      <c r="A126" s="267"/>
      <c r="B126" s="268"/>
      <c r="C126" s="268"/>
      <c r="D126" s="268"/>
      <c r="E126" s="269"/>
      <c r="F126" s="234"/>
      <c r="G126" s="277"/>
      <c r="H126" s="278"/>
    </row>
    <row r="127" spans="1:8" ht="15" customHeight="1" x14ac:dyDescent="0.25">
      <c r="A127" s="267"/>
      <c r="B127" s="268"/>
      <c r="C127" s="268"/>
      <c r="D127" s="268"/>
      <c r="E127" s="269"/>
      <c r="F127" s="234"/>
      <c r="G127" s="277"/>
      <c r="H127" s="278"/>
    </row>
    <row r="128" spans="1:8" x14ac:dyDescent="0.25">
      <c r="A128" s="270"/>
      <c r="B128" s="271"/>
      <c r="C128" s="271"/>
      <c r="D128" s="271"/>
      <c r="E128" s="272"/>
      <c r="F128" s="236"/>
      <c r="G128" s="279"/>
      <c r="H128" s="280"/>
    </row>
    <row r="129" spans="1:8" ht="15" customHeight="1" x14ac:dyDescent="0.25">
      <c r="A129" s="36"/>
      <c r="B129" s="37"/>
      <c r="C129" s="37"/>
      <c r="D129" s="37"/>
      <c r="E129" s="37"/>
      <c r="F129" s="37"/>
      <c r="G129" s="37"/>
      <c r="H129" s="75"/>
    </row>
    <row r="130" spans="1:8" x14ac:dyDescent="0.25">
      <c r="A130" s="36"/>
      <c r="B130" s="37"/>
      <c r="C130" s="37"/>
      <c r="D130" s="37"/>
      <c r="E130" s="37"/>
      <c r="F130" s="37"/>
      <c r="G130" s="37"/>
      <c r="H130" s="75"/>
    </row>
    <row r="131" spans="1:8" x14ac:dyDescent="0.25">
      <c r="A131" s="38"/>
      <c r="B131" s="39"/>
      <c r="C131" s="39"/>
      <c r="D131" s="39"/>
      <c r="E131" s="40"/>
      <c r="F131" s="40"/>
      <c r="G131" s="40"/>
      <c r="H131" s="75"/>
    </row>
    <row r="132" spans="1:8" x14ac:dyDescent="0.25">
      <c r="A132" s="71" t="s">
        <v>135</v>
      </c>
      <c r="B132" s="51"/>
      <c r="C132" s="51"/>
      <c r="D132" s="52"/>
      <c r="E132" s="50"/>
      <c r="F132" s="50"/>
      <c r="G132" s="50"/>
      <c r="H132" s="75"/>
    </row>
    <row r="133" spans="1:8" x14ac:dyDescent="0.25">
      <c r="A133" s="41"/>
      <c r="B133" s="35"/>
      <c r="C133" s="35"/>
      <c r="D133" s="30"/>
      <c r="E133" s="30"/>
      <c r="F133" s="30"/>
      <c r="G133" s="42"/>
      <c r="H133" s="75"/>
    </row>
    <row r="134" spans="1:8" x14ac:dyDescent="0.25">
      <c r="A134" s="46"/>
      <c r="B134" s="47"/>
      <c r="C134" s="47"/>
      <c r="D134" s="47"/>
      <c r="E134" s="47"/>
      <c r="F134" s="47"/>
      <c r="G134" s="48"/>
      <c r="H134" s="78"/>
    </row>
  </sheetData>
  <mergeCells count="8">
    <mergeCell ref="A125:E128"/>
    <mergeCell ref="A1:H1"/>
    <mergeCell ref="D5:H9"/>
    <mergeCell ref="D13:H19"/>
    <mergeCell ref="A5:C9"/>
    <mergeCell ref="A123:A124"/>
    <mergeCell ref="G125:H128"/>
    <mergeCell ref="F125:F128"/>
  </mergeCells>
  <pageMargins left="0" right="0" top="0" bottom="0" header="0" footer="0"/>
  <pageSetup paperSize="9" scale="83" fitToHeight="0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69D3F7-F486-4878-B61B-D0F8140FF320}">
  <sheetPr codeName="USManual">
    <pageSetUpPr fitToPage="1"/>
  </sheetPr>
  <dimension ref="A1:L75"/>
  <sheetViews>
    <sheetView workbookViewId="0">
      <selection activeCell="A69" sqref="A69:A70"/>
    </sheetView>
  </sheetViews>
  <sheetFormatPr defaultRowHeight="15" x14ac:dyDescent="0.25"/>
  <cols>
    <col min="1" max="1" width="27.42578125" customWidth="1"/>
    <col min="3" max="3" width="9.28515625" customWidth="1"/>
    <col min="4" max="4" width="12.7109375" customWidth="1"/>
    <col min="5" max="5" width="10.85546875" customWidth="1"/>
    <col min="6" max="6" width="11.85546875" customWidth="1"/>
  </cols>
  <sheetData>
    <row r="1" spans="1:12" ht="18" x14ac:dyDescent="0.25">
      <c r="A1" s="282" t="s">
        <v>3031</v>
      </c>
      <c r="B1" s="283"/>
      <c r="C1" s="283"/>
      <c r="D1" s="283"/>
      <c r="E1" s="283"/>
      <c r="F1" s="283"/>
    </row>
    <row r="2" spans="1:12" x14ac:dyDescent="0.25">
      <c r="A2" s="284" t="s">
        <v>120</v>
      </c>
      <c r="B2" s="284"/>
      <c r="C2" s="284"/>
      <c r="D2" s="285" t="s">
        <v>121</v>
      </c>
      <c r="E2" s="285"/>
      <c r="F2" s="285"/>
      <c r="J2" s="32"/>
    </row>
    <row r="3" spans="1:12" x14ac:dyDescent="0.25">
      <c r="A3" s="286">
        <f>USInvoice!A3</f>
        <v>44538</v>
      </c>
      <c r="B3" s="286"/>
      <c r="C3" s="286"/>
      <c r="D3" s="117" t="str">
        <f>USInvoice!D3</f>
        <v>FBA15FKLH7CH</v>
      </c>
      <c r="E3" s="117"/>
      <c r="F3" s="117"/>
    </row>
    <row r="4" spans="1:12" x14ac:dyDescent="0.25">
      <c r="A4" s="281" t="s">
        <v>123</v>
      </c>
      <c r="B4" s="281"/>
      <c r="C4" s="281"/>
      <c r="D4" s="281" t="s">
        <v>124</v>
      </c>
      <c r="E4" s="281"/>
      <c r="F4" s="281"/>
    </row>
    <row r="5" spans="1:12" x14ac:dyDescent="0.25">
      <c r="A5" s="288" t="s">
        <v>139</v>
      </c>
      <c r="B5" s="289"/>
      <c r="C5" s="290"/>
      <c r="D5" s="291" t="s">
        <v>139</v>
      </c>
      <c r="E5" s="291"/>
      <c r="F5" s="292"/>
    </row>
    <row r="6" spans="1:12" x14ac:dyDescent="0.25">
      <c r="A6" s="293" t="s">
        <v>140</v>
      </c>
      <c r="B6" s="294"/>
      <c r="C6" s="295"/>
      <c r="D6" s="296" t="s">
        <v>140</v>
      </c>
      <c r="E6" s="296"/>
      <c r="F6" s="297"/>
    </row>
    <row r="7" spans="1:12" x14ac:dyDescent="0.25">
      <c r="A7" s="293" t="s">
        <v>141</v>
      </c>
      <c r="B7" s="294"/>
      <c r="C7" s="295"/>
      <c r="D7" s="296" t="s">
        <v>141</v>
      </c>
      <c r="E7" s="296"/>
      <c r="F7" s="297"/>
    </row>
    <row r="8" spans="1:12" x14ac:dyDescent="0.25">
      <c r="A8" s="293" t="s">
        <v>142</v>
      </c>
      <c r="B8" s="294"/>
      <c r="C8" s="295"/>
      <c r="D8" s="296" t="s">
        <v>142</v>
      </c>
      <c r="E8" s="296"/>
      <c r="F8" s="297"/>
    </row>
    <row r="9" spans="1:12" x14ac:dyDescent="0.25">
      <c r="A9" s="298" t="s">
        <v>118</v>
      </c>
      <c r="B9" s="299"/>
      <c r="C9" s="300"/>
      <c r="D9" s="301" t="s">
        <v>118</v>
      </c>
      <c r="E9" s="301"/>
      <c r="F9" s="302"/>
      <c r="L9" s="31"/>
    </row>
    <row r="10" spans="1:12" x14ac:dyDescent="0.25">
      <c r="A10" s="303" t="s">
        <v>152</v>
      </c>
      <c r="B10" s="303"/>
      <c r="C10" s="303"/>
      <c r="D10" s="303"/>
      <c r="E10" s="303"/>
      <c r="F10" s="303"/>
    </row>
    <row r="11" spans="1:12" x14ac:dyDescent="0.25">
      <c r="A11" s="287" t="str">
        <f>USInvoice!A13</f>
        <v>FR 21-12-04</v>
      </c>
      <c r="B11" s="287"/>
      <c r="C11" s="287"/>
      <c r="D11" s="287"/>
      <c r="E11" s="287"/>
      <c r="F11" s="287"/>
    </row>
    <row r="12" spans="1:12" ht="21" x14ac:dyDescent="0.25">
      <c r="A12" s="123" t="s">
        <v>2888</v>
      </c>
      <c r="B12" s="34" t="s">
        <v>129</v>
      </c>
      <c r="C12" s="34" t="s">
        <v>2889</v>
      </c>
      <c r="D12" s="34" t="s">
        <v>2977</v>
      </c>
      <c r="E12" s="34" t="s">
        <v>2990</v>
      </c>
      <c r="F12" s="124" t="s">
        <v>130</v>
      </c>
    </row>
    <row r="13" spans="1:12" x14ac:dyDescent="0.25">
      <c r="A13" s="202" t="s">
        <v>2908</v>
      </c>
      <c r="B13" s="202" t="s">
        <v>114</v>
      </c>
      <c r="C13" s="202" t="s">
        <v>117</v>
      </c>
      <c r="D13" s="202" t="s">
        <v>138</v>
      </c>
      <c r="E13" s="202">
        <v>89.1</v>
      </c>
      <c r="F13" s="202">
        <v>5</v>
      </c>
    </row>
    <row r="14" spans="1:12" x14ac:dyDescent="0.25">
      <c r="A14" s="202" t="s">
        <v>2907</v>
      </c>
      <c r="B14" s="202" t="s">
        <v>114</v>
      </c>
      <c r="C14" s="202" t="s">
        <v>117</v>
      </c>
      <c r="D14" s="202" t="s">
        <v>138</v>
      </c>
      <c r="E14" s="202">
        <v>39.67</v>
      </c>
      <c r="F14" s="202">
        <v>20</v>
      </c>
    </row>
    <row r="15" spans="1:12" x14ac:dyDescent="0.25">
      <c r="A15" s="202" t="s">
        <v>3165</v>
      </c>
      <c r="B15" s="202" t="s">
        <v>114</v>
      </c>
      <c r="C15" s="202" t="s">
        <v>117</v>
      </c>
      <c r="D15" s="202" t="s">
        <v>138</v>
      </c>
      <c r="E15" s="202">
        <v>54.15</v>
      </c>
      <c r="F15" s="202">
        <v>25</v>
      </c>
    </row>
    <row r="16" spans="1:12" x14ac:dyDescent="0.25">
      <c r="A16" s="202" t="s">
        <v>3166</v>
      </c>
      <c r="B16" s="202" t="s">
        <v>114</v>
      </c>
      <c r="C16" s="202" t="s">
        <v>117</v>
      </c>
      <c r="D16" s="202" t="s">
        <v>138</v>
      </c>
      <c r="E16" s="202">
        <v>43.09</v>
      </c>
      <c r="F16" s="202">
        <v>15</v>
      </c>
    </row>
    <row r="17" spans="1:6" x14ac:dyDescent="0.25">
      <c r="A17" s="202" t="s">
        <v>3055</v>
      </c>
      <c r="B17" s="202" t="s">
        <v>114</v>
      </c>
      <c r="C17" s="202" t="s">
        <v>117</v>
      </c>
      <c r="D17" s="202" t="s">
        <v>138</v>
      </c>
      <c r="E17" s="202">
        <v>25.47</v>
      </c>
      <c r="F17" s="202">
        <v>5</v>
      </c>
    </row>
    <row r="18" spans="1:6" x14ac:dyDescent="0.25">
      <c r="A18" s="202" t="s">
        <v>3056</v>
      </c>
      <c r="B18" s="202" t="s">
        <v>114</v>
      </c>
      <c r="C18" s="202" t="s">
        <v>117</v>
      </c>
      <c r="D18" s="202" t="s">
        <v>138</v>
      </c>
      <c r="E18" s="202">
        <v>195.98</v>
      </c>
      <c r="F18" s="202">
        <v>25</v>
      </c>
    </row>
    <row r="19" spans="1:6" x14ac:dyDescent="0.25">
      <c r="A19" s="202" t="s">
        <v>3037</v>
      </c>
      <c r="B19" s="202" t="s">
        <v>114</v>
      </c>
      <c r="C19" s="202" t="s">
        <v>117</v>
      </c>
      <c r="D19" s="202" t="s">
        <v>138</v>
      </c>
      <c r="E19" s="202">
        <v>126</v>
      </c>
      <c r="F19" s="202">
        <v>10</v>
      </c>
    </row>
    <row r="20" spans="1:6" x14ac:dyDescent="0.25">
      <c r="A20" s="202" t="s">
        <v>3058</v>
      </c>
      <c r="B20" s="202" t="s">
        <v>113</v>
      </c>
      <c r="C20" s="202" t="s">
        <v>117</v>
      </c>
      <c r="D20" s="202" t="s">
        <v>138</v>
      </c>
      <c r="E20" s="202">
        <v>9.8000000000000007</v>
      </c>
      <c r="F20" s="202">
        <v>5</v>
      </c>
    </row>
    <row r="21" spans="1:6" x14ac:dyDescent="0.25">
      <c r="A21" s="202" t="s">
        <v>3220</v>
      </c>
      <c r="B21" s="202" t="s">
        <v>114</v>
      </c>
      <c r="C21" s="202" t="s">
        <v>117</v>
      </c>
      <c r="D21" s="202" t="s">
        <v>138</v>
      </c>
      <c r="E21" s="202">
        <v>13.85</v>
      </c>
      <c r="F21" s="202">
        <v>5</v>
      </c>
    </row>
    <row r="22" spans="1:6" x14ac:dyDescent="0.25">
      <c r="A22" s="202" t="s">
        <v>2898</v>
      </c>
      <c r="B22" s="202" t="s">
        <v>113</v>
      </c>
      <c r="C22" s="202" t="s">
        <v>117</v>
      </c>
      <c r="D22" s="202" t="s">
        <v>138</v>
      </c>
      <c r="E22" s="202">
        <v>27.61</v>
      </c>
      <c r="F22" s="202">
        <v>10</v>
      </c>
    </row>
    <row r="23" spans="1:6" x14ac:dyDescent="0.25">
      <c r="A23" s="202" t="s">
        <v>3065</v>
      </c>
      <c r="B23" s="202" t="s">
        <v>113</v>
      </c>
      <c r="C23" s="202" t="s">
        <v>117</v>
      </c>
      <c r="D23" s="202" t="s">
        <v>138</v>
      </c>
      <c r="E23" s="202">
        <v>75.569999999999993</v>
      </c>
      <c r="F23" s="202">
        <v>20</v>
      </c>
    </row>
    <row r="24" spans="1:6" x14ac:dyDescent="0.25">
      <c r="A24" s="202" t="s">
        <v>3289</v>
      </c>
      <c r="B24" s="202" t="s">
        <v>113</v>
      </c>
      <c r="C24" s="202" t="s">
        <v>117</v>
      </c>
      <c r="D24" s="202" t="s">
        <v>138</v>
      </c>
      <c r="E24" s="202">
        <v>28.56</v>
      </c>
      <c r="F24" s="202">
        <v>10</v>
      </c>
    </row>
    <row r="25" spans="1:6" x14ac:dyDescent="0.25">
      <c r="A25" s="202" t="s">
        <v>3072</v>
      </c>
      <c r="B25" s="202" t="s">
        <v>113</v>
      </c>
      <c r="C25" s="202" t="s">
        <v>117</v>
      </c>
      <c r="D25" s="202" t="s">
        <v>138</v>
      </c>
      <c r="E25" s="202">
        <v>11.83</v>
      </c>
      <c r="F25" s="202">
        <v>5</v>
      </c>
    </row>
    <row r="26" spans="1:6" x14ac:dyDescent="0.25">
      <c r="A26" s="202" t="s">
        <v>2906</v>
      </c>
      <c r="B26" s="202" t="s">
        <v>113</v>
      </c>
      <c r="C26" s="202" t="s">
        <v>117</v>
      </c>
      <c r="D26" s="202" t="s">
        <v>138</v>
      </c>
      <c r="E26" s="202">
        <v>49.7</v>
      </c>
      <c r="F26" s="202">
        <v>5</v>
      </c>
    </row>
    <row r="27" spans="1:6" x14ac:dyDescent="0.25">
      <c r="A27" s="202" t="s">
        <v>3228</v>
      </c>
      <c r="B27" s="202" t="s">
        <v>114</v>
      </c>
      <c r="C27" s="202" t="s">
        <v>117</v>
      </c>
      <c r="D27" s="202" t="s">
        <v>138</v>
      </c>
      <c r="E27" s="202">
        <v>59.8</v>
      </c>
      <c r="F27" s="202">
        <v>10</v>
      </c>
    </row>
    <row r="28" spans="1:6" x14ac:dyDescent="0.25">
      <c r="A28" s="202" t="s">
        <v>3229</v>
      </c>
      <c r="B28" s="202" t="s">
        <v>114</v>
      </c>
      <c r="C28" s="202" t="s">
        <v>117</v>
      </c>
      <c r="D28" s="202" t="s">
        <v>138</v>
      </c>
      <c r="E28" s="202">
        <v>93.9</v>
      </c>
      <c r="F28" s="202">
        <v>15</v>
      </c>
    </row>
    <row r="29" spans="1:6" x14ac:dyDescent="0.25">
      <c r="A29" s="202" t="s">
        <v>2899</v>
      </c>
      <c r="B29" s="202" t="s">
        <v>114</v>
      </c>
      <c r="C29" s="202" t="s">
        <v>117</v>
      </c>
      <c r="D29" s="202" t="s">
        <v>138</v>
      </c>
      <c r="E29" s="202">
        <v>70.03</v>
      </c>
      <c r="F29" s="202">
        <v>35</v>
      </c>
    </row>
    <row r="30" spans="1:6" x14ac:dyDescent="0.25">
      <c r="A30" s="202" t="s">
        <v>3231</v>
      </c>
      <c r="B30" s="202" t="s">
        <v>114</v>
      </c>
      <c r="C30" s="202" t="s">
        <v>117</v>
      </c>
      <c r="D30" s="202" t="s">
        <v>138</v>
      </c>
      <c r="E30" s="202">
        <v>110.69</v>
      </c>
      <c r="F30" s="202">
        <v>50</v>
      </c>
    </row>
    <row r="31" spans="1:6" x14ac:dyDescent="0.25">
      <c r="A31" s="202" t="s">
        <v>3074</v>
      </c>
      <c r="B31" s="202" t="s">
        <v>114</v>
      </c>
      <c r="C31" s="202" t="s">
        <v>117</v>
      </c>
      <c r="D31" s="202" t="s">
        <v>138</v>
      </c>
      <c r="E31" s="202">
        <v>57.94</v>
      </c>
      <c r="F31" s="202">
        <v>20</v>
      </c>
    </row>
    <row r="32" spans="1:6" x14ac:dyDescent="0.25">
      <c r="A32" s="202" t="s">
        <v>2904</v>
      </c>
      <c r="B32" s="202" t="s">
        <v>114</v>
      </c>
      <c r="C32" s="202" t="s">
        <v>117</v>
      </c>
      <c r="D32" s="202" t="s">
        <v>138</v>
      </c>
      <c r="E32" s="202">
        <v>191.32</v>
      </c>
      <c r="F32" s="202">
        <v>50</v>
      </c>
    </row>
    <row r="33" spans="1:6" x14ac:dyDescent="0.25">
      <c r="A33" s="202" t="s">
        <v>3077</v>
      </c>
      <c r="B33" s="202" t="s">
        <v>114</v>
      </c>
      <c r="C33" s="202" t="s">
        <v>117</v>
      </c>
      <c r="D33" s="202" t="s">
        <v>138</v>
      </c>
      <c r="E33" s="202">
        <v>34.65</v>
      </c>
      <c r="F33" s="202">
        <v>5</v>
      </c>
    </row>
    <row r="34" spans="1:6" x14ac:dyDescent="0.25">
      <c r="A34" s="202" t="s">
        <v>3078</v>
      </c>
      <c r="B34" s="202" t="s">
        <v>114</v>
      </c>
      <c r="C34" s="202" t="s">
        <v>117</v>
      </c>
      <c r="D34" s="202" t="s">
        <v>138</v>
      </c>
      <c r="E34" s="202">
        <v>43.1</v>
      </c>
      <c r="F34" s="202">
        <v>5</v>
      </c>
    </row>
    <row r="35" spans="1:6" x14ac:dyDescent="0.25">
      <c r="A35" s="202" t="s">
        <v>3080</v>
      </c>
      <c r="B35" s="202" t="s">
        <v>114</v>
      </c>
      <c r="C35" s="202" t="s">
        <v>117</v>
      </c>
      <c r="D35" s="202" t="s">
        <v>138</v>
      </c>
      <c r="E35" s="202">
        <v>17.8</v>
      </c>
      <c r="F35" s="202">
        <v>10</v>
      </c>
    </row>
    <row r="36" spans="1:6" x14ac:dyDescent="0.25">
      <c r="A36" s="202" t="s">
        <v>2903</v>
      </c>
      <c r="B36" s="202" t="s">
        <v>114</v>
      </c>
      <c r="C36" s="202" t="s">
        <v>117</v>
      </c>
      <c r="D36" s="202" t="s">
        <v>138</v>
      </c>
      <c r="E36" s="202">
        <v>9.4</v>
      </c>
      <c r="F36" s="202">
        <v>5</v>
      </c>
    </row>
    <row r="37" spans="1:6" x14ac:dyDescent="0.25">
      <c r="A37" s="202" t="s">
        <v>2905</v>
      </c>
      <c r="B37" s="202" t="s">
        <v>114</v>
      </c>
      <c r="C37" s="202" t="s">
        <v>117</v>
      </c>
      <c r="D37" s="202" t="s">
        <v>138</v>
      </c>
      <c r="E37" s="202">
        <v>61.25</v>
      </c>
      <c r="F37" s="202">
        <v>25</v>
      </c>
    </row>
    <row r="38" spans="1:6" x14ac:dyDescent="0.25">
      <c r="A38" s="202" t="s">
        <v>3234</v>
      </c>
      <c r="B38" s="202" t="s">
        <v>114</v>
      </c>
      <c r="C38" s="202" t="s">
        <v>117</v>
      </c>
      <c r="D38" s="202" t="s">
        <v>138</v>
      </c>
      <c r="E38" s="202">
        <v>222</v>
      </c>
      <c r="F38" s="202">
        <v>100</v>
      </c>
    </row>
    <row r="39" spans="1:6" x14ac:dyDescent="0.25">
      <c r="A39" s="202" t="s">
        <v>3235</v>
      </c>
      <c r="B39" s="202" t="s">
        <v>114</v>
      </c>
      <c r="C39" s="202" t="s">
        <v>117</v>
      </c>
      <c r="D39" s="202" t="s">
        <v>138</v>
      </c>
      <c r="E39" s="202">
        <v>163.1</v>
      </c>
      <c r="F39" s="202">
        <v>70</v>
      </c>
    </row>
    <row r="40" spans="1:6" x14ac:dyDescent="0.25">
      <c r="A40" s="202" t="s">
        <v>2900</v>
      </c>
      <c r="B40" s="202" t="s">
        <v>114</v>
      </c>
      <c r="C40" s="202" t="s">
        <v>117</v>
      </c>
      <c r="D40" s="202" t="s">
        <v>138</v>
      </c>
      <c r="E40" s="202">
        <v>230.26</v>
      </c>
      <c r="F40" s="202">
        <v>45</v>
      </c>
    </row>
    <row r="41" spans="1:6" x14ac:dyDescent="0.25">
      <c r="A41" s="202" t="s">
        <v>3081</v>
      </c>
      <c r="B41" s="202" t="s">
        <v>114</v>
      </c>
      <c r="C41" s="202" t="s">
        <v>117</v>
      </c>
      <c r="D41" s="202" t="s">
        <v>138</v>
      </c>
      <c r="E41" s="202">
        <v>472.35</v>
      </c>
      <c r="F41" s="202">
        <v>55</v>
      </c>
    </row>
    <row r="42" spans="1:6" x14ac:dyDescent="0.25">
      <c r="A42" s="202" t="s">
        <v>3176</v>
      </c>
      <c r="B42" s="202" t="s">
        <v>114</v>
      </c>
      <c r="C42" s="202" t="s">
        <v>117</v>
      </c>
      <c r="D42" s="202" t="s">
        <v>138</v>
      </c>
      <c r="E42" s="202">
        <v>18.64</v>
      </c>
      <c r="F42" s="202">
        <v>5</v>
      </c>
    </row>
    <row r="43" spans="1:6" x14ac:dyDescent="0.25">
      <c r="A43" s="202" t="s">
        <v>3003</v>
      </c>
      <c r="B43" s="202" t="s">
        <v>114</v>
      </c>
      <c r="C43" s="202" t="s">
        <v>117</v>
      </c>
      <c r="D43" s="202" t="s">
        <v>138</v>
      </c>
      <c r="E43" s="202">
        <v>22.27</v>
      </c>
      <c r="F43" s="202">
        <v>5</v>
      </c>
    </row>
    <row r="44" spans="1:6" x14ac:dyDescent="0.25">
      <c r="A44" s="202" t="s">
        <v>3241</v>
      </c>
      <c r="B44" s="202" t="s">
        <v>114</v>
      </c>
      <c r="C44" s="202" t="s">
        <v>117</v>
      </c>
      <c r="D44" s="202" t="s">
        <v>138</v>
      </c>
      <c r="E44" s="202">
        <v>47.66</v>
      </c>
      <c r="F44" s="202">
        <v>5</v>
      </c>
    </row>
    <row r="45" spans="1:6" x14ac:dyDescent="0.25">
      <c r="A45" s="202" t="s">
        <v>3082</v>
      </c>
      <c r="B45" s="202" t="s">
        <v>114</v>
      </c>
      <c r="C45" s="202" t="s">
        <v>117</v>
      </c>
      <c r="D45" s="202" t="s">
        <v>138</v>
      </c>
      <c r="E45" s="202">
        <v>12.71</v>
      </c>
      <c r="F45" s="202">
        <v>5</v>
      </c>
    </row>
    <row r="46" spans="1:6" x14ac:dyDescent="0.25">
      <c r="A46" s="202" t="s">
        <v>3083</v>
      </c>
      <c r="B46" s="202" t="s">
        <v>114</v>
      </c>
      <c r="C46" s="202" t="s">
        <v>117</v>
      </c>
      <c r="D46" s="202" t="s">
        <v>138</v>
      </c>
      <c r="E46" s="202">
        <v>81.52</v>
      </c>
      <c r="F46" s="202">
        <v>25</v>
      </c>
    </row>
    <row r="47" spans="1:6" x14ac:dyDescent="0.25">
      <c r="A47" s="202" t="s">
        <v>3290</v>
      </c>
      <c r="B47" s="202" t="s">
        <v>114</v>
      </c>
      <c r="C47" s="202" t="s">
        <v>117</v>
      </c>
      <c r="D47" s="202" t="s">
        <v>138</v>
      </c>
      <c r="E47" s="202">
        <v>73.94</v>
      </c>
      <c r="F47" s="202">
        <v>20</v>
      </c>
    </row>
    <row r="48" spans="1:6" x14ac:dyDescent="0.25">
      <c r="A48" s="202" t="s">
        <v>3084</v>
      </c>
      <c r="B48" s="202" t="s">
        <v>114</v>
      </c>
      <c r="C48" s="202" t="s">
        <v>117</v>
      </c>
      <c r="D48" s="202" t="s">
        <v>138</v>
      </c>
      <c r="E48" s="202">
        <v>27.72</v>
      </c>
      <c r="F48" s="202">
        <v>15</v>
      </c>
    </row>
    <row r="49" spans="1:6" x14ac:dyDescent="0.25">
      <c r="A49" s="202" t="s">
        <v>3243</v>
      </c>
      <c r="B49" s="202" t="s">
        <v>114</v>
      </c>
      <c r="C49" s="202" t="s">
        <v>117</v>
      </c>
      <c r="D49" s="202" t="s">
        <v>138</v>
      </c>
      <c r="E49" s="202">
        <v>19.55</v>
      </c>
      <c r="F49" s="202">
        <v>10</v>
      </c>
    </row>
    <row r="50" spans="1:6" x14ac:dyDescent="0.25">
      <c r="A50" s="202" t="s">
        <v>3291</v>
      </c>
      <c r="B50" s="202" t="s">
        <v>114</v>
      </c>
      <c r="C50" s="202" t="s">
        <v>117</v>
      </c>
      <c r="D50" s="202" t="s">
        <v>138</v>
      </c>
      <c r="E50" s="202">
        <v>10.32</v>
      </c>
      <c r="F50" s="202">
        <v>5</v>
      </c>
    </row>
    <row r="51" spans="1:6" x14ac:dyDescent="0.25">
      <c r="A51" s="202" t="s">
        <v>3244</v>
      </c>
      <c r="B51" s="202" t="s">
        <v>114</v>
      </c>
      <c r="C51" s="202" t="s">
        <v>117</v>
      </c>
      <c r="D51" s="202" t="s">
        <v>138</v>
      </c>
      <c r="E51" s="202">
        <v>84.3</v>
      </c>
      <c r="F51" s="202">
        <v>30</v>
      </c>
    </row>
    <row r="52" spans="1:6" x14ac:dyDescent="0.25">
      <c r="A52" s="202" t="s">
        <v>3086</v>
      </c>
      <c r="B52" s="202" t="s">
        <v>114</v>
      </c>
      <c r="C52" s="202" t="s">
        <v>117</v>
      </c>
      <c r="D52" s="202" t="s">
        <v>138</v>
      </c>
      <c r="E52" s="202">
        <v>83.37</v>
      </c>
      <c r="F52" s="202">
        <v>40</v>
      </c>
    </row>
    <row r="53" spans="1:6" x14ac:dyDescent="0.25">
      <c r="A53" s="202" t="s">
        <v>3087</v>
      </c>
      <c r="B53" s="202" t="s">
        <v>114</v>
      </c>
      <c r="C53" s="202" t="s">
        <v>117</v>
      </c>
      <c r="D53" s="202" t="s">
        <v>138</v>
      </c>
      <c r="E53" s="202">
        <v>44.08</v>
      </c>
      <c r="F53" s="202">
        <v>20</v>
      </c>
    </row>
    <row r="54" spans="1:6" x14ac:dyDescent="0.25">
      <c r="A54" s="202" t="s">
        <v>3247</v>
      </c>
      <c r="B54" s="202" t="s">
        <v>114</v>
      </c>
      <c r="C54" s="202" t="s">
        <v>117</v>
      </c>
      <c r="D54" s="202" t="s">
        <v>138</v>
      </c>
      <c r="E54" s="202">
        <v>76.400000000000006</v>
      </c>
      <c r="F54" s="202">
        <v>15</v>
      </c>
    </row>
    <row r="55" spans="1:6" x14ac:dyDescent="0.25">
      <c r="A55" s="202" t="s">
        <v>3088</v>
      </c>
      <c r="B55" s="202" t="s">
        <v>114</v>
      </c>
      <c r="C55" s="202" t="s">
        <v>117</v>
      </c>
      <c r="D55" s="202" t="s">
        <v>138</v>
      </c>
      <c r="E55" s="202">
        <v>30.79</v>
      </c>
      <c r="F55" s="202">
        <v>5</v>
      </c>
    </row>
    <row r="56" spans="1:6" x14ac:dyDescent="0.25">
      <c r="A56" s="202" t="s">
        <v>3089</v>
      </c>
      <c r="B56" s="202" t="s">
        <v>114</v>
      </c>
      <c r="C56" s="202" t="s">
        <v>117</v>
      </c>
      <c r="D56" s="202" t="s">
        <v>138</v>
      </c>
      <c r="E56" s="202">
        <v>55.29</v>
      </c>
      <c r="F56" s="202">
        <v>30</v>
      </c>
    </row>
    <row r="57" spans="1:6" x14ac:dyDescent="0.25">
      <c r="A57" s="202" t="s">
        <v>3248</v>
      </c>
      <c r="B57" s="202" t="s">
        <v>114</v>
      </c>
      <c r="C57" s="202" t="s">
        <v>117</v>
      </c>
      <c r="D57" s="202" t="s">
        <v>138</v>
      </c>
      <c r="E57" s="202">
        <v>38.24</v>
      </c>
      <c r="F57" s="202">
        <v>20</v>
      </c>
    </row>
    <row r="58" spans="1:6" x14ac:dyDescent="0.25">
      <c r="A58" s="202" t="s">
        <v>3091</v>
      </c>
      <c r="B58" s="202" t="s">
        <v>114</v>
      </c>
      <c r="C58" s="202" t="s">
        <v>117</v>
      </c>
      <c r="D58" s="202" t="s">
        <v>138</v>
      </c>
      <c r="E58" s="202">
        <v>68.400000000000006</v>
      </c>
      <c r="F58" s="202">
        <v>15</v>
      </c>
    </row>
    <row r="59" spans="1:6" x14ac:dyDescent="0.25">
      <c r="A59" s="202" t="s">
        <v>3178</v>
      </c>
      <c r="B59" s="202" t="s">
        <v>114</v>
      </c>
      <c r="C59" s="202" t="s">
        <v>117</v>
      </c>
      <c r="D59" s="202" t="s">
        <v>138</v>
      </c>
      <c r="E59" s="202">
        <v>71.7</v>
      </c>
      <c r="F59" s="202">
        <v>15</v>
      </c>
    </row>
    <row r="60" spans="1:6" x14ac:dyDescent="0.25">
      <c r="A60" s="202" t="s">
        <v>3093</v>
      </c>
      <c r="B60" s="202" t="s">
        <v>114</v>
      </c>
      <c r="C60" s="202" t="s">
        <v>117</v>
      </c>
      <c r="D60" s="202" t="s">
        <v>138</v>
      </c>
      <c r="E60" s="202">
        <v>27.2</v>
      </c>
      <c r="F60" s="202">
        <v>20</v>
      </c>
    </row>
    <row r="61" spans="1:6" x14ac:dyDescent="0.25">
      <c r="A61" s="202" t="s">
        <v>3179</v>
      </c>
      <c r="B61" s="202" t="s">
        <v>114</v>
      </c>
      <c r="C61" s="202" t="s">
        <v>117</v>
      </c>
      <c r="D61" s="202" t="s">
        <v>138</v>
      </c>
      <c r="E61" s="202">
        <v>130</v>
      </c>
      <c r="F61" s="202">
        <v>100</v>
      </c>
    </row>
    <row r="62" spans="1:6" x14ac:dyDescent="0.25">
      <c r="A62" s="202" t="s">
        <v>3096</v>
      </c>
      <c r="B62" s="202" t="s">
        <v>113</v>
      </c>
      <c r="C62" s="202" t="s">
        <v>117</v>
      </c>
      <c r="D62" s="202" t="s">
        <v>145</v>
      </c>
      <c r="E62" s="202">
        <v>71.41</v>
      </c>
      <c r="F62" s="202">
        <v>40</v>
      </c>
    </row>
    <row r="63" spans="1:6" x14ac:dyDescent="0.25">
      <c r="A63" s="202" t="s">
        <v>3097</v>
      </c>
      <c r="B63" s="202" t="s">
        <v>113</v>
      </c>
      <c r="C63" s="202" t="s">
        <v>117</v>
      </c>
      <c r="D63" s="202" t="s">
        <v>145</v>
      </c>
      <c r="E63" s="202">
        <v>39.86</v>
      </c>
      <c r="F63" s="202">
        <v>15</v>
      </c>
    </row>
    <row r="64" spans="1:6" x14ac:dyDescent="0.25">
      <c r="A64" s="202" t="s">
        <v>3098</v>
      </c>
      <c r="B64" s="202" t="s">
        <v>113</v>
      </c>
      <c r="C64" s="202" t="s">
        <v>117</v>
      </c>
      <c r="D64" s="202" t="s">
        <v>145</v>
      </c>
      <c r="E64" s="202">
        <v>17.329999999999998</v>
      </c>
      <c r="F64" s="202">
        <v>5</v>
      </c>
    </row>
    <row r="65" spans="1:6" x14ac:dyDescent="0.25">
      <c r="A65" s="202" t="s">
        <v>3099</v>
      </c>
      <c r="B65" s="202" t="s">
        <v>113</v>
      </c>
      <c r="C65" s="202" t="s">
        <v>117</v>
      </c>
      <c r="D65" s="202" t="s">
        <v>145</v>
      </c>
      <c r="E65" s="202">
        <v>370.63</v>
      </c>
      <c r="F65" s="202">
        <v>70</v>
      </c>
    </row>
    <row r="66" spans="1:6" x14ac:dyDescent="0.25">
      <c r="A66" s="202" t="s">
        <v>3100</v>
      </c>
      <c r="B66" s="202" t="s">
        <v>113</v>
      </c>
      <c r="C66" s="202" t="s">
        <v>117</v>
      </c>
      <c r="D66" s="202" t="s">
        <v>145</v>
      </c>
      <c r="E66" s="202">
        <v>408.82</v>
      </c>
      <c r="F66" s="202">
        <v>60</v>
      </c>
    </row>
    <row r="67" spans="1:6" x14ac:dyDescent="0.25">
      <c r="A67" s="306" t="s">
        <v>131</v>
      </c>
      <c r="B67" s="306"/>
      <c r="C67" s="306"/>
      <c r="D67" s="307"/>
      <c r="E67" s="125" t="s">
        <v>2994</v>
      </c>
      <c r="F67" s="126">
        <f ca="1">SUM(F13:OFFSET(F67,-1,0))</f>
        <v>1260</v>
      </c>
    </row>
    <row r="68" spans="1:6" x14ac:dyDescent="0.25">
      <c r="A68" s="127" t="s">
        <v>2993</v>
      </c>
      <c r="B68" s="308" t="s">
        <v>2988</v>
      </c>
      <c r="C68" s="308"/>
      <c r="D68" s="128" t="s">
        <v>153</v>
      </c>
      <c r="E68" s="129"/>
      <c r="F68" s="129"/>
    </row>
    <row r="69" spans="1:6" x14ac:dyDescent="0.25">
      <c r="A69" s="304">
        <v>1</v>
      </c>
      <c r="B69" s="304">
        <f ca="1">COUNTA(A13:OFFSET(USSubManBox,-1,0))</f>
        <v>54</v>
      </c>
      <c r="C69" s="304"/>
      <c r="D69" s="305">
        <f ca="1">F67</f>
        <v>1260</v>
      </c>
      <c r="E69" s="130"/>
      <c r="F69" s="131"/>
    </row>
    <row r="70" spans="1:6" x14ac:dyDescent="0.25">
      <c r="A70" s="304"/>
      <c r="B70" s="304"/>
      <c r="C70" s="304"/>
      <c r="D70" s="304"/>
      <c r="E70" s="130"/>
      <c r="F70" s="131"/>
    </row>
    <row r="71" spans="1:6" x14ac:dyDescent="0.25">
      <c r="A71" s="36"/>
      <c r="B71" s="37"/>
      <c r="C71" s="37"/>
      <c r="D71" s="37"/>
      <c r="E71" s="37"/>
      <c r="F71" s="43"/>
    </row>
    <row r="72" spans="1:6" x14ac:dyDescent="0.25">
      <c r="A72" s="36"/>
      <c r="B72" s="37"/>
      <c r="C72" s="37"/>
      <c r="D72" s="37"/>
      <c r="E72" s="37"/>
      <c r="F72" s="43"/>
    </row>
    <row r="73" spans="1:6" x14ac:dyDescent="0.25">
      <c r="A73" s="38"/>
      <c r="B73" s="39"/>
      <c r="C73" s="39"/>
      <c r="D73" s="40"/>
      <c r="E73" s="40"/>
      <c r="F73" s="44"/>
    </row>
    <row r="74" spans="1:6" x14ac:dyDescent="0.25">
      <c r="A74" s="98" t="s">
        <v>135</v>
      </c>
      <c r="B74" s="51"/>
      <c r="C74" s="51"/>
      <c r="D74" s="40"/>
      <c r="E74" s="40"/>
      <c r="F74" s="44"/>
    </row>
    <row r="75" spans="1:6" x14ac:dyDescent="0.25">
      <c r="A75" s="132"/>
      <c r="B75" s="133"/>
      <c r="C75" s="133"/>
      <c r="D75" s="133"/>
      <c r="E75" s="133"/>
      <c r="F75" s="134"/>
    </row>
  </sheetData>
  <mergeCells count="23">
    <mergeCell ref="A69:A70"/>
    <mergeCell ref="B69:C70"/>
    <mergeCell ref="D69:D70"/>
    <mergeCell ref="A67:D67"/>
    <mergeCell ref="B68:C68"/>
    <mergeCell ref="A11:F11"/>
    <mergeCell ref="A5:C5"/>
    <mergeCell ref="D5:F5"/>
    <mergeCell ref="A6:C6"/>
    <mergeCell ref="D6:F6"/>
    <mergeCell ref="A7:C7"/>
    <mergeCell ref="D7:F7"/>
    <mergeCell ref="A8:C8"/>
    <mergeCell ref="D8:F8"/>
    <mergeCell ref="A9:C9"/>
    <mergeCell ref="D9:F9"/>
    <mergeCell ref="A10:F10"/>
    <mergeCell ref="A4:C4"/>
    <mergeCell ref="D4:F4"/>
    <mergeCell ref="A1:F1"/>
    <mergeCell ref="A2:C2"/>
    <mergeCell ref="D2:F2"/>
    <mergeCell ref="A3:C3"/>
  </mergeCells>
  <pageMargins left="0" right="0" top="0" bottom="0" header="0" footer="0"/>
  <pageSetup paperSize="9" scale="73" orientation="portrait" r:id="rId1"/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6EE2E7-C0FA-4518-835B-30DA4ECCA362}">
  <sheetPr codeName="CAInvoice">
    <pageSetUpPr fitToPage="1"/>
  </sheetPr>
  <dimension ref="A1:H64"/>
  <sheetViews>
    <sheetView workbookViewId="0">
      <selection activeCell="A15" sqref="A15"/>
    </sheetView>
  </sheetViews>
  <sheetFormatPr defaultRowHeight="15" x14ac:dyDescent="0.25"/>
  <cols>
    <col min="1" max="1" width="24" customWidth="1"/>
    <col min="2" max="3" width="9.7109375" customWidth="1"/>
    <col min="4" max="4" width="13.7109375" customWidth="1"/>
    <col min="5" max="5" width="12.42578125" customWidth="1"/>
    <col min="6" max="6" width="11.28515625" customWidth="1"/>
    <col min="7" max="7" width="9.7109375" customWidth="1"/>
    <col min="8" max="8" width="31.7109375" customWidth="1"/>
    <col min="9" max="12" width="13.28515625" customWidth="1"/>
  </cols>
  <sheetData>
    <row r="1" spans="1:8" x14ac:dyDescent="0.25">
      <c r="A1" s="238" t="s">
        <v>151</v>
      </c>
      <c r="B1" s="239"/>
      <c r="C1" s="239"/>
      <c r="D1" s="239"/>
      <c r="E1" s="239"/>
      <c r="F1" s="239"/>
      <c r="G1" s="239"/>
      <c r="H1" s="240"/>
    </row>
    <row r="2" spans="1:8" ht="18.75" x14ac:dyDescent="0.3">
      <c r="A2" s="149" t="s">
        <v>2862</v>
      </c>
      <c r="B2" s="62" t="s">
        <v>2877</v>
      </c>
      <c r="C2" s="149"/>
      <c r="D2" s="62" t="s">
        <v>2878</v>
      </c>
      <c r="E2" s="62"/>
      <c r="F2" s="62"/>
      <c r="G2" s="62" t="s">
        <v>2879</v>
      </c>
      <c r="H2" s="72"/>
    </row>
    <row r="3" spans="1:8" x14ac:dyDescent="0.25">
      <c r="A3" s="73" cm="1">
        <f t="array" ref="A3">dateShip[DATE]</f>
        <v>44538</v>
      </c>
      <c r="B3" s="74" t="s">
        <v>122</v>
      </c>
      <c r="C3" s="74"/>
      <c r="D3" s="74" t="str">
        <f>'Sku List'!G28</f>
        <v>FBA15FKLH7CH</v>
      </c>
      <c r="E3" s="74"/>
      <c r="F3" s="4"/>
      <c r="G3" s="74" t="s">
        <v>67</v>
      </c>
      <c r="H3" s="75"/>
    </row>
    <row r="4" spans="1:8" ht="18.75" x14ac:dyDescent="0.3">
      <c r="A4" s="60" t="s">
        <v>2881</v>
      </c>
      <c r="B4" s="61"/>
      <c r="C4" s="150"/>
      <c r="D4" s="61" t="s">
        <v>2880</v>
      </c>
      <c r="E4" s="61"/>
      <c r="F4" s="61"/>
      <c r="G4" s="61"/>
      <c r="H4" s="150"/>
    </row>
    <row r="5" spans="1:8" ht="14.45" customHeight="1" x14ac:dyDescent="0.25">
      <c r="A5" s="241" t="s">
        <v>2882</v>
      </c>
      <c r="B5" s="242"/>
      <c r="C5" s="273"/>
      <c r="D5" s="243" t="s">
        <v>2882</v>
      </c>
      <c r="E5" s="244"/>
      <c r="F5" s="244"/>
      <c r="G5" s="244"/>
      <c r="H5" s="247"/>
    </row>
    <row r="6" spans="1:8" ht="15" customHeight="1" x14ac:dyDescent="0.25">
      <c r="A6" s="243"/>
      <c r="B6" s="244"/>
      <c r="C6" s="247"/>
      <c r="D6" s="243"/>
      <c r="E6" s="244"/>
      <c r="F6" s="244"/>
      <c r="G6" s="244"/>
      <c r="H6" s="247"/>
    </row>
    <row r="7" spans="1:8" ht="15" customHeight="1" x14ac:dyDescent="0.25">
      <c r="A7" s="243"/>
      <c r="B7" s="244"/>
      <c r="C7" s="247"/>
      <c r="D7" s="243"/>
      <c r="E7" s="244"/>
      <c r="F7" s="244"/>
      <c r="G7" s="244"/>
      <c r="H7" s="247"/>
    </row>
    <row r="8" spans="1:8" x14ac:dyDescent="0.25">
      <c r="A8" s="243"/>
      <c r="B8" s="244"/>
      <c r="C8" s="247"/>
      <c r="D8" s="243"/>
      <c r="E8" s="244"/>
      <c r="F8" s="244"/>
      <c r="G8" s="244"/>
      <c r="H8" s="247"/>
    </row>
    <row r="9" spans="1:8" ht="15" customHeight="1" x14ac:dyDescent="0.25">
      <c r="A9" s="245"/>
      <c r="B9" s="246"/>
      <c r="C9" s="274"/>
      <c r="D9" s="243"/>
      <c r="E9" s="244"/>
      <c r="F9" s="244"/>
      <c r="G9" s="244"/>
      <c r="H9" s="247"/>
    </row>
    <row r="10" spans="1:8" ht="18.75" x14ac:dyDescent="0.3">
      <c r="A10" s="66" t="s">
        <v>2883</v>
      </c>
      <c r="B10" s="66"/>
      <c r="C10" s="76"/>
      <c r="D10" s="82" t="s">
        <v>3004</v>
      </c>
      <c r="E10" s="66"/>
      <c r="F10" s="66"/>
      <c r="G10" s="66" t="s">
        <v>3006</v>
      </c>
      <c r="H10" s="76"/>
    </row>
    <row r="11" spans="1:8" ht="18.75" x14ac:dyDescent="0.3">
      <c r="A11" s="85" t="s">
        <v>143</v>
      </c>
      <c r="B11" s="86"/>
      <c r="C11" s="87"/>
      <c r="D11" s="84" t="s">
        <v>3005</v>
      </c>
      <c r="E11" s="83"/>
      <c r="F11" s="83"/>
      <c r="G11" s="83" t="s">
        <v>3007</v>
      </c>
      <c r="H11" s="116"/>
    </row>
    <row r="12" spans="1:8" ht="18.75" x14ac:dyDescent="0.3">
      <c r="A12" s="63" t="s">
        <v>2885</v>
      </c>
      <c r="B12" s="64"/>
      <c r="C12" s="65"/>
      <c r="D12" s="64" t="s">
        <v>2886</v>
      </c>
      <c r="E12" s="64"/>
      <c r="F12" s="64"/>
      <c r="G12" s="64"/>
      <c r="H12" s="65"/>
    </row>
    <row r="13" spans="1:8" ht="15" customHeight="1" x14ac:dyDescent="0.25">
      <c r="A13" s="88" t="str">
        <f>'Sku List'!G25</f>
        <v>FR 21-12-04</v>
      </c>
      <c r="B13" s="88"/>
      <c r="C13" s="88"/>
      <c r="D13" s="248" t="str">
        <f ca="1">'Sku List'!H16</f>
        <v>TRANSATLANTIC STERLING LIMITED
c/o FBA
Amazon Fulfillment Center (BWU2), 
13 Emporium Avenue 2178 
Kemps Creek, NSW  
Australia</v>
      </c>
      <c r="E13" s="248"/>
      <c r="F13" s="248"/>
      <c r="G13" s="248"/>
      <c r="H13" s="249"/>
    </row>
    <row r="14" spans="1:8" ht="18.75" x14ac:dyDescent="0.3">
      <c r="A14" s="60" t="s">
        <v>2887</v>
      </c>
      <c r="B14" s="90"/>
      <c r="C14" s="91"/>
      <c r="D14" s="248"/>
      <c r="E14" s="248"/>
      <c r="F14" s="248"/>
      <c r="G14" s="248"/>
      <c r="H14" s="249"/>
    </row>
    <row r="15" spans="1:8" ht="18.75" x14ac:dyDescent="0.25">
      <c r="A15" s="92" t="str">
        <f>CONCATENATE(Map!A12, " ", Map!A13, " ",Map!A14, " ",Map!A15)</f>
        <v xml:space="preserve">Italy Poland Thailand </v>
      </c>
      <c r="B15" s="83"/>
      <c r="C15" s="116"/>
      <c r="D15" s="248"/>
      <c r="E15" s="248"/>
      <c r="F15" s="248"/>
      <c r="G15" s="248"/>
      <c r="H15" s="249"/>
    </row>
    <row r="16" spans="1:8" ht="18.75" x14ac:dyDescent="0.3">
      <c r="A16" s="60" t="s">
        <v>126</v>
      </c>
      <c r="B16" s="90"/>
      <c r="C16" s="91"/>
      <c r="D16" s="248"/>
      <c r="E16" s="248"/>
      <c r="F16" s="248"/>
      <c r="G16" s="248"/>
      <c r="H16" s="249"/>
    </row>
    <row r="17" spans="1:8" x14ac:dyDescent="0.25">
      <c r="A17" s="93" t="str">
        <f>IF('Sku List'!G34 = 0, "", 'Sku List'!G34)</f>
        <v/>
      </c>
      <c r="B17" s="83"/>
      <c r="C17" s="116"/>
      <c r="D17" s="248"/>
      <c r="E17" s="248"/>
      <c r="F17" s="248"/>
      <c r="G17" s="248"/>
      <c r="H17" s="249"/>
    </row>
    <row r="18" spans="1:8" ht="18.75" x14ac:dyDescent="0.3">
      <c r="A18" s="60" t="s">
        <v>127</v>
      </c>
      <c r="B18" s="90"/>
      <c r="C18" s="91"/>
      <c r="D18" s="248"/>
      <c r="E18" s="248"/>
      <c r="F18" s="248"/>
      <c r="G18" s="248"/>
      <c r="H18" s="249"/>
    </row>
    <row r="19" spans="1:8" ht="18.75" x14ac:dyDescent="0.3">
      <c r="A19" s="89" t="str">
        <f>'Sku List'!G25</f>
        <v>FR 21-12-04</v>
      </c>
      <c r="B19" s="81"/>
      <c r="C19" s="78"/>
      <c r="D19" s="248"/>
      <c r="E19" s="248"/>
      <c r="F19" s="248"/>
      <c r="G19" s="248"/>
      <c r="H19" s="249"/>
    </row>
    <row r="20" spans="1:8" ht="42.6" customHeight="1" x14ac:dyDescent="0.25">
      <c r="A20" s="148" t="s">
        <v>2888</v>
      </c>
      <c r="B20" s="148" t="s">
        <v>129</v>
      </c>
      <c r="C20" s="148" t="s">
        <v>2889</v>
      </c>
      <c r="D20" s="34" t="s">
        <v>3008</v>
      </c>
      <c r="E20" s="34" t="s">
        <v>2990</v>
      </c>
      <c r="F20" s="34" t="s">
        <v>130</v>
      </c>
      <c r="G20" s="34" t="s">
        <v>3009</v>
      </c>
      <c r="H20" s="34" t="s">
        <v>3010</v>
      </c>
    </row>
    <row r="21" spans="1:8" ht="27" customHeight="1" x14ac:dyDescent="0.25">
      <c r="A21" s="176" t="s">
        <v>3138</v>
      </c>
      <c r="B21" s="176" t="s">
        <v>113</v>
      </c>
      <c r="C21" s="176" t="s">
        <v>117</v>
      </c>
      <c r="D21" s="176" t="s">
        <v>138</v>
      </c>
      <c r="E21" s="177">
        <v>150</v>
      </c>
      <c r="F21" s="176">
        <v>100</v>
      </c>
      <c r="G21" s="177">
        <v>3.6719817927539511</v>
      </c>
      <c r="H21" s="155">
        <f>PRODUCT(G21,F21)</f>
        <v>367.19817927539509</v>
      </c>
    </row>
    <row r="22" spans="1:8" ht="27" customHeight="1" x14ac:dyDescent="0.25">
      <c r="A22" s="176" t="s">
        <v>3150</v>
      </c>
      <c r="B22" s="176" t="s">
        <v>113</v>
      </c>
      <c r="C22" s="176" t="s">
        <v>117</v>
      </c>
      <c r="D22" s="176" t="s">
        <v>138</v>
      </c>
      <c r="E22" s="177">
        <v>178.57142857142901</v>
      </c>
      <c r="F22" s="176">
        <v>100</v>
      </c>
      <c r="G22" s="177">
        <v>4.255083938282068</v>
      </c>
      <c r="H22" s="155">
        <f t="shared" ref="H22:H50" si="0">PRODUCT(G22,F22)</f>
        <v>425.50839382820681</v>
      </c>
    </row>
    <row r="23" spans="1:8" ht="27" customHeight="1" x14ac:dyDescent="0.25">
      <c r="A23" s="176" t="s">
        <v>2901</v>
      </c>
      <c r="B23" s="176" t="s">
        <v>113</v>
      </c>
      <c r="C23" s="176" t="s">
        <v>117</v>
      </c>
      <c r="D23" s="176" t="s">
        <v>138</v>
      </c>
      <c r="E23" s="177">
        <v>200</v>
      </c>
      <c r="F23" s="176">
        <v>100</v>
      </c>
      <c r="G23" s="177">
        <v>4.6923666787744152</v>
      </c>
      <c r="H23" s="155">
        <f t="shared" si="0"/>
        <v>469.2366678774415</v>
      </c>
    </row>
    <row r="24" spans="1:8" ht="27" customHeight="1" x14ac:dyDescent="0.25">
      <c r="A24" s="176" t="s">
        <v>3139</v>
      </c>
      <c r="B24" s="176" t="s">
        <v>113</v>
      </c>
      <c r="C24" s="176" t="s">
        <v>117</v>
      </c>
      <c r="D24" s="176" t="s">
        <v>138</v>
      </c>
      <c r="E24" s="177">
        <v>271.97183098591501</v>
      </c>
      <c r="F24" s="176">
        <v>100</v>
      </c>
      <c r="G24" s="177">
        <v>6.1609137314150448</v>
      </c>
      <c r="H24" s="155">
        <f t="shared" si="0"/>
        <v>616.0913731415045</v>
      </c>
    </row>
    <row r="25" spans="1:8" ht="27" customHeight="1" x14ac:dyDescent="0.25">
      <c r="A25" s="176" t="s">
        <v>3151</v>
      </c>
      <c r="B25" s="176" t="s">
        <v>113</v>
      </c>
      <c r="C25" s="176" t="s">
        <v>117</v>
      </c>
      <c r="D25" s="176" t="s">
        <v>138</v>
      </c>
      <c r="E25" s="177">
        <v>162</v>
      </c>
      <c r="F25" s="176">
        <v>100</v>
      </c>
      <c r="G25" s="177">
        <v>4.6681511819092689</v>
      </c>
      <c r="H25" s="155">
        <f t="shared" si="0"/>
        <v>466.81511819092691</v>
      </c>
    </row>
    <row r="26" spans="1:8" ht="27" customHeight="1" x14ac:dyDescent="0.25">
      <c r="A26" s="176" t="s">
        <v>3152</v>
      </c>
      <c r="B26" s="176" t="s">
        <v>113</v>
      </c>
      <c r="C26" s="176" t="s">
        <v>117</v>
      </c>
      <c r="D26" s="176" t="s">
        <v>138</v>
      </c>
      <c r="E26" s="177">
        <v>509.01960784313695</v>
      </c>
      <c r="F26" s="176">
        <v>100</v>
      </c>
      <c r="G26" s="177">
        <v>9.7390166051628135</v>
      </c>
      <c r="H26" s="155">
        <f t="shared" si="0"/>
        <v>973.90166051628137</v>
      </c>
    </row>
    <row r="27" spans="1:8" ht="27" customHeight="1" x14ac:dyDescent="0.25">
      <c r="A27" s="176" t="s">
        <v>3153</v>
      </c>
      <c r="B27" s="176" t="s">
        <v>113</v>
      </c>
      <c r="C27" s="176" t="s">
        <v>117</v>
      </c>
      <c r="D27" s="176" t="s">
        <v>138</v>
      </c>
      <c r="E27" s="177">
        <v>560.98039215686299</v>
      </c>
      <c r="F27" s="176">
        <v>100</v>
      </c>
      <c r="G27" s="177">
        <v>10.670786810626041</v>
      </c>
      <c r="H27" s="155">
        <f t="shared" si="0"/>
        <v>1067.0786810626041</v>
      </c>
    </row>
    <row r="28" spans="1:8" ht="27" customHeight="1" x14ac:dyDescent="0.25">
      <c r="A28" s="176" t="s">
        <v>3154</v>
      </c>
      <c r="B28" s="176" t="s">
        <v>113</v>
      </c>
      <c r="C28" s="176" t="s">
        <v>117</v>
      </c>
      <c r="D28" s="176" t="s">
        <v>138</v>
      </c>
      <c r="E28" s="177">
        <v>790.39215686274508</v>
      </c>
      <c r="F28" s="176">
        <v>100</v>
      </c>
      <c r="G28" s="177">
        <v>14.784613683861423</v>
      </c>
      <c r="H28" s="155">
        <f t="shared" si="0"/>
        <v>1478.4613683861423</v>
      </c>
    </row>
    <row r="29" spans="1:8" ht="27" customHeight="1" x14ac:dyDescent="0.25">
      <c r="A29" s="176" t="s">
        <v>3046</v>
      </c>
      <c r="B29" s="176" t="s">
        <v>113</v>
      </c>
      <c r="C29" s="176" t="s">
        <v>117</v>
      </c>
      <c r="D29" s="176" t="s">
        <v>138</v>
      </c>
      <c r="E29" s="177">
        <v>186.07843137254901</v>
      </c>
      <c r="F29" s="176">
        <v>100</v>
      </c>
      <c r="G29" s="177">
        <v>4.5233846245632874</v>
      </c>
      <c r="H29" s="155">
        <f t="shared" si="0"/>
        <v>452.33846245632873</v>
      </c>
    </row>
    <row r="30" spans="1:8" ht="27" customHeight="1" x14ac:dyDescent="0.25">
      <c r="A30" s="176" t="s">
        <v>3155</v>
      </c>
      <c r="B30" s="176" t="s">
        <v>113</v>
      </c>
      <c r="C30" s="176" t="s">
        <v>117</v>
      </c>
      <c r="D30" s="176" t="s">
        <v>138</v>
      </c>
      <c r="E30" s="177">
        <v>204.42307692307699</v>
      </c>
      <c r="F30" s="176">
        <v>100</v>
      </c>
      <c r="G30" s="177">
        <v>4.9090778282559748</v>
      </c>
      <c r="H30" s="155">
        <f t="shared" si="0"/>
        <v>490.90778282559751</v>
      </c>
    </row>
    <row r="31" spans="1:8" ht="27" customHeight="1" x14ac:dyDescent="0.25">
      <c r="A31" s="176" t="s">
        <v>3047</v>
      </c>
      <c r="B31" s="176" t="s">
        <v>113</v>
      </c>
      <c r="C31" s="176" t="s">
        <v>117</v>
      </c>
      <c r="D31" s="176" t="s">
        <v>138</v>
      </c>
      <c r="E31" s="177">
        <v>242.11538461538501</v>
      </c>
      <c r="F31" s="176">
        <v>100</v>
      </c>
      <c r="G31" s="177">
        <v>5.7015211894371296</v>
      </c>
      <c r="H31" s="155">
        <f t="shared" si="0"/>
        <v>570.15211894371294</v>
      </c>
    </row>
    <row r="32" spans="1:8" ht="27" customHeight="1" x14ac:dyDescent="0.25">
      <c r="A32" s="176" t="s">
        <v>3156</v>
      </c>
      <c r="B32" s="176" t="s">
        <v>113</v>
      </c>
      <c r="C32" s="176" t="s">
        <v>117</v>
      </c>
      <c r="D32" s="176" t="s">
        <v>138</v>
      </c>
      <c r="E32" s="177">
        <v>173.137254901961</v>
      </c>
      <c r="F32" s="176">
        <v>100</v>
      </c>
      <c r="G32" s="177">
        <v>4.3315908704067327</v>
      </c>
      <c r="H32" s="155">
        <f t="shared" si="0"/>
        <v>433.15908704067328</v>
      </c>
    </row>
    <row r="33" spans="1:8" ht="27" customHeight="1" x14ac:dyDescent="0.25">
      <c r="A33" s="176" t="s">
        <v>3157</v>
      </c>
      <c r="B33" s="176" t="s">
        <v>113</v>
      </c>
      <c r="C33" s="176" t="s">
        <v>117</v>
      </c>
      <c r="D33" s="176" t="s">
        <v>138</v>
      </c>
      <c r="E33" s="177">
        <v>210.58823529411802</v>
      </c>
      <c r="F33" s="176">
        <v>100</v>
      </c>
      <c r="G33" s="177">
        <v>5.1363174546354244</v>
      </c>
      <c r="H33" s="155">
        <f t="shared" si="0"/>
        <v>513.63174546354242</v>
      </c>
    </row>
    <row r="34" spans="1:8" ht="27" customHeight="1" x14ac:dyDescent="0.25">
      <c r="A34" s="176" t="s">
        <v>3048</v>
      </c>
      <c r="B34" s="176" t="s">
        <v>113</v>
      </c>
      <c r="C34" s="176" t="s">
        <v>117</v>
      </c>
      <c r="D34" s="176" t="s">
        <v>138</v>
      </c>
      <c r="E34" s="177">
        <v>231.08910891089099</v>
      </c>
      <c r="F34" s="176">
        <v>100</v>
      </c>
      <c r="G34" s="177">
        <v>5.5767587381971389</v>
      </c>
      <c r="H34" s="155">
        <f t="shared" si="0"/>
        <v>557.67587381971384</v>
      </c>
    </row>
    <row r="35" spans="1:8" ht="27" customHeight="1" x14ac:dyDescent="0.25">
      <c r="A35" s="176" t="s">
        <v>3158</v>
      </c>
      <c r="B35" s="176" t="s">
        <v>113</v>
      </c>
      <c r="C35" s="176" t="s">
        <v>117</v>
      </c>
      <c r="D35" s="176" t="s">
        <v>138</v>
      </c>
      <c r="E35" s="177">
        <v>328</v>
      </c>
      <c r="F35" s="176">
        <v>100</v>
      </c>
      <c r="G35" s="177">
        <v>7.6591159939847291</v>
      </c>
      <c r="H35" s="155">
        <f t="shared" si="0"/>
        <v>765.91159939847296</v>
      </c>
    </row>
    <row r="36" spans="1:8" ht="27" customHeight="1" x14ac:dyDescent="0.25">
      <c r="A36" s="176" t="s">
        <v>3049</v>
      </c>
      <c r="B36" s="176" t="s">
        <v>113</v>
      </c>
      <c r="C36" s="176" t="s">
        <v>117</v>
      </c>
      <c r="D36" s="176" t="s">
        <v>138</v>
      </c>
      <c r="E36" s="177">
        <v>162.745098039216</v>
      </c>
      <c r="F36" s="176">
        <v>100</v>
      </c>
      <c r="G36" s="177">
        <v>4.1585729000514133</v>
      </c>
      <c r="H36" s="155">
        <f t="shared" si="0"/>
        <v>415.85729000514135</v>
      </c>
    </row>
    <row r="37" spans="1:8" ht="27" customHeight="1" x14ac:dyDescent="0.25">
      <c r="A37" s="176" t="s">
        <v>3050</v>
      </c>
      <c r="B37" s="176" t="s">
        <v>113</v>
      </c>
      <c r="C37" s="176" t="s">
        <v>117</v>
      </c>
      <c r="D37" s="176" t="s">
        <v>138</v>
      </c>
      <c r="E37" s="177">
        <v>194.70588235294099</v>
      </c>
      <c r="F37" s="176">
        <v>100</v>
      </c>
      <c r="G37" s="177">
        <v>4.855207121461774</v>
      </c>
      <c r="H37" s="155">
        <f t="shared" si="0"/>
        <v>485.5207121461774</v>
      </c>
    </row>
    <row r="38" spans="1:8" ht="27" customHeight="1" x14ac:dyDescent="0.25">
      <c r="A38" s="176" t="s">
        <v>3051</v>
      </c>
      <c r="B38" s="176" t="s">
        <v>113</v>
      </c>
      <c r="C38" s="176" t="s">
        <v>117</v>
      </c>
      <c r="D38" s="176" t="s">
        <v>138</v>
      </c>
      <c r="E38" s="177">
        <v>216</v>
      </c>
      <c r="F38" s="176">
        <v>100</v>
      </c>
      <c r="G38" s="177">
        <v>5.3193374780437388</v>
      </c>
      <c r="H38" s="155">
        <f t="shared" si="0"/>
        <v>531.93374780437387</v>
      </c>
    </row>
    <row r="39" spans="1:8" ht="27" customHeight="1" x14ac:dyDescent="0.25">
      <c r="A39" s="176" t="s">
        <v>3159</v>
      </c>
      <c r="B39" s="176" t="s">
        <v>113</v>
      </c>
      <c r="C39" s="176" t="s">
        <v>117</v>
      </c>
      <c r="D39" s="176" t="s">
        <v>138</v>
      </c>
      <c r="E39" s="177">
        <v>303.33333333333303</v>
      </c>
      <c r="F39" s="176">
        <v>100</v>
      </c>
      <c r="G39" s="177">
        <v>7.2228861011821719</v>
      </c>
      <c r="H39" s="155">
        <f t="shared" si="0"/>
        <v>722.28861011821721</v>
      </c>
    </row>
    <row r="40" spans="1:8" ht="27" customHeight="1" x14ac:dyDescent="0.25">
      <c r="A40" s="176" t="s">
        <v>3160</v>
      </c>
      <c r="B40" s="176" t="s">
        <v>113</v>
      </c>
      <c r="C40" s="176" t="s">
        <v>117</v>
      </c>
      <c r="D40" s="176" t="s">
        <v>138</v>
      </c>
      <c r="E40" s="177">
        <v>455</v>
      </c>
      <c r="F40" s="176">
        <v>100</v>
      </c>
      <c r="G40" s="177">
        <v>10.739748334307217</v>
      </c>
      <c r="H40" s="155">
        <f t="shared" si="0"/>
        <v>1073.9748334307217</v>
      </c>
    </row>
    <row r="41" spans="1:8" ht="27" customHeight="1" x14ac:dyDescent="0.25">
      <c r="A41" s="176" t="s">
        <v>3161</v>
      </c>
      <c r="B41" s="176" t="s">
        <v>113</v>
      </c>
      <c r="C41" s="176" t="s">
        <v>117</v>
      </c>
      <c r="D41" s="176" t="s">
        <v>138</v>
      </c>
      <c r="E41" s="177">
        <v>180</v>
      </c>
      <c r="F41" s="176">
        <v>100</v>
      </c>
      <c r="G41" s="177">
        <v>4.3398381773100789</v>
      </c>
      <c r="H41" s="155">
        <f t="shared" si="0"/>
        <v>433.98381773100789</v>
      </c>
    </row>
    <row r="42" spans="1:8" ht="27" customHeight="1" x14ac:dyDescent="0.25">
      <c r="A42" s="176" t="s">
        <v>3052</v>
      </c>
      <c r="B42" s="176" t="s">
        <v>113</v>
      </c>
      <c r="C42" s="176" t="s">
        <v>117</v>
      </c>
      <c r="D42" s="176" t="s">
        <v>138</v>
      </c>
      <c r="E42" s="177">
        <v>223</v>
      </c>
      <c r="F42" s="176">
        <v>100</v>
      </c>
      <c r="G42" s="177">
        <v>5.2305473228715362</v>
      </c>
      <c r="H42" s="155">
        <f t="shared" si="0"/>
        <v>523.05473228715357</v>
      </c>
    </row>
    <row r="43" spans="1:8" ht="27" customHeight="1" x14ac:dyDescent="0.25">
      <c r="A43" s="176" t="s">
        <v>3053</v>
      </c>
      <c r="B43" s="176" t="s">
        <v>113</v>
      </c>
      <c r="C43" s="176" t="s">
        <v>117</v>
      </c>
      <c r="D43" s="176" t="s">
        <v>138</v>
      </c>
      <c r="E43" s="177">
        <v>239.38775510204101</v>
      </c>
      <c r="F43" s="176">
        <v>100</v>
      </c>
      <c r="G43" s="177">
        <v>5.570090702828475</v>
      </c>
      <c r="H43" s="155">
        <f t="shared" si="0"/>
        <v>557.00907028284746</v>
      </c>
    </row>
    <row r="44" spans="1:8" ht="27" customHeight="1" x14ac:dyDescent="0.25">
      <c r="A44" s="176" t="s">
        <v>3162</v>
      </c>
      <c r="B44" s="176" t="s">
        <v>113</v>
      </c>
      <c r="C44" s="176" t="s">
        <v>117</v>
      </c>
      <c r="D44" s="176" t="s">
        <v>138</v>
      </c>
      <c r="E44" s="177">
        <v>285.84158415841603</v>
      </c>
      <c r="F44" s="176">
        <v>100</v>
      </c>
      <c r="G44" s="177">
        <v>6.5323934912955819</v>
      </c>
      <c r="H44" s="155">
        <f t="shared" si="0"/>
        <v>653.23934912955815</v>
      </c>
    </row>
    <row r="45" spans="1:8" ht="27" customHeight="1" x14ac:dyDescent="0.25">
      <c r="A45" s="176" t="s">
        <v>3163</v>
      </c>
      <c r="B45" s="176" t="s">
        <v>114</v>
      </c>
      <c r="C45" s="176" t="s">
        <v>117</v>
      </c>
      <c r="D45" s="176" t="s">
        <v>138</v>
      </c>
      <c r="E45" s="177">
        <v>1026</v>
      </c>
      <c r="F45" s="176">
        <v>100</v>
      </c>
      <c r="G45" s="177">
        <v>23.151243325384332</v>
      </c>
      <c r="H45" s="155">
        <f t="shared" si="0"/>
        <v>2315.124332538433</v>
      </c>
    </row>
    <row r="46" spans="1:8" ht="27" customHeight="1" x14ac:dyDescent="0.25">
      <c r="A46" s="176" t="s">
        <v>3164</v>
      </c>
      <c r="B46" s="176" t="s">
        <v>114</v>
      </c>
      <c r="C46" s="176" t="s">
        <v>117</v>
      </c>
      <c r="D46" s="176" t="s">
        <v>138</v>
      </c>
      <c r="E46" s="177">
        <v>1106</v>
      </c>
      <c r="F46" s="176">
        <v>100</v>
      </c>
      <c r="G46" s="177">
        <v>24.845450732869729</v>
      </c>
      <c r="H46" s="155">
        <f t="shared" si="0"/>
        <v>2484.5450732869731</v>
      </c>
    </row>
    <row r="47" spans="1:8" ht="27" customHeight="1" x14ac:dyDescent="0.25">
      <c r="A47" s="176" t="s">
        <v>2907</v>
      </c>
      <c r="B47" s="176" t="s">
        <v>114</v>
      </c>
      <c r="C47" s="176" t="s">
        <v>117</v>
      </c>
      <c r="D47" s="176" t="s">
        <v>138</v>
      </c>
      <c r="E47" s="177">
        <v>198.367346938776</v>
      </c>
      <c r="F47" s="176">
        <v>100</v>
      </c>
      <c r="G47" s="177">
        <v>4.8736319560330807</v>
      </c>
      <c r="H47" s="155">
        <f t="shared" si="0"/>
        <v>487.3631956033081</v>
      </c>
    </row>
    <row r="48" spans="1:8" ht="27" customHeight="1" x14ac:dyDescent="0.25">
      <c r="A48" s="176" t="s">
        <v>3165</v>
      </c>
      <c r="B48" s="176" t="s">
        <v>114</v>
      </c>
      <c r="C48" s="176" t="s">
        <v>117</v>
      </c>
      <c r="D48" s="176" t="s">
        <v>138</v>
      </c>
      <c r="E48" s="177">
        <v>216.6</v>
      </c>
      <c r="F48" s="176">
        <v>100</v>
      </c>
      <c r="G48" s="177">
        <v>5.2654667712495371</v>
      </c>
      <c r="H48" s="155">
        <f t="shared" si="0"/>
        <v>526.5466771249537</v>
      </c>
    </row>
    <row r="49" spans="1:8" ht="27" customHeight="1" x14ac:dyDescent="0.25">
      <c r="A49" s="176" t="s">
        <v>3166</v>
      </c>
      <c r="B49" s="176" t="s">
        <v>114</v>
      </c>
      <c r="C49" s="176" t="s">
        <v>117</v>
      </c>
      <c r="D49" s="176" t="s">
        <v>138</v>
      </c>
      <c r="E49" s="177">
        <v>287.25490196078403</v>
      </c>
      <c r="F49" s="176">
        <v>100</v>
      </c>
      <c r="G49" s="177">
        <v>6.7836731399252121</v>
      </c>
      <c r="H49" s="155">
        <f t="shared" si="0"/>
        <v>678.36731399252119</v>
      </c>
    </row>
    <row r="50" spans="1:8" ht="27" customHeight="1" x14ac:dyDescent="0.25">
      <c r="A50" s="176" t="s">
        <v>3054</v>
      </c>
      <c r="B50" s="176" t="s">
        <v>114</v>
      </c>
      <c r="C50" s="176" t="s">
        <v>117</v>
      </c>
      <c r="D50" s="176" t="s">
        <v>138</v>
      </c>
      <c r="E50" s="177">
        <v>242</v>
      </c>
      <c r="F50" s="176">
        <v>100</v>
      </c>
      <c r="G50" s="177">
        <v>6.896152368117666</v>
      </c>
      <c r="H50" s="155">
        <f t="shared" si="0"/>
        <v>689.61523681176664</v>
      </c>
    </row>
    <row r="51" spans="1:8" ht="30" customHeight="1" x14ac:dyDescent="0.25">
      <c r="A51" s="178" t="s">
        <v>2893</v>
      </c>
      <c r="B51" s="178"/>
      <c r="C51" s="178"/>
      <c r="D51" s="178"/>
      <c r="E51" s="179">
        <f ca="1">SUM(E21:OFFSET(E51,-1,0))</f>
        <v>9734.6028103235785</v>
      </c>
      <c r="F51" s="180">
        <f ca="1">SUM(F21:OFFSET(F51,-1,0))</f>
        <v>3000</v>
      </c>
      <c r="G51" s="181"/>
      <c r="H51" s="155">
        <f ca="1">SUM(H21:OFFSET(H51,-1,0))</f>
        <v>22226.492104519697</v>
      </c>
    </row>
    <row r="52" spans="1:8" ht="21" x14ac:dyDescent="0.3">
      <c r="A52" s="94" t="s">
        <v>148</v>
      </c>
      <c r="B52" s="95"/>
      <c r="C52" s="79"/>
      <c r="D52" s="79"/>
      <c r="E52" s="80"/>
      <c r="F52" s="69" t="s">
        <v>132</v>
      </c>
      <c r="G52" s="158"/>
      <c r="H52" s="156">
        <v>100</v>
      </c>
    </row>
    <row r="53" spans="1:8" ht="15" customHeight="1" x14ac:dyDescent="0.3">
      <c r="A53" s="250" cm="1">
        <f t="array" ref="A53">boxesNumber[]</f>
        <v>3</v>
      </c>
      <c r="B53" s="77"/>
      <c r="C53" s="4"/>
      <c r="D53" s="4"/>
      <c r="E53" s="75"/>
      <c r="F53" s="69" t="s">
        <v>133</v>
      </c>
      <c r="G53" s="158"/>
      <c r="H53" s="156">
        <f ca="1">OFFSET(H52,-1,0)*0.005</f>
        <v>111.13246052259849</v>
      </c>
    </row>
    <row r="54" spans="1:8" ht="15.75" customHeight="1" x14ac:dyDescent="0.3">
      <c r="A54" s="250"/>
      <c r="B54" s="96"/>
      <c r="C54" s="81"/>
      <c r="D54" s="81"/>
      <c r="E54" s="78"/>
      <c r="F54" s="69" t="s">
        <v>134</v>
      </c>
      <c r="G54" s="158"/>
      <c r="H54" s="159">
        <v>0</v>
      </c>
    </row>
    <row r="55" spans="1:8" ht="15" customHeight="1" x14ac:dyDescent="0.25">
      <c r="A55" s="309" t="s">
        <v>3012</v>
      </c>
      <c r="B55" s="265"/>
      <c r="C55" s="265"/>
      <c r="D55" s="265"/>
      <c r="E55" s="266"/>
      <c r="F55" s="232" t="s">
        <v>119</v>
      </c>
      <c r="G55" s="275">
        <f ca="1">SUM(H51:H54)</f>
        <v>22437.624565042297</v>
      </c>
      <c r="H55" s="276"/>
    </row>
    <row r="56" spans="1:8" ht="15" customHeight="1" x14ac:dyDescent="0.25">
      <c r="A56" s="267"/>
      <c r="B56" s="268"/>
      <c r="C56" s="268"/>
      <c r="D56" s="268"/>
      <c r="E56" s="269"/>
      <c r="F56" s="234"/>
      <c r="G56" s="277"/>
      <c r="H56" s="278"/>
    </row>
    <row r="57" spans="1:8" ht="15" customHeight="1" x14ac:dyDescent="0.25">
      <c r="A57" s="267"/>
      <c r="B57" s="268"/>
      <c r="C57" s="268"/>
      <c r="D57" s="268"/>
      <c r="E57" s="269"/>
      <c r="F57" s="234"/>
      <c r="G57" s="277"/>
      <c r="H57" s="278"/>
    </row>
    <row r="58" spans="1:8" ht="30.75" customHeight="1" x14ac:dyDescent="0.25">
      <c r="A58" s="270"/>
      <c r="B58" s="271"/>
      <c r="C58" s="271"/>
      <c r="D58" s="271"/>
      <c r="E58" s="272"/>
      <c r="F58" s="236"/>
      <c r="G58" s="279"/>
      <c r="H58" s="280"/>
    </row>
    <row r="59" spans="1:8" ht="15" customHeight="1" x14ac:dyDescent="0.25">
      <c r="A59" s="36"/>
      <c r="B59" s="37"/>
      <c r="C59" s="37"/>
      <c r="D59" s="37"/>
      <c r="E59" s="37"/>
      <c r="F59" s="37"/>
      <c r="G59" s="37"/>
      <c r="H59" s="75"/>
    </row>
    <row r="60" spans="1:8" x14ac:dyDescent="0.25">
      <c r="A60" s="36"/>
      <c r="B60" s="37"/>
      <c r="C60" s="37"/>
      <c r="D60" s="37"/>
      <c r="E60" s="37"/>
      <c r="F60" s="37"/>
      <c r="G60" s="37"/>
      <c r="H60" s="75"/>
    </row>
    <row r="61" spans="1:8" x14ac:dyDescent="0.25">
      <c r="A61" s="38"/>
      <c r="B61" s="39"/>
      <c r="C61" s="39"/>
      <c r="D61" s="39"/>
      <c r="E61" s="40"/>
      <c r="F61" s="40"/>
      <c r="G61" s="40"/>
      <c r="H61" s="75"/>
    </row>
    <row r="62" spans="1:8" x14ac:dyDescent="0.25">
      <c r="A62" s="71" t="s">
        <v>135</v>
      </c>
      <c r="B62" s="51"/>
      <c r="C62" s="51"/>
      <c r="D62" s="52"/>
      <c r="E62" s="50"/>
      <c r="F62" s="50"/>
      <c r="G62" s="50"/>
      <c r="H62" s="75"/>
    </row>
    <row r="63" spans="1:8" x14ac:dyDescent="0.25">
      <c r="A63" s="41"/>
      <c r="B63" s="35"/>
      <c r="C63" s="35"/>
      <c r="D63" s="30"/>
      <c r="E63" s="30"/>
      <c r="F63" s="30"/>
      <c r="G63" s="42"/>
      <c r="H63" s="75"/>
    </row>
    <row r="64" spans="1:8" x14ac:dyDescent="0.25">
      <c r="A64" s="46"/>
      <c r="B64" s="47"/>
      <c r="C64" s="47"/>
      <c r="D64" s="47"/>
      <c r="E64" s="47"/>
      <c r="F64" s="47"/>
      <c r="G64" s="48"/>
      <c r="H64" s="78"/>
    </row>
  </sheetData>
  <mergeCells count="8">
    <mergeCell ref="A55:E58"/>
    <mergeCell ref="F55:F58"/>
    <mergeCell ref="G55:H58"/>
    <mergeCell ref="A1:H1"/>
    <mergeCell ref="A5:C9"/>
    <mergeCell ref="D5:H9"/>
    <mergeCell ref="D13:H19"/>
    <mergeCell ref="A53:A54"/>
  </mergeCells>
  <pageMargins left="0" right="0" top="0" bottom="0" header="0" footer="0"/>
  <pageSetup paperSize="9" scale="86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4E18E5-DA0A-4129-BA3B-D48281142479}">
  <sheetPr codeName="CATotal">
    <pageSetUpPr fitToPage="1"/>
  </sheetPr>
  <dimension ref="A1:H40"/>
  <sheetViews>
    <sheetView tabSelected="1" topLeftCell="A4" workbookViewId="0">
      <selection activeCell="A15" sqref="A15"/>
    </sheetView>
  </sheetViews>
  <sheetFormatPr defaultRowHeight="15" x14ac:dyDescent="0.25"/>
  <cols>
    <col min="1" max="1" width="18.28515625" customWidth="1"/>
    <col min="2" max="2" width="15.5703125" customWidth="1"/>
    <col min="3" max="3" width="14.5703125" customWidth="1"/>
    <col min="4" max="4" width="14.140625" customWidth="1"/>
    <col min="5" max="5" width="14" customWidth="1"/>
    <col min="6" max="6" width="16.42578125" customWidth="1"/>
  </cols>
  <sheetData>
    <row r="1" spans="1:6" x14ac:dyDescent="0.25">
      <c r="A1" s="238" t="s">
        <v>151</v>
      </c>
      <c r="B1" s="239"/>
      <c r="C1" s="239"/>
      <c r="D1" s="239"/>
      <c r="E1" s="239"/>
      <c r="F1" s="240"/>
    </row>
    <row r="2" spans="1:6" ht="18.75" x14ac:dyDescent="0.3">
      <c r="A2" s="149" t="s">
        <v>2862</v>
      </c>
      <c r="B2" s="62" t="s">
        <v>2877</v>
      </c>
      <c r="C2" s="254" t="s">
        <v>2987</v>
      </c>
      <c r="D2" s="255"/>
      <c r="E2" s="62" t="s">
        <v>2879</v>
      </c>
      <c r="F2" s="108"/>
    </row>
    <row r="3" spans="1:6" x14ac:dyDescent="0.25">
      <c r="A3" s="73" cm="1">
        <f t="array" ref="A3">dateShip[DATE]</f>
        <v>44538</v>
      </c>
      <c r="B3" s="74" t="s">
        <v>122</v>
      </c>
      <c r="C3" s="74" t="str">
        <f>'Sku List'!G28</f>
        <v>FBA15FKLH7CH</v>
      </c>
      <c r="D3" s="74"/>
      <c r="E3" s="74" t="s">
        <v>67</v>
      </c>
      <c r="F3" s="75"/>
    </row>
    <row r="4" spans="1:6" ht="18.75" x14ac:dyDescent="0.3">
      <c r="A4" s="60" t="s">
        <v>2881</v>
      </c>
      <c r="B4" s="61"/>
      <c r="C4" s="61" t="s">
        <v>2880</v>
      </c>
      <c r="D4" s="61"/>
      <c r="E4" s="61"/>
      <c r="F4" s="150"/>
    </row>
    <row r="5" spans="1:6" x14ac:dyDescent="0.25">
      <c r="A5" s="241" t="s">
        <v>2882</v>
      </c>
      <c r="B5" s="242"/>
      <c r="C5" s="243" t="s">
        <v>2882</v>
      </c>
      <c r="D5" s="244"/>
      <c r="E5" s="244"/>
      <c r="F5" s="247"/>
    </row>
    <row r="6" spans="1:6" x14ac:dyDescent="0.25">
      <c r="A6" s="243"/>
      <c r="B6" s="244"/>
      <c r="C6" s="243"/>
      <c r="D6" s="244"/>
      <c r="E6" s="244"/>
      <c r="F6" s="247"/>
    </row>
    <row r="7" spans="1:6" x14ac:dyDescent="0.25">
      <c r="A7" s="243"/>
      <c r="B7" s="244"/>
      <c r="C7" s="243"/>
      <c r="D7" s="244"/>
      <c r="E7" s="244"/>
      <c r="F7" s="247"/>
    </row>
    <row r="8" spans="1:6" x14ac:dyDescent="0.25">
      <c r="A8" s="243"/>
      <c r="B8" s="244"/>
      <c r="C8" s="243"/>
      <c r="D8" s="244"/>
      <c r="E8" s="244"/>
      <c r="F8" s="247"/>
    </row>
    <row r="9" spans="1:6" x14ac:dyDescent="0.25">
      <c r="A9" s="245"/>
      <c r="B9" s="246"/>
      <c r="C9" s="243"/>
      <c r="D9" s="244"/>
      <c r="E9" s="244"/>
      <c r="F9" s="247"/>
    </row>
    <row r="10" spans="1:6" ht="18.75" x14ac:dyDescent="0.3">
      <c r="A10" s="66" t="s">
        <v>3011</v>
      </c>
      <c r="B10" s="66"/>
      <c r="C10" s="60" t="s">
        <v>3004</v>
      </c>
      <c r="D10" s="60"/>
      <c r="E10" s="60" t="s">
        <v>3006</v>
      </c>
      <c r="F10" s="163"/>
    </row>
    <row r="11" spans="1:6" ht="18.75" x14ac:dyDescent="0.3">
      <c r="A11" s="160" t="s">
        <v>143</v>
      </c>
      <c r="B11" s="161"/>
      <c r="C11" s="162" t="s">
        <v>3005</v>
      </c>
      <c r="D11" s="152"/>
      <c r="E11" s="152" t="s">
        <v>3007</v>
      </c>
      <c r="F11" s="152"/>
    </row>
    <row r="12" spans="1:6" ht="18.75" x14ac:dyDescent="0.3">
      <c r="A12" s="63" t="s">
        <v>2885</v>
      </c>
      <c r="B12" s="64"/>
      <c r="C12" s="64" t="s">
        <v>2886</v>
      </c>
      <c r="D12" s="64"/>
      <c r="E12" s="64"/>
      <c r="F12" s="65"/>
    </row>
    <row r="13" spans="1:6" x14ac:dyDescent="0.25">
      <c r="A13" s="88" t="str">
        <f>'Sku List'!G25</f>
        <v>FR 21-12-04</v>
      </c>
      <c r="B13" s="88"/>
      <c r="C13" s="248" t="str">
        <f ca="1">'Sku List'!H16</f>
        <v>TRANSATLANTIC STERLING LIMITED
c/o FBA
Amazon Fulfillment Center (BWU2), 
13 Emporium Avenue 2178 
Kemps Creek, NSW  
Australia</v>
      </c>
      <c r="D13" s="248"/>
      <c r="E13" s="248"/>
      <c r="F13" s="249"/>
    </row>
    <row r="14" spans="1:6" ht="18.75" x14ac:dyDescent="0.3">
      <c r="A14" s="60" t="s">
        <v>2887</v>
      </c>
      <c r="B14" s="90"/>
      <c r="C14" s="248"/>
      <c r="D14" s="248"/>
      <c r="E14" s="248"/>
      <c r="F14" s="249"/>
    </row>
    <row r="15" spans="1:6" ht="18.75" x14ac:dyDescent="0.25">
      <c r="A15" s="92" t="str">
        <f>CONCATENATE(Map!A12, " ", Map!A13, " ",Map!A14, " ",Map!A15)</f>
        <v xml:space="preserve">Italy Poland Thailand </v>
      </c>
      <c r="B15" s="83"/>
      <c r="C15" s="248"/>
      <c r="D15" s="248"/>
      <c r="E15" s="248"/>
      <c r="F15" s="249"/>
    </row>
    <row r="16" spans="1:6" ht="15" customHeight="1" x14ac:dyDescent="0.3">
      <c r="A16" s="60" t="s">
        <v>126</v>
      </c>
      <c r="B16" s="90"/>
      <c r="C16" s="248"/>
      <c r="D16" s="248"/>
      <c r="E16" s="248"/>
      <c r="F16" s="249"/>
    </row>
    <row r="17" spans="1:8" ht="15" customHeight="1" x14ac:dyDescent="0.25">
      <c r="A17" s="93" t="str">
        <f>IF('Sku List'!G34 = 0, "", 'Sku List'!G34)</f>
        <v/>
      </c>
      <c r="B17" s="83"/>
      <c r="C17" s="248"/>
      <c r="D17" s="248"/>
      <c r="E17" s="248"/>
      <c r="F17" s="249"/>
    </row>
    <row r="18" spans="1:8" ht="18.75" x14ac:dyDescent="0.3">
      <c r="A18" s="60" t="s">
        <v>127</v>
      </c>
      <c r="B18" s="90"/>
      <c r="C18" s="248"/>
      <c r="D18" s="248"/>
      <c r="E18" s="248"/>
      <c r="F18" s="249"/>
    </row>
    <row r="19" spans="1:8" ht="18.75" x14ac:dyDescent="0.3">
      <c r="A19" s="89" t="str">
        <f>'Sku List'!G25</f>
        <v>FR 21-12-04</v>
      </c>
      <c r="B19" s="81"/>
      <c r="C19" s="248"/>
      <c r="D19" s="248"/>
      <c r="E19" s="248"/>
      <c r="F19" s="249"/>
    </row>
    <row r="20" spans="1:8" ht="39" customHeight="1" x14ac:dyDescent="0.25">
      <c r="A20" s="97" t="s">
        <v>128</v>
      </c>
      <c r="B20" s="147" t="s">
        <v>129</v>
      </c>
      <c r="C20" s="151" t="s">
        <v>3008</v>
      </c>
      <c r="D20" s="151" t="s">
        <v>2980</v>
      </c>
      <c r="E20" s="151" t="s">
        <v>130</v>
      </c>
      <c r="F20" s="151" t="s">
        <v>2985</v>
      </c>
    </row>
    <row r="21" spans="1:8" x14ac:dyDescent="0.25">
      <c r="A21" t="s">
        <v>2910</v>
      </c>
      <c r="B21" t="s">
        <v>114</v>
      </c>
      <c r="C21" t="s">
        <v>138</v>
      </c>
      <c r="D21" s="33">
        <v>242</v>
      </c>
      <c r="E21">
        <v>100</v>
      </c>
      <c r="F21" s="33">
        <v>689.61523681176664</v>
      </c>
      <c r="G21" s="33"/>
      <c r="H21" s="33"/>
    </row>
    <row r="22" spans="1:8" x14ac:dyDescent="0.25">
      <c r="A22" t="s">
        <v>2910</v>
      </c>
      <c r="B22" t="s">
        <v>113</v>
      </c>
      <c r="C22" t="s">
        <v>138</v>
      </c>
      <c r="D22" s="33">
        <v>617</v>
      </c>
      <c r="E22">
        <v>200</v>
      </c>
      <c r="F22" s="33">
        <v>1540.7899516216485</v>
      </c>
      <c r="G22" s="33"/>
      <c r="H22" s="33"/>
    </row>
    <row r="23" spans="1:8" x14ac:dyDescent="0.25">
      <c r="A23" t="s">
        <v>2911</v>
      </c>
      <c r="B23" t="s">
        <v>114</v>
      </c>
      <c r="C23" t="s">
        <v>138</v>
      </c>
      <c r="D23" s="33">
        <v>2132</v>
      </c>
      <c r="E23">
        <v>200</v>
      </c>
      <c r="F23" s="33">
        <v>4799.6694058254061</v>
      </c>
      <c r="G23" s="33"/>
      <c r="H23" s="33"/>
    </row>
    <row r="24" spans="1:8" x14ac:dyDescent="0.25">
      <c r="A24" t="s">
        <v>2912</v>
      </c>
      <c r="B24" t="s">
        <v>114</v>
      </c>
      <c r="C24" t="s">
        <v>138</v>
      </c>
      <c r="D24" s="33">
        <v>702.2222488995601</v>
      </c>
      <c r="E24">
        <v>300</v>
      </c>
      <c r="F24" s="33">
        <v>1692.277186720783</v>
      </c>
      <c r="G24" s="33"/>
      <c r="H24" s="33"/>
    </row>
    <row r="25" spans="1:8" x14ac:dyDescent="0.25">
      <c r="A25" t="s">
        <v>2912</v>
      </c>
      <c r="B25" t="s">
        <v>113</v>
      </c>
      <c r="C25" t="s">
        <v>138</v>
      </c>
      <c r="D25" s="33">
        <v>6041.3805614240191</v>
      </c>
      <c r="E25">
        <v>2200</v>
      </c>
      <c r="F25" s="33">
        <v>13504.140323540098</v>
      </c>
      <c r="G25" s="33"/>
      <c r="H25" s="33"/>
    </row>
    <row r="26" spans="1:8" x14ac:dyDescent="0.25">
      <c r="A26" s="94" t="s">
        <v>2893</v>
      </c>
      <c r="B26" s="94"/>
      <c r="C26" s="94"/>
      <c r="D26" s="111">
        <f ca="1">SUM(D21:OFFSET(D26,-1,0))</f>
        <v>9734.6028103235803</v>
      </c>
      <c r="E26" s="94">
        <f ca="1">SUM(E21:OFFSET(E26,-1,0))</f>
        <v>3000</v>
      </c>
      <c r="F26" s="157">
        <f ca="1">SUM(F21:OFFSET(F26,-1,0))</f>
        <v>22226.492104519701</v>
      </c>
      <c r="G26" s="33"/>
      <c r="H26" s="33"/>
    </row>
    <row r="27" spans="1:8" ht="31.5" x14ac:dyDescent="0.3">
      <c r="A27" s="94" t="s">
        <v>148</v>
      </c>
      <c r="B27" s="95"/>
      <c r="C27" s="4"/>
      <c r="D27" s="69" t="s">
        <v>132</v>
      </c>
      <c r="E27" s="69"/>
      <c r="F27" s="156">
        <v>100</v>
      </c>
    </row>
    <row r="28" spans="1:8" ht="15" customHeight="1" x14ac:dyDescent="0.3">
      <c r="A28" s="250" cm="1">
        <f t="array" ref="A28">boxesNumber[]</f>
        <v>3</v>
      </c>
      <c r="B28" s="77"/>
      <c r="C28" s="4"/>
      <c r="D28" s="69" t="s">
        <v>133</v>
      </c>
      <c r="E28" s="69"/>
      <c r="F28" s="156">
        <f ca="1">OFFSET(F27,-1,0)*0.005</f>
        <v>111.13246052259851</v>
      </c>
    </row>
    <row r="29" spans="1:8" ht="15.75" customHeight="1" x14ac:dyDescent="0.3">
      <c r="A29" s="250"/>
      <c r="B29" s="77"/>
      <c r="C29" s="4"/>
      <c r="D29" s="69" t="s">
        <v>134</v>
      </c>
      <c r="E29" s="69"/>
      <c r="F29" s="70">
        <v>0</v>
      </c>
    </row>
    <row r="30" spans="1:8" ht="15" customHeight="1" x14ac:dyDescent="0.25">
      <c r="A30" s="101" t="s">
        <v>2894</v>
      </c>
      <c r="B30" s="102"/>
      <c r="C30" s="80"/>
      <c r="D30" s="232" t="s">
        <v>119</v>
      </c>
      <c r="E30" s="233"/>
      <c r="F30" s="251">
        <f ca="1">SUM(F26:OFFSET(F30,-1,0))</f>
        <v>22437.624565042301</v>
      </c>
    </row>
    <row r="31" spans="1:8" ht="15" customHeight="1" x14ac:dyDescent="0.25">
      <c r="A31" s="103" t="s">
        <v>3144</v>
      </c>
      <c r="B31" s="104"/>
      <c r="C31" s="75"/>
      <c r="D31" s="234"/>
      <c r="E31" s="235"/>
      <c r="F31" s="252"/>
    </row>
    <row r="32" spans="1:8" ht="15" customHeight="1" x14ac:dyDescent="0.25">
      <c r="A32" s="103" t="s">
        <v>3145</v>
      </c>
      <c r="B32" s="104"/>
      <c r="C32" s="75"/>
      <c r="D32" s="234"/>
      <c r="E32" s="235"/>
      <c r="F32" s="252"/>
    </row>
    <row r="33" spans="1:6" ht="15" customHeight="1" x14ac:dyDescent="0.25">
      <c r="A33" s="103" t="s">
        <v>3146</v>
      </c>
      <c r="B33" s="104"/>
      <c r="C33" s="75"/>
      <c r="D33" s="236"/>
      <c r="E33" s="237"/>
      <c r="F33" s="253"/>
    </row>
    <row r="34" spans="1:6" ht="15" customHeight="1" x14ac:dyDescent="0.25">
      <c r="A34" s="105" t="s">
        <v>3147</v>
      </c>
      <c r="B34" s="105"/>
      <c r="C34" s="78"/>
      <c r="D34" s="171"/>
      <c r="E34" s="171"/>
      <c r="F34" s="172"/>
    </row>
    <row r="35" spans="1:6" x14ac:dyDescent="0.25">
      <c r="A35" s="36"/>
      <c r="B35" s="37"/>
      <c r="C35" s="37"/>
      <c r="D35" s="37"/>
      <c r="E35" s="37"/>
      <c r="F35" s="43"/>
    </row>
    <row r="36" spans="1:6" x14ac:dyDescent="0.25">
      <c r="A36" s="36"/>
      <c r="B36" s="37"/>
      <c r="C36" s="37"/>
      <c r="D36" s="37"/>
      <c r="E36" s="37"/>
      <c r="F36" s="43"/>
    </row>
    <row r="37" spans="1:6" x14ac:dyDescent="0.25">
      <c r="A37" s="38"/>
      <c r="B37" s="39"/>
      <c r="C37" s="39"/>
      <c r="D37" s="40"/>
      <c r="E37" s="40"/>
      <c r="F37" s="44"/>
    </row>
    <row r="38" spans="1:6" x14ac:dyDescent="0.25">
      <c r="A38" s="71" t="s">
        <v>135</v>
      </c>
      <c r="B38" s="51"/>
      <c r="C38" s="52"/>
      <c r="D38" s="50"/>
      <c r="E38" s="50"/>
      <c r="F38" s="135"/>
    </row>
    <row r="39" spans="1:6" x14ac:dyDescent="0.25">
      <c r="A39" s="41"/>
      <c r="B39" s="35"/>
      <c r="C39" s="30"/>
      <c r="D39" s="30"/>
      <c r="E39" s="30"/>
      <c r="F39" s="45"/>
    </row>
    <row r="40" spans="1:6" x14ac:dyDescent="0.25">
      <c r="A40" s="46"/>
      <c r="B40" s="47"/>
      <c r="C40" s="47"/>
      <c r="D40" s="47"/>
      <c r="E40" s="47"/>
      <c r="F40" s="49"/>
    </row>
  </sheetData>
  <mergeCells count="8">
    <mergeCell ref="D30:E33"/>
    <mergeCell ref="F30:F33"/>
    <mergeCell ref="A1:F1"/>
    <mergeCell ref="C2:D2"/>
    <mergeCell ref="A5:B9"/>
    <mergeCell ref="C5:F9"/>
    <mergeCell ref="C13:F19"/>
    <mergeCell ref="A28:A29"/>
  </mergeCells>
  <pageMargins left="0" right="0" top="0" bottom="0" header="0" footer="0"/>
  <pageSetup paperSize="9" fitToHeight="0"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CA439B-EE29-40E1-AB14-4023F714E580}">
  <sheetPr codeName="CAManual">
    <pageSetUpPr fitToPage="1"/>
  </sheetPr>
  <dimension ref="A1:F54"/>
  <sheetViews>
    <sheetView topLeftCell="A13" workbookViewId="0">
      <selection activeCell="A48" sqref="A48:A49"/>
    </sheetView>
  </sheetViews>
  <sheetFormatPr defaultRowHeight="15" x14ac:dyDescent="0.25"/>
  <cols>
    <col min="1" max="1" width="27.42578125" customWidth="1"/>
    <col min="3" max="3" width="9.28515625" customWidth="1"/>
    <col min="4" max="4" width="12.7109375" customWidth="1"/>
    <col min="5" max="5" width="11.85546875" bestFit="1" customWidth="1"/>
    <col min="6" max="6" width="11.85546875" customWidth="1"/>
  </cols>
  <sheetData>
    <row r="1" spans="1:6" ht="18" x14ac:dyDescent="0.25">
      <c r="A1" s="282" t="s">
        <v>3031</v>
      </c>
      <c r="B1" s="283"/>
      <c r="C1" s="283"/>
      <c r="D1" s="283"/>
      <c r="E1" s="283"/>
      <c r="F1" s="283"/>
    </row>
    <row r="2" spans="1:6" x14ac:dyDescent="0.25">
      <c r="A2" s="284" t="s">
        <v>120</v>
      </c>
      <c r="B2" s="284"/>
      <c r="C2" s="284"/>
      <c r="D2" s="285" t="s">
        <v>121</v>
      </c>
      <c r="E2" s="285"/>
      <c r="F2" s="285"/>
    </row>
    <row r="3" spans="1:6" x14ac:dyDescent="0.25">
      <c r="A3" s="286">
        <f>USInvoice!A3</f>
        <v>44538</v>
      </c>
      <c r="B3" s="286"/>
      <c r="C3" s="286"/>
      <c r="D3" s="152" t="str">
        <f>USInvoice!D3</f>
        <v>FBA15FKLH7CH</v>
      </c>
      <c r="E3" s="152"/>
      <c r="F3" s="152"/>
    </row>
    <row r="4" spans="1:6" x14ac:dyDescent="0.25">
      <c r="A4" s="281" t="s">
        <v>123</v>
      </c>
      <c r="B4" s="281"/>
      <c r="C4" s="281"/>
      <c r="D4" s="281" t="s">
        <v>124</v>
      </c>
      <c r="E4" s="281"/>
      <c r="F4" s="281"/>
    </row>
    <row r="5" spans="1:6" x14ac:dyDescent="0.25">
      <c r="A5" s="288" t="s">
        <v>139</v>
      </c>
      <c r="B5" s="289"/>
      <c r="C5" s="290"/>
      <c r="D5" s="291" t="s">
        <v>139</v>
      </c>
      <c r="E5" s="291"/>
      <c r="F5" s="292"/>
    </row>
    <row r="6" spans="1:6" x14ac:dyDescent="0.25">
      <c r="A6" s="293" t="s">
        <v>140</v>
      </c>
      <c r="B6" s="294"/>
      <c r="C6" s="295"/>
      <c r="D6" s="296" t="s">
        <v>140</v>
      </c>
      <c r="E6" s="296"/>
      <c r="F6" s="297"/>
    </row>
    <row r="7" spans="1:6" x14ac:dyDescent="0.25">
      <c r="A7" s="293" t="s">
        <v>141</v>
      </c>
      <c r="B7" s="294"/>
      <c r="C7" s="295"/>
      <c r="D7" s="296" t="s">
        <v>141</v>
      </c>
      <c r="E7" s="296"/>
      <c r="F7" s="297"/>
    </row>
    <row r="8" spans="1:6" x14ac:dyDescent="0.25">
      <c r="A8" s="293" t="s">
        <v>142</v>
      </c>
      <c r="B8" s="294"/>
      <c r="C8" s="295"/>
      <c r="D8" s="296" t="s">
        <v>142</v>
      </c>
      <c r="E8" s="296"/>
      <c r="F8" s="297"/>
    </row>
    <row r="9" spans="1:6" x14ac:dyDescent="0.25">
      <c r="A9" s="298" t="s">
        <v>118</v>
      </c>
      <c r="B9" s="299"/>
      <c r="C9" s="300"/>
      <c r="D9" s="301" t="s">
        <v>118</v>
      </c>
      <c r="E9" s="301"/>
      <c r="F9" s="302"/>
    </row>
    <row r="10" spans="1:6" x14ac:dyDescent="0.25">
      <c r="A10" s="303" t="s">
        <v>152</v>
      </c>
      <c r="B10" s="303"/>
      <c r="C10" s="303"/>
      <c r="D10" s="303"/>
      <c r="E10" s="303"/>
      <c r="F10" s="303"/>
    </row>
    <row r="11" spans="1:6" x14ac:dyDescent="0.25">
      <c r="A11" s="287" t="str">
        <f>USInvoice!A13</f>
        <v>FR 21-12-04</v>
      </c>
      <c r="B11" s="287"/>
      <c r="C11" s="287"/>
      <c r="D11" s="287"/>
      <c r="E11" s="287"/>
      <c r="F11" s="287"/>
    </row>
    <row r="12" spans="1:6" x14ac:dyDescent="0.25">
      <c r="A12" s="310" t="s">
        <v>125</v>
      </c>
      <c r="B12" s="310"/>
      <c r="C12" s="310"/>
      <c r="D12" s="310"/>
      <c r="E12" s="310"/>
      <c r="F12" s="310"/>
    </row>
    <row r="13" spans="1:6" x14ac:dyDescent="0.25">
      <c r="A13" s="287" t="str">
        <f>CONCATENATE(Map!A12, " ", Map!A13, " ",Map!A14, " ",Map!A15)</f>
        <v xml:space="preserve">Italy Poland Thailand </v>
      </c>
      <c r="B13" s="287"/>
      <c r="C13" s="287"/>
      <c r="D13" s="287"/>
      <c r="E13" s="287"/>
      <c r="F13" s="287"/>
    </row>
    <row r="14" spans="1:6" ht="21" x14ac:dyDescent="0.25">
      <c r="A14" s="123" t="s">
        <v>2888</v>
      </c>
      <c r="B14" s="34" t="s">
        <v>129</v>
      </c>
      <c r="C14" s="34" t="s">
        <v>2889</v>
      </c>
      <c r="D14" s="34" t="s">
        <v>3008</v>
      </c>
      <c r="E14" s="34" t="s">
        <v>2990</v>
      </c>
      <c r="F14" s="124" t="s">
        <v>130</v>
      </c>
    </row>
    <row r="15" spans="1:6" x14ac:dyDescent="0.25">
      <c r="A15" s="173" t="s">
        <v>3138</v>
      </c>
      <c r="B15" s="173" t="s">
        <v>113</v>
      </c>
      <c r="C15" s="173" t="s">
        <v>117</v>
      </c>
      <c r="D15" s="173" t="s">
        <v>138</v>
      </c>
      <c r="E15" s="182">
        <v>150</v>
      </c>
      <c r="F15" s="173">
        <v>100</v>
      </c>
    </row>
    <row r="16" spans="1:6" x14ac:dyDescent="0.25">
      <c r="A16" s="173" t="s">
        <v>3150</v>
      </c>
      <c r="B16" s="173" t="s">
        <v>113</v>
      </c>
      <c r="C16" s="173" t="s">
        <v>117</v>
      </c>
      <c r="D16" s="173" t="s">
        <v>138</v>
      </c>
      <c r="E16" s="182">
        <v>178.57142857142901</v>
      </c>
      <c r="F16" s="173">
        <v>100</v>
      </c>
    </row>
    <row r="17" spans="1:6" x14ac:dyDescent="0.25">
      <c r="A17" s="173" t="s">
        <v>2901</v>
      </c>
      <c r="B17" s="173" t="s">
        <v>113</v>
      </c>
      <c r="C17" s="173" t="s">
        <v>117</v>
      </c>
      <c r="D17" s="173" t="s">
        <v>138</v>
      </c>
      <c r="E17" s="182">
        <v>200</v>
      </c>
      <c r="F17" s="173">
        <v>100</v>
      </c>
    </row>
    <row r="18" spans="1:6" x14ac:dyDescent="0.25">
      <c r="A18" s="173" t="s">
        <v>3139</v>
      </c>
      <c r="B18" s="173" t="s">
        <v>113</v>
      </c>
      <c r="C18" s="173" t="s">
        <v>117</v>
      </c>
      <c r="D18" s="173" t="s">
        <v>138</v>
      </c>
      <c r="E18" s="182">
        <v>271.97183098591501</v>
      </c>
      <c r="F18" s="173">
        <v>100</v>
      </c>
    </row>
    <row r="19" spans="1:6" x14ac:dyDescent="0.25">
      <c r="A19" s="173" t="s">
        <v>3151</v>
      </c>
      <c r="B19" s="173" t="s">
        <v>113</v>
      </c>
      <c r="C19" s="173" t="s">
        <v>117</v>
      </c>
      <c r="D19" s="173" t="s">
        <v>138</v>
      </c>
      <c r="E19" s="182">
        <v>162</v>
      </c>
      <c r="F19" s="173">
        <v>100</v>
      </c>
    </row>
    <row r="20" spans="1:6" x14ac:dyDescent="0.25">
      <c r="A20" s="173" t="s">
        <v>3152</v>
      </c>
      <c r="B20" s="173" t="s">
        <v>113</v>
      </c>
      <c r="C20" s="173" t="s">
        <v>117</v>
      </c>
      <c r="D20" s="173" t="s">
        <v>138</v>
      </c>
      <c r="E20" s="182">
        <v>509.01960784313695</v>
      </c>
      <c r="F20" s="173">
        <v>100</v>
      </c>
    </row>
    <row r="21" spans="1:6" x14ac:dyDescent="0.25">
      <c r="A21" s="173" t="s">
        <v>3153</v>
      </c>
      <c r="B21" s="173" t="s">
        <v>113</v>
      </c>
      <c r="C21" s="173" t="s">
        <v>117</v>
      </c>
      <c r="D21" s="173" t="s">
        <v>138</v>
      </c>
      <c r="E21" s="182">
        <v>560.98039215686299</v>
      </c>
      <c r="F21" s="173">
        <v>100</v>
      </c>
    </row>
    <row r="22" spans="1:6" x14ac:dyDescent="0.25">
      <c r="A22" s="173" t="s">
        <v>3154</v>
      </c>
      <c r="B22" s="173" t="s">
        <v>113</v>
      </c>
      <c r="C22" s="173" t="s">
        <v>117</v>
      </c>
      <c r="D22" s="173" t="s">
        <v>138</v>
      </c>
      <c r="E22" s="182">
        <v>790.39215686274508</v>
      </c>
      <c r="F22" s="173">
        <v>100</v>
      </c>
    </row>
    <row r="23" spans="1:6" x14ac:dyDescent="0.25">
      <c r="A23" s="173" t="s">
        <v>3046</v>
      </c>
      <c r="B23" s="173" t="s">
        <v>113</v>
      </c>
      <c r="C23" s="173" t="s">
        <v>117</v>
      </c>
      <c r="D23" s="173" t="s">
        <v>138</v>
      </c>
      <c r="E23" s="182">
        <v>186.07843137254901</v>
      </c>
      <c r="F23" s="173">
        <v>100</v>
      </c>
    </row>
    <row r="24" spans="1:6" x14ac:dyDescent="0.25">
      <c r="A24" s="173" t="s">
        <v>3155</v>
      </c>
      <c r="B24" s="173" t="s">
        <v>113</v>
      </c>
      <c r="C24" s="173" t="s">
        <v>117</v>
      </c>
      <c r="D24" s="173" t="s">
        <v>138</v>
      </c>
      <c r="E24" s="182">
        <v>204.42307692307699</v>
      </c>
      <c r="F24" s="173">
        <v>100</v>
      </c>
    </row>
    <row r="25" spans="1:6" x14ac:dyDescent="0.25">
      <c r="A25" s="173" t="s">
        <v>3047</v>
      </c>
      <c r="B25" s="173" t="s">
        <v>113</v>
      </c>
      <c r="C25" s="173" t="s">
        <v>117</v>
      </c>
      <c r="D25" s="173" t="s">
        <v>138</v>
      </c>
      <c r="E25" s="182">
        <v>242.11538461538501</v>
      </c>
      <c r="F25" s="173">
        <v>100</v>
      </c>
    </row>
    <row r="26" spans="1:6" x14ac:dyDescent="0.25">
      <c r="A26" s="173" t="s">
        <v>3156</v>
      </c>
      <c r="B26" s="173" t="s">
        <v>113</v>
      </c>
      <c r="C26" s="173" t="s">
        <v>117</v>
      </c>
      <c r="D26" s="173" t="s">
        <v>138</v>
      </c>
      <c r="E26" s="182">
        <v>173.137254901961</v>
      </c>
      <c r="F26" s="173">
        <v>100</v>
      </c>
    </row>
    <row r="27" spans="1:6" x14ac:dyDescent="0.25">
      <c r="A27" s="173" t="s">
        <v>3157</v>
      </c>
      <c r="B27" s="173" t="s">
        <v>113</v>
      </c>
      <c r="C27" s="173" t="s">
        <v>117</v>
      </c>
      <c r="D27" s="173" t="s">
        <v>138</v>
      </c>
      <c r="E27" s="182">
        <v>210.58823529411802</v>
      </c>
      <c r="F27" s="173">
        <v>100</v>
      </c>
    </row>
    <row r="28" spans="1:6" x14ac:dyDescent="0.25">
      <c r="A28" s="173" t="s">
        <v>3048</v>
      </c>
      <c r="B28" s="173" t="s">
        <v>113</v>
      </c>
      <c r="C28" s="173" t="s">
        <v>117</v>
      </c>
      <c r="D28" s="173" t="s">
        <v>138</v>
      </c>
      <c r="E28" s="182">
        <v>231.08910891089099</v>
      </c>
      <c r="F28" s="173">
        <v>100</v>
      </c>
    </row>
    <row r="29" spans="1:6" x14ac:dyDescent="0.25">
      <c r="A29" s="173" t="s">
        <v>3158</v>
      </c>
      <c r="B29" s="173" t="s">
        <v>113</v>
      </c>
      <c r="C29" s="173" t="s">
        <v>117</v>
      </c>
      <c r="D29" s="173" t="s">
        <v>138</v>
      </c>
      <c r="E29" s="182">
        <v>328</v>
      </c>
      <c r="F29" s="173">
        <v>100</v>
      </c>
    </row>
    <row r="30" spans="1:6" x14ac:dyDescent="0.25">
      <c r="A30" s="173" t="s">
        <v>3049</v>
      </c>
      <c r="B30" s="173" t="s">
        <v>113</v>
      </c>
      <c r="C30" s="173" t="s">
        <v>117</v>
      </c>
      <c r="D30" s="173" t="s">
        <v>138</v>
      </c>
      <c r="E30" s="182">
        <v>162.745098039216</v>
      </c>
      <c r="F30" s="173">
        <v>100</v>
      </c>
    </row>
    <row r="31" spans="1:6" x14ac:dyDescent="0.25">
      <c r="A31" s="173" t="s">
        <v>3050</v>
      </c>
      <c r="B31" s="173" t="s">
        <v>113</v>
      </c>
      <c r="C31" s="173" t="s">
        <v>117</v>
      </c>
      <c r="D31" s="173" t="s">
        <v>138</v>
      </c>
      <c r="E31" s="182">
        <v>194.70588235294099</v>
      </c>
      <c r="F31" s="173">
        <v>100</v>
      </c>
    </row>
    <row r="32" spans="1:6" x14ac:dyDescent="0.25">
      <c r="A32" s="173" t="s">
        <v>3051</v>
      </c>
      <c r="B32" s="173" t="s">
        <v>113</v>
      </c>
      <c r="C32" s="173" t="s">
        <v>117</v>
      </c>
      <c r="D32" s="173" t="s">
        <v>138</v>
      </c>
      <c r="E32" s="182">
        <v>216</v>
      </c>
      <c r="F32" s="173">
        <v>100</v>
      </c>
    </row>
    <row r="33" spans="1:6" x14ac:dyDescent="0.25">
      <c r="A33" s="173" t="s">
        <v>3159</v>
      </c>
      <c r="B33" s="173" t="s">
        <v>113</v>
      </c>
      <c r="C33" s="173" t="s">
        <v>117</v>
      </c>
      <c r="D33" s="173" t="s">
        <v>138</v>
      </c>
      <c r="E33" s="182">
        <v>303.33333333333303</v>
      </c>
      <c r="F33" s="173">
        <v>100</v>
      </c>
    </row>
    <row r="34" spans="1:6" x14ac:dyDescent="0.25">
      <c r="A34" s="173" t="s">
        <v>3160</v>
      </c>
      <c r="B34" s="173" t="s">
        <v>113</v>
      </c>
      <c r="C34" s="173" t="s">
        <v>117</v>
      </c>
      <c r="D34" s="173" t="s">
        <v>138</v>
      </c>
      <c r="E34" s="182">
        <v>455</v>
      </c>
      <c r="F34" s="173">
        <v>100</v>
      </c>
    </row>
    <row r="35" spans="1:6" x14ac:dyDescent="0.25">
      <c r="A35" s="173" t="s">
        <v>3161</v>
      </c>
      <c r="B35" s="173" t="s">
        <v>113</v>
      </c>
      <c r="C35" s="173" t="s">
        <v>117</v>
      </c>
      <c r="D35" s="173" t="s">
        <v>138</v>
      </c>
      <c r="E35" s="182">
        <v>180</v>
      </c>
      <c r="F35" s="173">
        <v>100</v>
      </c>
    </row>
    <row r="36" spans="1:6" x14ac:dyDescent="0.25">
      <c r="A36" s="173" t="s">
        <v>3052</v>
      </c>
      <c r="B36" s="173" t="s">
        <v>113</v>
      </c>
      <c r="C36" s="173" t="s">
        <v>117</v>
      </c>
      <c r="D36" s="173" t="s">
        <v>138</v>
      </c>
      <c r="E36" s="182">
        <v>223</v>
      </c>
      <c r="F36" s="173">
        <v>100</v>
      </c>
    </row>
    <row r="37" spans="1:6" x14ac:dyDescent="0.25">
      <c r="A37" s="173" t="s">
        <v>3053</v>
      </c>
      <c r="B37" s="173" t="s">
        <v>113</v>
      </c>
      <c r="C37" s="173" t="s">
        <v>117</v>
      </c>
      <c r="D37" s="173" t="s">
        <v>138</v>
      </c>
      <c r="E37" s="182">
        <v>239.38775510204101</v>
      </c>
      <c r="F37" s="173">
        <v>100</v>
      </c>
    </row>
    <row r="38" spans="1:6" x14ac:dyDescent="0.25">
      <c r="A38" s="173" t="s">
        <v>3162</v>
      </c>
      <c r="B38" s="173" t="s">
        <v>113</v>
      </c>
      <c r="C38" s="173" t="s">
        <v>117</v>
      </c>
      <c r="D38" s="173" t="s">
        <v>138</v>
      </c>
      <c r="E38" s="182">
        <v>285.84158415841603</v>
      </c>
      <c r="F38" s="173">
        <v>100</v>
      </c>
    </row>
    <row r="39" spans="1:6" x14ac:dyDescent="0.25">
      <c r="A39" s="173" t="s">
        <v>3163</v>
      </c>
      <c r="B39" s="173" t="s">
        <v>114</v>
      </c>
      <c r="C39" s="173" t="s">
        <v>117</v>
      </c>
      <c r="D39" s="173" t="s">
        <v>138</v>
      </c>
      <c r="E39" s="182">
        <v>1026</v>
      </c>
      <c r="F39" s="173">
        <v>100</v>
      </c>
    </row>
    <row r="40" spans="1:6" x14ac:dyDescent="0.25">
      <c r="A40" s="173" t="s">
        <v>3164</v>
      </c>
      <c r="B40" s="173" t="s">
        <v>114</v>
      </c>
      <c r="C40" s="173" t="s">
        <v>117</v>
      </c>
      <c r="D40" s="173" t="s">
        <v>138</v>
      </c>
      <c r="E40" s="182">
        <v>1106</v>
      </c>
      <c r="F40" s="173">
        <v>100</v>
      </c>
    </row>
    <row r="41" spans="1:6" x14ac:dyDescent="0.25">
      <c r="A41" s="173" t="s">
        <v>2907</v>
      </c>
      <c r="B41" s="173" t="s">
        <v>114</v>
      </c>
      <c r="C41" s="173" t="s">
        <v>117</v>
      </c>
      <c r="D41" s="173" t="s">
        <v>138</v>
      </c>
      <c r="E41" s="182">
        <v>198.367346938776</v>
      </c>
      <c r="F41" s="173">
        <v>100</v>
      </c>
    </row>
    <row r="42" spans="1:6" x14ac:dyDescent="0.25">
      <c r="A42" s="173" t="s">
        <v>3165</v>
      </c>
      <c r="B42" s="173" t="s">
        <v>114</v>
      </c>
      <c r="C42" s="173" t="s">
        <v>117</v>
      </c>
      <c r="D42" s="173" t="s">
        <v>138</v>
      </c>
      <c r="E42" s="182">
        <v>216.6</v>
      </c>
      <c r="F42" s="173">
        <v>100</v>
      </c>
    </row>
    <row r="43" spans="1:6" x14ac:dyDescent="0.25">
      <c r="A43" s="173" t="s">
        <v>3166</v>
      </c>
      <c r="B43" s="173" t="s">
        <v>114</v>
      </c>
      <c r="C43" s="173" t="s">
        <v>117</v>
      </c>
      <c r="D43" s="173" t="s">
        <v>138</v>
      </c>
      <c r="E43" s="182">
        <v>287.25490196078403</v>
      </c>
      <c r="F43" s="173">
        <v>100</v>
      </c>
    </row>
    <row r="44" spans="1:6" x14ac:dyDescent="0.25">
      <c r="A44" s="173" t="s">
        <v>3054</v>
      </c>
      <c r="B44" s="173" t="s">
        <v>114</v>
      </c>
      <c r="C44" s="173" t="s">
        <v>117</v>
      </c>
      <c r="D44" s="173" t="s">
        <v>138</v>
      </c>
      <c r="E44" s="182">
        <v>242</v>
      </c>
      <c r="F44" s="173">
        <v>100</v>
      </c>
    </row>
    <row r="45" spans="1:6" x14ac:dyDescent="0.25">
      <c r="A45" s="173"/>
      <c r="B45" s="173"/>
      <c r="C45" s="173"/>
      <c r="D45" s="173"/>
      <c r="E45" s="182"/>
      <c r="F45" s="173"/>
    </row>
    <row r="46" spans="1:6" x14ac:dyDescent="0.25">
      <c r="A46" s="306" t="s">
        <v>131</v>
      </c>
      <c r="B46" s="306"/>
      <c r="C46" s="306"/>
      <c r="D46" s="307"/>
      <c r="E46" s="167">
        <f ca="1">SUM(E15:OFFSET(E46,-1,0))</f>
        <v>9734.6028103235785</v>
      </c>
      <c r="F46" s="126">
        <f ca="1">SUM(F15:OFFSET(F46,-1,0))</f>
        <v>3000</v>
      </c>
    </row>
    <row r="47" spans="1:6" x14ac:dyDescent="0.25">
      <c r="A47" s="127" t="s">
        <v>2993</v>
      </c>
      <c r="B47" s="308" t="s">
        <v>2988</v>
      </c>
      <c r="C47" s="308"/>
      <c r="D47" s="153" t="s">
        <v>153</v>
      </c>
      <c r="E47" s="129"/>
      <c r="F47" s="129"/>
    </row>
    <row r="48" spans="1:6" x14ac:dyDescent="0.25">
      <c r="A48" s="304">
        <v>1</v>
      </c>
      <c r="B48" s="304">
        <f ca="1">COUNTA(A15:OFFSET(USSubManBox,-1,0))</f>
        <v>30</v>
      </c>
      <c r="C48" s="304"/>
      <c r="D48" s="305">
        <f ca="1">F46</f>
        <v>3000</v>
      </c>
      <c r="E48" s="130"/>
      <c r="F48" s="131"/>
    </row>
    <row r="49" spans="1:6" x14ac:dyDescent="0.25">
      <c r="A49" s="304"/>
      <c r="B49" s="304"/>
      <c r="C49" s="304"/>
      <c r="D49" s="304"/>
      <c r="E49" s="130"/>
      <c r="F49" s="131"/>
    </row>
    <row r="50" spans="1:6" x14ac:dyDescent="0.25">
      <c r="A50" s="36"/>
      <c r="B50" s="37"/>
      <c r="C50" s="37"/>
      <c r="D50" s="37"/>
      <c r="E50" s="37"/>
      <c r="F50" s="43"/>
    </row>
    <row r="51" spans="1:6" x14ac:dyDescent="0.25">
      <c r="A51" s="36"/>
      <c r="B51" s="37"/>
      <c r="C51" s="37"/>
      <c r="D51" s="37"/>
      <c r="E51" s="37"/>
      <c r="F51" s="43"/>
    </row>
    <row r="52" spans="1:6" x14ac:dyDescent="0.25">
      <c r="A52" s="38"/>
      <c r="B52" s="39"/>
      <c r="C52" s="39"/>
      <c r="D52" s="40"/>
      <c r="E52" s="40"/>
      <c r="F52" s="44"/>
    </row>
    <row r="53" spans="1:6" x14ac:dyDescent="0.25">
      <c r="A53" s="98" t="s">
        <v>135</v>
      </c>
      <c r="B53" s="51"/>
      <c r="C53" s="51"/>
      <c r="D53" s="40"/>
      <c r="E53" s="40"/>
      <c r="F53" s="44"/>
    </row>
    <row r="54" spans="1:6" x14ac:dyDescent="0.25">
      <c r="A54" s="132"/>
      <c r="B54" s="133"/>
      <c r="C54" s="133"/>
      <c r="D54" s="133"/>
      <c r="E54" s="133"/>
      <c r="F54" s="134"/>
    </row>
  </sheetData>
  <mergeCells count="25">
    <mergeCell ref="A12:F12"/>
    <mergeCell ref="A13:F13"/>
    <mergeCell ref="A46:D46"/>
    <mergeCell ref="B47:C47"/>
    <mergeCell ref="A48:A49"/>
    <mergeCell ref="B48:C49"/>
    <mergeCell ref="D48:D49"/>
    <mergeCell ref="A11:F11"/>
    <mergeCell ref="A5:C5"/>
    <mergeCell ref="D5:F5"/>
    <mergeCell ref="A6:C6"/>
    <mergeCell ref="D6:F6"/>
    <mergeCell ref="A7:C7"/>
    <mergeCell ref="D7:F7"/>
    <mergeCell ref="A8:C8"/>
    <mergeCell ref="D8:F8"/>
    <mergeCell ref="A9:C9"/>
    <mergeCell ref="D9:F9"/>
    <mergeCell ref="A10:F10"/>
    <mergeCell ref="A1:F1"/>
    <mergeCell ref="A2:C2"/>
    <mergeCell ref="D2:F2"/>
    <mergeCell ref="A3:C3"/>
    <mergeCell ref="A4:C4"/>
    <mergeCell ref="D4:F4"/>
  </mergeCells>
  <pageMargins left="0" right="0" top="0" bottom="0" header="0" footer="0"/>
  <pageSetup paperSize="9" scale="87" orientation="portrait" r:id="rId1"/>
  <drawing r:id="rId2"/>
  <legacyDrawing r:id="rId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04E279-5556-4728-9FEF-C350199913E8}">
  <sheetPr codeName="FRInvoice">
    <pageSetUpPr fitToPage="1"/>
  </sheetPr>
  <dimension ref="A1:H238"/>
  <sheetViews>
    <sheetView topLeftCell="A13" workbookViewId="0">
      <selection activeCell="F21" sqref="F21:F287"/>
    </sheetView>
  </sheetViews>
  <sheetFormatPr defaultRowHeight="15" x14ac:dyDescent="0.25"/>
  <cols>
    <col min="1" max="1" width="24" customWidth="1"/>
    <col min="2" max="3" width="9.7109375" customWidth="1"/>
    <col min="4" max="4" width="12.85546875" customWidth="1"/>
    <col min="5" max="5" width="12.42578125" customWidth="1"/>
    <col min="6" max="6" width="10.85546875" customWidth="1"/>
    <col min="7" max="7" width="9.7109375" customWidth="1"/>
    <col min="8" max="8" width="31.7109375" customWidth="1"/>
    <col min="9" max="12" width="13.28515625" customWidth="1"/>
  </cols>
  <sheetData>
    <row r="1" spans="1:8" x14ac:dyDescent="0.25">
      <c r="A1" s="238" t="s">
        <v>151</v>
      </c>
      <c r="B1" s="239"/>
      <c r="C1" s="239"/>
      <c r="D1" s="239"/>
      <c r="E1" s="239"/>
      <c r="F1" s="239"/>
      <c r="G1" s="239"/>
      <c r="H1" s="240"/>
    </row>
    <row r="2" spans="1:8" ht="18.75" x14ac:dyDescent="0.3">
      <c r="A2" s="149" t="s">
        <v>2862</v>
      </c>
      <c r="B2" s="62" t="s">
        <v>2877</v>
      </c>
      <c r="C2" s="149"/>
      <c r="D2" s="62" t="s">
        <v>2878</v>
      </c>
      <c r="E2" s="62"/>
      <c r="F2" s="62"/>
      <c r="G2" s="62" t="s">
        <v>2879</v>
      </c>
      <c r="H2" s="72"/>
    </row>
    <row r="3" spans="1:8" x14ac:dyDescent="0.25">
      <c r="A3" s="192">
        <f>'Sku List'!G31</f>
        <v>44538</v>
      </c>
      <c r="B3" s="193" t="s">
        <v>122</v>
      </c>
      <c r="C3" s="193"/>
      <c r="D3" s="193" t="str">
        <f>'Sku List'!G28</f>
        <v>FBA15FKLH7CH</v>
      </c>
      <c r="E3" s="193"/>
      <c r="F3" s="185"/>
      <c r="G3" s="193" t="s">
        <v>69</v>
      </c>
      <c r="H3" s="185"/>
    </row>
    <row r="4" spans="1:8" ht="18.75" x14ac:dyDescent="0.3">
      <c r="A4" s="60" t="s">
        <v>2881</v>
      </c>
      <c r="B4" s="61"/>
      <c r="C4" s="150"/>
      <c r="D4" s="61" t="s">
        <v>2880</v>
      </c>
      <c r="E4" s="61"/>
      <c r="F4" s="61"/>
      <c r="G4" s="61"/>
      <c r="H4" s="150"/>
    </row>
    <row r="5" spans="1:8" ht="14.45" customHeight="1" x14ac:dyDescent="0.25">
      <c r="A5" s="241" t="s">
        <v>3019</v>
      </c>
      <c r="B5" s="242"/>
      <c r="C5" s="273"/>
      <c r="D5" s="243" t="s">
        <v>3019</v>
      </c>
      <c r="E5" s="244"/>
      <c r="F5" s="244"/>
      <c r="G5" s="244"/>
      <c r="H5" s="247"/>
    </row>
    <row r="6" spans="1:8" ht="15" customHeight="1" x14ac:dyDescent="0.25">
      <c r="A6" s="243"/>
      <c r="B6" s="244"/>
      <c r="C6" s="247"/>
      <c r="D6" s="243"/>
      <c r="E6" s="244"/>
      <c r="F6" s="244"/>
      <c r="G6" s="244"/>
      <c r="H6" s="247"/>
    </row>
    <row r="7" spans="1:8" ht="15" customHeight="1" x14ac:dyDescent="0.25">
      <c r="A7" s="243"/>
      <c r="B7" s="244"/>
      <c r="C7" s="247"/>
      <c r="D7" s="243"/>
      <c r="E7" s="244"/>
      <c r="F7" s="244"/>
      <c r="G7" s="244"/>
      <c r="H7" s="247"/>
    </row>
    <row r="8" spans="1:8" x14ac:dyDescent="0.25">
      <c r="A8" s="243"/>
      <c r="B8" s="244"/>
      <c r="C8" s="247"/>
      <c r="D8" s="243"/>
      <c r="E8" s="244"/>
      <c r="F8" s="244"/>
      <c r="G8" s="244"/>
      <c r="H8" s="247"/>
    </row>
    <row r="9" spans="1:8" ht="15" customHeight="1" x14ac:dyDescent="0.25">
      <c r="A9" s="245"/>
      <c r="B9" s="246"/>
      <c r="C9" s="274"/>
      <c r="D9" s="243"/>
      <c r="E9" s="244"/>
      <c r="F9" s="244"/>
      <c r="G9" s="244"/>
      <c r="H9" s="247"/>
    </row>
    <row r="10" spans="1:8" ht="18.75" x14ac:dyDescent="0.3">
      <c r="A10" s="66" t="s">
        <v>2883</v>
      </c>
      <c r="B10" s="66"/>
      <c r="C10" s="76"/>
      <c r="D10" s="82" t="s">
        <v>3013</v>
      </c>
      <c r="E10" s="66"/>
      <c r="F10" s="66"/>
      <c r="G10" s="66" t="s">
        <v>3016</v>
      </c>
      <c r="H10" s="76"/>
    </row>
    <row r="11" spans="1:8" ht="18.75" x14ac:dyDescent="0.3">
      <c r="A11" s="85" t="s">
        <v>3015</v>
      </c>
      <c r="B11" s="86"/>
      <c r="C11" s="87"/>
      <c r="D11" s="84" t="s">
        <v>3014</v>
      </c>
      <c r="E11" s="83"/>
      <c r="F11" s="83"/>
      <c r="G11" s="194" t="s">
        <v>3017</v>
      </c>
      <c r="H11" s="185"/>
    </row>
    <row r="12" spans="1:8" ht="18.75" x14ac:dyDescent="0.3">
      <c r="A12" s="63" t="s">
        <v>2885</v>
      </c>
      <c r="B12" s="64"/>
      <c r="C12" s="65"/>
      <c r="D12" s="64" t="s">
        <v>2886</v>
      </c>
      <c r="E12" s="64"/>
      <c r="F12" s="64"/>
      <c r="G12" s="64"/>
      <c r="H12" s="65"/>
    </row>
    <row r="13" spans="1:8" ht="15" customHeight="1" x14ac:dyDescent="0.25">
      <c r="A13" s="88" t="str">
        <f>'Sku List'!G25</f>
        <v>FR 21-12-04</v>
      </c>
      <c r="B13" s="88"/>
      <c r="C13" s="88"/>
      <c r="D13" s="248" t="str">
        <f ca="1">'Sku List'!H16</f>
        <v>TRANSATLANTIC STERLING LIMITED
c/o FBA
Amazon Fulfillment Center (BWU2), 
13 Emporium Avenue 2178 
Kemps Creek, NSW  
Australia</v>
      </c>
      <c r="E13" s="248"/>
      <c r="F13" s="248"/>
      <c r="G13" s="248"/>
      <c r="H13" s="249"/>
    </row>
    <row r="14" spans="1:8" ht="18.75" x14ac:dyDescent="0.3">
      <c r="A14" s="60" t="s">
        <v>2887</v>
      </c>
      <c r="B14" s="90"/>
      <c r="C14" s="91"/>
      <c r="D14" s="248"/>
      <c r="E14" s="248"/>
      <c r="F14" s="248"/>
      <c r="G14" s="248"/>
      <c r="H14" s="249"/>
    </row>
    <row r="15" spans="1:8" ht="18.75" x14ac:dyDescent="0.25">
      <c r="A15" s="92" t="str">
        <f t="array" ref="A15">_xlfn.TEXTJOIN(", ",TRUE,Map!A12:A18)</f>
        <v>Italy, Poland, Thailand</v>
      </c>
      <c r="B15" s="83"/>
      <c r="C15" s="116"/>
      <c r="D15" s="248"/>
      <c r="E15" s="248"/>
      <c r="F15" s="248"/>
      <c r="G15" s="248"/>
      <c r="H15" s="249"/>
    </row>
    <row r="16" spans="1:8" ht="18.75" x14ac:dyDescent="0.3">
      <c r="A16" s="60" t="s">
        <v>126</v>
      </c>
      <c r="B16" s="90"/>
      <c r="C16" s="91"/>
      <c r="D16" s="248"/>
      <c r="E16" s="248"/>
      <c r="F16" s="248"/>
      <c r="G16" s="248"/>
      <c r="H16" s="249"/>
    </row>
    <row r="17" spans="1:8" x14ac:dyDescent="0.25">
      <c r="A17" s="93" t="str">
        <f>IF('Sku List'!G34 = 0, "", 'Sku List'!G34)</f>
        <v/>
      </c>
      <c r="B17" s="83"/>
      <c r="C17" s="116"/>
      <c r="D17" s="248"/>
      <c r="E17" s="248"/>
      <c r="F17" s="248"/>
      <c r="G17" s="248"/>
      <c r="H17" s="249"/>
    </row>
    <row r="18" spans="1:8" ht="18.75" x14ac:dyDescent="0.3">
      <c r="A18" s="60" t="s">
        <v>127</v>
      </c>
      <c r="B18" s="90"/>
      <c r="C18" s="91"/>
      <c r="D18" s="248"/>
      <c r="E18" s="248"/>
      <c r="F18" s="248"/>
      <c r="G18" s="248"/>
      <c r="H18" s="249"/>
    </row>
    <row r="19" spans="1:8" ht="18.75" x14ac:dyDescent="0.3">
      <c r="A19" s="89" t="str">
        <f>'Sku List'!G25</f>
        <v>FR 21-12-04</v>
      </c>
      <c r="B19" s="81"/>
      <c r="C19" s="78"/>
      <c r="D19" s="248"/>
      <c r="E19" s="248"/>
      <c r="F19" s="248"/>
      <c r="G19" s="248"/>
      <c r="H19" s="249"/>
    </row>
    <row r="20" spans="1:8" ht="42.6" customHeight="1" x14ac:dyDescent="0.25">
      <c r="A20" s="148" t="s">
        <v>2888</v>
      </c>
      <c r="B20" s="148" t="s">
        <v>129</v>
      </c>
      <c r="C20" s="148" t="s">
        <v>2889</v>
      </c>
      <c r="D20" s="34" t="s">
        <v>3134</v>
      </c>
      <c r="E20" s="34" t="s">
        <v>2990</v>
      </c>
      <c r="F20" s="34" t="s">
        <v>130</v>
      </c>
      <c r="G20" s="34" t="s">
        <v>3020</v>
      </c>
      <c r="H20" s="34" t="s">
        <v>3135</v>
      </c>
    </row>
    <row r="21" spans="1:8" ht="27" customHeight="1" x14ac:dyDescent="0.25">
      <c r="A21" s="213" t="s">
        <v>3138</v>
      </c>
      <c r="B21" s="213" t="s">
        <v>113</v>
      </c>
      <c r="C21" s="214" t="s">
        <v>117</v>
      </c>
      <c r="D21" s="213" t="s">
        <v>3136</v>
      </c>
      <c r="E21" s="214">
        <v>15</v>
      </c>
      <c r="F21" s="213">
        <v>10</v>
      </c>
      <c r="G21" s="214">
        <v>2.3753497585034591</v>
      </c>
      <c r="H21" s="155">
        <f>G21*F21</f>
        <v>23.753497585034591</v>
      </c>
    </row>
    <row r="22" spans="1:8" ht="27" customHeight="1" x14ac:dyDescent="0.25">
      <c r="A22" s="213" t="s">
        <v>3102</v>
      </c>
      <c r="B22" s="213" t="s">
        <v>113</v>
      </c>
      <c r="C22" s="214" t="s">
        <v>117</v>
      </c>
      <c r="D22" s="213" t="s">
        <v>3136</v>
      </c>
      <c r="E22" s="214">
        <v>240</v>
      </c>
      <c r="F22" s="213">
        <v>200</v>
      </c>
      <c r="G22" s="214">
        <v>1.8594382296686018</v>
      </c>
      <c r="H22" s="155">
        <f t="shared" ref="H22:H85" si="0">G22*F22</f>
        <v>371.88764593372036</v>
      </c>
    </row>
    <row r="23" spans="1:8" ht="27" customHeight="1" x14ac:dyDescent="0.25">
      <c r="A23" s="213" t="s">
        <v>3061</v>
      </c>
      <c r="B23" s="213" t="s">
        <v>113</v>
      </c>
      <c r="C23" s="214" t="s">
        <v>117</v>
      </c>
      <c r="D23" s="213" t="s">
        <v>3136</v>
      </c>
      <c r="E23" s="214">
        <v>183</v>
      </c>
      <c r="F23" s="213">
        <v>100</v>
      </c>
      <c r="G23" s="214">
        <v>2.2619513828585696</v>
      </c>
      <c r="H23" s="155">
        <f t="shared" si="0"/>
        <v>226.19513828585696</v>
      </c>
    </row>
    <row r="24" spans="1:8" ht="27" customHeight="1" x14ac:dyDescent="0.25">
      <c r="A24" s="213" t="s">
        <v>2896</v>
      </c>
      <c r="B24" s="213" t="s">
        <v>113</v>
      </c>
      <c r="C24" s="214" t="s">
        <v>117</v>
      </c>
      <c r="D24" s="213" t="s">
        <v>3136</v>
      </c>
      <c r="E24" s="214">
        <v>153</v>
      </c>
      <c r="F24" s="213">
        <v>100</v>
      </c>
      <c r="G24" s="214">
        <v>1.9560368459586932</v>
      </c>
      <c r="H24" s="155">
        <f t="shared" si="0"/>
        <v>195.60368459586931</v>
      </c>
    </row>
    <row r="25" spans="1:8" ht="27" customHeight="1" x14ac:dyDescent="0.25">
      <c r="A25" s="213" t="s">
        <v>3093</v>
      </c>
      <c r="B25" s="213" t="s">
        <v>114</v>
      </c>
      <c r="C25" s="214" t="s">
        <v>117</v>
      </c>
      <c r="D25" s="213" t="s">
        <v>3136</v>
      </c>
      <c r="E25" s="214">
        <v>136</v>
      </c>
      <c r="F25" s="213">
        <v>100</v>
      </c>
      <c r="G25" s="214">
        <v>1.8746488225979465</v>
      </c>
      <c r="H25" s="155">
        <f t="shared" si="0"/>
        <v>187.46488225979465</v>
      </c>
    </row>
    <row r="26" spans="1:8" ht="27" customHeight="1" x14ac:dyDescent="0.25">
      <c r="A26" s="213" t="s">
        <v>2895</v>
      </c>
      <c r="B26" s="213" t="s">
        <v>113</v>
      </c>
      <c r="C26" s="214" t="s">
        <v>117</v>
      </c>
      <c r="D26" s="213" t="s">
        <v>3136</v>
      </c>
      <c r="E26" s="214">
        <v>165</v>
      </c>
      <c r="F26" s="213">
        <v>100</v>
      </c>
      <c r="G26" s="214">
        <v>2.0784026607186439</v>
      </c>
      <c r="H26" s="155">
        <f t="shared" si="0"/>
        <v>207.84026607186439</v>
      </c>
    </row>
    <row r="27" spans="1:8" ht="27" customHeight="1" x14ac:dyDescent="0.25">
      <c r="A27" s="213" t="s">
        <v>3225</v>
      </c>
      <c r="B27" s="213" t="s">
        <v>113</v>
      </c>
      <c r="C27" s="214" t="s">
        <v>117</v>
      </c>
      <c r="D27" s="213" t="s">
        <v>3136</v>
      </c>
      <c r="E27" s="214">
        <v>89.529411764705998</v>
      </c>
      <c r="F27" s="213">
        <v>60</v>
      </c>
      <c r="G27" s="214">
        <v>1.8577355513556157</v>
      </c>
      <c r="H27" s="155">
        <f t="shared" si="0"/>
        <v>111.46413308133694</v>
      </c>
    </row>
    <row r="28" spans="1:8" ht="27" customHeight="1" x14ac:dyDescent="0.25">
      <c r="A28" s="213" t="s">
        <v>3062</v>
      </c>
      <c r="B28" s="213" t="s">
        <v>113</v>
      </c>
      <c r="C28" s="214" t="s">
        <v>117</v>
      </c>
      <c r="D28" s="213" t="s">
        <v>3136</v>
      </c>
      <c r="E28" s="214">
        <v>183.481012658228</v>
      </c>
      <c r="F28" s="213">
        <v>100</v>
      </c>
      <c r="G28" s="214">
        <v>2.1935037146765195</v>
      </c>
      <c r="H28" s="155">
        <f t="shared" si="0"/>
        <v>219.35037146765194</v>
      </c>
    </row>
    <row r="29" spans="1:8" ht="27" customHeight="1" x14ac:dyDescent="0.25">
      <c r="A29" s="213" t="s">
        <v>3161</v>
      </c>
      <c r="B29" s="213" t="s">
        <v>113</v>
      </c>
      <c r="C29" s="214" t="s">
        <v>117</v>
      </c>
      <c r="D29" s="213" t="s">
        <v>3136</v>
      </c>
      <c r="E29" s="214">
        <v>27</v>
      </c>
      <c r="F29" s="213">
        <v>15</v>
      </c>
      <c r="G29" s="214">
        <v>2.8073760024518566</v>
      </c>
      <c r="H29" s="155">
        <f t="shared" si="0"/>
        <v>42.110640036777852</v>
      </c>
    </row>
    <row r="30" spans="1:8" ht="27" customHeight="1" x14ac:dyDescent="0.25">
      <c r="A30" s="213" t="s">
        <v>3072</v>
      </c>
      <c r="B30" s="213" t="s">
        <v>113</v>
      </c>
      <c r="C30" s="214" t="s">
        <v>117</v>
      </c>
      <c r="D30" s="213" t="s">
        <v>3136</v>
      </c>
      <c r="E30" s="214">
        <v>59.1265060240965</v>
      </c>
      <c r="F30" s="213">
        <v>25</v>
      </c>
      <c r="G30" s="214">
        <v>2.7604955929009667</v>
      </c>
      <c r="H30" s="155">
        <f t="shared" si="0"/>
        <v>69.01238982252417</v>
      </c>
    </row>
    <row r="31" spans="1:8" ht="27" customHeight="1" x14ac:dyDescent="0.25">
      <c r="A31" s="213" t="s">
        <v>3188</v>
      </c>
      <c r="B31" s="213" t="s">
        <v>115</v>
      </c>
      <c r="C31" s="214" t="s">
        <v>117</v>
      </c>
      <c r="D31" s="213" t="s">
        <v>3136</v>
      </c>
      <c r="E31" s="214">
        <v>12.8</v>
      </c>
      <c r="F31" s="213">
        <v>20</v>
      </c>
      <c r="G31" s="214">
        <v>2.1562718155658849</v>
      </c>
      <c r="H31" s="155">
        <f t="shared" si="0"/>
        <v>43.125436311317699</v>
      </c>
    </row>
    <row r="32" spans="1:8" ht="27" customHeight="1" x14ac:dyDescent="0.25">
      <c r="A32" s="213" t="s">
        <v>3057</v>
      </c>
      <c r="B32" s="213" t="s">
        <v>113</v>
      </c>
      <c r="C32" s="214" t="s">
        <v>117</v>
      </c>
      <c r="D32" s="213" t="s">
        <v>3136</v>
      </c>
      <c r="E32" s="214">
        <v>26.785714285714349</v>
      </c>
      <c r="F32" s="213">
        <v>15</v>
      </c>
      <c r="G32" s="214">
        <v>2.7703711271162872</v>
      </c>
      <c r="H32" s="155">
        <f t="shared" si="0"/>
        <v>41.555566906744311</v>
      </c>
    </row>
    <row r="33" spans="1:8" ht="27" customHeight="1" x14ac:dyDescent="0.25">
      <c r="A33" s="213" t="s">
        <v>3063</v>
      </c>
      <c r="B33" s="213" t="s">
        <v>113</v>
      </c>
      <c r="C33" s="214" t="s">
        <v>117</v>
      </c>
      <c r="D33" s="213" t="s">
        <v>3136</v>
      </c>
      <c r="E33" s="214">
        <v>58.7843137254903</v>
      </c>
      <c r="F33" s="213">
        <v>30</v>
      </c>
      <c r="G33" s="214">
        <v>2.3156425056614056</v>
      </c>
      <c r="H33" s="155">
        <f t="shared" si="0"/>
        <v>69.469275169842163</v>
      </c>
    </row>
    <row r="34" spans="1:8" ht="27" customHeight="1" x14ac:dyDescent="0.25">
      <c r="A34" s="213" t="s">
        <v>3315</v>
      </c>
      <c r="B34" s="213" t="s">
        <v>114</v>
      </c>
      <c r="C34" s="214" t="s">
        <v>117</v>
      </c>
      <c r="D34" s="213" t="s">
        <v>3136</v>
      </c>
      <c r="E34" s="214">
        <v>45.254901960784402</v>
      </c>
      <c r="F34" s="213">
        <v>20</v>
      </c>
      <c r="G34" s="214">
        <v>3.3143200921716525</v>
      </c>
      <c r="H34" s="155">
        <f t="shared" si="0"/>
        <v>66.286401843433055</v>
      </c>
    </row>
    <row r="35" spans="1:8" ht="27" customHeight="1" x14ac:dyDescent="0.25">
      <c r="A35" s="213" t="s">
        <v>3316</v>
      </c>
      <c r="B35" s="213" t="s">
        <v>114</v>
      </c>
      <c r="C35" s="214" t="s">
        <v>117</v>
      </c>
      <c r="D35" s="213" t="s">
        <v>3136</v>
      </c>
      <c r="E35" s="214">
        <v>11.735294117647051</v>
      </c>
      <c r="F35" s="213">
        <v>5</v>
      </c>
      <c r="G35" s="214">
        <v>3.4230644804277128</v>
      </c>
      <c r="H35" s="155">
        <f t="shared" si="0"/>
        <v>17.115322402138563</v>
      </c>
    </row>
    <row r="36" spans="1:8" ht="27" customHeight="1" x14ac:dyDescent="0.25">
      <c r="A36" s="213" t="s">
        <v>3067</v>
      </c>
      <c r="B36" s="213" t="s">
        <v>113</v>
      </c>
      <c r="C36" s="214" t="s">
        <v>117</v>
      </c>
      <c r="D36" s="213" t="s">
        <v>3136</v>
      </c>
      <c r="E36" s="214">
        <v>139.73333333333352</v>
      </c>
      <c r="F36" s="213">
        <v>50</v>
      </c>
      <c r="G36" s="214">
        <v>3.3297577088760617</v>
      </c>
      <c r="H36" s="155">
        <f t="shared" si="0"/>
        <v>166.48788544380309</v>
      </c>
    </row>
    <row r="37" spans="1:8" ht="27" customHeight="1" x14ac:dyDescent="0.25">
      <c r="A37" s="213" t="s">
        <v>2902</v>
      </c>
      <c r="B37" s="213" t="s">
        <v>113</v>
      </c>
      <c r="C37" s="214" t="s">
        <v>117</v>
      </c>
      <c r="D37" s="213" t="s">
        <v>3136</v>
      </c>
      <c r="E37" s="214">
        <v>216.5691699604744</v>
      </c>
      <c r="F37" s="213">
        <v>80</v>
      </c>
      <c r="G37" s="214">
        <v>3.1025069100361535</v>
      </c>
      <c r="H37" s="155">
        <f t="shared" si="0"/>
        <v>248.20055280289228</v>
      </c>
    </row>
    <row r="38" spans="1:8" ht="27" customHeight="1" x14ac:dyDescent="0.25">
      <c r="A38" s="213" t="s">
        <v>3083</v>
      </c>
      <c r="B38" s="213" t="s">
        <v>114</v>
      </c>
      <c r="C38" s="214" t="s">
        <v>117</v>
      </c>
      <c r="D38" s="213" t="s">
        <v>3136</v>
      </c>
      <c r="E38" s="214">
        <v>326.06232294617598</v>
      </c>
      <c r="F38" s="213">
        <v>100</v>
      </c>
      <c r="G38" s="214">
        <v>3.9821105265248904</v>
      </c>
      <c r="H38" s="155">
        <f t="shared" si="0"/>
        <v>398.21105265248906</v>
      </c>
    </row>
    <row r="39" spans="1:8" ht="27" customHeight="1" x14ac:dyDescent="0.25">
      <c r="A39" s="213" t="s">
        <v>3095</v>
      </c>
      <c r="B39" s="213" t="s">
        <v>114</v>
      </c>
      <c r="C39" s="214" t="s">
        <v>117</v>
      </c>
      <c r="D39" s="213" t="s">
        <v>3136</v>
      </c>
      <c r="E39" s="214">
        <v>176</v>
      </c>
      <c r="F39" s="213">
        <v>20</v>
      </c>
      <c r="G39" s="214">
        <v>8.4959107342516447</v>
      </c>
      <c r="H39" s="155">
        <f t="shared" si="0"/>
        <v>169.91821468503289</v>
      </c>
    </row>
    <row r="40" spans="1:8" ht="27" customHeight="1" x14ac:dyDescent="0.25">
      <c r="A40" s="213" t="s">
        <v>3096</v>
      </c>
      <c r="B40" s="213" t="s">
        <v>113</v>
      </c>
      <c r="C40" s="214" t="s">
        <v>117</v>
      </c>
      <c r="D40" s="213" t="s">
        <v>3136</v>
      </c>
      <c r="E40" s="214">
        <v>35.704000000000001</v>
      </c>
      <c r="F40" s="213">
        <v>20</v>
      </c>
      <c r="G40" s="214">
        <v>2.3398205377058114</v>
      </c>
      <c r="H40" s="155">
        <f t="shared" si="0"/>
        <v>46.796410754116231</v>
      </c>
    </row>
    <row r="41" spans="1:8" ht="27" customHeight="1" x14ac:dyDescent="0.25">
      <c r="A41" s="213" t="s">
        <v>3182</v>
      </c>
      <c r="B41" s="213" t="s">
        <v>113</v>
      </c>
      <c r="C41" s="214" t="s">
        <v>117</v>
      </c>
      <c r="D41" s="213" t="s">
        <v>3136</v>
      </c>
      <c r="E41" s="214">
        <v>40</v>
      </c>
      <c r="F41" s="213">
        <v>20</v>
      </c>
      <c r="G41" s="214">
        <v>3.5254522029819571</v>
      </c>
      <c r="H41" s="155">
        <f t="shared" si="0"/>
        <v>70.509044059639137</v>
      </c>
    </row>
    <row r="42" spans="1:8" ht="27" customHeight="1" x14ac:dyDescent="0.25">
      <c r="A42" s="213" t="s">
        <v>3038</v>
      </c>
      <c r="B42" s="213" t="s">
        <v>115</v>
      </c>
      <c r="C42" s="214" t="s">
        <v>117</v>
      </c>
      <c r="D42" s="213" t="s">
        <v>3136</v>
      </c>
      <c r="E42" s="214">
        <v>27.900000000000002</v>
      </c>
      <c r="F42" s="213">
        <v>15</v>
      </c>
      <c r="G42" s="214">
        <v>3.307395867032175</v>
      </c>
      <c r="H42" s="155">
        <f t="shared" si="0"/>
        <v>49.610938005482623</v>
      </c>
    </row>
    <row r="43" spans="1:8" ht="27" customHeight="1" x14ac:dyDescent="0.25">
      <c r="A43" s="213" t="s">
        <v>3255</v>
      </c>
      <c r="B43" s="213" t="s">
        <v>115</v>
      </c>
      <c r="C43" s="214" t="s">
        <v>117</v>
      </c>
      <c r="D43" s="213" t="s">
        <v>3136</v>
      </c>
      <c r="E43" s="214">
        <v>160</v>
      </c>
      <c r="F43" s="213">
        <v>40</v>
      </c>
      <c r="G43" s="214">
        <v>6.5303388897402286</v>
      </c>
      <c r="H43" s="155">
        <f t="shared" si="0"/>
        <v>261.21355558960914</v>
      </c>
    </row>
    <row r="44" spans="1:8" ht="27" customHeight="1" x14ac:dyDescent="0.25">
      <c r="A44" s="213" t="s">
        <v>3190</v>
      </c>
      <c r="B44" s="213" t="s">
        <v>114</v>
      </c>
      <c r="C44" s="214" t="s">
        <v>117</v>
      </c>
      <c r="D44" s="213" t="s">
        <v>3136</v>
      </c>
      <c r="E44" s="214">
        <v>55.500000000000007</v>
      </c>
      <c r="F44" s="213">
        <v>50</v>
      </c>
      <c r="G44" s="214">
        <v>2.6574267990215277</v>
      </c>
      <c r="H44" s="155">
        <f t="shared" si="0"/>
        <v>132.87133995107638</v>
      </c>
    </row>
    <row r="45" spans="1:8" ht="27" customHeight="1" x14ac:dyDescent="0.25">
      <c r="A45" s="213" t="s">
        <v>3318</v>
      </c>
      <c r="B45" s="213" t="s">
        <v>114</v>
      </c>
      <c r="C45" s="214" t="s">
        <v>117</v>
      </c>
      <c r="D45" s="213" t="s">
        <v>3136</v>
      </c>
      <c r="E45" s="214">
        <v>50.941176470588196</v>
      </c>
      <c r="F45" s="213">
        <v>10</v>
      </c>
      <c r="G45" s="214">
        <v>6.8649719341858075</v>
      </c>
      <c r="H45" s="155">
        <f t="shared" si="0"/>
        <v>68.649719341858074</v>
      </c>
    </row>
    <row r="46" spans="1:8" ht="27" customHeight="1" x14ac:dyDescent="0.25">
      <c r="A46" s="213" t="s">
        <v>3319</v>
      </c>
      <c r="B46" s="213" t="s">
        <v>114</v>
      </c>
      <c r="C46" s="214" t="s">
        <v>117</v>
      </c>
      <c r="D46" s="213" t="s">
        <v>3136</v>
      </c>
      <c r="E46" s="214">
        <v>28.38235294117645</v>
      </c>
      <c r="F46" s="213">
        <v>5</v>
      </c>
      <c r="G46" s="214">
        <v>7.6045018814595355</v>
      </c>
      <c r="H46" s="155">
        <f t="shared" si="0"/>
        <v>38.022509407297676</v>
      </c>
    </row>
    <row r="47" spans="1:8" ht="27" customHeight="1" x14ac:dyDescent="0.25">
      <c r="A47" s="213" t="s">
        <v>3191</v>
      </c>
      <c r="B47" s="213" t="s">
        <v>114</v>
      </c>
      <c r="C47" s="214" t="s">
        <v>117</v>
      </c>
      <c r="D47" s="213" t="s">
        <v>3136</v>
      </c>
      <c r="E47" s="214">
        <v>44.400000000000006</v>
      </c>
      <c r="F47" s="213">
        <v>40</v>
      </c>
      <c r="G47" s="214">
        <v>2.6574267990215277</v>
      </c>
      <c r="H47" s="155">
        <f t="shared" si="0"/>
        <v>106.2970719608611</v>
      </c>
    </row>
    <row r="48" spans="1:8" ht="27" customHeight="1" x14ac:dyDescent="0.25">
      <c r="A48" s="213" t="s">
        <v>3074</v>
      </c>
      <c r="B48" s="213" t="s">
        <v>114</v>
      </c>
      <c r="C48" s="214" t="s">
        <v>117</v>
      </c>
      <c r="D48" s="213" t="s">
        <v>3136</v>
      </c>
      <c r="E48" s="214">
        <v>14.484999999999999</v>
      </c>
      <c r="F48" s="213">
        <v>5</v>
      </c>
      <c r="G48" s="214">
        <v>3.4372534663692651</v>
      </c>
      <c r="H48" s="155">
        <f t="shared" si="0"/>
        <v>17.186267331846324</v>
      </c>
    </row>
    <row r="49" spans="1:8" ht="27" customHeight="1" x14ac:dyDescent="0.25">
      <c r="A49" s="213" t="s">
        <v>3235</v>
      </c>
      <c r="B49" s="213" t="s">
        <v>114</v>
      </c>
      <c r="C49" s="214" t="s">
        <v>117</v>
      </c>
      <c r="D49" s="213" t="s">
        <v>3136</v>
      </c>
      <c r="E49" s="214">
        <v>34.950000000000003</v>
      </c>
      <c r="F49" s="213">
        <v>15</v>
      </c>
      <c r="G49" s="214">
        <v>2.7486903565975949</v>
      </c>
      <c r="H49" s="155">
        <f t="shared" si="0"/>
        <v>41.230355348963926</v>
      </c>
    </row>
    <row r="50" spans="1:8" ht="27" customHeight="1" x14ac:dyDescent="0.25">
      <c r="A50" s="213" t="s">
        <v>3247</v>
      </c>
      <c r="B50" s="213" t="s">
        <v>114</v>
      </c>
      <c r="C50" s="214" t="s">
        <v>117</v>
      </c>
      <c r="D50" s="213" t="s">
        <v>3136</v>
      </c>
      <c r="E50" s="214">
        <v>101.872340425532</v>
      </c>
      <c r="F50" s="213">
        <v>20</v>
      </c>
      <c r="G50" s="214">
        <v>5.8183923311368781</v>
      </c>
      <c r="H50" s="155">
        <f t="shared" si="0"/>
        <v>116.36784662273756</v>
      </c>
    </row>
    <row r="51" spans="1:8" ht="27" customHeight="1" x14ac:dyDescent="0.25">
      <c r="A51" s="213" t="s">
        <v>3189</v>
      </c>
      <c r="B51" s="213" t="s">
        <v>114</v>
      </c>
      <c r="C51" s="214" t="s">
        <v>117</v>
      </c>
      <c r="D51" s="213" t="s">
        <v>3136</v>
      </c>
      <c r="E51" s="214">
        <v>555</v>
      </c>
      <c r="F51" s="213">
        <v>500</v>
      </c>
      <c r="G51" s="214">
        <v>2.3243829210014018</v>
      </c>
      <c r="H51" s="155">
        <f t="shared" si="0"/>
        <v>1162.1914605007009</v>
      </c>
    </row>
    <row r="52" spans="1:8" ht="27" customHeight="1" x14ac:dyDescent="0.25">
      <c r="A52" s="213" t="s">
        <v>3058</v>
      </c>
      <c r="B52" s="213" t="s">
        <v>113</v>
      </c>
      <c r="C52" s="214" t="s">
        <v>117</v>
      </c>
      <c r="D52" s="213" t="s">
        <v>3136</v>
      </c>
      <c r="E52" s="214">
        <v>19.600000000000001</v>
      </c>
      <c r="F52" s="213">
        <v>10</v>
      </c>
      <c r="G52" s="214">
        <v>3.0021624014574928</v>
      </c>
      <c r="H52" s="155">
        <f t="shared" si="0"/>
        <v>30.021624014574929</v>
      </c>
    </row>
    <row r="53" spans="1:8" ht="27" customHeight="1" x14ac:dyDescent="0.25">
      <c r="A53" s="213" t="s">
        <v>3069</v>
      </c>
      <c r="B53" s="213" t="s">
        <v>113</v>
      </c>
      <c r="C53" s="214" t="s">
        <v>117</v>
      </c>
      <c r="D53" s="213" t="s">
        <v>3136</v>
      </c>
      <c r="E53" s="214">
        <v>86.25</v>
      </c>
      <c r="F53" s="213">
        <v>25</v>
      </c>
      <c r="G53" s="214">
        <v>3.8109346001259983</v>
      </c>
      <c r="H53" s="155">
        <f t="shared" si="0"/>
        <v>95.273365003149962</v>
      </c>
    </row>
    <row r="54" spans="1:8" ht="27" customHeight="1" x14ac:dyDescent="0.25">
      <c r="A54" s="213" t="s">
        <v>3088</v>
      </c>
      <c r="B54" s="213" t="s">
        <v>114</v>
      </c>
      <c r="C54" s="214" t="s">
        <v>117</v>
      </c>
      <c r="D54" s="213" t="s">
        <v>3136</v>
      </c>
      <c r="E54" s="214">
        <v>92.365384615384642</v>
      </c>
      <c r="F54" s="213">
        <v>15</v>
      </c>
      <c r="G54" s="214">
        <v>6.9888134034836797</v>
      </c>
      <c r="H54" s="155">
        <f t="shared" si="0"/>
        <v>104.8322010522552</v>
      </c>
    </row>
    <row r="55" spans="1:8" ht="27" customHeight="1" x14ac:dyDescent="0.25">
      <c r="A55" s="213" t="s">
        <v>3098</v>
      </c>
      <c r="B55" s="213" t="s">
        <v>113</v>
      </c>
      <c r="C55" s="214" t="s">
        <v>117</v>
      </c>
      <c r="D55" s="213" t="s">
        <v>3136</v>
      </c>
      <c r="E55" s="214">
        <v>34.6666666666667</v>
      </c>
      <c r="F55" s="213">
        <v>10</v>
      </c>
      <c r="G55" s="214">
        <v>4.3406945792398108</v>
      </c>
      <c r="H55" s="155">
        <f t="shared" si="0"/>
        <v>43.406945792398105</v>
      </c>
    </row>
    <row r="56" spans="1:8" ht="27" customHeight="1" x14ac:dyDescent="0.25">
      <c r="A56" s="213" t="s">
        <v>3257</v>
      </c>
      <c r="B56" s="213" t="s">
        <v>114</v>
      </c>
      <c r="C56" s="214" t="s">
        <v>117</v>
      </c>
      <c r="D56" s="213" t="s">
        <v>3136</v>
      </c>
      <c r="E56" s="214">
        <v>41.25</v>
      </c>
      <c r="F56" s="213">
        <v>15</v>
      </c>
      <c r="G56" s="214">
        <v>4.8904326505593296</v>
      </c>
      <c r="H56" s="155">
        <f t="shared" si="0"/>
        <v>73.356489758389941</v>
      </c>
    </row>
    <row r="57" spans="1:8" ht="27" customHeight="1" x14ac:dyDescent="0.25">
      <c r="A57" s="213" t="s">
        <v>3064</v>
      </c>
      <c r="B57" s="213" t="s">
        <v>113</v>
      </c>
      <c r="C57" s="214" t="s">
        <v>117</v>
      </c>
      <c r="D57" s="213" t="s">
        <v>3136</v>
      </c>
      <c r="E57" s="214">
        <v>53.076923076923002</v>
      </c>
      <c r="F57" s="213">
        <v>20</v>
      </c>
      <c r="G57" s="214">
        <v>2.9961462714182741</v>
      </c>
      <c r="H57" s="155">
        <f t="shared" si="0"/>
        <v>59.922925428365481</v>
      </c>
    </row>
    <row r="58" spans="1:8" ht="27" customHeight="1" x14ac:dyDescent="0.25">
      <c r="A58" s="213" t="s">
        <v>3079</v>
      </c>
      <c r="B58" s="213" t="s">
        <v>114</v>
      </c>
      <c r="C58" s="214" t="s">
        <v>117</v>
      </c>
      <c r="D58" s="213" t="s">
        <v>3136</v>
      </c>
      <c r="E58" s="214">
        <v>24.9</v>
      </c>
      <c r="F58" s="213">
        <v>15</v>
      </c>
      <c r="G58" s="214">
        <v>2.1881686559624955</v>
      </c>
      <c r="H58" s="155">
        <f t="shared" si="0"/>
        <v>32.822529839437436</v>
      </c>
    </row>
    <row r="59" spans="1:8" ht="27" customHeight="1" x14ac:dyDescent="0.25">
      <c r="A59" s="213" t="s">
        <v>3003</v>
      </c>
      <c r="B59" s="213" t="s">
        <v>114</v>
      </c>
      <c r="C59" s="214" t="s">
        <v>117</v>
      </c>
      <c r="D59" s="213" t="s">
        <v>3136</v>
      </c>
      <c r="E59" s="214">
        <v>22.270270270270252</v>
      </c>
      <c r="F59" s="213">
        <v>5</v>
      </c>
      <c r="G59" s="214">
        <v>4.7659101099362626</v>
      </c>
      <c r="H59" s="155">
        <f t="shared" si="0"/>
        <v>23.829550549681315</v>
      </c>
    </row>
    <row r="60" spans="1:8" ht="27" customHeight="1" x14ac:dyDescent="0.25">
      <c r="A60" s="213" t="s">
        <v>3180</v>
      </c>
      <c r="B60" s="213" t="s">
        <v>113</v>
      </c>
      <c r="C60" s="214" t="s">
        <v>117</v>
      </c>
      <c r="D60" s="213" t="s">
        <v>3136</v>
      </c>
      <c r="E60" s="214">
        <v>25</v>
      </c>
      <c r="F60" s="213">
        <v>25</v>
      </c>
      <c r="G60" s="214">
        <v>1.8253846634088755</v>
      </c>
      <c r="H60" s="155">
        <f t="shared" si="0"/>
        <v>45.634616585221885</v>
      </c>
    </row>
    <row r="61" spans="1:8" ht="27" customHeight="1" x14ac:dyDescent="0.25">
      <c r="A61" s="213" t="s">
        <v>2898</v>
      </c>
      <c r="B61" s="213" t="s">
        <v>113</v>
      </c>
      <c r="C61" s="214" t="s">
        <v>117</v>
      </c>
      <c r="D61" s="213" t="s">
        <v>3136</v>
      </c>
      <c r="E61" s="214">
        <v>55.216000000000001</v>
      </c>
      <c r="F61" s="213">
        <v>20</v>
      </c>
      <c r="G61" s="214">
        <v>3.0733343549403211</v>
      </c>
      <c r="H61" s="155">
        <f t="shared" si="0"/>
        <v>61.466687098806425</v>
      </c>
    </row>
    <row r="62" spans="1:8" ht="27" customHeight="1" x14ac:dyDescent="0.25">
      <c r="A62" s="213" t="s">
        <v>3065</v>
      </c>
      <c r="B62" s="213" t="s">
        <v>113</v>
      </c>
      <c r="C62" s="214" t="s">
        <v>117</v>
      </c>
      <c r="D62" s="213" t="s">
        <v>3136</v>
      </c>
      <c r="E62" s="214">
        <v>56.674556213017794</v>
      </c>
      <c r="F62" s="213">
        <v>15</v>
      </c>
      <c r="G62" s="214">
        <v>4.0603202170347288</v>
      </c>
      <c r="H62" s="155">
        <f t="shared" si="0"/>
        <v>60.904803255520932</v>
      </c>
    </row>
    <row r="63" spans="1:8" ht="27" customHeight="1" x14ac:dyDescent="0.25">
      <c r="A63" s="213" t="s">
        <v>3234</v>
      </c>
      <c r="B63" s="213" t="s">
        <v>114</v>
      </c>
      <c r="C63" s="214" t="s">
        <v>117</v>
      </c>
      <c r="D63" s="213" t="s">
        <v>3136</v>
      </c>
      <c r="E63" s="214">
        <v>222.00000000000003</v>
      </c>
      <c r="F63" s="213">
        <v>100</v>
      </c>
      <c r="G63" s="214">
        <v>2.6375622187033536</v>
      </c>
      <c r="H63" s="155">
        <f t="shared" si="0"/>
        <v>263.75622187033537</v>
      </c>
    </row>
    <row r="64" spans="1:8" ht="27" customHeight="1" x14ac:dyDescent="0.25">
      <c r="A64" s="213" t="s">
        <v>3091</v>
      </c>
      <c r="B64" s="213" t="s">
        <v>114</v>
      </c>
      <c r="C64" s="214" t="s">
        <v>117</v>
      </c>
      <c r="D64" s="213" t="s">
        <v>3136</v>
      </c>
      <c r="E64" s="214">
        <v>113.99999999999999</v>
      </c>
      <c r="F64" s="213">
        <v>25</v>
      </c>
      <c r="G64" s="214">
        <v>4.9578587117535884</v>
      </c>
      <c r="H64" s="155">
        <f t="shared" si="0"/>
        <v>123.94646779383972</v>
      </c>
    </row>
    <row r="65" spans="1:8" ht="27" customHeight="1" x14ac:dyDescent="0.25">
      <c r="A65" s="213" t="s">
        <v>3051</v>
      </c>
      <c r="B65" s="213" t="s">
        <v>113</v>
      </c>
      <c r="C65" s="214" t="s">
        <v>117</v>
      </c>
      <c r="D65" s="213" t="s">
        <v>3136</v>
      </c>
      <c r="E65" s="214">
        <v>32.400000000000006</v>
      </c>
      <c r="F65" s="213">
        <v>15</v>
      </c>
      <c r="G65" s="214">
        <v>3.4409993586578356</v>
      </c>
      <c r="H65" s="155">
        <f t="shared" si="0"/>
        <v>51.614990379867535</v>
      </c>
    </row>
    <row r="66" spans="1:8" ht="27" customHeight="1" x14ac:dyDescent="0.25">
      <c r="A66" s="213" t="s">
        <v>3070</v>
      </c>
      <c r="B66" s="213" t="s">
        <v>113</v>
      </c>
      <c r="C66" s="214" t="s">
        <v>117</v>
      </c>
      <c r="D66" s="213" t="s">
        <v>3136</v>
      </c>
      <c r="E66" s="214">
        <v>36.18</v>
      </c>
      <c r="F66" s="213">
        <v>10</v>
      </c>
      <c r="G66" s="214">
        <v>3.977229515360996</v>
      </c>
      <c r="H66" s="155">
        <f t="shared" si="0"/>
        <v>39.77229515360996</v>
      </c>
    </row>
    <row r="67" spans="1:8" ht="27" customHeight="1" x14ac:dyDescent="0.25">
      <c r="A67" s="213" t="s">
        <v>3080</v>
      </c>
      <c r="B67" s="213" t="s">
        <v>114</v>
      </c>
      <c r="C67" s="214" t="s">
        <v>117</v>
      </c>
      <c r="D67" s="213" t="s">
        <v>3136</v>
      </c>
      <c r="E67" s="214">
        <v>53.4</v>
      </c>
      <c r="F67" s="213">
        <v>30</v>
      </c>
      <c r="G67" s="214">
        <v>2.3177992315245213</v>
      </c>
      <c r="H67" s="155">
        <f t="shared" si="0"/>
        <v>69.533976945735645</v>
      </c>
    </row>
    <row r="68" spans="1:8" ht="27" customHeight="1" x14ac:dyDescent="0.25">
      <c r="A68" s="213" t="s">
        <v>3099</v>
      </c>
      <c r="B68" s="213" t="s">
        <v>113</v>
      </c>
      <c r="C68" s="214" t="s">
        <v>117</v>
      </c>
      <c r="D68" s="213" t="s">
        <v>3136</v>
      </c>
      <c r="E68" s="214">
        <v>105.89473684210519</v>
      </c>
      <c r="F68" s="213">
        <v>20</v>
      </c>
      <c r="G68" s="214">
        <v>6.6126350082012335</v>
      </c>
      <c r="H68" s="155">
        <f t="shared" si="0"/>
        <v>132.25270016402467</v>
      </c>
    </row>
    <row r="69" spans="1:8" ht="27" customHeight="1" x14ac:dyDescent="0.25">
      <c r="A69" s="213" t="s">
        <v>3320</v>
      </c>
      <c r="B69" s="213" t="s">
        <v>113</v>
      </c>
      <c r="C69" s="214" t="s">
        <v>117</v>
      </c>
      <c r="D69" s="213" t="s">
        <v>3136</v>
      </c>
      <c r="E69" s="214">
        <v>11.660891089108901</v>
      </c>
      <c r="F69" s="213">
        <v>5</v>
      </c>
      <c r="G69" s="214">
        <v>2.8441538540123612</v>
      </c>
      <c r="H69" s="155">
        <f t="shared" si="0"/>
        <v>14.220769270061806</v>
      </c>
    </row>
    <row r="70" spans="1:8" ht="27" customHeight="1" x14ac:dyDescent="0.25">
      <c r="A70" s="213" t="s">
        <v>3071</v>
      </c>
      <c r="B70" s="213" t="s">
        <v>113</v>
      </c>
      <c r="C70" s="214" t="s">
        <v>117</v>
      </c>
      <c r="D70" s="213" t="s">
        <v>3136</v>
      </c>
      <c r="E70" s="214">
        <v>38.76</v>
      </c>
      <c r="F70" s="213">
        <v>20</v>
      </c>
      <c r="G70" s="214">
        <v>2.3333503601164631</v>
      </c>
      <c r="H70" s="155">
        <f t="shared" si="0"/>
        <v>46.667007202329259</v>
      </c>
    </row>
    <row r="71" spans="1:8" ht="27" customHeight="1" x14ac:dyDescent="0.25">
      <c r="A71" s="213" t="s">
        <v>2900</v>
      </c>
      <c r="B71" s="213" t="s">
        <v>114</v>
      </c>
      <c r="C71" s="214" t="s">
        <v>117</v>
      </c>
      <c r="D71" s="213" t="s">
        <v>3136</v>
      </c>
      <c r="E71" s="214">
        <v>102.34</v>
      </c>
      <c r="F71" s="213">
        <v>20</v>
      </c>
      <c r="G71" s="214">
        <v>5.4100900716827569</v>
      </c>
      <c r="H71" s="155">
        <f t="shared" si="0"/>
        <v>108.20180143365513</v>
      </c>
    </row>
    <row r="72" spans="1:8" ht="27" customHeight="1" x14ac:dyDescent="0.25">
      <c r="A72" s="213" t="s">
        <v>3177</v>
      </c>
      <c r="B72" s="213" t="s">
        <v>114</v>
      </c>
      <c r="C72" s="214" t="s">
        <v>117</v>
      </c>
      <c r="D72" s="213" t="s">
        <v>3136</v>
      </c>
      <c r="E72" s="214">
        <v>124.35643564356424</v>
      </c>
      <c r="F72" s="213">
        <v>25</v>
      </c>
      <c r="G72" s="214">
        <v>5.8670889308882872</v>
      </c>
      <c r="H72" s="155">
        <f t="shared" si="0"/>
        <v>146.67722327220719</v>
      </c>
    </row>
    <row r="73" spans="1:8" ht="27" customHeight="1" x14ac:dyDescent="0.25">
      <c r="A73" s="213" t="s">
        <v>3289</v>
      </c>
      <c r="B73" s="213" t="s">
        <v>113</v>
      </c>
      <c r="C73" s="214" t="s">
        <v>117</v>
      </c>
      <c r="D73" s="213" t="s">
        <v>3136</v>
      </c>
      <c r="E73" s="214">
        <v>28.56</v>
      </c>
      <c r="F73" s="213">
        <v>10</v>
      </c>
      <c r="G73" s="214">
        <v>3.1943380270498825</v>
      </c>
      <c r="H73" s="155">
        <f t="shared" si="0"/>
        <v>31.943380270498825</v>
      </c>
    </row>
    <row r="74" spans="1:8" ht="27" customHeight="1" x14ac:dyDescent="0.25">
      <c r="A74" s="213" t="s">
        <v>3048</v>
      </c>
      <c r="B74" s="213" t="s">
        <v>113</v>
      </c>
      <c r="C74" s="214" t="s">
        <v>117</v>
      </c>
      <c r="D74" s="213" t="s">
        <v>3136</v>
      </c>
      <c r="E74" s="214">
        <v>11.55445544554455</v>
      </c>
      <c r="F74" s="213">
        <v>5</v>
      </c>
      <c r="G74" s="214">
        <v>3.6075212976678985</v>
      </c>
      <c r="H74" s="155">
        <f t="shared" si="0"/>
        <v>18.037606488339492</v>
      </c>
    </row>
    <row r="75" spans="1:8" ht="27" customHeight="1" x14ac:dyDescent="0.25">
      <c r="A75" s="213" t="s">
        <v>3104</v>
      </c>
      <c r="B75" s="213" t="s">
        <v>114</v>
      </c>
      <c r="C75" s="214" t="s">
        <v>117</v>
      </c>
      <c r="D75" s="213" t="s">
        <v>3136</v>
      </c>
      <c r="E75" s="214">
        <v>132</v>
      </c>
      <c r="F75" s="213">
        <v>80</v>
      </c>
      <c r="G75" s="214">
        <v>2.7894411242217338</v>
      </c>
      <c r="H75" s="155">
        <f t="shared" si="0"/>
        <v>223.1552899377387</v>
      </c>
    </row>
    <row r="76" spans="1:8" ht="27" customHeight="1" x14ac:dyDescent="0.25">
      <c r="A76" s="213" t="s">
        <v>3111</v>
      </c>
      <c r="B76" s="213" t="s">
        <v>114</v>
      </c>
      <c r="C76" s="214" t="s">
        <v>3304</v>
      </c>
      <c r="D76" s="213" t="s">
        <v>3137</v>
      </c>
      <c r="E76" s="214">
        <v>6.3</v>
      </c>
      <c r="F76" s="213">
        <v>15</v>
      </c>
      <c r="G76" s="214">
        <v>9.578019558098223</v>
      </c>
      <c r="H76" s="155">
        <f t="shared" si="0"/>
        <v>143.67029337147335</v>
      </c>
    </row>
    <row r="77" spans="1:8" ht="27" customHeight="1" x14ac:dyDescent="0.25">
      <c r="A77" s="213" t="s">
        <v>3040</v>
      </c>
      <c r="B77" s="213" t="s">
        <v>115</v>
      </c>
      <c r="C77" s="214" t="s">
        <v>117</v>
      </c>
      <c r="D77" s="213" t="s">
        <v>3136</v>
      </c>
      <c r="E77" s="214">
        <v>16</v>
      </c>
      <c r="F77" s="213">
        <v>10</v>
      </c>
      <c r="G77" s="214">
        <v>3.6296561157367204</v>
      </c>
      <c r="H77" s="155">
        <f t="shared" si="0"/>
        <v>36.296561157367208</v>
      </c>
    </row>
    <row r="78" spans="1:8" ht="27" customHeight="1" x14ac:dyDescent="0.25">
      <c r="A78" s="213" t="s">
        <v>3139</v>
      </c>
      <c r="B78" s="213" t="s">
        <v>113</v>
      </c>
      <c r="C78" s="214" t="s">
        <v>117</v>
      </c>
      <c r="D78" s="213" t="s">
        <v>3136</v>
      </c>
      <c r="E78" s="214">
        <v>27.197183098591502</v>
      </c>
      <c r="F78" s="213">
        <v>10</v>
      </c>
      <c r="G78" s="214">
        <v>3.9854023712633309</v>
      </c>
      <c r="H78" s="155">
        <f t="shared" si="0"/>
        <v>39.854023712633307</v>
      </c>
    </row>
    <row r="79" spans="1:8" ht="27" customHeight="1" x14ac:dyDescent="0.25">
      <c r="A79" s="213" t="s">
        <v>3155</v>
      </c>
      <c r="B79" s="213" t="s">
        <v>113</v>
      </c>
      <c r="C79" s="214" t="s">
        <v>117</v>
      </c>
      <c r="D79" s="213" t="s">
        <v>3136</v>
      </c>
      <c r="E79" s="214">
        <v>10.22115384615385</v>
      </c>
      <c r="F79" s="213">
        <v>5</v>
      </c>
      <c r="G79" s="214">
        <v>3.1756085656070332</v>
      </c>
      <c r="H79" s="155">
        <f t="shared" si="0"/>
        <v>15.878042828035166</v>
      </c>
    </row>
    <row r="80" spans="1:8" ht="27" customHeight="1" x14ac:dyDescent="0.25">
      <c r="A80" s="213" t="s">
        <v>3053</v>
      </c>
      <c r="B80" s="213" t="s">
        <v>113</v>
      </c>
      <c r="C80" s="214" t="s">
        <v>117</v>
      </c>
      <c r="D80" s="213" t="s">
        <v>3136</v>
      </c>
      <c r="E80" s="214">
        <v>23.938775510204099</v>
      </c>
      <c r="F80" s="213">
        <v>10</v>
      </c>
      <c r="G80" s="214">
        <v>3.6032078459416663</v>
      </c>
      <c r="H80" s="155">
        <f t="shared" si="0"/>
        <v>36.032078459416667</v>
      </c>
    </row>
    <row r="81" spans="1:8" ht="27" customHeight="1" x14ac:dyDescent="0.25">
      <c r="A81" s="213" t="s">
        <v>3075</v>
      </c>
      <c r="B81" s="213" t="s">
        <v>114</v>
      </c>
      <c r="C81" s="214" t="s">
        <v>117</v>
      </c>
      <c r="D81" s="213" t="s">
        <v>3136</v>
      </c>
      <c r="E81" s="214">
        <v>47.03125000000005</v>
      </c>
      <c r="F81" s="213">
        <v>15</v>
      </c>
      <c r="G81" s="214">
        <v>3.9070791688659599</v>
      </c>
      <c r="H81" s="155">
        <f t="shared" si="0"/>
        <v>58.606187532989395</v>
      </c>
    </row>
    <row r="82" spans="1:8" ht="27" customHeight="1" x14ac:dyDescent="0.25">
      <c r="A82" s="213" t="s">
        <v>3233</v>
      </c>
      <c r="B82" s="213" t="s">
        <v>114</v>
      </c>
      <c r="C82" s="214" t="s">
        <v>117</v>
      </c>
      <c r="D82" s="213" t="s">
        <v>3136</v>
      </c>
      <c r="E82" s="214">
        <v>26.924999999999997</v>
      </c>
      <c r="F82" s="213">
        <v>5</v>
      </c>
      <c r="G82" s="214">
        <v>5.942006776659686</v>
      </c>
      <c r="H82" s="155">
        <f t="shared" si="0"/>
        <v>29.710033883298429</v>
      </c>
    </row>
    <row r="83" spans="1:8" ht="27" customHeight="1" x14ac:dyDescent="0.25">
      <c r="A83" s="213" t="s">
        <v>3081</v>
      </c>
      <c r="B83" s="213" t="s">
        <v>114</v>
      </c>
      <c r="C83" s="214" t="s">
        <v>117</v>
      </c>
      <c r="D83" s="213" t="s">
        <v>3136</v>
      </c>
      <c r="E83" s="214">
        <v>257.64705882352951</v>
      </c>
      <c r="F83" s="213">
        <v>30</v>
      </c>
      <c r="G83" s="214">
        <v>8.8119278291419061</v>
      </c>
      <c r="H83" s="155">
        <f t="shared" si="0"/>
        <v>264.35783487425721</v>
      </c>
    </row>
    <row r="84" spans="1:8" ht="27" customHeight="1" x14ac:dyDescent="0.25">
      <c r="A84" s="213" t="s">
        <v>3176</v>
      </c>
      <c r="B84" s="213" t="s">
        <v>114</v>
      </c>
      <c r="C84" s="214" t="s">
        <v>117</v>
      </c>
      <c r="D84" s="213" t="s">
        <v>3136</v>
      </c>
      <c r="E84" s="214">
        <v>18.64077669902915</v>
      </c>
      <c r="F84" s="213">
        <v>5</v>
      </c>
      <c r="G84" s="214">
        <v>4.4963193770467615</v>
      </c>
      <c r="H84" s="155">
        <f t="shared" si="0"/>
        <v>22.481596885233806</v>
      </c>
    </row>
    <row r="85" spans="1:8" ht="27" customHeight="1" x14ac:dyDescent="0.25">
      <c r="A85" s="213" t="s">
        <v>3321</v>
      </c>
      <c r="B85" s="213" t="s">
        <v>114</v>
      </c>
      <c r="C85" s="214" t="s">
        <v>117</v>
      </c>
      <c r="D85" s="213" t="s">
        <v>3136</v>
      </c>
      <c r="E85" s="214">
        <v>86.302083333333243</v>
      </c>
      <c r="F85" s="213">
        <v>25</v>
      </c>
      <c r="G85" s="214">
        <v>4.261690305517245</v>
      </c>
      <c r="H85" s="155">
        <f t="shared" si="0"/>
        <v>106.54225763793113</v>
      </c>
    </row>
    <row r="86" spans="1:8" ht="27" customHeight="1" x14ac:dyDescent="0.25">
      <c r="A86" s="213" t="s">
        <v>3082</v>
      </c>
      <c r="B86" s="213" t="s">
        <v>114</v>
      </c>
      <c r="C86" s="214" t="s">
        <v>117</v>
      </c>
      <c r="D86" s="213" t="s">
        <v>3136</v>
      </c>
      <c r="E86" s="214">
        <v>12.705882352941201</v>
      </c>
      <c r="F86" s="213">
        <v>5</v>
      </c>
      <c r="G86" s="214">
        <v>3.1907056466488455</v>
      </c>
      <c r="H86" s="155">
        <f t="shared" ref="H86:H149" si="1">G86*F86</f>
        <v>15.953528233244228</v>
      </c>
    </row>
    <row r="87" spans="1:8" ht="27" customHeight="1" x14ac:dyDescent="0.25">
      <c r="A87" s="213" t="s">
        <v>3260</v>
      </c>
      <c r="B87" s="213" t="s">
        <v>114</v>
      </c>
      <c r="C87" s="214" t="s">
        <v>117</v>
      </c>
      <c r="D87" s="213" t="s">
        <v>3136</v>
      </c>
      <c r="E87" s="214">
        <v>8.6999999999999993</v>
      </c>
      <c r="F87" s="213">
        <v>5</v>
      </c>
      <c r="G87" s="214">
        <v>4.2174206693796004</v>
      </c>
      <c r="H87" s="155">
        <f t="shared" si="1"/>
        <v>21.087103346898001</v>
      </c>
    </row>
    <row r="88" spans="1:8" ht="27" customHeight="1" x14ac:dyDescent="0.25">
      <c r="A88" s="213" t="s">
        <v>3262</v>
      </c>
      <c r="B88" s="213" t="s">
        <v>114</v>
      </c>
      <c r="C88" s="214" t="s">
        <v>117</v>
      </c>
      <c r="D88" s="213" t="s">
        <v>3136</v>
      </c>
      <c r="E88" s="214">
        <v>12.25</v>
      </c>
      <c r="F88" s="213">
        <v>5</v>
      </c>
      <c r="G88" s="214">
        <v>5.850402683421021</v>
      </c>
      <c r="H88" s="155">
        <f t="shared" si="1"/>
        <v>29.252013417105104</v>
      </c>
    </row>
    <row r="89" spans="1:8" ht="27" customHeight="1" x14ac:dyDescent="0.25">
      <c r="A89" s="213" t="s">
        <v>3322</v>
      </c>
      <c r="B89" s="213" t="s">
        <v>114</v>
      </c>
      <c r="C89" s="214" t="s">
        <v>117</v>
      </c>
      <c r="D89" s="213" t="s">
        <v>3136</v>
      </c>
      <c r="E89" s="214">
        <v>45.619047619047599</v>
      </c>
      <c r="F89" s="213">
        <v>10</v>
      </c>
      <c r="G89" s="214">
        <v>5.0941864886800268</v>
      </c>
      <c r="H89" s="155">
        <f t="shared" si="1"/>
        <v>50.941864886800268</v>
      </c>
    </row>
    <row r="90" spans="1:8" ht="27" customHeight="1" x14ac:dyDescent="0.25">
      <c r="A90" s="213" t="s">
        <v>2907</v>
      </c>
      <c r="B90" s="213" t="s">
        <v>114</v>
      </c>
      <c r="C90" s="214" t="s">
        <v>117</v>
      </c>
      <c r="D90" s="213" t="s">
        <v>3136</v>
      </c>
      <c r="E90" s="214">
        <v>39.673469387755198</v>
      </c>
      <c r="F90" s="213">
        <v>20</v>
      </c>
      <c r="G90" s="214">
        <v>3.1526791643254839</v>
      </c>
      <c r="H90" s="155">
        <f t="shared" si="1"/>
        <v>63.053583286509678</v>
      </c>
    </row>
    <row r="91" spans="1:8" ht="27" customHeight="1" x14ac:dyDescent="0.25">
      <c r="A91" s="213" t="s">
        <v>3066</v>
      </c>
      <c r="B91" s="213" t="s">
        <v>113</v>
      </c>
      <c r="C91" s="214" t="s">
        <v>117</v>
      </c>
      <c r="D91" s="213" t="s">
        <v>3136</v>
      </c>
      <c r="E91" s="214">
        <v>24.603896103896101</v>
      </c>
      <c r="F91" s="213">
        <v>10</v>
      </c>
      <c r="G91" s="214">
        <v>2.9787789526258139</v>
      </c>
      <c r="H91" s="155">
        <f t="shared" si="1"/>
        <v>29.787789526258138</v>
      </c>
    </row>
    <row r="92" spans="1:8" ht="27" customHeight="1" x14ac:dyDescent="0.25">
      <c r="A92" s="213" t="s">
        <v>3068</v>
      </c>
      <c r="B92" s="213" t="s">
        <v>113</v>
      </c>
      <c r="C92" s="214" t="s">
        <v>117</v>
      </c>
      <c r="D92" s="213" t="s">
        <v>3136</v>
      </c>
      <c r="E92" s="214">
        <v>49.199999999999996</v>
      </c>
      <c r="F92" s="213">
        <v>15</v>
      </c>
      <c r="G92" s="214">
        <v>3.6425964709154166</v>
      </c>
      <c r="H92" s="155">
        <f t="shared" si="1"/>
        <v>54.638947063731251</v>
      </c>
    </row>
    <row r="93" spans="1:8" ht="27" customHeight="1" x14ac:dyDescent="0.25">
      <c r="A93" s="213" t="s">
        <v>3323</v>
      </c>
      <c r="B93" s="213" t="s">
        <v>114</v>
      </c>
      <c r="C93" s="214" t="s">
        <v>117</v>
      </c>
      <c r="D93" s="213" t="s">
        <v>3136</v>
      </c>
      <c r="E93" s="214">
        <v>84.692307692307494</v>
      </c>
      <c r="F93" s="213">
        <v>50</v>
      </c>
      <c r="G93" s="214">
        <v>2.2586595381201295</v>
      </c>
      <c r="H93" s="155">
        <f t="shared" si="1"/>
        <v>112.93297690600647</v>
      </c>
    </row>
    <row r="94" spans="1:8" ht="27" customHeight="1" x14ac:dyDescent="0.25">
      <c r="A94" s="213" t="s">
        <v>3324</v>
      </c>
      <c r="B94" s="213" t="s">
        <v>114</v>
      </c>
      <c r="C94" s="214" t="s">
        <v>117</v>
      </c>
      <c r="D94" s="213" t="s">
        <v>3136</v>
      </c>
      <c r="E94" s="214">
        <v>17.901960784313701</v>
      </c>
      <c r="F94" s="213">
        <v>10</v>
      </c>
      <c r="G94" s="214">
        <v>2.364566129187879</v>
      </c>
      <c r="H94" s="155">
        <f t="shared" si="1"/>
        <v>23.645661291878788</v>
      </c>
    </row>
    <row r="95" spans="1:8" ht="27" customHeight="1" x14ac:dyDescent="0.25">
      <c r="A95" s="213" t="s">
        <v>3229</v>
      </c>
      <c r="B95" s="213" t="s">
        <v>114</v>
      </c>
      <c r="C95" s="214" t="s">
        <v>117</v>
      </c>
      <c r="D95" s="213" t="s">
        <v>3136</v>
      </c>
      <c r="E95" s="214">
        <v>187.79999999999998</v>
      </c>
      <c r="F95" s="213">
        <v>30</v>
      </c>
      <c r="G95" s="214">
        <v>9.2024087222534376</v>
      </c>
      <c r="H95" s="155">
        <f t="shared" si="1"/>
        <v>276.07226166760313</v>
      </c>
    </row>
    <row r="96" spans="1:8" ht="27" customHeight="1" x14ac:dyDescent="0.25">
      <c r="A96" s="213" t="s">
        <v>3084</v>
      </c>
      <c r="B96" s="213" t="s">
        <v>114</v>
      </c>
      <c r="C96" s="214" t="s">
        <v>117</v>
      </c>
      <c r="D96" s="213" t="s">
        <v>3136</v>
      </c>
      <c r="E96" s="214">
        <v>46.200396825396751</v>
      </c>
      <c r="F96" s="213">
        <v>25</v>
      </c>
      <c r="G96" s="214">
        <v>2.5391474122127438</v>
      </c>
      <c r="H96" s="155">
        <f t="shared" si="1"/>
        <v>63.478685305318592</v>
      </c>
    </row>
    <row r="97" spans="1:8" ht="27" customHeight="1" x14ac:dyDescent="0.25">
      <c r="A97" s="213" t="s">
        <v>3243</v>
      </c>
      <c r="B97" s="213" t="s">
        <v>114</v>
      </c>
      <c r="C97" s="214" t="s">
        <v>117</v>
      </c>
      <c r="D97" s="213" t="s">
        <v>3136</v>
      </c>
      <c r="E97" s="214">
        <v>48.886138613861505</v>
      </c>
      <c r="F97" s="213">
        <v>25</v>
      </c>
      <c r="G97" s="214">
        <v>2.6636699528358108</v>
      </c>
      <c r="H97" s="155">
        <f t="shared" si="1"/>
        <v>66.591748820895276</v>
      </c>
    </row>
    <row r="98" spans="1:8" ht="27" customHeight="1" x14ac:dyDescent="0.25">
      <c r="A98" s="213" t="s">
        <v>3246</v>
      </c>
      <c r="B98" s="213" t="s">
        <v>114</v>
      </c>
      <c r="C98" s="214" t="s">
        <v>117</v>
      </c>
      <c r="D98" s="213" t="s">
        <v>3136</v>
      </c>
      <c r="E98" s="214">
        <v>71.121951219512241</v>
      </c>
      <c r="F98" s="213">
        <v>15</v>
      </c>
      <c r="G98" s="214">
        <v>5.6110061126151436</v>
      </c>
      <c r="H98" s="155">
        <f t="shared" si="1"/>
        <v>84.165091689227154</v>
      </c>
    </row>
    <row r="99" spans="1:8" ht="27" customHeight="1" x14ac:dyDescent="0.25">
      <c r="A99" s="213" t="s">
        <v>3250</v>
      </c>
      <c r="B99" s="213" t="s">
        <v>114</v>
      </c>
      <c r="C99" s="214" t="s">
        <v>117</v>
      </c>
      <c r="D99" s="213" t="s">
        <v>3136</v>
      </c>
      <c r="E99" s="214">
        <v>21.8</v>
      </c>
      <c r="F99" s="213">
        <v>10</v>
      </c>
      <c r="G99" s="214">
        <v>2.5044127746278231</v>
      </c>
      <c r="H99" s="155">
        <f t="shared" si="1"/>
        <v>25.044127746278232</v>
      </c>
    </row>
    <row r="100" spans="1:8" ht="27" customHeight="1" x14ac:dyDescent="0.25">
      <c r="A100" s="213" t="s">
        <v>3090</v>
      </c>
      <c r="B100" s="213" t="s">
        <v>114</v>
      </c>
      <c r="C100" s="214" t="s">
        <v>117</v>
      </c>
      <c r="D100" s="213" t="s">
        <v>3136</v>
      </c>
      <c r="E100" s="214">
        <v>28.3</v>
      </c>
      <c r="F100" s="213">
        <v>10</v>
      </c>
      <c r="G100" s="214">
        <v>3.1869597543602755</v>
      </c>
      <c r="H100" s="155">
        <f t="shared" si="1"/>
        <v>31.869597543602755</v>
      </c>
    </row>
    <row r="101" spans="1:8" ht="27" customHeight="1" x14ac:dyDescent="0.25">
      <c r="A101" s="213" t="s">
        <v>3041</v>
      </c>
      <c r="B101" s="213" t="s">
        <v>114</v>
      </c>
      <c r="C101" s="214" t="s">
        <v>117</v>
      </c>
      <c r="D101" s="213" t="s">
        <v>3136</v>
      </c>
      <c r="E101" s="214">
        <v>20.5</v>
      </c>
      <c r="F101" s="213">
        <v>10</v>
      </c>
      <c r="G101" s="214">
        <v>4.9303888349707421</v>
      </c>
      <c r="H101" s="155">
        <f t="shared" si="1"/>
        <v>49.303888349707421</v>
      </c>
    </row>
    <row r="102" spans="1:8" ht="27" customHeight="1" x14ac:dyDescent="0.25">
      <c r="A102" s="213" t="s">
        <v>3270</v>
      </c>
      <c r="B102" s="213" t="s">
        <v>115</v>
      </c>
      <c r="C102" s="214" t="s">
        <v>117</v>
      </c>
      <c r="D102" s="213" t="s">
        <v>3136</v>
      </c>
      <c r="E102" s="214">
        <v>1.5</v>
      </c>
      <c r="F102" s="213">
        <v>5</v>
      </c>
      <c r="G102" s="214">
        <v>0.98675883831934297</v>
      </c>
      <c r="H102" s="155">
        <f t="shared" si="1"/>
        <v>4.9337941915967152</v>
      </c>
    </row>
    <row r="103" spans="1:8" ht="27" customHeight="1" x14ac:dyDescent="0.25">
      <c r="A103" s="213" t="s">
        <v>3272</v>
      </c>
      <c r="B103" s="213" t="s">
        <v>115</v>
      </c>
      <c r="C103" s="214" t="s">
        <v>117</v>
      </c>
      <c r="D103" s="213" t="s">
        <v>3136</v>
      </c>
      <c r="E103" s="214">
        <v>7.9</v>
      </c>
      <c r="F103" s="213">
        <v>5</v>
      </c>
      <c r="G103" s="214">
        <v>4.5044922329490955</v>
      </c>
      <c r="H103" s="155">
        <f t="shared" si="1"/>
        <v>22.522461164745479</v>
      </c>
    </row>
    <row r="104" spans="1:8" ht="27" customHeight="1" x14ac:dyDescent="0.25">
      <c r="A104" s="213" t="s">
        <v>3325</v>
      </c>
      <c r="B104" s="213" t="s">
        <v>114</v>
      </c>
      <c r="C104" s="214" t="s">
        <v>117</v>
      </c>
      <c r="D104" s="213" t="s">
        <v>3136</v>
      </c>
      <c r="E104" s="214">
        <v>29.8</v>
      </c>
      <c r="F104" s="213">
        <v>20</v>
      </c>
      <c r="G104" s="214">
        <v>2.1238074157316125</v>
      </c>
      <c r="H104" s="155">
        <f t="shared" si="1"/>
        <v>42.476148314632248</v>
      </c>
    </row>
    <row r="105" spans="1:8" ht="27" customHeight="1" x14ac:dyDescent="0.25">
      <c r="A105" s="213" t="s">
        <v>3119</v>
      </c>
      <c r="B105" s="213" t="s">
        <v>114</v>
      </c>
      <c r="C105" s="214" t="s">
        <v>117</v>
      </c>
      <c r="D105" s="213" t="s">
        <v>3136</v>
      </c>
      <c r="E105" s="214">
        <v>24</v>
      </c>
      <c r="F105" s="213">
        <v>5</v>
      </c>
      <c r="G105" s="214">
        <v>7.9014489792443507</v>
      </c>
      <c r="H105" s="155">
        <f t="shared" si="1"/>
        <v>39.507244896221756</v>
      </c>
    </row>
    <row r="106" spans="1:8" ht="27" customHeight="1" x14ac:dyDescent="0.25">
      <c r="A106" s="213" t="s">
        <v>3281</v>
      </c>
      <c r="B106" s="213" t="s">
        <v>115</v>
      </c>
      <c r="C106" s="214" t="s">
        <v>117</v>
      </c>
      <c r="D106" s="213" t="s">
        <v>3136</v>
      </c>
      <c r="E106" s="214">
        <v>38.4</v>
      </c>
      <c r="F106" s="213">
        <v>15</v>
      </c>
      <c r="G106" s="214">
        <v>3.9980021907794292</v>
      </c>
      <c r="H106" s="155">
        <f t="shared" si="1"/>
        <v>59.970032861691436</v>
      </c>
    </row>
    <row r="107" spans="1:8" ht="27" customHeight="1" x14ac:dyDescent="0.25">
      <c r="A107" s="213" t="s">
        <v>3199</v>
      </c>
      <c r="B107" s="213" t="s">
        <v>114</v>
      </c>
      <c r="C107" s="214" t="s">
        <v>117</v>
      </c>
      <c r="D107" s="213" t="s">
        <v>3136</v>
      </c>
      <c r="E107" s="214">
        <v>65.149999999999991</v>
      </c>
      <c r="F107" s="213">
        <v>5</v>
      </c>
      <c r="G107" s="214">
        <v>13.29848518386088</v>
      </c>
      <c r="H107" s="155">
        <f t="shared" si="1"/>
        <v>66.492425919304395</v>
      </c>
    </row>
    <row r="108" spans="1:8" ht="27" customHeight="1" x14ac:dyDescent="0.25">
      <c r="A108" s="213" t="s">
        <v>3202</v>
      </c>
      <c r="B108" s="213" t="s">
        <v>115</v>
      </c>
      <c r="C108" s="214" t="s">
        <v>117</v>
      </c>
      <c r="D108" s="213" t="s">
        <v>3136</v>
      </c>
      <c r="E108" s="214">
        <v>15</v>
      </c>
      <c r="F108" s="213">
        <v>10</v>
      </c>
      <c r="G108" s="214">
        <v>3.767800082863678</v>
      </c>
      <c r="H108" s="155">
        <f t="shared" si="1"/>
        <v>37.678000828636783</v>
      </c>
    </row>
    <row r="109" spans="1:8" ht="27" customHeight="1" x14ac:dyDescent="0.25">
      <c r="A109" s="213" t="s">
        <v>3286</v>
      </c>
      <c r="B109" s="213" t="s">
        <v>115</v>
      </c>
      <c r="C109" s="214" t="s">
        <v>117</v>
      </c>
      <c r="D109" s="213" t="s">
        <v>3136</v>
      </c>
      <c r="E109" s="214">
        <v>16</v>
      </c>
      <c r="F109" s="213">
        <v>5</v>
      </c>
      <c r="G109" s="214">
        <v>7.2670310398256461</v>
      </c>
      <c r="H109" s="155">
        <f t="shared" si="1"/>
        <v>36.335155199128231</v>
      </c>
    </row>
    <row r="110" spans="1:8" ht="27" customHeight="1" x14ac:dyDescent="0.25">
      <c r="A110" s="213" t="s">
        <v>3291</v>
      </c>
      <c r="B110" s="213" t="s">
        <v>114</v>
      </c>
      <c r="C110" s="214" t="s">
        <v>117</v>
      </c>
      <c r="D110" s="213" t="s">
        <v>3136</v>
      </c>
      <c r="E110" s="214">
        <v>123.8532110091744</v>
      </c>
      <c r="F110" s="213">
        <v>60</v>
      </c>
      <c r="G110" s="214">
        <v>2.7898951717718639</v>
      </c>
      <c r="H110" s="155">
        <f t="shared" si="1"/>
        <v>167.39371030631185</v>
      </c>
    </row>
    <row r="111" spans="1:8" ht="27" customHeight="1" x14ac:dyDescent="0.25">
      <c r="A111" s="213" t="s">
        <v>3157</v>
      </c>
      <c r="B111" s="213" t="s">
        <v>113</v>
      </c>
      <c r="C111" s="214" t="s">
        <v>117</v>
      </c>
      <c r="D111" s="213" t="s">
        <v>3136</v>
      </c>
      <c r="E111" s="214">
        <v>63.176470588235404</v>
      </c>
      <c r="F111" s="213">
        <v>30</v>
      </c>
      <c r="G111" s="214">
        <v>3.322606459961519</v>
      </c>
      <c r="H111" s="155">
        <f t="shared" si="1"/>
        <v>99.67819379884557</v>
      </c>
    </row>
    <row r="112" spans="1:8" ht="27" customHeight="1" x14ac:dyDescent="0.25">
      <c r="A112" s="213" t="s">
        <v>3158</v>
      </c>
      <c r="B112" s="213" t="s">
        <v>113</v>
      </c>
      <c r="C112" s="214" t="s">
        <v>117</v>
      </c>
      <c r="D112" s="213" t="s">
        <v>3136</v>
      </c>
      <c r="E112" s="214">
        <v>32.799999999999997</v>
      </c>
      <c r="F112" s="213">
        <v>10</v>
      </c>
      <c r="G112" s="214">
        <v>4.9545668670151484</v>
      </c>
      <c r="H112" s="155">
        <f t="shared" si="1"/>
        <v>49.545668670151485</v>
      </c>
    </row>
    <row r="113" spans="1:8" ht="27" customHeight="1" x14ac:dyDescent="0.25">
      <c r="A113" s="213" t="s">
        <v>3213</v>
      </c>
      <c r="B113" s="213" t="s">
        <v>114</v>
      </c>
      <c r="C113" s="214" t="s">
        <v>117</v>
      </c>
      <c r="D113" s="213" t="s">
        <v>3136</v>
      </c>
      <c r="E113" s="214">
        <v>45.99</v>
      </c>
      <c r="F113" s="213">
        <v>10</v>
      </c>
      <c r="G113" s="214">
        <v>6.7420385599881945</v>
      </c>
      <c r="H113" s="155">
        <f t="shared" si="1"/>
        <v>67.420385599881939</v>
      </c>
    </row>
    <row r="114" spans="1:8" ht="27" customHeight="1" x14ac:dyDescent="0.25">
      <c r="A114" s="213" t="s">
        <v>3059</v>
      </c>
      <c r="B114" s="213" t="s">
        <v>113</v>
      </c>
      <c r="C114" s="214" t="s">
        <v>117</v>
      </c>
      <c r="D114" s="213" t="s">
        <v>3136</v>
      </c>
      <c r="E114" s="214">
        <v>21.6</v>
      </c>
      <c r="F114" s="213">
        <v>10</v>
      </c>
      <c r="G114" s="214">
        <v>3.4625666172889953</v>
      </c>
      <c r="H114" s="155">
        <f t="shared" si="1"/>
        <v>34.62566617288995</v>
      </c>
    </row>
    <row r="115" spans="1:8" ht="27" customHeight="1" x14ac:dyDescent="0.25">
      <c r="A115" s="213" t="s">
        <v>3218</v>
      </c>
      <c r="B115" s="213" t="s">
        <v>114</v>
      </c>
      <c r="C115" s="214" t="s">
        <v>117</v>
      </c>
      <c r="D115" s="213" t="s">
        <v>3136</v>
      </c>
      <c r="E115" s="214">
        <v>72.6666666666666</v>
      </c>
      <c r="F115" s="213">
        <v>20</v>
      </c>
      <c r="G115" s="214">
        <v>5.4457328043679381</v>
      </c>
      <c r="H115" s="155">
        <f t="shared" si="1"/>
        <v>108.91465608735876</v>
      </c>
    </row>
    <row r="116" spans="1:8" ht="27" customHeight="1" x14ac:dyDescent="0.25">
      <c r="A116" s="213" t="s">
        <v>3326</v>
      </c>
      <c r="B116" s="213" t="s">
        <v>114</v>
      </c>
      <c r="C116" s="214" t="s">
        <v>117</v>
      </c>
      <c r="D116" s="213" t="s">
        <v>3136</v>
      </c>
      <c r="E116" s="214">
        <v>13.85</v>
      </c>
      <c r="F116" s="213">
        <v>5</v>
      </c>
      <c r="G116" s="214">
        <v>4.2456851293751736</v>
      </c>
      <c r="H116" s="155">
        <f t="shared" si="1"/>
        <v>21.22842564687587</v>
      </c>
    </row>
    <row r="117" spans="1:8" ht="27" customHeight="1" x14ac:dyDescent="0.25">
      <c r="A117" s="213" t="s">
        <v>3327</v>
      </c>
      <c r="B117" s="213" t="s">
        <v>114</v>
      </c>
      <c r="C117" s="214" t="s">
        <v>117</v>
      </c>
      <c r="D117" s="213" t="s">
        <v>3136</v>
      </c>
      <c r="E117" s="214">
        <v>10.75</v>
      </c>
      <c r="F117" s="213">
        <v>5</v>
      </c>
      <c r="G117" s="214">
        <v>3.1903651109862481</v>
      </c>
      <c r="H117" s="155">
        <f t="shared" si="1"/>
        <v>15.95182555493124</v>
      </c>
    </row>
    <row r="118" spans="1:8" ht="27" customHeight="1" x14ac:dyDescent="0.25">
      <c r="A118" s="213" t="s">
        <v>3226</v>
      </c>
      <c r="B118" s="213" t="s">
        <v>113</v>
      </c>
      <c r="C118" s="214" t="s">
        <v>117</v>
      </c>
      <c r="D118" s="213" t="s">
        <v>3136</v>
      </c>
      <c r="E118" s="214">
        <v>22.7</v>
      </c>
      <c r="F118" s="213">
        <v>10</v>
      </c>
      <c r="G118" s="214">
        <v>2.824289273694188</v>
      </c>
      <c r="H118" s="155">
        <f t="shared" si="1"/>
        <v>28.242892736941879</v>
      </c>
    </row>
    <row r="119" spans="1:8" ht="27" customHeight="1" x14ac:dyDescent="0.25">
      <c r="A119" s="213" t="s">
        <v>3236</v>
      </c>
      <c r="B119" s="213" t="s">
        <v>114</v>
      </c>
      <c r="C119" s="214" t="s">
        <v>117</v>
      </c>
      <c r="D119" s="213" t="s">
        <v>3136</v>
      </c>
      <c r="E119" s="214">
        <v>56.52</v>
      </c>
      <c r="F119" s="213">
        <v>10</v>
      </c>
      <c r="G119" s="214">
        <v>5.9344014801950129</v>
      </c>
      <c r="H119" s="155">
        <f t="shared" si="1"/>
        <v>59.344014801950131</v>
      </c>
    </row>
    <row r="120" spans="1:8" ht="27" customHeight="1" x14ac:dyDescent="0.25">
      <c r="A120" s="213" t="s">
        <v>3239</v>
      </c>
      <c r="B120" s="213" t="s">
        <v>114</v>
      </c>
      <c r="C120" s="214" t="s">
        <v>117</v>
      </c>
      <c r="D120" s="213" t="s">
        <v>3136</v>
      </c>
      <c r="E120" s="214">
        <v>23.143564356435647</v>
      </c>
      <c r="F120" s="213">
        <v>5</v>
      </c>
      <c r="G120" s="214">
        <v>5.1166618424114469</v>
      </c>
      <c r="H120" s="155">
        <f t="shared" si="1"/>
        <v>25.583309212057234</v>
      </c>
    </row>
    <row r="121" spans="1:8" ht="27" customHeight="1" x14ac:dyDescent="0.25">
      <c r="A121" s="213" t="s">
        <v>3240</v>
      </c>
      <c r="B121" s="213" t="s">
        <v>114</v>
      </c>
      <c r="C121" s="214" t="s">
        <v>117</v>
      </c>
      <c r="D121" s="213" t="s">
        <v>3136</v>
      </c>
      <c r="E121" s="214">
        <v>28</v>
      </c>
      <c r="F121" s="213">
        <v>5</v>
      </c>
      <c r="G121" s="214">
        <v>6.1073935967944237</v>
      </c>
      <c r="H121" s="155">
        <f t="shared" si="1"/>
        <v>30.536967983972119</v>
      </c>
    </row>
    <row r="122" spans="1:8" ht="27" customHeight="1" x14ac:dyDescent="0.25">
      <c r="A122" s="213" t="s">
        <v>3178</v>
      </c>
      <c r="B122" s="213" t="s">
        <v>114</v>
      </c>
      <c r="C122" s="214" t="s">
        <v>117</v>
      </c>
      <c r="D122" s="213" t="s">
        <v>3136</v>
      </c>
      <c r="E122" s="214">
        <v>23.900000000000002</v>
      </c>
      <c r="F122" s="213">
        <v>5</v>
      </c>
      <c r="G122" s="214">
        <v>5.1865851651314188</v>
      </c>
      <c r="H122" s="155">
        <f t="shared" si="1"/>
        <v>25.932925825657094</v>
      </c>
    </row>
    <row r="123" spans="1:8" ht="27" customHeight="1" x14ac:dyDescent="0.25">
      <c r="A123" s="213" t="s">
        <v>3094</v>
      </c>
      <c r="B123" s="213" t="s">
        <v>114</v>
      </c>
      <c r="C123" s="214" t="s">
        <v>117</v>
      </c>
      <c r="D123" s="213" t="s">
        <v>3136</v>
      </c>
      <c r="E123" s="214">
        <v>73.05</v>
      </c>
      <c r="F123" s="213">
        <v>5</v>
      </c>
      <c r="G123" s="214">
        <v>16.446964408347664</v>
      </c>
      <c r="H123" s="155">
        <f t="shared" si="1"/>
        <v>82.234822041738326</v>
      </c>
    </row>
    <row r="124" spans="1:8" ht="27" customHeight="1" x14ac:dyDescent="0.25">
      <c r="A124" s="213" t="s">
        <v>3097</v>
      </c>
      <c r="B124" s="213" t="s">
        <v>113</v>
      </c>
      <c r="C124" s="214" t="s">
        <v>117</v>
      </c>
      <c r="D124" s="213" t="s">
        <v>3136</v>
      </c>
      <c r="E124" s="214">
        <v>53.142857142857203</v>
      </c>
      <c r="F124" s="213">
        <v>20</v>
      </c>
      <c r="G124" s="214">
        <v>3.3774327016396795</v>
      </c>
      <c r="H124" s="155">
        <f t="shared" si="1"/>
        <v>67.548654032793593</v>
      </c>
    </row>
    <row r="125" spans="1:8" ht="27" customHeight="1" x14ac:dyDescent="0.25">
      <c r="A125" s="213" t="s">
        <v>3254</v>
      </c>
      <c r="B125" s="213" t="s">
        <v>114</v>
      </c>
      <c r="C125" s="214" t="s">
        <v>117</v>
      </c>
      <c r="D125" s="213" t="s">
        <v>3136</v>
      </c>
      <c r="E125" s="214">
        <v>20.5</v>
      </c>
      <c r="F125" s="213">
        <v>5</v>
      </c>
      <c r="G125" s="214">
        <v>5.8878616063067204</v>
      </c>
      <c r="H125" s="155">
        <f t="shared" si="1"/>
        <v>29.439308031533603</v>
      </c>
    </row>
    <row r="126" spans="1:8" ht="27" customHeight="1" x14ac:dyDescent="0.25">
      <c r="A126" s="213" t="s">
        <v>3256</v>
      </c>
      <c r="B126" s="213" t="s">
        <v>114</v>
      </c>
      <c r="C126" s="214" t="s">
        <v>117</v>
      </c>
      <c r="D126" s="213" t="s">
        <v>3136</v>
      </c>
      <c r="E126" s="214">
        <v>35.5</v>
      </c>
      <c r="F126" s="213">
        <v>5</v>
      </c>
      <c r="G126" s="214">
        <v>8.025403960429756</v>
      </c>
      <c r="H126" s="155">
        <f t="shared" si="1"/>
        <v>40.12701980214878</v>
      </c>
    </row>
    <row r="127" spans="1:8" ht="27" customHeight="1" x14ac:dyDescent="0.25">
      <c r="A127" s="213" t="s">
        <v>3043</v>
      </c>
      <c r="B127" s="213" t="s">
        <v>115</v>
      </c>
      <c r="C127" s="214" t="s">
        <v>117</v>
      </c>
      <c r="D127" s="213" t="s">
        <v>3136</v>
      </c>
      <c r="E127" s="214">
        <v>8.1499999999999986</v>
      </c>
      <c r="F127" s="213">
        <v>5</v>
      </c>
      <c r="G127" s="214">
        <v>4.5044922329490955</v>
      </c>
      <c r="H127" s="155">
        <f t="shared" si="1"/>
        <v>22.522461164745479</v>
      </c>
    </row>
    <row r="128" spans="1:8" ht="27" customHeight="1" x14ac:dyDescent="0.25">
      <c r="A128" s="213" t="s">
        <v>3117</v>
      </c>
      <c r="B128" s="213" t="s">
        <v>115</v>
      </c>
      <c r="C128" s="214" t="s">
        <v>117</v>
      </c>
      <c r="D128" s="213" t="s">
        <v>3136</v>
      </c>
      <c r="E128" s="214">
        <v>3.4000000000000004</v>
      </c>
      <c r="F128" s="213">
        <v>5</v>
      </c>
      <c r="G128" s="214">
        <v>2.3405016090310058</v>
      </c>
      <c r="H128" s="155">
        <f t="shared" si="1"/>
        <v>11.702508045155028</v>
      </c>
    </row>
    <row r="129" spans="1:8" ht="27" customHeight="1" x14ac:dyDescent="0.25">
      <c r="A129" s="213" t="s">
        <v>3121</v>
      </c>
      <c r="B129" s="213" t="s">
        <v>114</v>
      </c>
      <c r="C129" s="214" t="s">
        <v>117</v>
      </c>
      <c r="D129" s="213" t="s">
        <v>3136</v>
      </c>
      <c r="E129" s="214">
        <v>46.349999999999994</v>
      </c>
      <c r="F129" s="213">
        <v>5</v>
      </c>
      <c r="G129" s="214">
        <v>9.7264931069906293</v>
      </c>
      <c r="H129" s="155">
        <f t="shared" si="1"/>
        <v>48.632465534953148</v>
      </c>
    </row>
    <row r="130" spans="1:8" ht="27" customHeight="1" x14ac:dyDescent="0.25">
      <c r="A130" s="213" t="s">
        <v>3332</v>
      </c>
      <c r="B130" s="213" t="s">
        <v>114</v>
      </c>
      <c r="C130" s="214" t="s">
        <v>117</v>
      </c>
      <c r="D130" s="213" t="s">
        <v>3136</v>
      </c>
      <c r="E130" s="214">
        <v>13.25</v>
      </c>
      <c r="F130" s="213">
        <v>5</v>
      </c>
      <c r="G130" s="214">
        <v>4.0579364673965479</v>
      </c>
      <c r="H130" s="155">
        <f t="shared" si="1"/>
        <v>20.289682336982739</v>
      </c>
    </row>
    <row r="131" spans="1:8" ht="27" customHeight="1" x14ac:dyDescent="0.25">
      <c r="A131" s="213" t="s">
        <v>3283</v>
      </c>
      <c r="B131" s="213" t="s">
        <v>114</v>
      </c>
      <c r="C131" s="214" t="s">
        <v>117</v>
      </c>
      <c r="D131" s="213" t="s">
        <v>3136</v>
      </c>
      <c r="E131" s="214">
        <v>13.700000000000001</v>
      </c>
      <c r="F131" s="213">
        <v>10</v>
      </c>
      <c r="G131" s="214">
        <v>2.2292599592492324</v>
      </c>
      <c r="H131" s="155">
        <f t="shared" si="1"/>
        <v>22.292599592492323</v>
      </c>
    </row>
    <row r="132" spans="1:8" ht="27" customHeight="1" x14ac:dyDescent="0.25">
      <c r="A132" s="213" t="s">
        <v>3285</v>
      </c>
      <c r="B132" s="213" t="s">
        <v>115</v>
      </c>
      <c r="C132" s="214" t="s">
        <v>117</v>
      </c>
      <c r="D132" s="213" t="s">
        <v>3136</v>
      </c>
      <c r="E132" s="214">
        <v>8</v>
      </c>
      <c r="F132" s="213">
        <v>5</v>
      </c>
      <c r="G132" s="214">
        <v>2.9205473543216818</v>
      </c>
      <c r="H132" s="155">
        <f t="shared" si="1"/>
        <v>14.602736771608409</v>
      </c>
    </row>
    <row r="133" spans="1:8" ht="27" customHeight="1" x14ac:dyDescent="0.25">
      <c r="A133" s="213" t="s">
        <v>3333</v>
      </c>
      <c r="B133" s="213" t="s">
        <v>114</v>
      </c>
      <c r="C133" s="214" t="s">
        <v>117</v>
      </c>
      <c r="D133" s="213" t="s">
        <v>3136</v>
      </c>
      <c r="E133" s="214">
        <v>67.300000000000011</v>
      </c>
      <c r="F133" s="213">
        <v>10</v>
      </c>
      <c r="G133" s="214">
        <v>8.2533358305948585</v>
      </c>
      <c r="H133" s="155">
        <f t="shared" si="1"/>
        <v>82.533358305948582</v>
      </c>
    </row>
    <row r="134" spans="1:8" ht="27" customHeight="1" x14ac:dyDescent="0.25">
      <c r="A134" s="213" t="s">
        <v>3129</v>
      </c>
      <c r="B134" s="213" t="s">
        <v>115</v>
      </c>
      <c r="C134" s="214" t="s">
        <v>117</v>
      </c>
      <c r="D134" s="213" t="s">
        <v>3136</v>
      </c>
      <c r="E134" s="214">
        <v>4.95</v>
      </c>
      <c r="F134" s="213">
        <v>5</v>
      </c>
      <c r="G134" s="214">
        <v>3.323855090724376</v>
      </c>
      <c r="H134" s="155">
        <f t="shared" si="1"/>
        <v>16.619275453621881</v>
      </c>
    </row>
    <row r="135" spans="1:8" ht="27" customHeight="1" x14ac:dyDescent="0.25">
      <c r="A135" s="213" t="s">
        <v>3212</v>
      </c>
      <c r="B135" s="213" t="s">
        <v>114</v>
      </c>
      <c r="C135" s="214" t="s">
        <v>117</v>
      </c>
      <c r="D135" s="213" t="s">
        <v>3136</v>
      </c>
      <c r="E135" s="214">
        <v>17.440000000000001</v>
      </c>
      <c r="F135" s="213">
        <v>5</v>
      </c>
      <c r="G135" s="214">
        <v>5.2088334950877728</v>
      </c>
      <c r="H135" s="155">
        <f t="shared" si="1"/>
        <v>26.044167475438865</v>
      </c>
    </row>
    <row r="136" spans="1:8" ht="27" customHeight="1" x14ac:dyDescent="0.25">
      <c r="A136" s="213" t="s">
        <v>3060</v>
      </c>
      <c r="B136" s="213" t="s">
        <v>114</v>
      </c>
      <c r="C136" s="214" t="s">
        <v>117</v>
      </c>
      <c r="D136" s="213" t="s">
        <v>3136</v>
      </c>
      <c r="E136" s="214">
        <v>17.440000000000001</v>
      </c>
      <c r="F136" s="213">
        <v>5</v>
      </c>
      <c r="G136" s="214">
        <v>5.243681644560227</v>
      </c>
      <c r="H136" s="155">
        <f t="shared" si="1"/>
        <v>26.218408222801134</v>
      </c>
    </row>
    <row r="137" spans="1:8" ht="27" customHeight="1" x14ac:dyDescent="0.25">
      <c r="A137" s="213" t="s">
        <v>3217</v>
      </c>
      <c r="B137" s="213" t="s">
        <v>114</v>
      </c>
      <c r="C137" s="214" t="s">
        <v>117</v>
      </c>
      <c r="D137" s="213" t="s">
        <v>3136</v>
      </c>
      <c r="E137" s="214">
        <v>31.823529411764699</v>
      </c>
      <c r="F137" s="213">
        <v>10</v>
      </c>
      <c r="G137" s="214">
        <v>4.8189201614139048</v>
      </c>
      <c r="H137" s="155">
        <f t="shared" si="1"/>
        <v>48.189201614139051</v>
      </c>
    </row>
    <row r="138" spans="1:8" ht="27" customHeight="1" x14ac:dyDescent="0.25">
      <c r="A138" s="213" t="s">
        <v>3220</v>
      </c>
      <c r="B138" s="213" t="s">
        <v>114</v>
      </c>
      <c r="C138" s="214" t="s">
        <v>117</v>
      </c>
      <c r="D138" s="213" t="s">
        <v>3136</v>
      </c>
      <c r="E138" s="214">
        <v>27.7</v>
      </c>
      <c r="F138" s="213">
        <v>10</v>
      </c>
      <c r="G138" s="214">
        <v>5.2705839619054107</v>
      </c>
      <c r="H138" s="155">
        <f t="shared" si="1"/>
        <v>52.705839619054103</v>
      </c>
    </row>
    <row r="139" spans="1:8" ht="27" customHeight="1" x14ac:dyDescent="0.25">
      <c r="A139" s="213" t="s">
        <v>3227</v>
      </c>
      <c r="B139" s="213" t="s">
        <v>113</v>
      </c>
      <c r="C139" s="214" t="s">
        <v>117</v>
      </c>
      <c r="D139" s="213" t="s">
        <v>3136</v>
      </c>
      <c r="E139" s="214">
        <v>21.5</v>
      </c>
      <c r="F139" s="213">
        <v>5</v>
      </c>
      <c r="G139" s="214">
        <v>4.9964527535146122</v>
      </c>
      <c r="H139" s="155">
        <f t="shared" si="1"/>
        <v>24.982263767573059</v>
      </c>
    </row>
    <row r="140" spans="1:8" ht="27" customHeight="1" x14ac:dyDescent="0.25">
      <c r="A140" s="213" t="s">
        <v>2899</v>
      </c>
      <c r="B140" s="213" t="s">
        <v>114</v>
      </c>
      <c r="C140" s="214" t="s">
        <v>117</v>
      </c>
      <c r="D140" s="213" t="s">
        <v>3136</v>
      </c>
      <c r="E140" s="214">
        <v>100.04901960784301</v>
      </c>
      <c r="F140" s="213">
        <v>50</v>
      </c>
      <c r="G140" s="214">
        <v>2.4964669425005535</v>
      </c>
      <c r="H140" s="155">
        <f t="shared" si="1"/>
        <v>124.82334712502767</v>
      </c>
    </row>
    <row r="141" spans="1:8" ht="27" customHeight="1" x14ac:dyDescent="0.25">
      <c r="A141" s="213" t="s">
        <v>3076</v>
      </c>
      <c r="B141" s="213" t="s">
        <v>114</v>
      </c>
      <c r="C141" s="214" t="s">
        <v>117</v>
      </c>
      <c r="D141" s="213" t="s">
        <v>3136</v>
      </c>
      <c r="E141" s="214">
        <v>16.387755102040799</v>
      </c>
      <c r="F141" s="213">
        <v>5</v>
      </c>
      <c r="G141" s="214">
        <v>4.0662228351864149</v>
      </c>
      <c r="H141" s="155">
        <f t="shared" si="1"/>
        <v>20.331114175932075</v>
      </c>
    </row>
    <row r="142" spans="1:8" ht="27" customHeight="1" x14ac:dyDescent="0.25">
      <c r="A142" s="213" t="s">
        <v>3237</v>
      </c>
      <c r="B142" s="213" t="s">
        <v>114</v>
      </c>
      <c r="C142" s="214" t="s">
        <v>117</v>
      </c>
      <c r="D142" s="213" t="s">
        <v>3136</v>
      </c>
      <c r="E142" s="214">
        <v>33.475000000000001</v>
      </c>
      <c r="F142" s="213">
        <v>5</v>
      </c>
      <c r="G142" s="214">
        <v>7.425153099158309</v>
      </c>
      <c r="H142" s="155">
        <f t="shared" si="1"/>
        <v>37.125765495791548</v>
      </c>
    </row>
    <row r="143" spans="1:8" ht="27" customHeight="1" x14ac:dyDescent="0.25">
      <c r="A143" s="213" t="s">
        <v>3241</v>
      </c>
      <c r="B143" s="213" t="s">
        <v>114</v>
      </c>
      <c r="C143" s="214" t="s">
        <v>117</v>
      </c>
      <c r="D143" s="213" t="s">
        <v>3136</v>
      </c>
      <c r="E143" s="214">
        <v>95.318840579710098</v>
      </c>
      <c r="F143" s="213">
        <v>10</v>
      </c>
      <c r="G143" s="214">
        <v>10.638334099538573</v>
      </c>
      <c r="H143" s="155">
        <f t="shared" si="1"/>
        <v>106.38334099538574</v>
      </c>
    </row>
    <row r="144" spans="1:8" ht="27" customHeight="1" x14ac:dyDescent="0.25">
      <c r="A144" s="213" t="s">
        <v>3242</v>
      </c>
      <c r="B144" s="213" t="s">
        <v>114</v>
      </c>
      <c r="C144" s="214" t="s">
        <v>117</v>
      </c>
      <c r="D144" s="213" t="s">
        <v>3136</v>
      </c>
      <c r="E144" s="214">
        <v>13.596153846153801</v>
      </c>
      <c r="F144" s="213">
        <v>10</v>
      </c>
      <c r="G144" s="214">
        <v>1.9726095815384266</v>
      </c>
      <c r="H144" s="155">
        <f t="shared" si="1"/>
        <v>19.726095815384266</v>
      </c>
    </row>
    <row r="145" spans="1:8" ht="27" customHeight="1" x14ac:dyDescent="0.25">
      <c r="A145" s="213" t="s">
        <v>3244</v>
      </c>
      <c r="B145" s="213" t="s">
        <v>114</v>
      </c>
      <c r="C145" s="214" t="s">
        <v>117</v>
      </c>
      <c r="D145" s="213" t="s">
        <v>3136</v>
      </c>
      <c r="E145" s="214">
        <v>84.3</v>
      </c>
      <c r="F145" s="213">
        <v>30</v>
      </c>
      <c r="G145" s="214">
        <v>4.1327408012804145</v>
      </c>
      <c r="H145" s="155">
        <f t="shared" si="1"/>
        <v>123.98222403841244</v>
      </c>
    </row>
    <row r="146" spans="1:8" ht="27" customHeight="1" x14ac:dyDescent="0.25">
      <c r="A146" s="213" t="s">
        <v>3085</v>
      </c>
      <c r="B146" s="213" t="s">
        <v>114</v>
      </c>
      <c r="C146" s="214" t="s">
        <v>117</v>
      </c>
      <c r="D146" s="213" t="s">
        <v>3136</v>
      </c>
      <c r="E146" s="214">
        <v>28.020588235294102</v>
      </c>
      <c r="F146" s="213">
        <v>5</v>
      </c>
      <c r="G146" s="214">
        <v>6.5599654923861896</v>
      </c>
      <c r="H146" s="155">
        <f t="shared" si="1"/>
        <v>32.799827461930946</v>
      </c>
    </row>
    <row r="147" spans="1:8" ht="27" customHeight="1" x14ac:dyDescent="0.25">
      <c r="A147" s="213" t="s">
        <v>3036</v>
      </c>
      <c r="B147" s="213" t="s">
        <v>115</v>
      </c>
      <c r="C147" s="214" t="s">
        <v>117</v>
      </c>
      <c r="D147" s="213" t="s">
        <v>3136</v>
      </c>
      <c r="E147" s="214">
        <v>4.0500000000000007</v>
      </c>
      <c r="F147" s="213">
        <v>5</v>
      </c>
      <c r="G147" s="214">
        <v>2.055019211886965</v>
      </c>
      <c r="H147" s="155">
        <f t="shared" si="1"/>
        <v>10.275096059434825</v>
      </c>
    </row>
    <row r="148" spans="1:8" ht="27" customHeight="1" x14ac:dyDescent="0.25">
      <c r="A148" s="213" t="s">
        <v>3185</v>
      </c>
      <c r="B148" s="213" t="s">
        <v>115</v>
      </c>
      <c r="C148" s="214" t="s">
        <v>117</v>
      </c>
      <c r="D148" s="213" t="s">
        <v>3136</v>
      </c>
      <c r="E148" s="214">
        <v>14.2</v>
      </c>
      <c r="F148" s="213">
        <v>10</v>
      </c>
      <c r="G148" s="214">
        <v>2.9298553290993401</v>
      </c>
      <c r="H148" s="155">
        <f t="shared" si="1"/>
        <v>29.2985532909934</v>
      </c>
    </row>
    <row r="149" spans="1:8" ht="27" customHeight="1" x14ac:dyDescent="0.25">
      <c r="A149" s="213" t="s">
        <v>3249</v>
      </c>
      <c r="B149" s="213" t="s">
        <v>114</v>
      </c>
      <c r="C149" s="214" t="s">
        <v>117</v>
      </c>
      <c r="D149" s="213" t="s">
        <v>3136</v>
      </c>
      <c r="E149" s="214">
        <v>30</v>
      </c>
      <c r="F149" s="213">
        <v>15</v>
      </c>
      <c r="G149" s="214">
        <v>2.3154154818863408</v>
      </c>
      <c r="H149" s="155">
        <f t="shared" si="1"/>
        <v>34.731232228295113</v>
      </c>
    </row>
    <row r="150" spans="1:8" ht="27" customHeight="1" x14ac:dyDescent="0.25">
      <c r="A150" s="213" t="s">
        <v>3331</v>
      </c>
      <c r="B150" s="213" t="s">
        <v>114</v>
      </c>
      <c r="C150" s="214" t="s">
        <v>117</v>
      </c>
      <c r="D150" s="213" t="s">
        <v>3136</v>
      </c>
      <c r="E150" s="214">
        <v>45</v>
      </c>
      <c r="F150" s="213">
        <v>25</v>
      </c>
      <c r="G150" s="214">
        <v>4.535367466357914</v>
      </c>
      <c r="H150" s="155">
        <f t="shared" ref="H150:H213" si="2">G150*F150</f>
        <v>113.38418665894785</v>
      </c>
    </row>
    <row r="151" spans="1:8" ht="27" customHeight="1" x14ac:dyDescent="0.25">
      <c r="A151" s="213" t="s">
        <v>3317</v>
      </c>
      <c r="B151" s="213" t="s">
        <v>114</v>
      </c>
      <c r="C151" s="214" t="s">
        <v>117</v>
      </c>
      <c r="D151" s="213" t="s">
        <v>3136</v>
      </c>
      <c r="E151" s="214">
        <v>118.25</v>
      </c>
      <c r="F151" s="213">
        <v>5</v>
      </c>
      <c r="G151" s="214">
        <v>26.935008768793313</v>
      </c>
      <c r="H151" s="155">
        <f t="shared" si="2"/>
        <v>134.67504384396656</v>
      </c>
    </row>
    <row r="152" spans="1:8" ht="27" customHeight="1" x14ac:dyDescent="0.25">
      <c r="A152" s="213" t="s">
        <v>3105</v>
      </c>
      <c r="B152" s="213" t="s">
        <v>114</v>
      </c>
      <c r="C152" s="214" t="s">
        <v>117</v>
      </c>
      <c r="D152" s="213" t="s">
        <v>3136</v>
      </c>
      <c r="E152" s="214">
        <v>72.2</v>
      </c>
      <c r="F152" s="213">
        <v>20</v>
      </c>
      <c r="G152" s="214">
        <v>4.7278836276129015</v>
      </c>
      <c r="H152" s="155">
        <f t="shared" si="2"/>
        <v>94.557672552258026</v>
      </c>
    </row>
    <row r="153" spans="1:8" ht="27" customHeight="1" x14ac:dyDescent="0.25">
      <c r="A153" s="213" t="s">
        <v>3108</v>
      </c>
      <c r="B153" s="213" t="s">
        <v>113</v>
      </c>
      <c r="C153" s="214" t="s">
        <v>117</v>
      </c>
      <c r="D153" s="213" t="s">
        <v>3136</v>
      </c>
      <c r="E153" s="214">
        <v>37.5</v>
      </c>
      <c r="F153" s="213">
        <v>15</v>
      </c>
      <c r="G153" s="214">
        <v>4.375429216824732</v>
      </c>
      <c r="H153" s="155">
        <f t="shared" si="2"/>
        <v>65.631438252370984</v>
      </c>
    </row>
    <row r="154" spans="1:8" ht="27" customHeight="1" x14ac:dyDescent="0.25">
      <c r="A154" s="213" t="s">
        <v>3110</v>
      </c>
      <c r="B154" s="213" t="s">
        <v>113</v>
      </c>
      <c r="C154" s="214" t="s">
        <v>117</v>
      </c>
      <c r="D154" s="213" t="s">
        <v>3136</v>
      </c>
      <c r="E154" s="214">
        <v>18</v>
      </c>
      <c r="F154" s="213">
        <v>10</v>
      </c>
      <c r="G154" s="214">
        <v>3.1853705879348215</v>
      </c>
      <c r="H154" s="155">
        <f t="shared" si="2"/>
        <v>31.853705879348215</v>
      </c>
    </row>
    <row r="155" spans="1:8" ht="27" customHeight="1" x14ac:dyDescent="0.25">
      <c r="A155" s="213" t="s">
        <v>3221</v>
      </c>
      <c r="B155" s="213" t="s">
        <v>114</v>
      </c>
      <c r="C155" s="214" t="s">
        <v>117</v>
      </c>
      <c r="D155" s="213" t="s">
        <v>3136</v>
      </c>
      <c r="E155" s="214">
        <v>60.5</v>
      </c>
      <c r="F155" s="213">
        <v>5</v>
      </c>
      <c r="G155" s="214">
        <v>13.503941700294563</v>
      </c>
      <c r="H155" s="155">
        <f t="shared" si="2"/>
        <v>67.51970850147282</v>
      </c>
    </row>
    <row r="156" spans="1:8" ht="27" customHeight="1" x14ac:dyDescent="0.25">
      <c r="A156" s="213" t="s">
        <v>2909</v>
      </c>
      <c r="B156" s="213" t="s">
        <v>114</v>
      </c>
      <c r="C156" s="214" t="s">
        <v>117</v>
      </c>
      <c r="D156" s="213" t="s">
        <v>3136</v>
      </c>
      <c r="E156" s="214">
        <v>63.5</v>
      </c>
      <c r="F156" s="213">
        <v>5</v>
      </c>
      <c r="G156" s="214">
        <v>12.98496535049633</v>
      </c>
      <c r="H156" s="155">
        <f t="shared" si="2"/>
        <v>64.92482675248165</v>
      </c>
    </row>
    <row r="157" spans="1:8" ht="27" customHeight="1" x14ac:dyDescent="0.25">
      <c r="A157" s="213" t="s">
        <v>3258</v>
      </c>
      <c r="B157" s="213" t="s">
        <v>115</v>
      </c>
      <c r="C157" s="214" t="s">
        <v>117</v>
      </c>
      <c r="D157" s="213" t="s">
        <v>3136</v>
      </c>
      <c r="E157" s="214">
        <v>16.05</v>
      </c>
      <c r="F157" s="213">
        <v>15</v>
      </c>
      <c r="G157" s="214">
        <v>3.1692518999052175</v>
      </c>
      <c r="H157" s="155">
        <f t="shared" si="2"/>
        <v>47.53877849857826</v>
      </c>
    </row>
    <row r="158" spans="1:8" ht="27" customHeight="1" x14ac:dyDescent="0.25">
      <c r="A158" s="213" t="s">
        <v>3039</v>
      </c>
      <c r="B158" s="213" t="s">
        <v>115</v>
      </c>
      <c r="C158" s="214" t="s">
        <v>117</v>
      </c>
      <c r="D158" s="213" t="s">
        <v>3136</v>
      </c>
      <c r="E158" s="214">
        <v>58.75</v>
      </c>
      <c r="F158" s="213">
        <v>25</v>
      </c>
      <c r="G158" s="214">
        <v>4.4584064066109326</v>
      </c>
      <c r="H158" s="155">
        <f t="shared" si="2"/>
        <v>111.46016016527331</v>
      </c>
    </row>
    <row r="159" spans="1:8" ht="27" customHeight="1" x14ac:dyDescent="0.25">
      <c r="A159" s="213" t="s">
        <v>3187</v>
      </c>
      <c r="B159" s="213" t="s">
        <v>115</v>
      </c>
      <c r="C159" s="214" t="s">
        <v>117</v>
      </c>
      <c r="D159" s="213" t="s">
        <v>3136</v>
      </c>
      <c r="E159" s="214">
        <v>64</v>
      </c>
      <c r="F159" s="213">
        <v>40</v>
      </c>
      <c r="G159" s="214">
        <v>3.307395867032175</v>
      </c>
      <c r="H159" s="155">
        <f t="shared" si="2"/>
        <v>132.295834681287</v>
      </c>
    </row>
    <row r="160" spans="1:8" ht="27" customHeight="1" x14ac:dyDescent="0.25">
      <c r="A160" s="213" t="s">
        <v>3114</v>
      </c>
      <c r="B160" s="213" t="s">
        <v>115</v>
      </c>
      <c r="C160" s="214" t="s">
        <v>117</v>
      </c>
      <c r="D160" s="213" t="s">
        <v>3136</v>
      </c>
      <c r="E160" s="214">
        <v>3.7</v>
      </c>
      <c r="F160" s="213">
        <v>5</v>
      </c>
      <c r="G160" s="214">
        <v>3.0771937591164238</v>
      </c>
      <c r="H160" s="155">
        <f t="shared" si="2"/>
        <v>15.385968795582119</v>
      </c>
    </row>
    <row r="161" spans="1:8" ht="27" customHeight="1" x14ac:dyDescent="0.25">
      <c r="A161" s="213" t="s">
        <v>3348</v>
      </c>
      <c r="B161" s="213" t="s">
        <v>114</v>
      </c>
      <c r="C161" s="214" t="s">
        <v>117</v>
      </c>
      <c r="D161" s="213" t="s">
        <v>3136</v>
      </c>
      <c r="E161" s="214">
        <v>27.5</v>
      </c>
      <c r="F161" s="213">
        <v>5</v>
      </c>
      <c r="G161" s="214">
        <v>8.9254397166743296</v>
      </c>
      <c r="H161" s="155">
        <f t="shared" si="2"/>
        <v>44.627198583371651</v>
      </c>
    </row>
    <row r="162" spans="1:8" ht="27" customHeight="1" x14ac:dyDescent="0.25">
      <c r="A162" s="213" t="s">
        <v>3042</v>
      </c>
      <c r="B162" s="213" t="s">
        <v>114</v>
      </c>
      <c r="C162" s="214" t="s">
        <v>117</v>
      </c>
      <c r="D162" s="213" t="s">
        <v>3136</v>
      </c>
      <c r="E162" s="214">
        <v>31.099999999999998</v>
      </c>
      <c r="F162" s="213">
        <v>10</v>
      </c>
      <c r="G162" s="214">
        <v>7.3683971553920982</v>
      </c>
      <c r="H162" s="155">
        <f t="shared" si="2"/>
        <v>73.683971553920983</v>
      </c>
    </row>
    <row r="163" spans="1:8" ht="27" customHeight="1" x14ac:dyDescent="0.25">
      <c r="A163" s="213" t="s">
        <v>3263</v>
      </c>
      <c r="B163" s="213" t="s">
        <v>114</v>
      </c>
      <c r="C163" s="214" t="s">
        <v>117</v>
      </c>
      <c r="D163" s="213" t="s">
        <v>3136</v>
      </c>
      <c r="E163" s="214">
        <v>22.3</v>
      </c>
      <c r="F163" s="213">
        <v>10</v>
      </c>
      <c r="G163" s="214">
        <v>5.3443666888014842</v>
      </c>
      <c r="H163" s="155">
        <f t="shared" si="2"/>
        <v>53.443666888014846</v>
      </c>
    </row>
    <row r="164" spans="1:8" ht="27" customHeight="1" x14ac:dyDescent="0.25">
      <c r="A164" s="213" t="s">
        <v>3265</v>
      </c>
      <c r="B164" s="213" t="s">
        <v>114</v>
      </c>
      <c r="C164" s="214" t="s">
        <v>117</v>
      </c>
      <c r="D164" s="213" t="s">
        <v>3136</v>
      </c>
      <c r="E164" s="214">
        <v>12.5</v>
      </c>
      <c r="F164" s="213">
        <v>5</v>
      </c>
      <c r="G164" s="214">
        <v>3.1003501841730374</v>
      </c>
      <c r="H164" s="155">
        <f t="shared" si="2"/>
        <v>15.501750920865188</v>
      </c>
    </row>
    <row r="165" spans="1:8" ht="27" customHeight="1" x14ac:dyDescent="0.25">
      <c r="A165" s="213" t="s">
        <v>3267</v>
      </c>
      <c r="B165" s="213" t="s">
        <v>114</v>
      </c>
      <c r="C165" s="214" t="s">
        <v>117</v>
      </c>
      <c r="D165" s="213" t="s">
        <v>3136</v>
      </c>
      <c r="E165" s="214">
        <v>15.25</v>
      </c>
      <c r="F165" s="213">
        <v>5</v>
      </c>
      <c r="G165" s="214">
        <v>4.5764587696446508</v>
      </c>
      <c r="H165" s="155">
        <f t="shared" si="2"/>
        <v>22.882293848223256</v>
      </c>
    </row>
    <row r="166" spans="1:8" ht="27" customHeight="1" x14ac:dyDescent="0.25">
      <c r="A166" s="213" t="s">
        <v>3269</v>
      </c>
      <c r="B166" s="213" t="s">
        <v>114</v>
      </c>
      <c r="C166" s="214" t="s">
        <v>117</v>
      </c>
      <c r="D166" s="213" t="s">
        <v>3136</v>
      </c>
      <c r="E166" s="214">
        <v>17</v>
      </c>
      <c r="F166" s="213">
        <v>5</v>
      </c>
      <c r="G166" s="214">
        <v>6.9473815645343455</v>
      </c>
      <c r="H166" s="155">
        <f t="shared" si="2"/>
        <v>34.736907822671725</v>
      </c>
    </row>
    <row r="167" spans="1:8" ht="27" customHeight="1" x14ac:dyDescent="0.25">
      <c r="A167" s="213" t="s">
        <v>3271</v>
      </c>
      <c r="B167" s="213" t="s">
        <v>115</v>
      </c>
      <c r="C167" s="214" t="s">
        <v>117</v>
      </c>
      <c r="D167" s="213" t="s">
        <v>3136</v>
      </c>
      <c r="E167" s="214">
        <v>18.700000000000003</v>
      </c>
      <c r="F167" s="213">
        <v>5</v>
      </c>
      <c r="G167" s="214">
        <v>6.2540509554863135</v>
      </c>
      <c r="H167" s="155">
        <f t="shared" si="2"/>
        <v>31.270254777431568</v>
      </c>
    </row>
    <row r="168" spans="1:8" ht="27" customHeight="1" x14ac:dyDescent="0.25">
      <c r="A168" s="213" t="s">
        <v>3116</v>
      </c>
      <c r="B168" s="213" t="s">
        <v>115</v>
      </c>
      <c r="C168" s="214" t="s">
        <v>117</v>
      </c>
      <c r="D168" s="213" t="s">
        <v>3136</v>
      </c>
      <c r="E168" s="214">
        <v>10.35</v>
      </c>
      <c r="F168" s="213">
        <v>5</v>
      </c>
      <c r="G168" s="214">
        <v>4.366348265822138</v>
      </c>
      <c r="H168" s="155">
        <f t="shared" si="2"/>
        <v>21.831741329110692</v>
      </c>
    </row>
    <row r="169" spans="1:8" ht="27" customHeight="1" x14ac:dyDescent="0.25">
      <c r="A169" s="213" t="s">
        <v>3275</v>
      </c>
      <c r="B169" s="213" t="s">
        <v>115</v>
      </c>
      <c r="C169" s="214" t="s">
        <v>117</v>
      </c>
      <c r="D169" s="213" t="s">
        <v>3136</v>
      </c>
      <c r="E169" s="214">
        <v>5.85</v>
      </c>
      <c r="F169" s="213">
        <v>5</v>
      </c>
      <c r="G169" s="214">
        <v>3.1692518999052175</v>
      </c>
      <c r="H169" s="155">
        <f t="shared" si="2"/>
        <v>15.846259499526088</v>
      </c>
    </row>
    <row r="170" spans="1:8" ht="27" customHeight="1" x14ac:dyDescent="0.25">
      <c r="A170" s="213" t="s">
        <v>3276</v>
      </c>
      <c r="B170" s="213" t="s">
        <v>115</v>
      </c>
      <c r="C170" s="214" t="s">
        <v>117</v>
      </c>
      <c r="D170" s="213" t="s">
        <v>3136</v>
      </c>
      <c r="E170" s="214">
        <v>13.5</v>
      </c>
      <c r="F170" s="213">
        <v>10</v>
      </c>
      <c r="G170" s="214">
        <v>3.2152242143558483</v>
      </c>
      <c r="H170" s="155">
        <f t="shared" si="2"/>
        <v>32.152242143558482</v>
      </c>
    </row>
    <row r="171" spans="1:8" ht="27" customHeight="1" x14ac:dyDescent="0.25">
      <c r="A171" s="213" t="s">
        <v>3122</v>
      </c>
      <c r="B171" s="213" t="s">
        <v>114</v>
      </c>
      <c r="C171" s="214" t="s">
        <v>117</v>
      </c>
      <c r="D171" s="213" t="s">
        <v>3136</v>
      </c>
      <c r="E171" s="214">
        <v>50</v>
      </c>
      <c r="F171" s="213">
        <v>5</v>
      </c>
      <c r="G171" s="214">
        <v>10.419937227926196</v>
      </c>
      <c r="H171" s="155">
        <f t="shared" si="2"/>
        <v>52.099686139630982</v>
      </c>
    </row>
    <row r="172" spans="1:8" ht="27" customHeight="1" x14ac:dyDescent="0.25">
      <c r="A172" s="213" t="s">
        <v>3343</v>
      </c>
      <c r="B172" s="213" t="s">
        <v>114</v>
      </c>
      <c r="C172" s="214" t="s">
        <v>117</v>
      </c>
      <c r="D172" s="213" t="s">
        <v>3136</v>
      </c>
      <c r="E172" s="214">
        <v>8.9</v>
      </c>
      <c r="F172" s="213">
        <v>5</v>
      </c>
      <c r="G172" s="214">
        <v>4.3093652982808628</v>
      </c>
      <c r="H172" s="155">
        <f t="shared" si="2"/>
        <v>21.546826491404314</v>
      </c>
    </row>
    <row r="173" spans="1:8" ht="27" customHeight="1" x14ac:dyDescent="0.25">
      <c r="A173" s="213" t="s">
        <v>3166</v>
      </c>
      <c r="B173" s="213" t="s">
        <v>114</v>
      </c>
      <c r="C173" s="214" t="s">
        <v>117</v>
      </c>
      <c r="D173" s="213" t="s">
        <v>3136</v>
      </c>
      <c r="E173" s="214">
        <v>28.7254901960784</v>
      </c>
      <c r="F173" s="213">
        <v>10</v>
      </c>
      <c r="G173" s="214">
        <v>4.3882560601158955</v>
      </c>
      <c r="H173" s="155">
        <f t="shared" si="2"/>
        <v>43.882560601158957</v>
      </c>
    </row>
    <row r="174" spans="1:8" ht="27" customHeight="1" x14ac:dyDescent="0.25">
      <c r="A174" s="213" t="s">
        <v>3214</v>
      </c>
      <c r="B174" s="213" t="s">
        <v>113</v>
      </c>
      <c r="C174" s="214" t="s">
        <v>117</v>
      </c>
      <c r="D174" s="213" t="s">
        <v>3136</v>
      </c>
      <c r="E174" s="214">
        <v>14.2920792079208</v>
      </c>
      <c r="F174" s="213">
        <v>5</v>
      </c>
      <c r="G174" s="214">
        <v>4.254312032827638</v>
      </c>
      <c r="H174" s="155">
        <f t="shared" si="2"/>
        <v>21.27156016413819</v>
      </c>
    </row>
    <row r="175" spans="1:8" ht="27" customHeight="1" x14ac:dyDescent="0.25">
      <c r="A175" s="213" t="s">
        <v>3215</v>
      </c>
      <c r="B175" s="213" t="s">
        <v>114</v>
      </c>
      <c r="C175" s="214" t="s">
        <v>117</v>
      </c>
      <c r="D175" s="213" t="s">
        <v>3136</v>
      </c>
      <c r="E175" s="214">
        <v>16.843137254902</v>
      </c>
      <c r="F175" s="213">
        <v>10</v>
      </c>
      <c r="G175" s="214">
        <v>2.7029450659220289</v>
      </c>
      <c r="H175" s="155">
        <f t="shared" si="2"/>
        <v>27.029450659220288</v>
      </c>
    </row>
    <row r="176" spans="1:8" ht="27" customHeight="1" x14ac:dyDescent="0.25">
      <c r="A176" s="213" t="s">
        <v>3216</v>
      </c>
      <c r="B176" s="213" t="s">
        <v>114</v>
      </c>
      <c r="C176" s="214" t="s">
        <v>117</v>
      </c>
      <c r="D176" s="213" t="s">
        <v>3136</v>
      </c>
      <c r="E176" s="214">
        <v>19</v>
      </c>
      <c r="F176" s="213">
        <v>5</v>
      </c>
      <c r="G176" s="214">
        <v>5.6774105668216102</v>
      </c>
      <c r="H176" s="155">
        <f t="shared" si="2"/>
        <v>28.387052834108051</v>
      </c>
    </row>
    <row r="177" spans="1:8" ht="27" customHeight="1" x14ac:dyDescent="0.25">
      <c r="A177" s="213" t="s">
        <v>3219</v>
      </c>
      <c r="B177" s="213" t="s">
        <v>114</v>
      </c>
      <c r="C177" s="214" t="s">
        <v>117</v>
      </c>
      <c r="D177" s="213" t="s">
        <v>3136</v>
      </c>
      <c r="E177" s="214">
        <v>20.794117647058851</v>
      </c>
      <c r="F177" s="213">
        <v>5</v>
      </c>
      <c r="G177" s="214">
        <v>6.1761818006390721</v>
      </c>
      <c r="H177" s="155">
        <f t="shared" si="2"/>
        <v>30.880909003195359</v>
      </c>
    </row>
    <row r="178" spans="1:8" ht="27" customHeight="1" x14ac:dyDescent="0.25">
      <c r="A178" s="213" t="s">
        <v>3174</v>
      </c>
      <c r="B178" s="213" t="s">
        <v>113</v>
      </c>
      <c r="C178" s="214" t="s">
        <v>117</v>
      </c>
      <c r="D178" s="213" t="s">
        <v>3136</v>
      </c>
      <c r="E178" s="214">
        <v>29.663366336633601</v>
      </c>
      <c r="F178" s="213">
        <v>20</v>
      </c>
      <c r="G178" s="214">
        <v>2.2938482232551802</v>
      </c>
      <c r="H178" s="155">
        <f t="shared" si="2"/>
        <v>45.876964465103605</v>
      </c>
    </row>
    <row r="179" spans="1:8" ht="27" customHeight="1" x14ac:dyDescent="0.25">
      <c r="A179" s="213" t="s">
        <v>2906</v>
      </c>
      <c r="B179" s="213" t="s">
        <v>113</v>
      </c>
      <c r="C179" s="214" t="s">
        <v>117</v>
      </c>
      <c r="D179" s="213" t="s">
        <v>3136</v>
      </c>
      <c r="E179" s="214">
        <v>49.699999999999996</v>
      </c>
      <c r="F179" s="213">
        <v>5</v>
      </c>
      <c r="G179" s="214">
        <v>10.334803312276877</v>
      </c>
      <c r="H179" s="155">
        <f t="shared" si="2"/>
        <v>51.674016561384384</v>
      </c>
    </row>
    <row r="180" spans="1:8" ht="27" customHeight="1" x14ac:dyDescent="0.25">
      <c r="A180" s="213" t="s">
        <v>3230</v>
      </c>
      <c r="B180" s="213" t="s">
        <v>114</v>
      </c>
      <c r="C180" s="214" t="s">
        <v>117</v>
      </c>
      <c r="D180" s="213" t="s">
        <v>3136</v>
      </c>
      <c r="E180" s="214">
        <v>100</v>
      </c>
      <c r="F180" s="213">
        <v>5</v>
      </c>
      <c r="G180" s="214">
        <v>29.920030875233408</v>
      </c>
      <c r="H180" s="155">
        <f t="shared" si="2"/>
        <v>149.60015437616704</v>
      </c>
    </row>
    <row r="181" spans="1:8" ht="27" customHeight="1" x14ac:dyDescent="0.25">
      <c r="A181" s="213" t="s">
        <v>3232</v>
      </c>
      <c r="B181" s="213" t="s">
        <v>114</v>
      </c>
      <c r="C181" s="214" t="s">
        <v>117</v>
      </c>
      <c r="D181" s="213" t="s">
        <v>3136</v>
      </c>
      <c r="E181" s="214">
        <v>81.142857142857196</v>
      </c>
      <c r="F181" s="213">
        <v>20</v>
      </c>
      <c r="G181" s="214">
        <v>4.5743020437815352</v>
      </c>
      <c r="H181" s="155">
        <f t="shared" si="2"/>
        <v>91.486040875630707</v>
      </c>
    </row>
    <row r="182" spans="1:8" ht="27" customHeight="1" x14ac:dyDescent="0.25">
      <c r="A182" s="213" t="s">
        <v>3238</v>
      </c>
      <c r="B182" s="213" t="s">
        <v>114</v>
      </c>
      <c r="C182" s="214" t="s">
        <v>117</v>
      </c>
      <c r="D182" s="213" t="s">
        <v>3136</v>
      </c>
      <c r="E182" s="214">
        <v>47.975000000000001</v>
      </c>
      <c r="F182" s="213">
        <v>5</v>
      </c>
      <c r="G182" s="214">
        <v>11.264692694942477</v>
      </c>
      <c r="H182" s="155">
        <f t="shared" si="2"/>
        <v>56.323463474712383</v>
      </c>
    </row>
    <row r="183" spans="1:8" ht="27" customHeight="1" x14ac:dyDescent="0.25">
      <c r="A183" s="213" t="s">
        <v>3344</v>
      </c>
      <c r="B183" s="213" t="s">
        <v>115</v>
      </c>
      <c r="C183" s="214" t="s">
        <v>117</v>
      </c>
      <c r="D183" s="213" t="s">
        <v>3136</v>
      </c>
      <c r="E183" s="214">
        <v>9.75</v>
      </c>
      <c r="F183" s="213">
        <v>5</v>
      </c>
      <c r="G183" s="214">
        <v>4.366348265822138</v>
      </c>
      <c r="H183" s="155">
        <f t="shared" si="2"/>
        <v>21.831741329110692</v>
      </c>
    </row>
    <row r="184" spans="1:8" ht="27" customHeight="1" x14ac:dyDescent="0.25">
      <c r="A184" s="213" t="s">
        <v>3245</v>
      </c>
      <c r="B184" s="213" t="s">
        <v>114</v>
      </c>
      <c r="C184" s="214" t="s">
        <v>117</v>
      </c>
      <c r="D184" s="213" t="s">
        <v>3136</v>
      </c>
      <c r="E184" s="214">
        <v>21.40384615384615</v>
      </c>
      <c r="F184" s="213">
        <v>5</v>
      </c>
      <c r="G184" s="214">
        <v>5.1042890466704121</v>
      </c>
      <c r="H184" s="155">
        <f t="shared" si="2"/>
        <v>25.521445233352061</v>
      </c>
    </row>
    <row r="185" spans="1:8" ht="27" customHeight="1" x14ac:dyDescent="0.25">
      <c r="A185" s="213" t="s">
        <v>3248</v>
      </c>
      <c r="B185" s="213" t="s">
        <v>114</v>
      </c>
      <c r="C185" s="214" t="s">
        <v>117</v>
      </c>
      <c r="D185" s="213" t="s">
        <v>3136</v>
      </c>
      <c r="E185" s="214">
        <v>38.235294117647001</v>
      </c>
      <c r="F185" s="213">
        <v>20</v>
      </c>
      <c r="G185" s="214">
        <v>2.5365366387994981</v>
      </c>
      <c r="H185" s="155">
        <f t="shared" si="2"/>
        <v>50.730732775989964</v>
      </c>
    </row>
    <row r="186" spans="1:8" ht="27" customHeight="1" x14ac:dyDescent="0.25">
      <c r="A186" s="213" t="s">
        <v>3251</v>
      </c>
      <c r="B186" s="213" t="s">
        <v>114</v>
      </c>
      <c r="C186" s="214" t="s">
        <v>117</v>
      </c>
      <c r="D186" s="213" t="s">
        <v>3136</v>
      </c>
      <c r="E186" s="214">
        <v>33.5</v>
      </c>
      <c r="F186" s="213">
        <v>10</v>
      </c>
      <c r="G186" s="214">
        <v>4.3024410731413845</v>
      </c>
      <c r="H186" s="155">
        <f t="shared" si="2"/>
        <v>43.024410731413845</v>
      </c>
    </row>
    <row r="187" spans="1:8" ht="27" customHeight="1" x14ac:dyDescent="0.25">
      <c r="A187" s="213" t="s">
        <v>3101</v>
      </c>
      <c r="B187" s="213" t="s">
        <v>113</v>
      </c>
      <c r="C187" s="214" t="s">
        <v>117</v>
      </c>
      <c r="D187" s="213" t="s">
        <v>3136</v>
      </c>
      <c r="E187" s="214">
        <v>50</v>
      </c>
      <c r="F187" s="213">
        <v>20</v>
      </c>
      <c r="G187" s="214">
        <v>4.4904167588950754</v>
      </c>
      <c r="H187" s="155">
        <f t="shared" si="2"/>
        <v>89.808335177901512</v>
      </c>
    </row>
    <row r="188" spans="1:8" ht="27" customHeight="1" x14ac:dyDescent="0.25">
      <c r="A188" s="213" t="s">
        <v>3183</v>
      </c>
      <c r="B188" s="213" t="s">
        <v>113</v>
      </c>
      <c r="C188" s="214" t="s">
        <v>117</v>
      </c>
      <c r="D188" s="213" t="s">
        <v>3136</v>
      </c>
      <c r="E188" s="214">
        <v>30</v>
      </c>
      <c r="F188" s="213">
        <v>15</v>
      </c>
      <c r="G188" s="214">
        <v>3.5254522029819571</v>
      </c>
      <c r="H188" s="155">
        <f t="shared" si="2"/>
        <v>52.881783044729353</v>
      </c>
    </row>
    <row r="189" spans="1:8" ht="27" customHeight="1" x14ac:dyDescent="0.25">
      <c r="A189" s="213" t="s">
        <v>3106</v>
      </c>
      <c r="B189" s="213" t="s">
        <v>113</v>
      </c>
      <c r="C189" s="214" t="s">
        <v>117</v>
      </c>
      <c r="D189" s="213" t="s">
        <v>3136</v>
      </c>
      <c r="E189" s="214">
        <v>20</v>
      </c>
      <c r="F189" s="213">
        <v>5</v>
      </c>
      <c r="G189" s="214">
        <v>6.9253602583530558</v>
      </c>
      <c r="H189" s="155">
        <f t="shared" si="2"/>
        <v>34.626801291765275</v>
      </c>
    </row>
    <row r="190" spans="1:8" ht="27" customHeight="1" x14ac:dyDescent="0.25">
      <c r="A190" s="213" t="s">
        <v>3253</v>
      </c>
      <c r="B190" s="213" t="s">
        <v>113</v>
      </c>
      <c r="C190" s="214" t="s">
        <v>117</v>
      </c>
      <c r="D190" s="213" t="s">
        <v>3136</v>
      </c>
      <c r="E190" s="214">
        <v>15</v>
      </c>
      <c r="F190" s="213">
        <v>5</v>
      </c>
      <c r="G190" s="214">
        <v>4.4754331897407953</v>
      </c>
      <c r="H190" s="155">
        <f t="shared" si="2"/>
        <v>22.377165948703976</v>
      </c>
    </row>
    <row r="191" spans="1:8" ht="27" customHeight="1" x14ac:dyDescent="0.25">
      <c r="A191" s="213" t="s">
        <v>3113</v>
      </c>
      <c r="B191" s="213" t="s">
        <v>114</v>
      </c>
      <c r="C191" s="214" t="s">
        <v>3304</v>
      </c>
      <c r="D191" s="213" t="s">
        <v>3137</v>
      </c>
      <c r="E191" s="214">
        <v>5</v>
      </c>
      <c r="F191" s="213">
        <v>5</v>
      </c>
      <c r="G191" s="214">
        <v>23.42624281327862</v>
      </c>
      <c r="H191" s="155">
        <f t="shared" si="2"/>
        <v>117.1312140663931</v>
      </c>
    </row>
    <row r="192" spans="1:8" ht="27" customHeight="1" x14ac:dyDescent="0.25">
      <c r="A192" s="213" t="s">
        <v>3337</v>
      </c>
      <c r="B192" s="213" t="s">
        <v>115</v>
      </c>
      <c r="C192" s="214" t="s">
        <v>117</v>
      </c>
      <c r="D192" s="213" t="s">
        <v>3136</v>
      </c>
      <c r="E192" s="214">
        <v>6.5500000000000007</v>
      </c>
      <c r="F192" s="213">
        <v>5</v>
      </c>
      <c r="G192" s="214">
        <v>3.0771937591164238</v>
      </c>
      <c r="H192" s="155">
        <f t="shared" si="2"/>
        <v>15.385968795582119</v>
      </c>
    </row>
    <row r="193" spans="1:8" ht="27" customHeight="1" x14ac:dyDescent="0.25">
      <c r="A193" s="213" t="s">
        <v>3338</v>
      </c>
      <c r="B193" s="213" t="s">
        <v>115</v>
      </c>
      <c r="C193" s="214" t="s">
        <v>117</v>
      </c>
      <c r="D193" s="213" t="s">
        <v>3136</v>
      </c>
      <c r="E193" s="214">
        <v>9.5</v>
      </c>
      <c r="F193" s="213">
        <v>5</v>
      </c>
      <c r="G193" s="214">
        <v>3.5835702893985575</v>
      </c>
      <c r="H193" s="155">
        <f t="shared" si="2"/>
        <v>17.917851446992788</v>
      </c>
    </row>
    <row r="194" spans="1:8" ht="27" customHeight="1" x14ac:dyDescent="0.25">
      <c r="A194" s="213" t="s">
        <v>3346</v>
      </c>
      <c r="B194" s="213" t="s">
        <v>115</v>
      </c>
      <c r="C194" s="214" t="s">
        <v>117</v>
      </c>
      <c r="D194" s="213" t="s">
        <v>3136</v>
      </c>
      <c r="E194" s="214">
        <v>4.8499999999999996</v>
      </c>
      <c r="F194" s="213">
        <v>5</v>
      </c>
      <c r="G194" s="214">
        <v>2.570703716946757</v>
      </c>
      <c r="H194" s="155">
        <f t="shared" si="2"/>
        <v>12.853518584733784</v>
      </c>
    </row>
    <row r="195" spans="1:8" ht="27" customHeight="1" x14ac:dyDescent="0.25">
      <c r="A195" s="213" t="s">
        <v>3334</v>
      </c>
      <c r="B195" s="213" t="s">
        <v>115</v>
      </c>
      <c r="C195" s="214" t="s">
        <v>117</v>
      </c>
      <c r="D195" s="213" t="s">
        <v>3136</v>
      </c>
      <c r="E195" s="214">
        <v>6.65</v>
      </c>
      <c r="F195" s="213">
        <v>5</v>
      </c>
      <c r="G195" s="214">
        <v>3.2613100406940116</v>
      </c>
      <c r="H195" s="155">
        <f t="shared" si="2"/>
        <v>16.30655020347006</v>
      </c>
    </row>
    <row r="196" spans="1:8" ht="27" customHeight="1" x14ac:dyDescent="0.25">
      <c r="A196" s="213" t="s">
        <v>3335</v>
      </c>
      <c r="B196" s="213" t="s">
        <v>115</v>
      </c>
      <c r="C196" s="214" t="s">
        <v>117</v>
      </c>
      <c r="D196" s="213" t="s">
        <v>3136</v>
      </c>
      <c r="E196" s="214">
        <v>7</v>
      </c>
      <c r="F196" s="213">
        <v>5</v>
      </c>
      <c r="G196" s="214">
        <v>3.2613100406940116</v>
      </c>
      <c r="H196" s="155">
        <f t="shared" si="2"/>
        <v>16.30655020347006</v>
      </c>
    </row>
    <row r="197" spans="1:8" ht="27" customHeight="1" x14ac:dyDescent="0.25">
      <c r="A197" s="213" t="s">
        <v>3259</v>
      </c>
      <c r="B197" s="213" t="s">
        <v>114</v>
      </c>
      <c r="C197" s="214" t="s">
        <v>117</v>
      </c>
      <c r="D197" s="213" t="s">
        <v>3136</v>
      </c>
      <c r="E197" s="214">
        <v>10.600000000000001</v>
      </c>
      <c r="F197" s="213">
        <v>5</v>
      </c>
      <c r="G197" s="214">
        <v>5.0913486914917163</v>
      </c>
      <c r="H197" s="155">
        <f t="shared" si="2"/>
        <v>25.456743457458582</v>
      </c>
    </row>
    <row r="198" spans="1:8" ht="27" customHeight="1" x14ac:dyDescent="0.25">
      <c r="A198" s="213" t="s">
        <v>3336</v>
      </c>
      <c r="B198" s="213" t="s">
        <v>115</v>
      </c>
      <c r="C198" s="214" t="s">
        <v>117</v>
      </c>
      <c r="D198" s="213" t="s">
        <v>3136</v>
      </c>
      <c r="E198" s="214">
        <v>9.2000000000000011</v>
      </c>
      <c r="F198" s="213">
        <v>5</v>
      </c>
      <c r="G198" s="214">
        <v>3.6296561157367204</v>
      </c>
      <c r="H198" s="155">
        <f t="shared" si="2"/>
        <v>18.148280578683604</v>
      </c>
    </row>
    <row r="199" spans="1:8" ht="27" customHeight="1" x14ac:dyDescent="0.25">
      <c r="A199" s="213" t="s">
        <v>3261</v>
      </c>
      <c r="B199" s="213" t="s">
        <v>114</v>
      </c>
      <c r="C199" s="214" t="s">
        <v>117</v>
      </c>
      <c r="D199" s="213" t="s">
        <v>3136</v>
      </c>
      <c r="E199" s="214">
        <v>10.9</v>
      </c>
      <c r="F199" s="213">
        <v>5</v>
      </c>
      <c r="G199" s="214">
        <v>5.2293791467311417</v>
      </c>
      <c r="H199" s="155">
        <f t="shared" si="2"/>
        <v>26.146895733655708</v>
      </c>
    </row>
    <row r="200" spans="1:8" ht="27" customHeight="1" x14ac:dyDescent="0.25">
      <c r="A200" s="213" t="s">
        <v>3328</v>
      </c>
      <c r="B200" s="213" t="s">
        <v>114</v>
      </c>
      <c r="C200" s="214" t="s">
        <v>3304</v>
      </c>
      <c r="D200" s="213" t="s">
        <v>3137</v>
      </c>
      <c r="E200" s="214">
        <v>4.8499999999999996</v>
      </c>
      <c r="F200" s="213">
        <v>5</v>
      </c>
      <c r="G200" s="214">
        <v>23.866555425016887</v>
      </c>
      <c r="H200" s="155">
        <f t="shared" si="2"/>
        <v>119.33277712508443</v>
      </c>
    </row>
    <row r="201" spans="1:8" ht="27" customHeight="1" x14ac:dyDescent="0.25">
      <c r="A201" s="213" t="s">
        <v>3329</v>
      </c>
      <c r="B201" s="213" t="s">
        <v>114</v>
      </c>
      <c r="C201" s="214" t="s">
        <v>3304</v>
      </c>
      <c r="D201" s="213" t="s">
        <v>3137</v>
      </c>
      <c r="E201" s="214">
        <v>5.6999999999999993</v>
      </c>
      <c r="F201" s="213">
        <v>5</v>
      </c>
      <c r="G201" s="214">
        <v>27.888168088403059</v>
      </c>
      <c r="H201" s="155">
        <f t="shared" si="2"/>
        <v>139.44084044201529</v>
      </c>
    </row>
    <row r="202" spans="1:8" ht="27" customHeight="1" x14ac:dyDescent="0.25">
      <c r="A202" s="213" t="s">
        <v>3330</v>
      </c>
      <c r="B202" s="213" t="s">
        <v>114</v>
      </c>
      <c r="C202" s="214" t="s">
        <v>3304</v>
      </c>
      <c r="D202" s="213" t="s">
        <v>3137</v>
      </c>
      <c r="E202" s="214">
        <v>5</v>
      </c>
      <c r="F202" s="213">
        <v>5</v>
      </c>
      <c r="G202" s="214">
        <v>24.576231745869588</v>
      </c>
      <c r="H202" s="155">
        <f t="shared" si="2"/>
        <v>122.88115872934794</v>
      </c>
    </row>
    <row r="203" spans="1:8" ht="27" customHeight="1" x14ac:dyDescent="0.25">
      <c r="A203" s="213" t="s">
        <v>3115</v>
      </c>
      <c r="B203" s="213" t="s">
        <v>114</v>
      </c>
      <c r="C203" s="214" t="s">
        <v>117</v>
      </c>
      <c r="D203" s="213" t="s">
        <v>3136</v>
      </c>
      <c r="E203" s="214">
        <v>9.5</v>
      </c>
      <c r="F203" s="213">
        <v>5</v>
      </c>
      <c r="G203" s="214">
        <v>2.4624133762408267</v>
      </c>
      <c r="H203" s="155">
        <f t="shared" si="2"/>
        <v>12.312066881204133</v>
      </c>
    </row>
    <row r="204" spans="1:8" ht="27" customHeight="1" x14ac:dyDescent="0.25">
      <c r="A204" s="213" t="s">
        <v>3264</v>
      </c>
      <c r="B204" s="213" t="s">
        <v>114</v>
      </c>
      <c r="C204" s="214" t="s">
        <v>117</v>
      </c>
      <c r="D204" s="213" t="s">
        <v>3136</v>
      </c>
      <c r="E204" s="214">
        <v>10.5</v>
      </c>
      <c r="F204" s="213">
        <v>5</v>
      </c>
      <c r="G204" s="214">
        <v>2.6453945389430906</v>
      </c>
      <c r="H204" s="155">
        <f t="shared" si="2"/>
        <v>13.226972694715453</v>
      </c>
    </row>
    <row r="205" spans="1:8" ht="27" customHeight="1" x14ac:dyDescent="0.25">
      <c r="A205" s="213" t="s">
        <v>3266</v>
      </c>
      <c r="B205" s="213" t="s">
        <v>114</v>
      </c>
      <c r="C205" s="214" t="s">
        <v>117</v>
      </c>
      <c r="D205" s="213" t="s">
        <v>3136</v>
      </c>
      <c r="E205" s="214">
        <v>13</v>
      </c>
      <c r="F205" s="213">
        <v>5</v>
      </c>
      <c r="G205" s="214">
        <v>3.3753894876640955</v>
      </c>
      <c r="H205" s="155">
        <f t="shared" si="2"/>
        <v>16.876947438320478</v>
      </c>
    </row>
    <row r="206" spans="1:8" ht="27" customHeight="1" x14ac:dyDescent="0.25">
      <c r="A206" s="213" t="s">
        <v>3268</v>
      </c>
      <c r="B206" s="213" t="s">
        <v>114</v>
      </c>
      <c r="C206" s="214" t="s">
        <v>117</v>
      </c>
      <c r="D206" s="213" t="s">
        <v>3136</v>
      </c>
      <c r="E206" s="214">
        <v>17.450000000000003</v>
      </c>
      <c r="F206" s="213">
        <v>5</v>
      </c>
      <c r="G206" s="214">
        <v>7.0160562564914617</v>
      </c>
      <c r="H206" s="155">
        <f t="shared" si="2"/>
        <v>35.080281282457307</v>
      </c>
    </row>
    <row r="207" spans="1:8" ht="27" customHeight="1" x14ac:dyDescent="0.25">
      <c r="A207" s="213" t="s">
        <v>3339</v>
      </c>
      <c r="B207" s="213" t="s">
        <v>114</v>
      </c>
      <c r="C207" s="214" t="s">
        <v>117</v>
      </c>
      <c r="D207" s="213" t="s">
        <v>3136</v>
      </c>
      <c r="E207" s="214">
        <v>6.05</v>
      </c>
      <c r="F207" s="213">
        <v>5</v>
      </c>
      <c r="G207" s="214">
        <v>3.1354253574205559</v>
      </c>
      <c r="H207" s="155">
        <f t="shared" si="2"/>
        <v>15.677126787102779</v>
      </c>
    </row>
    <row r="208" spans="1:8" ht="27" customHeight="1" x14ac:dyDescent="0.25">
      <c r="A208" s="213" t="s">
        <v>3274</v>
      </c>
      <c r="B208" s="213" t="s">
        <v>115</v>
      </c>
      <c r="C208" s="214" t="s">
        <v>117</v>
      </c>
      <c r="D208" s="213" t="s">
        <v>3136</v>
      </c>
      <c r="E208" s="214">
        <v>10.75</v>
      </c>
      <c r="F208" s="213">
        <v>5</v>
      </c>
      <c r="G208" s="214">
        <v>3.767800082863678</v>
      </c>
      <c r="H208" s="155">
        <f t="shared" si="2"/>
        <v>18.839000414318392</v>
      </c>
    </row>
    <row r="209" spans="1:8" ht="27" customHeight="1" x14ac:dyDescent="0.25">
      <c r="A209" s="213" t="s">
        <v>3340</v>
      </c>
      <c r="B209" s="213" t="s">
        <v>114</v>
      </c>
      <c r="C209" s="214" t="s">
        <v>117</v>
      </c>
      <c r="D209" s="213" t="s">
        <v>3136</v>
      </c>
      <c r="E209" s="214">
        <v>6.05</v>
      </c>
      <c r="F209" s="213">
        <v>5</v>
      </c>
      <c r="G209" s="214">
        <v>3.1354253574205559</v>
      </c>
      <c r="H209" s="155">
        <f t="shared" si="2"/>
        <v>15.677126787102779</v>
      </c>
    </row>
    <row r="210" spans="1:8" ht="27" customHeight="1" x14ac:dyDescent="0.25">
      <c r="A210" s="213" t="s">
        <v>3277</v>
      </c>
      <c r="B210" s="213" t="s">
        <v>115</v>
      </c>
      <c r="C210" s="214" t="s">
        <v>117</v>
      </c>
      <c r="D210" s="213" t="s">
        <v>3136</v>
      </c>
      <c r="E210" s="214">
        <v>17.549999999999997</v>
      </c>
      <c r="F210" s="213">
        <v>5</v>
      </c>
      <c r="G210" s="214">
        <v>7.6813494293189857</v>
      </c>
      <c r="H210" s="155">
        <f t="shared" si="2"/>
        <v>38.406747146594931</v>
      </c>
    </row>
    <row r="211" spans="1:8" ht="27" customHeight="1" x14ac:dyDescent="0.25">
      <c r="A211" s="213" t="s">
        <v>3118</v>
      </c>
      <c r="B211" s="213" t="s">
        <v>115</v>
      </c>
      <c r="C211" s="214" t="s">
        <v>117</v>
      </c>
      <c r="D211" s="213" t="s">
        <v>3136</v>
      </c>
      <c r="E211" s="214">
        <v>14.450000000000001</v>
      </c>
      <c r="F211" s="213">
        <v>5</v>
      </c>
      <c r="G211" s="214">
        <v>5.7936467396548101</v>
      </c>
      <c r="H211" s="155">
        <f t="shared" si="2"/>
        <v>28.968233698274052</v>
      </c>
    </row>
    <row r="212" spans="1:8" ht="27" customHeight="1" x14ac:dyDescent="0.25">
      <c r="A212" s="213" t="s">
        <v>3341</v>
      </c>
      <c r="B212" s="213" t="s">
        <v>114</v>
      </c>
      <c r="C212" s="214" t="s">
        <v>117</v>
      </c>
      <c r="D212" s="213" t="s">
        <v>3136</v>
      </c>
      <c r="E212" s="214">
        <v>118.05</v>
      </c>
      <c r="F212" s="213">
        <v>5</v>
      </c>
      <c r="G212" s="214">
        <v>23.349508777306703</v>
      </c>
      <c r="H212" s="155">
        <f t="shared" si="2"/>
        <v>116.74754388653352</v>
      </c>
    </row>
    <row r="213" spans="1:8" ht="27" customHeight="1" x14ac:dyDescent="0.25">
      <c r="A213" s="213" t="s">
        <v>3342</v>
      </c>
      <c r="B213" s="213" t="s">
        <v>114</v>
      </c>
      <c r="C213" s="214" t="s">
        <v>117</v>
      </c>
      <c r="D213" s="213" t="s">
        <v>3136</v>
      </c>
      <c r="E213" s="214">
        <v>127.95</v>
      </c>
      <c r="F213" s="213">
        <v>5</v>
      </c>
      <c r="G213" s="214">
        <v>25.230514265606466</v>
      </c>
      <c r="H213" s="155">
        <f t="shared" si="2"/>
        <v>126.15257132803234</v>
      </c>
    </row>
    <row r="214" spans="1:8" ht="27" customHeight="1" x14ac:dyDescent="0.25">
      <c r="A214" s="213" t="s">
        <v>3347</v>
      </c>
      <c r="B214" s="213" t="s">
        <v>114</v>
      </c>
      <c r="C214" s="214" t="s">
        <v>117</v>
      </c>
      <c r="D214" s="213" t="s">
        <v>3136</v>
      </c>
      <c r="E214" s="214">
        <v>55.199999999999996</v>
      </c>
      <c r="F214" s="213">
        <v>40</v>
      </c>
      <c r="G214" s="214">
        <v>2.2440165046284473</v>
      </c>
      <c r="H214" s="155">
        <f t="shared" ref="H214:H224" si="3">G214*F214</f>
        <v>89.760660185137894</v>
      </c>
    </row>
    <row r="215" spans="1:8" ht="27" customHeight="1" x14ac:dyDescent="0.25">
      <c r="A215" s="213" t="s">
        <v>3278</v>
      </c>
      <c r="B215" s="213" t="s">
        <v>113</v>
      </c>
      <c r="C215" s="214" t="s">
        <v>117</v>
      </c>
      <c r="D215" s="213" t="s">
        <v>3136</v>
      </c>
      <c r="E215" s="214">
        <v>8.9499999999999993</v>
      </c>
      <c r="F215" s="213">
        <v>5</v>
      </c>
      <c r="G215" s="214">
        <v>2.6508431095446472</v>
      </c>
      <c r="H215" s="155">
        <f t="shared" si="3"/>
        <v>13.254215547723236</v>
      </c>
    </row>
    <row r="216" spans="1:8" ht="27" customHeight="1" x14ac:dyDescent="0.25">
      <c r="A216" s="213" t="s">
        <v>3120</v>
      </c>
      <c r="B216" s="213" t="s">
        <v>114</v>
      </c>
      <c r="C216" s="214" t="s">
        <v>117</v>
      </c>
      <c r="D216" s="213" t="s">
        <v>3136</v>
      </c>
      <c r="E216" s="214">
        <v>17.649999999999999</v>
      </c>
      <c r="F216" s="213">
        <v>5</v>
      </c>
      <c r="G216" s="214">
        <v>5.3145130623804571</v>
      </c>
      <c r="H216" s="155">
        <f t="shared" si="3"/>
        <v>26.572565311902284</v>
      </c>
    </row>
    <row r="217" spans="1:8" ht="27" customHeight="1" x14ac:dyDescent="0.25">
      <c r="A217" s="213" t="s">
        <v>3279</v>
      </c>
      <c r="B217" s="213" t="s">
        <v>114</v>
      </c>
      <c r="C217" s="214" t="s">
        <v>117</v>
      </c>
      <c r="D217" s="213" t="s">
        <v>3136</v>
      </c>
      <c r="E217" s="214">
        <v>12.75</v>
      </c>
      <c r="F217" s="213">
        <v>5</v>
      </c>
      <c r="G217" s="214">
        <v>5.225406230667506</v>
      </c>
      <c r="H217" s="155">
        <f t="shared" si="3"/>
        <v>26.12703115333753</v>
      </c>
    </row>
    <row r="218" spans="1:8" ht="27" customHeight="1" x14ac:dyDescent="0.25">
      <c r="A218" s="213" t="s">
        <v>3280</v>
      </c>
      <c r="B218" s="213" t="s">
        <v>115</v>
      </c>
      <c r="C218" s="214" t="s">
        <v>117</v>
      </c>
      <c r="D218" s="213" t="s">
        <v>3136</v>
      </c>
      <c r="E218" s="214">
        <v>6.75</v>
      </c>
      <c r="F218" s="213">
        <v>5</v>
      </c>
      <c r="G218" s="214">
        <v>4.5044922329490955</v>
      </c>
      <c r="H218" s="155">
        <f t="shared" si="3"/>
        <v>22.522461164745479</v>
      </c>
    </row>
    <row r="219" spans="1:8" ht="27" customHeight="1" x14ac:dyDescent="0.25">
      <c r="A219" s="213" t="s">
        <v>3282</v>
      </c>
      <c r="B219" s="213" t="s">
        <v>114</v>
      </c>
      <c r="C219" s="214" t="s">
        <v>117</v>
      </c>
      <c r="D219" s="213" t="s">
        <v>3136</v>
      </c>
      <c r="E219" s="214">
        <v>69.850000000000009</v>
      </c>
      <c r="F219" s="213">
        <v>5</v>
      </c>
      <c r="G219" s="214">
        <v>14.191483203078443</v>
      </c>
      <c r="H219" s="155">
        <f t="shared" si="3"/>
        <v>70.957416015392212</v>
      </c>
    </row>
    <row r="220" spans="1:8" ht="27" customHeight="1" x14ac:dyDescent="0.25">
      <c r="A220" s="213" t="s">
        <v>3287</v>
      </c>
      <c r="B220" s="213" t="s">
        <v>115</v>
      </c>
      <c r="C220" s="214" t="s">
        <v>117</v>
      </c>
      <c r="D220" s="213" t="s">
        <v>3136</v>
      </c>
      <c r="E220" s="214">
        <v>10</v>
      </c>
      <c r="F220" s="213">
        <v>5</v>
      </c>
      <c r="G220" s="214">
        <v>4.366348265822138</v>
      </c>
      <c r="H220" s="155">
        <f t="shared" si="3"/>
        <v>21.831741329110692</v>
      </c>
    </row>
    <row r="221" spans="1:8" ht="27" customHeight="1" x14ac:dyDescent="0.25">
      <c r="A221" s="213" t="s">
        <v>3345</v>
      </c>
      <c r="B221" s="213" t="s">
        <v>115</v>
      </c>
      <c r="C221" s="214" t="s">
        <v>117</v>
      </c>
      <c r="D221" s="213" t="s">
        <v>3136</v>
      </c>
      <c r="E221" s="214">
        <v>10.600000000000001</v>
      </c>
      <c r="F221" s="213">
        <v>5</v>
      </c>
      <c r="G221" s="214">
        <v>4.366348265822138</v>
      </c>
      <c r="H221" s="155">
        <f t="shared" si="3"/>
        <v>21.831741329110692</v>
      </c>
    </row>
    <row r="222" spans="1:8" ht="27" customHeight="1" x14ac:dyDescent="0.25">
      <c r="A222" s="213" t="s">
        <v>3288</v>
      </c>
      <c r="B222" s="213" t="s">
        <v>115</v>
      </c>
      <c r="C222" s="214" t="s">
        <v>117</v>
      </c>
      <c r="D222" s="213" t="s">
        <v>3136</v>
      </c>
      <c r="E222" s="214">
        <v>10.35</v>
      </c>
      <c r="F222" s="213">
        <v>5</v>
      </c>
      <c r="G222" s="214">
        <v>4.366348265822138</v>
      </c>
      <c r="H222" s="155">
        <f t="shared" si="3"/>
        <v>21.831741329110692</v>
      </c>
    </row>
    <row r="223" spans="1:8" ht="27" customHeight="1" x14ac:dyDescent="0.25">
      <c r="A223" s="213" t="s">
        <v>3123</v>
      </c>
      <c r="B223" s="213" t="s">
        <v>115</v>
      </c>
      <c r="C223" s="214" t="s">
        <v>117</v>
      </c>
      <c r="D223" s="213" t="s">
        <v>3136</v>
      </c>
      <c r="E223" s="214">
        <v>4</v>
      </c>
      <c r="F223" s="213">
        <v>5</v>
      </c>
      <c r="G223" s="214">
        <v>1.7879257405231763</v>
      </c>
      <c r="H223" s="155">
        <f t="shared" si="3"/>
        <v>8.9396287026158809</v>
      </c>
    </row>
    <row r="224" spans="1:8" ht="27" customHeight="1" x14ac:dyDescent="0.25">
      <c r="A224" s="213" t="s">
        <v>3299</v>
      </c>
      <c r="B224" s="213" t="s">
        <v>114</v>
      </c>
      <c r="C224" s="214" t="s">
        <v>3304</v>
      </c>
      <c r="D224" s="213" t="s">
        <v>3137</v>
      </c>
      <c r="E224" s="214">
        <v>2.34</v>
      </c>
      <c r="F224" s="213">
        <v>2</v>
      </c>
      <c r="G224" s="214">
        <v>30.705646648845299</v>
      </c>
      <c r="H224" s="155">
        <f t="shared" si="3"/>
        <v>61.411293297690598</v>
      </c>
    </row>
    <row r="225" spans="1:8" ht="30" customHeight="1" x14ac:dyDescent="0.25">
      <c r="A225" s="215" t="s">
        <v>2893</v>
      </c>
      <c r="B225" s="215"/>
      <c r="C225" s="215"/>
      <c r="D225" s="215"/>
      <c r="E225" s="216">
        <f ca="1">SUM(E21:OFFSET(E225,-1,0))</f>
        <v>9859.79034698953</v>
      </c>
      <c r="F225" s="216"/>
      <c r="G225" s="217"/>
      <c r="H225" s="155">
        <f ca="1">SUM(H21:OFFSET(H225,-1,0))</f>
        <v>14515.35157469367</v>
      </c>
    </row>
    <row r="226" spans="1:8" ht="21" x14ac:dyDescent="0.3">
      <c r="A226" s="94" t="s">
        <v>148</v>
      </c>
      <c r="B226" s="95"/>
      <c r="C226" s="79"/>
      <c r="D226" s="79"/>
      <c r="E226" s="80"/>
      <c r="F226" s="69" t="s">
        <v>132</v>
      </c>
      <c r="G226" s="158"/>
      <c r="H226" s="156">
        <v>100</v>
      </c>
    </row>
    <row r="227" spans="1:8" ht="15" customHeight="1" x14ac:dyDescent="0.3">
      <c r="A227" s="250" cm="1">
        <f t="array" ref="A227">boxesNumber[]</f>
        <v>3</v>
      </c>
      <c r="B227" s="77"/>
      <c r="C227" s="4"/>
      <c r="D227" s="4"/>
      <c r="E227" s="75"/>
      <c r="F227" s="69" t="s">
        <v>133</v>
      </c>
      <c r="G227" s="158"/>
      <c r="H227" s="156">
        <f ca="1">OFFSET(H226,-1,0)*0.005</f>
        <v>72.576757873468352</v>
      </c>
    </row>
    <row r="228" spans="1:8" ht="15.75" customHeight="1" x14ac:dyDescent="0.3">
      <c r="A228" s="250"/>
      <c r="B228" s="96"/>
      <c r="C228" s="81"/>
      <c r="D228" s="81"/>
      <c r="E228" s="78"/>
      <c r="F228" s="69" t="s">
        <v>134</v>
      </c>
      <c r="G228" s="158"/>
      <c r="H228" s="159">
        <v>0</v>
      </c>
    </row>
    <row r="229" spans="1:8" ht="15" customHeight="1" x14ac:dyDescent="0.25">
      <c r="A229" s="309" t="s">
        <v>3018</v>
      </c>
      <c r="B229" s="265"/>
      <c r="C229" s="265"/>
      <c r="D229" s="265"/>
      <c r="E229" s="266"/>
      <c r="F229" s="232" t="s">
        <v>119</v>
      </c>
      <c r="G229" s="275">
        <f ca="1">SUM(H225:H228)</f>
        <v>14687.928332567139</v>
      </c>
      <c r="H229" s="276"/>
    </row>
    <row r="230" spans="1:8" ht="15" customHeight="1" x14ac:dyDescent="0.25">
      <c r="A230" s="267"/>
      <c r="B230" s="268"/>
      <c r="C230" s="268"/>
      <c r="D230" s="268"/>
      <c r="E230" s="269"/>
      <c r="F230" s="234"/>
      <c r="G230" s="277"/>
      <c r="H230" s="278"/>
    </row>
    <row r="231" spans="1:8" ht="15" customHeight="1" x14ac:dyDescent="0.25">
      <c r="A231" s="267"/>
      <c r="B231" s="268"/>
      <c r="C231" s="268"/>
      <c r="D231" s="268"/>
      <c r="E231" s="269"/>
      <c r="F231" s="234"/>
      <c r="G231" s="277"/>
      <c r="H231" s="278"/>
    </row>
    <row r="232" spans="1:8" ht="30.75" customHeight="1" x14ac:dyDescent="0.25">
      <c r="A232" s="270"/>
      <c r="B232" s="271"/>
      <c r="C232" s="271"/>
      <c r="D232" s="271"/>
      <c r="E232" s="272"/>
      <c r="F232" s="236"/>
      <c r="G232" s="279"/>
      <c r="H232" s="280"/>
    </row>
    <row r="233" spans="1:8" ht="15" customHeight="1" x14ac:dyDescent="0.25">
      <c r="A233" s="36"/>
      <c r="B233" s="37"/>
      <c r="C233" s="37"/>
      <c r="D233" s="37"/>
      <c r="E233" s="37"/>
      <c r="F233" s="37"/>
      <c r="G233" s="37"/>
      <c r="H233" s="75"/>
    </row>
    <row r="234" spans="1:8" x14ac:dyDescent="0.25">
      <c r="A234" s="36"/>
      <c r="B234" s="37"/>
      <c r="C234" s="37"/>
      <c r="D234" s="37"/>
      <c r="E234" s="37"/>
      <c r="F234" s="37"/>
      <c r="G234" s="37"/>
      <c r="H234" s="75"/>
    </row>
    <row r="235" spans="1:8" x14ac:dyDescent="0.25">
      <c r="A235" s="38"/>
      <c r="B235" s="39"/>
      <c r="C235" s="39"/>
      <c r="D235" s="39"/>
      <c r="E235" s="40"/>
      <c r="F235" s="40"/>
      <c r="G235" s="40"/>
      <c r="H235" s="75"/>
    </row>
    <row r="236" spans="1:8" x14ac:dyDescent="0.25">
      <c r="A236" s="71" t="s">
        <v>135</v>
      </c>
      <c r="B236" s="51"/>
      <c r="C236" s="51"/>
      <c r="D236" s="52"/>
      <c r="E236" s="50"/>
      <c r="F236" s="50"/>
      <c r="G236" s="50"/>
      <c r="H236" s="75"/>
    </row>
    <row r="237" spans="1:8" x14ac:dyDescent="0.25">
      <c r="A237" s="41"/>
      <c r="B237" s="35"/>
      <c r="C237" s="35"/>
      <c r="D237" s="30"/>
      <c r="E237" s="30"/>
      <c r="F237" s="30"/>
      <c r="G237" s="42"/>
      <c r="H237" s="75"/>
    </row>
    <row r="238" spans="1:8" x14ac:dyDescent="0.25">
      <c r="A238" s="46"/>
      <c r="B238" s="47"/>
      <c r="C238" s="47"/>
      <c r="D238" s="47"/>
      <c r="E238" s="47"/>
      <c r="F238" s="47"/>
      <c r="G238" s="48"/>
      <c r="H238" s="78"/>
    </row>
  </sheetData>
  <mergeCells count="8">
    <mergeCell ref="A229:E232"/>
    <mergeCell ref="F229:F232"/>
    <mergeCell ref="G229:H232"/>
    <mergeCell ref="A1:H1"/>
    <mergeCell ref="A5:C9"/>
    <mergeCell ref="D5:H9"/>
    <mergeCell ref="D13:H19"/>
    <mergeCell ref="A227:A228"/>
  </mergeCells>
  <pageMargins left="0" right="0" top="0" bottom="0" header="0" footer="0"/>
  <pageSetup paperSize="9" scale="82" fitToHeight="0" orientation="portrait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2E60EB-DB47-459D-A3F1-106B540CF424}">
  <sheetPr codeName="FRTotal">
    <pageSetUpPr fitToPage="1"/>
  </sheetPr>
  <dimension ref="A1:F53"/>
  <sheetViews>
    <sheetView topLeftCell="A19" workbookViewId="0">
      <selection activeCell="E21" sqref="E21:E39"/>
    </sheetView>
  </sheetViews>
  <sheetFormatPr defaultRowHeight="15" x14ac:dyDescent="0.25"/>
  <cols>
    <col min="1" max="1" width="18.28515625" customWidth="1"/>
    <col min="2" max="2" width="15.5703125" customWidth="1"/>
    <col min="3" max="3" width="12.85546875" customWidth="1"/>
    <col min="4" max="4" width="14.140625" customWidth="1"/>
    <col min="5" max="5" width="14" customWidth="1"/>
    <col min="6" max="6" width="16.42578125" customWidth="1"/>
  </cols>
  <sheetData>
    <row r="1" spans="1:6" x14ac:dyDescent="0.25">
      <c r="A1" s="238" t="s">
        <v>151</v>
      </c>
      <c r="B1" s="239"/>
      <c r="C1" s="239"/>
      <c r="D1" s="239"/>
      <c r="E1" s="239"/>
      <c r="F1" s="240"/>
    </row>
    <row r="2" spans="1:6" ht="18.75" x14ac:dyDescent="0.3">
      <c r="A2" s="149" t="s">
        <v>2862</v>
      </c>
      <c r="B2" s="62" t="s">
        <v>2877</v>
      </c>
      <c r="C2" s="254" t="s">
        <v>2987</v>
      </c>
      <c r="D2" s="255"/>
      <c r="E2" s="62" t="s">
        <v>2879</v>
      </c>
      <c r="F2" s="108"/>
    </row>
    <row r="3" spans="1:6" x14ac:dyDescent="0.25">
      <c r="A3" s="192" cm="1">
        <f t="array" ref="A3">dateShip[]</f>
        <v>44538</v>
      </c>
      <c r="B3" s="193" t="s">
        <v>122</v>
      </c>
      <c r="C3" s="193" t="str">
        <f>'Sku List'!G28</f>
        <v>FBA15FKLH7CH</v>
      </c>
      <c r="D3" s="193"/>
      <c r="E3" s="193" t="s">
        <v>69</v>
      </c>
      <c r="F3" s="185"/>
    </row>
    <row r="4" spans="1:6" ht="18.75" x14ac:dyDescent="0.3">
      <c r="A4" s="60" t="s">
        <v>2881</v>
      </c>
      <c r="B4" s="61"/>
      <c r="C4" s="61" t="s">
        <v>2880</v>
      </c>
      <c r="D4" s="61"/>
      <c r="E4" s="61"/>
      <c r="F4" s="150"/>
    </row>
    <row r="5" spans="1:6" x14ac:dyDescent="0.25">
      <c r="A5" s="241" t="s">
        <v>3019</v>
      </c>
      <c r="B5" s="242"/>
      <c r="C5" s="243" t="s">
        <v>3019</v>
      </c>
      <c r="D5" s="244"/>
      <c r="E5" s="244"/>
      <c r="F5" s="247"/>
    </row>
    <row r="6" spans="1:6" x14ac:dyDescent="0.25">
      <c r="A6" s="243"/>
      <c r="B6" s="244"/>
      <c r="C6" s="243"/>
      <c r="D6" s="244"/>
      <c r="E6" s="244"/>
      <c r="F6" s="247"/>
    </row>
    <row r="7" spans="1:6" x14ac:dyDescent="0.25">
      <c r="A7" s="243"/>
      <c r="B7" s="244"/>
      <c r="C7" s="243"/>
      <c r="D7" s="244"/>
      <c r="E7" s="244"/>
      <c r="F7" s="247"/>
    </row>
    <row r="8" spans="1:6" x14ac:dyDescent="0.25">
      <c r="A8" s="243"/>
      <c r="B8" s="244"/>
      <c r="C8" s="243"/>
      <c r="D8" s="244"/>
      <c r="E8" s="244"/>
      <c r="F8" s="247"/>
    </row>
    <row r="9" spans="1:6" x14ac:dyDescent="0.25">
      <c r="A9" s="245"/>
      <c r="B9" s="246"/>
      <c r="C9" s="243"/>
      <c r="D9" s="244"/>
      <c r="E9" s="244"/>
      <c r="F9" s="247"/>
    </row>
    <row r="10" spans="1:6" ht="18.75" x14ac:dyDescent="0.3">
      <c r="A10" s="66" t="s">
        <v>3011</v>
      </c>
      <c r="B10" s="66"/>
      <c r="C10" s="66" t="s">
        <v>3013</v>
      </c>
      <c r="D10" s="66"/>
      <c r="E10" s="66"/>
      <c r="F10" s="76" t="s">
        <v>3016</v>
      </c>
    </row>
    <row r="11" spans="1:6" ht="18.75" x14ac:dyDescent="0.3">
      <c r="A11" s="160" t="s">
        <v>3015</v>
      </c>
      <c r="B11" s="161"/>
      <c r="C11" s="164" t="s">
        <v>3014</v>
      </c>
      <c r="D11" s="84"/>
      <c r="E11" s="165"/>
      <c r="F11" s="166" t="s">
        <v>3017</v>
      </c>
    </row>
    <row r="12" spans="1:6" ht="18.75" x14ac:dyDescent="0.3">
      <c r="A12" s="63" t="s">
        <v>2885</v>
      </c>
      <c r="B12" s="64"/>
      <c r="C12" s="64" t="s">
        <v>2886</v>
      </c>
      <c r="D12" s="64"/>
      <c r="E12" s="64"/>
      <c r="F12" s="65"/>
    </row>
    <row r="13" spans="1:6" x14ac:dyDescent="0.25">
      <c r="A13" s="88" t="str">
        <f>'Sku List'!G25</f>
        <v>FR 21-12-04</v>
      </c>
      <c r="B13" s="95"/>
      <c r="C13" s="311" t="str">
        <f ca="1">'Sku List'!H16</f>
        <v>TRANSATLANTIC STERLING LIMITED
c/o FBA
Amazon Fulfillment Center (BWU2), 
13 Emporium Avenue 2178 
Kemps Creek, NSW  
Australia</v>
      </c>
      <c r="D13" s="311"/>
      <c r="E13" s="311"/>
      <c r="F13" s="311"/>
    </row>
    <row r="14" spans="1:6" ht="18.75" x14ac:dyDescent="0.3">
      <c r="A14" s="60" t="s">
        <v>2887</v>
      </c>
      <c r="B14" s="90"/>
      <c r="C14" s="311"/>
      <c r="D14" s="311"/>
      <c r="E14" s="311"/>
      <c r="F14" s="311"/>
    </row>
    <row r="15" spans="1:6" ht="18.75" x14ac:dyDescent="0.25">
      <c r="A15" s="92" t="str">
        <f>_xlfn.TEXTJOIN(", ",TRUE,Map!A12:A18)</f>
        <v>Italy, Poland, Thailand</v>
      </c>
      <c r="B15" s="83"/>
      <c r="C15" s="311"/>
      <c r="D15" s="311"/>
      <c r="E15" s="311"/>
      <c r="F15" s="311"/>
    </row>
    <row r="16" spans="1:6" ht="15" customHeight="1" x14ac:dyDescent="0.3">
      <c r="A16" s="60" t="s">
        <v>126</v>
      </c>
      <c r="B16" s="90"/>
      <c r="C16" s="311"/>
      <c r="D16" s="311"/>
      <c r="E16" s="311"/>
      <c r="F16" s="311"/>
    </row>
    <row r="17" spans="1:6" ht="15" customHeight="1" x14ac:dyDescent="0.25">
      <c r="A17" s="93">
        <f>'Sku List'!M19</f>
        <v>0</v>
      </c>
      <c r="B17" s="83"/>
      <c r="C17" s="311"/>
      <c r="D17" s="311"/>
      <c r="E17" s="311"/>
      <c r="F17" s="311"/>
    </row>
    <row r="18" spans="1:6" ht="18.75" x14ac:dyDescent="0.3">
      <c r="A18" s="60" t="s">
        <v>127</v>
      </c>
      <c r="B18" s="90"/>
      <c r="C18" s="311"/>
      <c r="D18" s="311"/>
      <c r="E18" s="311"/>
      <c r="F18" s="311"/>
    </row>
    <row r="19" spans="1:6" ht="18.75" x14ac:dyDescent="0.3">
      <c r="A19" s="89" t="str">
        <f>'Sku List'!G25</f>
        <v>FR 21-12-04</v>
      </c>
      <c r="B19" s="81"/>
      <c r="C19" s="311"/>
      <c r="D19" s="311"/>
      <c r="E19" s="311"/>
      <c r="F19" s="311"/>
    </row>
    <row r="20" spans="1:6" ht="39" customHeight="1" x14ac:dyDescent="0.25">
      <c r="A20" s="97" t="s">
        <v>128</v>
      </c>
      <c r="B20" s="147" t="s">
        <v>129</v>
      </c>
      <c r="C20" s="151" t="s">
        <v>3134</v>
      </c>
      <c r="D20" s="151" t="s">
        <v>2980</v>
      </c>
      <c r="E20" s="151" t="s">
        <v>130</v>
      </c>
      <c r="F20" s="151" t="s">
        <v>2983</v>
      </c>
    </row>
    <row r="21" spans="1:6" x14ac:dyDescent="0.25">
      <c r="A21" s="213" t="s">
        <v>3305</v>
      </c>
      <c r="B21" s="213" t="s">
        <v>114</v>
      </c>
      <c r="C21" s="213" t="s">
        <v>3136</v>
      </c>
      <c r="D21" s="214">
        <v>136.6</v>
      </c>
      <c r="E21" s="213">
        <v>50</v>
      </c>
      <c r="F21" s="214">
        <v>213.86831485927365</v>
      </c>
    </row>
    <row r="22" spans="1:6" x14ac:dyDescent="0.25">
      <c r="A22" s="213" t="s">
        <v>3305</v>
      </c>
      <c r="B22" s="213" t="s">
        <v>113</v>
      </c>
      <c r="C22" s="213" t="s">
        <v>3136</v>
      </c>
      <c r="D22" s="214">
        <v>29.663366336633601</v>
      </c>
      <c r="E22" s="213">
        <v>20</v>
      </c>
      <c r="F22" s="214">
        <v>45.876964465103605</v>
      </c>
    </row>
    <row r="23" spans="1:6" x14ac:dyDescent="0.25">
      <c r="A23" s="213" t="s">
        <v>3306</v>
      </c>
      <c r="B23" s="213" t="s">
        <v>114</v>
      </c>
      <c r="C23" s="213" t="s">
        <v>3136</v>
      </c>
      <c r="D23" s="214">
        <v>1634.1401549278319</v>
      </c>
      <c r="E23" s="213">
        <v>685</v>
      </c>
      <c r="F23" s="214">
        <v>2188.9870766716044</v>
      </c>
    </row>
    <row r="24" spans="1:6" x14ac:dyDescent="0.25">
      <c r="A24" s="213" t="s">
        <v>3306</v>
      </c>
      <c r="B24" s="213" t="s">
        <v>113</v>
      </c>
      <c r="C24" s="213" t="s">
        <v>3136</v>
      </c>
      <c r="D24" s="214">
        <v>209.14</v>
      </c>
      <c r="E24" s="213">
        <v>65</v>
      </c>
      <c r="F24" s="214">
        <v>234.88220303871324</v>
      </c>
    </row>
    <row r="25" spans="1:6" x14ac:dyDescent="0.25">
      <c r="A25" s="213" t="s">
        <v>3307</v>
      </c>
      <c r="B25" s="213" t="s">
        <v>114</v>
      </c>
      <c r="C25" s="213" t="s">
        <v>3136</v>
      </c>
      <c r="D25" s="214">
        <v>3323.7167191417907</v>
      </c>
      <c r="E25" s="213">
        <v>640</v>
      </c>
      <c r="F25" s="214">
        <v>3858.6538625257535</v>
      </c>
    </row>
    <row r="26" spans="1:6" x14ac:dyDescent="0.25">
      <c r="A26" s="213" t="s">
        <v>3307</v>
      </c>
      <c r="B26" s="213" t="s">
        <v>113</v>
      </c>
      <c r="C26" s="213" t="s">
        <v>3136</v>
      </c>
      <c r="D26" s="214">
        <v>1907.6818459316389</v>
      </c>
      <c r="E26" s="213">
        <v>905</v>
      </c>
      <c r="F26" s="214">
        <v>2395.4720108063316</v>
      </c>
    </row>
    <row r="27" spans="1:6" x14ac:dyDescent="0.25">
      <c r="A27" s="213" t="s">
        <v>3308</v>
      </c>
      <c r="B27" s="213" t="s">
        <v>114</v>
      </c>
      <c r="C27" s="213" t="s">
        <v>3136</v>
      </c>
      <c r="D27" s="214">
        <v>396.25</v>
      </c>
      <c r="E27" s="213">
        <v>165</v>
      </c>
      <c r="F27" s="214">
        <v>657.48128472754308</v>
      </c>
    </row>
    <row r="28" spans="1:6" x14ac:dyDescent="0.25">
      <c r="A28" s="213" t="s">
        <v>3308</v>
      </c>
      <c r="B28" s="213" t="s">
        <v>113</v>
      </c>
      <c r="C28" s="213" t="s">
        <v>3136</v>
      </c>
      <c r="D28" s="214">
        <v>574.90826065162912</v>
      </c>
      <c r="E28" s="213">
        <v>315</v>
      </c>
      <c r="F28" s="214">
        <v>849.18583598667374</v>
      </c>
    </row>
    <row r="29" spans="1:6" x14ac:dyDescent="0.25">
      <c r="A29" s="213" t="s">
        <v>3308</v>
      </c>
      <c r="B29" s="213" t="s">
        <v>115</v>
      </c>
      <c r="C29" s="213" t="s">
        <v>3136</v>
      </c>
      <c r="D29" s="214">
        <v>503.2</v>
      </c>
      <c r="E29" s="213">
        <v>260</v>
      </c>
      <c r="F29" s="214">
        <v>1033.853217778232</v>
      </c>
    </row>
    <row r="30" spans="1:6" x14ac:dyDescent="0.25">
      <c r="A30" s="213" t="s">
        <v>3172</v>
      </c>
      <c r="B30" s="213" t="s">
        <v>114</v>
      </c>
      <c r="C30" s="213" t="s">
        <v>3136</v>
      </c>
      <c r="D30" s="214">
        <v>654.9</v>
      </c>
      <c r="E30" s="213">
        <v>590</v>
      </c>
      <c r="F30" s="214">
        <v>1401.3598724126384</v>
      </c>
    </row>
    <row r="31" spans="1:6" x14ac:dyDescent="0.25">
      <c r="A31" s="213" t="s">
        <v>3309</v>
      </c>
      <c r="B31" s="213" t="s">
        <v>114</v>
      </c>
      <c r="C31" s="213" t="s">
        <v>3136</v>
      </c>
      <c r="D31" s="214">
        <v>166.5</v>
      </c>
      <c r="E31" s="213">
        <v>70</v>
      </c>
      <c r="F31" s="214">
        <v>373.27759899655484</v>
      </c>
    </row>
    <row r="32" spans="1:6" x14ac:dyDescent="0.25">
      <c r="A32" s="213" t="s">
        <v>3309</v>
      </c>
      <c r="B32" s="213" t="s">
        <v>113</v>
      </c>
      <c r="C32" s="213" t="s">
        <v>3136</v>
      </c>
      <c r="D32" s="214">
        <v>95</v>
      </c>
      <c r="E32" s="213">
        <v>60</v>
      </c>
      <c r="F32" s="214">
        <v>169.02544368959039</v>
      </c>
    </row>
    <row r="33" spans="1:6" x14ac:dyDescent="0.25">
      <c r="A33" s="213" t="s">
        <v>3309</v>
      </c>
      <c r="B33" s="213" t="s">
        <v>115</v>
      </c>
      <c r="C33" s="213" t="s">
        <v>3136</v>
      </c>
      <c r="D33" s="214">
        <v>55</v>
      </c>
      <c r="E33" s="213">
        <v>25</v>
      </c>
      <c r="F33" s="214">
        <v>94.655292775535912</v>
      </c>
    </row>
    <row r="34" spans="1:6" x14ac:dyDescent="0.25">
      <c r="A34" s="213" t="s">
        <v>3310</v>
      </c>
      <c r="B34" s="213" t="s">
        <v>113</v>
      </c>
      <c r="C34" s="213" t="s">
        <v>3136</v>
      </c>
      <c r="D34" s="214">
        <v>35</v>
      </c>
      <c r="E34" s="213">
        <v>10</v>
      </c>
      <c r="F34" s="214">
        <v>57.003967240469265</v>
      </c>
    </row>
    <row r="35" spans="1:6" x14ac:dyDescent="0.25">
      <c r="A35" s="213" t="s">
        <v>3034</v>
      </c>
      <c r="B35" s="213" t="s">
        <v>115</v>
      </c>
      <c r="C35" s="213" t="s">
        <v>3136</v>
      </c>
      <c r="D35" s="214">
        <v>85.800000000000011</v>
      </c>
      <c r="E35" s="213">
        <v>40</v>
      </c>
      <c r="F35" s="214">
        <v>185.47388375247601</v>
      </c>
    </row>
    <row r="36" spans="1:6" x14ac:dyDescent="0.25">
      <c r="A36" s="213" t="s">
        <v>3035</v>
      </c>
      <c r="B36" s="213" t="s">
        <v>115</v>
      </c>
      <c r="C36" s="213" t="s">
        <v>3136</v>
      </c>
      <c r="D36" s="214">
        <v>23.099999999999998</v>
      </c>
      <c r="E36" s="213">
        <v>20</v>
      </c>
      <c r="F36" s="214">
        <v>52.427167935162011</v>
      </c>
    </row>
    <row r="37" spans="1:6" x14ac:dyDescent="0.25">
      <c r="A37" s="213" t="s">
        <v>3311</v>
      </c>
      <c r="B37" s="213" t="s">
        <v>114</v>
      </c>
      <c r="C37" s="213" t="s">
        <v>3137</v>
      </c>
      <c r="D37" s="214">
        <v>2.34</v>
      </c>
      <c r="E37" s="213">
        <v>2</v>
      </c>
      <c r="F37" s="214">
        <v>61.411293297690598</v>
      </c>
    </row>
    <row r="38" spans="1:6" x14ac:dyDescent="0.25">
      <c r="A38" s="213" t="s">
        <v>3313</v>
      </c>
      <c r="B38" s="213" t="s">
        <v>114</v>
      </c>
      <c r="C38" s="213" t="s">
        <v>3137</v>
      </c>
      <c r="D38" s="214">
        <v>11.3</v>
      </c>
      <c r="E38" s="213">
        <v>20</v>
      </c>
      <c r="F38" s="214">
        <v>260.80150743786646</v>
      </c>
    </row>
    <row r="39" spans="1:6" x14ac:dyDescent="0.25">
      <c r="A39" s="213" t="s">
        <v>3350</v>
      </c>
      <c r="B39" s="213" t="s">
        <v>114</v>
      </c>
      <c r="C39" s="213" t="s">
        <v>3137</v>
      </c>
      <c r="D39" s="214">
        <v>15.549999999999999</v>
      </c>
      <c r="E39" s="213">
        <v>15</v>
      </c>
      <c r="F39" s="214">
        <v>381.65477629644766</v>
      </c>
    </row>
    <row r="40" spans="1:6" x14ac:dyDescent="0.25">
      <c r="A40" s="215" t="s">
        <v>2893</v>
      </c>
      <c r="B40" s="215"/>
      <c r="C40" s="215"/>
      <c r="D40" s="216">
        <f ca="1">SUM(D21:OFFSET(D40,-1,0))</f>
        <v>9859.7903469895227</v>
      </c>
      <c r="E40" s="215">
        <f ca="1">SUM(E21:OFFSET(E40,-1,0))</f>
        <v>3957</v>
      </c>
      <c r="F40" s="218">
        <f ca="1">SUM(F21:OFFSET(F40,-1,0))</f>
        <v>14515.351574693665</v>
      </c>
    </row>
    <row r="41" spans="1:6" ht="31.5" x14ac:dyDescent="0.3">
      <c r="A41" s="94" t="s">
        <v>148</v>
      </c>
      <c r="B41" s="95"/>
      <c r="C41" s="4"/>
      <c r="D41" s="69" t="s">
        <v>132</v>
      </c>
      <c r="E41" s="69"/>
      <c r="F41" s="156">
        <v>100</v>
      </c>
    </row>
    <row r="42" spans="1:6" ht="15" customHeight="1" x14ac:dyDescent="0.3">
      <c r="A42" s="250" cm="1">
        <f t="array" ref="A42">boxesNumber[]</f>
        <v>3</v>
      </c>
      <c r="B42" s="77"/>
      <c r="C42" s="4"/>
      <c r="D42" s="69" t="s">
        <v>133</v>
      </c>
      <c r="E42" s="69"/>
      <c r="F42" s="156">
        <f ca="1">OFFSET(F41,-1,0)*0.005</f>
        <v>72.576757873468324</v>
      </c>
    </row>
    <row r="43" spans="1:6" ht="15.75" customHeight="1" x14ac:dyDescent="0.3">
      <c r="A43" s="250"/>
      <c r="B43" s="77"/>
      <c r="C43" s="4"/>
      <c r="D43" s="69" t="s">
        <v>134</v>
      </c>
      <c r="E43" s="69"/>
      <c r="F43" s="70">
        <v>0</v>
      </c>
    </row>
    <row r="44" spans="1:6" ht="15" customHeight="1" x14ac:dyDescent="0.25">
      <c r="A44" s="312" t="s">
        <v>3018</v>
      </c>
      <c r="B44" s="313"/>
      <c r="C44" s="314"/>
      <c r="D44" s="232" t="s">
        <v>119</v>
      </c>
      <c r="E44" s="233"/>
      <c r="F44" s="251">
        <f ca="1">SUM(F40:OFFSET(F44,-1,0))</f>
        <v>14687.928332567133</v>
      </c>
    </row>
    <row r="45" spans="1:6" ht="15" customHeight="1" x14ac:dyDescent="0.25">
      <c r="A45" s="315"/>
      <c r="B45" s="316"/>
      <c r="C45" s="317"/>
      <c r="D45" s="234"/>
      <c r="E45" s="235"/>
      <c r="F45" s="252"/>
    </row>
    <row r="46" spans="1:6" ht="15" customHeight="1" x14ac:dyDescent="0.25">
      <c r="A46" s="315"/>
      <c r="B46" s="316"/>
      <c r="C46" s="317"/>
      <c r="D46" s="234"/>
      <c r="E46" s="235"/>
      <c r="F46" s="252"/>
    </row>
    <row r="47" spans="1:6" ht="15" customHeight="1" x14ac:dyDescent="0.25">
      <c r="A47" s="318"/>
      <c r="B47" s="319"/>
      <c r="C47" s="320"/>
      <c r="D47" s="236"/>
      <c r="E47" s="237"/>
      <c r="F47" s="253"/>
    </row>
    <row r="48" spans="1:6" x14ac:dyDescent="0.25">
      <c r="A48" s="36"/>
      <c r="B48" s="37"/>
      <c r="C48" s="37"/>
      <c r="D48" s="37"/>
      <c r="E48" s="37"/>
      <c r="F48" s="43"/>
    </row>
    <row r="49" spans="1:6" x14ac:dyDescent="0.25">
      <c r="A49" s="36"/>
      <c r="B49" s="37"/>
      <c r="C49" s="37"/>
      <c r="D49" s="37"/>
      <c r="E49" s="37"/>
      <c r="F49" s="43"/>
    </row>
    <row r="50" spans="1:6" x14ac:dyDescent="0.25">
      <c r="A50" s="38"/>
      <c r="B50" s="39"/>
      <c r="C50" s="39"/>
      <c r="D50" s="40"/>
      <c r="E50" s="40"/>
      <c r="F50" s="44"/>
    </row>
    <row r="51" spans="1:6" x14ac:dyDescent="0.25">
      <c r="A51" s="71" t="s">
        <v>135</v>
      </c>
      <c r="B51" s="51"/>
      <c r="C51" s="52"/>
      <c r="D51" s="50"/>
      <c r="E51" s="50"/>
      <c r="F51" s="135"/>
    </row>
    <row r="52" spans="1:6" x14ac:dyDescent="0.25">
      <c r="A52" s="41"/>
      <c r="B52" s="35"/>
      <c r="C52" s="30"/>
      <c r="D52" s="30"/>
      <c r="E52" s="30"/>
      <c r="F52" s="45"/>
    </row>
    <row r="53" spans="1:6" x14ac:dyDescent="0.25">
      <c r="A53" s="46"/>
      <c r="B53" s="47"/>
      <c r="C53" s="47"/>
      <c r="D53" s="47"/>
      <c r="E53" s="47"/>
      <c r="F53" s="49"/>
    </row>
  </sheetData>
  <mergeCells count="9">
    <mergeCell ref="D44:E47"/>
    <mergeCell ref="F44:F47"/>
    <mergeCell ref="A1:F1"/>
    <mergeCell ref="C2:D2"/>
    <mergeCell ref="A5:B9"/>
    <mergeCell ref="C5:F9"/>
    <mergeCell ref="C13:F19"/>
    <mergeCell ref="A42:A43"/>
    <mergeCell ref="A44:C47"/>
  </mergeCells>
  <pageMargins left="0" right="0" top="0" bottom="0" header="0" footer="0"/>
  <pageSetup paperSize="9" scale="96" orientation="portrait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412888-33AC-44AA-91F6-6401FF7CC73B}">
  <sheetPr codeName="FRManual">
    <pageSetUpPr fitToPage="1"/>
  </sheetPr>
  <dimension ref="A1:L92"/>
  <sheetViews>
    <sheetView topLeftCell="A56" workbookViewId="0">
      <selection activeCell="L79" sqref="L79"/>
    </sheetView>
  </sheetViews>
  <sheetFormatPr defaultRowHeight="15" x14ac:dyDescent="0.25"/>
  <cols>
    <col min="1" max="1" width="27.42578125" customWidth="1"/>
    <col min="3" max="3" width="9.28515625" customWidth="1"/>
    <col min="4" max="4" width="12.7109375" customWidth="1"/>
    <col min="5" max="5" width="10.85546875" customWidth="1"/>
    <col min="6" max="6" width="11.85546875" customWidth="1"/>
  </cols>
  <sheetData>
    <row r="1" spans="1:12" ht="18" x14ac:dyDescent="0.25">
      <c r="A1" s="282" t="s">
        <v>3031</v>
      </c>
      <c r="B1" s="283"/>
      <c r="C1" s="283"/>
      <c r="D1" s="283"/>
      <c r="E1" s="283"/>
      <c r="F1" s="283"/>
    </row>
    <row r="2" spans="1:12" x14ac:dyDescent="0.25">
      <c r="A2" s="284" t="s">
        <v>120</v>
      </c>
      <c r="B2" s="284"/>
      <c r="C2" s="284"/>
      <c r="D2" s="285" t="s">
        <v>121</v>
      </c>
      <c r="E2" s="285"/>
      <c r="F2" s="285"/>
      <c r="J2" s="32"/>
    </row>
    <row r="3" spans="1:12" x14ac:dyDescent="0.25">
      <c r="A3" s="286">
        <f>USInvoice!A3</f>
        <v>44538</v>
      </c>
      <c r="B3" s="286"/>
      <c r="C3" s="286"/>
      <c r="D3" s="152" t="str" cm="1">
        <f t="array" ref="D3">fbaRef[FBA ID]</f>
        <v>FBA15FKLH7CH</v>
      </c>
      <c r="E3" s="152"/>
      <c r="F3" s="152"/>
    </row>
    <row r="4" spans="1:12" x14ac:dyDescent="0.25">
      <c r="A4" s="281" t="s">
        <v>123</v>
      </c>
      <c r="B4" s="281"/>
      <c r="C4" s="281"/>
      <c r="D4" s="281" t="s">
        <v>124</v>
      </c>
      <c r="E4" s="281"/>
      <c r="F4" s="281"/>
    </row>
    <row r="5" spans="1:12" ht="15" customHeight="1" x14ac:dyDescent="0.25">
      <c r="A5" s="321" t="s">
        <v>3019</v>
      </c>
      <c r="B5" s="322"/>
      <c r="C5" s="323"/>
      <c r="D5" s="328" t="s">
        <v>3019</v>
      </c>
      <c r="E5" s="329"/>
      <c r="F5" s="330"/>
    </row>
    <row r="6" spans="1:12" ht="15" customHeight="1" x14ac:dyDescent="0.25">
      <c r="A6" s="293"/>
      <c r="B6" s="324"/>
      <c r="C6" s="325"/>
      <c r="D6" s="331"/>
      <c r="E6" s="332"/>
      <c r="F6" s="333"/>
    </row>
    <row r="7" spans="1:12" ht="15" customHeight="1" x14ac:dyDescent="0.25">
      <c r="A7" s="293"/>
      <c r="B7" s="324"/>
      <c r="C7" s="325"/>
      <c r="D7" s="331"/>
      <c r="E7" s="332"/>
      <c r="F7" s="333"/>
    </row>
    <row r="8" spans="1:12" x14ac:dyDescent="0.25">
      <c r="A8" s="293"/>
      <c r="B8" s="324"/>
      <c r="C8" s="325"/>
      <c r="D8" s="331"/>
      <c r="E8" s="332"/>
      <c r="F8" s="333"/>
    </row>
    <row r="9" spans="1:12" ht="15" customHeight="1" x14ac:dyDescent="0.25">
      <c r="A9" s="298"/>
      <c r="B9" s="326"/>
      <c r="C9" s="327"/>
      <c r="D9" s="334"/>
      <c r="E9" s="335"/>
      <c r="F9" s="336"/>
      <c r="L9" s="31"/>
    </row>
    <row r="10" spans="1:12" x14ac:dyDescent="0.25">
      <c r="A10" s="303" t="s">
        <v>152</v>
      </c>
      <c r="B10" s="303"/>
      <c r="C10" s="303"/>
      <c r="D10" s="303"/>
      <c r="E10" s="303"/>
      <c r="F10" s="303"/>
    </row>
    <row r="11" spans="1:12" x14ac:dyDescent="0.25">
      <c r="A11" s="287" t="str">
        <f>USInvoice!A13</f>
        <v>FR 21-12-04</v>
      </c>
      <c r="B11" s="287"/>
      <c r="C11" s="287"/>
      <c r="D11" s="287"/>
      <c r="E11" s="287"/>
      <c r="F11" s="287"/>
    </row>
    <row r="12" spans="1:12" ht="21" x14ac:dyDescent="0.25">
      <c r="A12" s="123" t="s">
        <v>2888</v>
      </c>
      <c r="B12" s="34" t="s">
        <v>129</v>
      </c>
      <c r="C12" s="34" t="s">
        <v>2889</v>
      </c>
      <c r="D12" s="34" t="s">
        <v>3134</v>
      </c>
      <c r="E12" s="34" t="s">
        <v>2990</v>
      </c>
      <c r="F12" s="124" t="s">
        <v>130</v>
      </c>
    </row>
    <row r="13" spans="1:12" x14ac:dyDescent="0.25">
      <c r="A13" s="212" t="s">
        <v>3221</v>
      </c>
      <c r="B13" s="212" t="s">
        <v>114</v>
      </c>
      <c r="C13" s="212" t="s">
        <v>117</v>
      </c>
      <c r="D13" s="212" t="s">
        <v>3136</v>
      </c>
      <c r="E13" s="212">
        <v>60.5</v>
      </c>
      <c r="F13" s="212">
        <v>5</v>
      </c>
    </row>
    <row r="14" spans="1:12" x14ac:dyDescent="0.25">
      <c r="A14" s="212" t="s">
        <v>3138</v>
      </c>
      <c r="B14" s="212" t="s">
        <v>113</v>
      </c>
      <c r="C14" s="212" t="s">
        <v>117</v>
      </c>
      <c r="D14" s="212" t="s">
        <v>3136</v>
      </c>
      <c r="E14" s="212">
        <v>15</v>
      </c>
      <c r="F14" s="212">
        <v>10</v>
      </c>
    </row>
    <row r="15" spans="1:12" x14ac:dyDescent="0.25">
      <c r="A15" s="212" t="s">
        <v>3139</v>
      </c>
      <c r="B15" s="212" t="s">
        <v>113</v>
      </c>
      <c r="C15" s="212" t="s">
        <v>117</v>
      </c>
      <c r="D15" s="212" t="s">
        <v>3136</v>
      </c>
      <c r="E15" s="212">
        <v>27.2</v>
      </c>
      <c r="F15" s="212">
        <v>10</v>
      </c>
    </row>
    <row r="16" spans="1:12" x14ac:dyDescent="0.25">
      <c r="A16" s="212" t="s">
        <v>3155</v>
      </c>
      <c r="B16" s="212" t="s">
        <v>113</v>
      </c>
      <c r="C16" s="212" t="s">
        <v>117</v>
      </c>
      <c r="D16" s="212" t="s">
        <v>3136</v>
      </c>
      <c r="E16" s="212">
        <v>10.220000000000001</v>
      </c>
      <c r="F16" s="212">
        <v>5</v>
      </c>
    </row>
    <row r="17" spans="1:6" x14ac:dyDescent="0.25">
      <c r="A17" s="212" t="s">
        <v>3157</v>
      </c>
      <c r="B17" s="212" t="s">
        <v>113</v>
      </c>
      <c r="C17" s="212" t="s">
        <v>117</v>
      </c>
      <c r="D17" s="212" t="s">
        <v>3136</v>
      </c>
      <c r="E17" s="212">
        <v>63.18</v>
      </c>
      <c r="F17" s="212">
        <v>30</v>
      </c>
    </row>
    <row r="18" spans="1:6" x14ac:dyDescent="0.25">
      <c r="A18" s="212" t="s">
        <v>3048</v>
      </c>
      <c r="B18" s="212" t="s">
        <v>113</v>
      </c>
      <c r="C18" s="212" t="s">
        <v>117</v>
      </c>
      <c r="D18" s="212" t="s">
        <v>3136</v>
      </c>
      <c r="E18" s="212">
        <v>11.55</v>
      </c>
      <c r="F18" s="212">
        <v>5</v>
      </c>
    </row>
    <row r="19" spans="1:6" x14ac:dyDescent="0.25">
      <c r="A19" s="212" t="s">
        <v>3158</v>
      </c>
      <c r="B19" s="212" t="s">
        <v>113</v>
      </c>
      <c r="C19" s="212" t="s">
        <v>117</v>
      </c>
      <c r="D19" s="212" t="s">
        <v>3136</v>
      </c>
      <c r="E19" s="212">
        <v>32.799999999999997</v>
      </c>
      <c r="F19" s="212">
        <v>10</v>
      </c>
    </row>
    <row r="20" spans="1:6" x14ac:dyDescent="0.25">
      <c r="A20" s="212" t="s">
        <v>3051</v>
      </c>
      <c r="B20" s="212" t="s">
        <v>113</v>
      </c>
      <c r="C20" s="212" t="s">
        <v>117</v>
      </c>
      <c r="D20" s="212" t="s">
        <v>3136</v>
      </c>
      <c r="E20" s="212">
        <v>32.4</v>
      </c>
      <c r="F20" s="212">
        <v>15</v>
      </c>
    </row>
    <row r="21" spans="1:6" x14ac:dyDescent="0.25">
      <c r="A21" s="212" t="s">
        <v>3161</v>
      </c>
      <c r="B21" s="212" t="s">
        <v>113</v>
      </c>
      <c r="C21" s="212" t="s">
        <v>117</v>
      </c>
      <c r="D21" s="212" t="s">
        <v>3136</v>
      </c>
      <c r="E21" s="212">
        <v>27</v>
      </c>
      <c r="F21" s="212">
        <v>15</v>
      </c>
    </row>
    <row r="22" spans="1:6" x14ac:dyDescent="0.25">
      <c r="A22" s="212" t="s">
        <v>3053</v>
      </c>
      <c r="B22" s="212" t="s">
        <v>113</v>
      </c>
      <c r="C22" s="212" t="s">
        <v>117</v>
      </c>
      <c r="D22" s="212" t="s">
        <v>3136</v>
      </c>
      <c r="E22" s="212">
        <v>23.94</v>
      </c>
      <c r="F22" s="212">
        <v>10</v>
      </c>
    </row>
    <row r="23" spans="1:6" x14ac:dyDescent="0.25">
      <c r="A23" s="212" t="s">
        <v>2907</v>
      </c>
      <c r="B23" s="212" t="s">
        <v>114</v>
      </c>
      <c r="C23" s="212" t="s">
        <v>117</v>
      </c>
      <c r="D23" s="212" t="s">
        <v>3136</v>
      </c>
      <c r="E23" s="212">
        <v>39.67</v>
      </c>
      <c r="F23" s="212">
        <v>20</v>
      </c>
    </row>
    <row r="24" spans="1:6" x14ac:dyDescent="0.25">
      <c r="A24" s="212" t="s">
        <v>3166</v>
      </c>
      <c r="B24" s="212" t="s">
        <v>114</v>
      </c>
      <c r="C24" s="212" t="s">
        <v>117</v>
      </c>
      <c r="D24" s="212" t="s">
        <v>3136</v>
      </c>
      <c r="E24" s="212">
        <v>28.73</v>
      </c>
      <c r="F24" s="212">
        <v>10</v>
      </c>
    </row>
    <row r="25" spans="1:6" x14ac:dyDescent="0.25">
      <c r="A25" s="212" t="s">
        <v>3315</v>
      </c>
      <c r="B25" s="212" t="s">
        <v>114</v>
      </c>
      <c r="C25" s="212" t="s">
        <v>117</v>
      </c>
      <c r="D25" s="212" t="s">
        <v>3136</v>
      </c>
      <c r="E25" s="212">
        <v>45.25</v>
      </c>
      <c r="F25" s="212">
        <v>20</v>
      </c>
    </row>
    <row r="26" spans="1:6" x14ac:dyDescent="0.25">
      <c r="A26" s="212" t="s">
        <v>3316</v>
      </c>
      <c r="B26" s="212" t="s">
        <v>114</v>
      </c>
      <c r="C26" s="212" t="s">
        <v>117</v>
      </c>
      <c r="D26" s="212" t="s">
        <v>3136</v>
      </c>
      <c r="E26" s="212">
        <v>11.74</v>
      </c>
      <c r="F26" s="212">
        <v>5</v>
      </c>
    </row>
    <row r="27" spans="1:6" x14ac:dyDescent="0.25">
      <c r="A27" s="212" t="s">
        <v>3212</v>
      </c>
      <c r="B27" s="212" t="s">
        <v>114</v>
      </c>
      <c r="C27" s="212" t="s">
        <v>117</v>
      </c>
      <c r="D27" s="212" t="s">
        <v>3136</v>
      </c>
      <c r="E27" s="212">
        <v>17.440000000000001</v>
      </c>
      <c r="F27" s="212">
        <v>5</v>
      </c>
    </row>
    <row r="28" spans="1:6" x14ac:dyDescent="0.25">
      <c r="A28" s="212" t="s">
        <v>3213</v>
      </c>
      <c r="B28" s="212" t="s">
        <v>114</v>
      </c>
      <c r="C28" s="212" t="s">
        <v>117</v>
      </c>
      <c r="D28" s="212" t="s">
        <v>3136</v>
      </c>
      <c r="E28" s="212">
        <v>45.99</v>
      </c>
      <c r="F28" s="212">
        <v>10</v>
      </c>
    </row>
    <row r="29" spans="1:6" x14ac:dyDescent="0.25">
      <c r="A29" s="212" t="s">
        <v>3317</v>
      </c>
      <c r="B29" s="212" t="s">
        <v>114</v>
      </c>
      <c r="C29" s="212" t="s">
        <v>117</v>
      </c>
      <c r="D29" s="212" t="s">
        <v>3136</v>
      </c>
      <c r="E29" s="212">
        <v>118.25</v>
      </c>
      <c r="F29" s="212">
        <v>5</v>
      </c>
    </row>
    <row r="30" spans="1:6" x14ac:dyDescent="0.25">
      <c r="A30" s="212" t="s">
        <v>3101</v>
      </c>
      <c r="B30" s="212" t="s">
        <v>113</v>
      </c>
      <c r="C30" s="212" t="s">
        <v>117</v>
      </c>
      <c r="D30" s="212" t="s">
        <v>3136</v>
      </c>
      <c r="E30" s="212">
        <v>50</v>
      </c>
      <c r="F30" s="212">
        <v>20</v>
      </c>
    </row>
    <row r="31" spans="1:6" x14ac:dyDescent="0.25">
      <c r="A31" s="212" t="s">
        <v>3057</v>
      </c>
      <c r="B31" s="212" t="s">
        <v>113</v>
      </c>
      <c r="C31" s="212" t="s">
        <v>117</v>
      </c>
      <c r="D31" s="212" t="s">
        <v>3136</v>
      </c>
      <c r="E31" s="212">
        <v>26.79</v>
      </c>
      <c r="F31" s="212">
        <v>15</v>
      </c>
    </row>
    <row r="32" spans="1:6" x14ac:dyDescent="0.25">
      <c r="A32" s="212" t="s">
        <v>3058</v>
      </c>
      <c r="B32" s="212" t="s">
        <v>113</v>
      </c>
      <c r="C32" s="212" t="s">
        <v>117</v>
      </c>
      <c r="D32" s="212" t="s">
        <v>3136</v>
      </c>
      <c r="E32" s="212">
        <v>19.600000000000001</v>
      </c>
      <c r="F32" s="212">
        <v>10</v>
      </c>
    </row>
    <row r="33" spans="1:6" x14ac:dyDescent="0.25">
      <c r="A33" s="212" t="s">
        <v>3059</v>
      </c>
      <c r="B33" s="212" t="s">
        <v>113</v>
      </c>
      <c r="C33" s="212" t="s">
        <v>117</v>
      </c>
      <c r="D33" s="212" t="s">
        <v>3136</v>
      </c>
      <c r="E33" s="212">
        <v>21.6</v>
      </c>
      <c r="F33" s="212">
        <v>10</v>
      </c>
    </row>
    <row r="34" spans="1:6" x14ac:dyDescent="0.25">
      <c r="A34" s="212" t="s">
        <v>3214</v>
      </c>
      <c r="B34" s="212" t="s">
        <v>113</v>
      </c>
      <c r="C34" s="212" t="s">
        <v>117</v>
      </c>
      <c r="D34" s="212" t="s">
        <v>3136</v>
      </c>
      <c r="E34" s="212">
        <v>14.29</v>
      </c>
      <c r="F34" s="212">
        <v>5</v>
      </c>
    </row>
    <row r="35" spans="1:6" x14ac:dyDescent="0.25">
      <c r="A35" s="212" t="s">
        <v>3318</v>
      </c>
      <c r="B35" s="212" t="s">
        <v>114</v>
      </c>
      <c r="C35" s="212" t="s">
        <v>117</v>
      </c>
      <c r="D35" s="212" t="s">
        <v>3136</v>
      </c>
      <c r="E35" s="212">
        <v>50.94</v>
      </c>
      <c r="F35" s="212">
        <v>10</v>
      </c>
    </row>
    <row r="36" spans="1:6" x14ac:dyDescent="0.25">
      <c r="A36" s="212" t="s">
        <v>3319</v>
      </c>
      <c r="B36" s="212" t="s">
        <v>114</v>
      </c>
      <c r="C36" s="212" t="s">
        <v>117</v>
      </c>
      <c r="D36" s="212" t="s">
        <v>3136</v>
      </c>
      <c r="E36" s="212">
        <v>28.38</v>
      </c>
      <c r="F36" s="212">
        <v>5</v>
      </c>
    </row>
    <row r="37" spans="1:6" x14ac:dyDescent="0.25">
      <c r="A37" s="212" t="s">
        <v>3215</v>
      </c>
      <c r="B37" s="212" t="s">
        <v>114</v>
      </c>
      <c r="C37" s="212" t="s">
        <v>117</v>
      </c>
      <c r="D37" s="212" t="s">
        <v>3136</v>
      </c>
      <c r="E37" s="212">
        <v>16.84</v>
      </c>
      <c r="F37" s="212">
        <v>10</v>
      </c>
    </row>
    <row r="38" spans="1:6" x14ac:dyDescent="0.25">
      <c r="A38" s="212" t="s">
        <v>3060</v>
      </c>
      <c r="B38" s="212" t="s">
        <v>114</v>
      </c>
      <c r="C38" s="212" t="s">
        <v>117</v>
      </c>
      <c r="D38" s="212" t="s">
        <v>3136</v>
      </c>
      <c r="E38" s="212">
        <v>17.440000000000001</v>
      </c>
      <c r="F38" s="212">
        <v>5</v>
      </c>
    </row>
    <row r="39" spans="1:6" x14ac:dyDescent="0.25">
      <c r="A39" s="212" t="s">
        <v>3216</v>
      </c>
      <c r="B39" s="212" t="s">
        <v>114</v>
      </c>
      <c r="C39" s="212" t="s">
        <v>117</v>
      </c>
      <c r="D39" s="212" t="s">
        <v>3136</v>
      </c>
      <c r="E39" s="212">
        <v>19</v>
      </c>
      <c r="F39" s="212">
        <v>5</v>
      </c>
    </row>
    <row r="40" spans="1:6" x14ac:dyDescent="0.25">
      <c r="A40" s="212" t="s">
        <v>3217</v>
      </c>
      <c r="B40" s="212" t="s">
        <v>114</v>
      </c>
      <c r="C40" s="212" t="s">
        <v>117</v>
      </c>
      <c r="D40" s="212" t="s">
        <v>3136</v>
      </c>
      <c r="E40" s="212">
        <v>31.82</v>
      </c>
      <c r="F40" s="212">
        <v>10</v>
      </c>
    </row>
    <row r="41" spans="1:6" x14ac:dyDescent="0.25">
      <c r="A41" s="212" t="s">
        <v>3218</v>
      </c>
      <c r="B41" s="212" t="s">
        <v>114</v>
      </c>
      <c r="C41" s="212" t="s">
        <v>117</v>
      </c>
      <c r="D41" s="212" t="s">
        <v>3136</v>
      </c>
      <c r="E41" s="212">
        <v>72.67</v>
      </c>
      <c r="F41" s="212">
        <v>20</v>
      </c>
    </row>
    <row r="42" spans="1:6" x14ac:dyDescent="0.25">
      <c r="A42" s="212" t="s">
        <v>3219</v>
      </c>
      <c r="B42" s="212" t="s">
        <v>114</v>
      </c>
      <c r="C42" s="212" t="s">
        <v>117</v>
      </c>
      <c r="D42" s="212" t="s">
        <v>3136</v>
      </c>
      <c r="E42" s="212">
        <v>20.79</v>
      </c>
      <c r="F42" s="212">
        <v>5</v>
      </c>
    </row>
    <row r="43" spans="1:6" x14ac:dyDescent="0.25">
      <c r="A43" s="212" t="s">
        <v>3220</v>
      </c>
      <c r="B43" s="212" t="s">
        <v>114</v>
      </c>
      <c r="C43" s="212" t="s">
        <v>117</v>
      </c>
      <c r="D43" s="212" t="s">
        <v>3136</v>
      </c>
      <c r="E43" s="212">
        <v>27.7</v>
      </c>
      <c r="F43" s="212">
        <v>10</v>
      </c>
    </row>
    <row r="44" spans="1:6" x14ac:dyDescent="0.25">
      <c r="A44" s="212" t="s">
        <v>2909</v>
      </c>
      <c r="B44" s="212" t="s">
        <v>114</v>
      </c>
      <c r="C44" s="212" t="s">
        <v>117</v>
      </c>
      <c r="D44" s="212" t="s">
        <v>3136</v>
      </c>
      <c r="E44" s="212">
        <v>63.5</v>
      </c>
      <c r="F44" s="212">
        <v>5</v>
      </c>
    </row>
    <row r="45" spans="1:6" x14ac:dyDescent="0.25">
      <c r="A45" s="212" t="s">
        <v>2896</v>
      </c>
      <c r="B45" s="212" t="s">
        <v>113</v>
      </c>
      <c r="C45" s="212" t="s">
        <v>117</v>
      </c>
      <c r="D45" s="212" t="s">
        <v>3136</v>
      </c>
      <c r="E45" s="212">
        <v>153</v>
      </c>
      <c r="F45" s="212">
        <v>100</v>
      </c>
    </row>
    <row r="46" spans="1:6" x14ac:dyDescent="0.25">
      <c r="A46" s="212" t="s">
        <v>2895</v>
      </c>
      <c r="B46" s="212" t="s">
        <v>113</v>
      </c>
      <c r="C46" s="212" t="s">
        <v>117</v>
      </c>
      <c r="D46" s="212" t="s">
        <v>3136</v>
      </c>
      <c r="E46" s="212">
        <v>165</v>
      </c>
      <c r="F46" s="212">
        <v>100</v>
      </c>
    </row>
    <row r="47" spans="1:6" x14ac:dyDescent="0.25">
      <c r="A47" s="212" t="s">
        <v>3061</v>
      </c>
      <c r="B47" s="212" t="s">
        <v>113</v>
      </c>
      <c r="C47" s="212" t="s">
        <v>117</v>
      </c>
      <c r="D47" s="212" t="s">
        <v>3136</v>
      </c>
      <c r="E47" s="212">
        <v>183</v>
      </c>
      <c r="F47" s="212">
        <v>100</v>
      </c>
    </row>
    <row r="48" spans="1:6" x14ac:dyDescent="0.25">
      <c r="A48" s="212" t="s">
        <v>3225</v>
      </c>
      <c r="B48" s="212" t="s">
        <v>113</v>
      </c>
      <c r="C48" s="212" t="s">
        <v>117</v>
      </c>
      <c r="D48" s="212" t="s">
        <v>3136</v>
      </c>
      <c r="E48" s="212">
        <v>89.53</v>
      </c>
      <c r="F48" s="212">
        <v>60</v>
      </c>
    </row>
    <row r="49" spans="1:6" x14ac:dyDescent="0.25">
      <c r="A49" s="212" t="s">
        <v>3062</v>
      </c>
      <c r="B49" s="212" t="s">
        <v>113</v>
      </c>
      <c r="C49" s="212" t="s">
        <v>117</v>
      </c>
      <c r="D49" s="212" t="s">
        <v>3136</v>
      </c>
      <c r="E49" s="212">
        <v>183.48</v>
      </c>
      <c r="F49" s="212">
        <v>100</v>
      </c>
    </row>
    <row r="50" spans="1:6" x14ac:dyDescent="0.25">
      <c r="A50" s="212" t="s">
        <v>3063</v>
      </c>
      <c r="B50" s="212" t="s">
        <v>113</v>
      </c>
      <c r="C50" s="212" t="s">
        <v>117</v>
      </c>
      <c r="D50" s="212" t="s">
        <v>3136</v>
      </c>
      <c r="E50" s="212">
        <v>58.78</v>
      </c>
      <c r="F50" s="212">
        <v>30</v>
      </c>
    </row>
    <row r="51" spans="1:6" x14ac:dyDescent="0.25">
      <c r="A51" s="212" t="s">
        <v>3064</v>
      </c>
      <c r="B51" s="212" t="s">
        <v>113</v>
      </c>
      <c r="C51" s="212" t="s">
        <v>117</v>
      </c>
      <c r="D51" s="212" t="s">
        <v>3136</v>
      </c>
      <c r="E51" s="212">
        <v>53.08</v>
      </c>
      <c r="F51" s="212">
        <v>20</v>
      </c>
    </row>
    <row r="52" spans="1:6" x14ac:dyDescent="0.25">
      <c r="A52" s="212" t="s">
        <v>3174</v>
      </c>
      <c r="B52" s="212" t="s">
        <v>113</v>
      </c>
      <c r="C52" s="212" t="s">
        <v>117</v>
      </c>
      <c r="D52" s="212" t="s">
        <v>3136</v>
      </c>
      <c r="E52" s="212">
        <v>29.66</v>
      </c>
      <c r="F52" s="212">
        <v>20</v>
      </c>
    </row>
    <row r="53" spans="1:6" x14ac:dyDescent="0.25">
      <c r="A53" s="212" t="s">
        <v>2898</v>
      </c>
      <c r="B53" s="212" t="s">
        <v>113</v>
      </c>
      <c r="C53" s="212" t="s">
        <v>117</v>
      </c>
      <c r="D53" s="212" t="s">
        <v>3136</v>
      </c>
      <c r="E53" s="212">
        <v>55.22</v>
      </c>
      <c r="F53" s="212">
        <v>20</v>
      </c>
    </row>
    <row r="54" spans="1:6" x14ac:dyDescent="0.25">
      <c r="A54" s="212" t="s">
        <v>3065</v>
      </c>
      <c r="B54" s="212" t="s">
        <v>113</v>
      </c>
      <c r="C54" s="212" t="s">
        <v>117</v>
      </c>
      <c r="D54" s="212" t="s">
        <v>3136</v>
      </c>
      <c r="E54" s="212">
        <v>56.67</v>
      </c>
      <c r="F54" s="212">
        <v>15</v>
      </c>
    </row>
    <row r="55" spans="1:6" x14ac:dyDescent="0.25">
      <c r="A55" s="212" t="s">
        <v>3066</v>
      </c>
      <c r="B55" s="212" t="s">
        <v>113</v>
      </c>
      <c r="C55" s="212" t="s">
        <v>117</v>
      </c>
      <c r="D55" s="212" t="s">
        <v>3136</v>
      </c>
      <c r="E55" s="212">
        <v>24.6</v>
      </c>
      <c r="F55" s="212">
        <v>10</v>
      </c>
    </row>
    <row r="56" spans="1:6" x14ac:dyDescent="0.25">
      <c r="A56" s="212" t="s">
        <v>3067</v>
      </c>
      <c r="B56" s="212" t="s">
        <v>113</v>
      </c>
      <c r="C56" s="212" t="s">
        <v>117</v>
      </c>
      <c r="D56" s="212" t="s">
        <v>3136</v>
      </c>
      <c r="E56" s="212">
        <v>139.72999999999999</v>
      </c>
      <c r="F56" s="212">
        <v>50</v>
      </c>
    </row>
    <row r="57" spans="1:6" x14ac:dyDescent="0.25">
      <c r="A57" s="212" t="s">
        <v>3320</v>
      </c>
      <c r="B57" s="212" t="s">
        <v>113</v>
      </c>
      <c r="C57" s="212" t="s">
        <v>117</v>
      </c>
      <c r="D57" s="212" t="s">
        <v>3136</v>
      </c>
      <c r="E57" s="212">
        <v>11.66</v>
      </c>
      <c r="F57" s="212">
        <v>5</v>
      </c>
    </row>
    <row r="58" spans="1:6" x14ac:dyDescent="0.25">
      <c r="A58" s="212" t="s">
        <v>3226</v>
      </c>
      <c r="B58" s="212" t="s">
        <v>113</v>
      </c>
      <c r="C58" s="212" t="s">
        <v>117</v>
      </c>
      <c r="D58" s="212" t="s">
        <v>3136</v>
      </c>
      <c r="E58" s="212">
        <v>22.7</v>
      </c>
      <c r="F58" s="212">
        <v>10</v>
      </c>
    </row>
    <row r="59" spans="1:6" x14ac:dyDescent="0.25">
      <c r="A59" s="212" t="s">
        <v>3227</v>
      </c>
      <c r="B59" s="212" t="s">
        <v>113</v>
      </c>
      <c r="C59" s="212" t="s">
        <v>117</v>
      </c>
      <c r="D59" s="212" t="s">
        <v>3136</v>
      </c>
      <c r="E59" s="212">
        <v>21.5</v>
      </c>
      <c r="F59" s="212">
        <v>5</v>
      </c>
    </row>
    <row r="60" spans="1:6" x14ac:dyDescent="0.25">
      <c r="A60" s="212" t="s">
        <v>3068</v>
      </c>
      <c r="B60" s="212" t="s">
        <v>113</v>
      </c>
      <c r="C60" s="212" t="s">
        <v>117</v>
      </c>
      <c r="D60" s="212" t="s">
        <v>3136</v>
      </c>
      <c r="E60" s="212">
        <v>49.2</v>
      </c>
      <c r="F60" s="212">
        <v>15</v>
      </c>
    </row>
    <row r="61" spans="1:6" x14ac:dyDescent="0.25">
      <c r="A61" s="212" t="s">
        <v>3069</v>
      </c>
      <c r="B61" s="212" t="s">
        <v>113</v>
      </c>
      <c r="C61" s="212" t="s">
        <v>117</v>
      </c>
      <c r="D61" s="212" t="s">
        <v>3136</v>
      </c>
      <c r="E61" s="212">
        <v>86.25</v>
      </c>
      <c r="F61" s="212">
        <v>25</v>
      </c>
    </row>
    <row r="62" spans="1:6" x14ac:dyDescent="0.25">
      <c r="A62" s="212" t="s">
        <v>3070</v>
      </c>
      <c r="B62" s="212" t="s">
        <v>113</v>
      </c>
      <c r="C62" s="212" t="s">
        <v>117</v>
      </c>
      <c r="D62" s="212" t="s">
        <v>3136</v>
      </c>
      <c r="E62" s="212">
        <v>36.18</v>
      </c>
      <c r="F62" s="212">
        <v>10</v>
      </c>
    </row>
    <row r="63" spans="1:6" x14ac:dyDescent="0.25">
      <c r="A63" s="212" t="s">
        <v>3289</v>
      </c>
      <c r="B63" s="212" t="s">
        <v>113</v>
      </c>
      <c r="C63" s="212" t="s">
        <v>117</v>
      </c>
      <c r="D63" s="212" t="s">
        <v>3136</v>
      </c>
      <c r="E63" s="212">
        <v>28.56</v>
      </c>
      <c r="F63" s="212">
        <v>10</v>
      </c>
    </row>
    <row r="64" spans="1:6" x14ac:dyDescent="0.25">
      <c r="A64" s="212" t="s">
        <v>3071</v>
      </c>
      <c r="B64" s="212" t="s">
        <v>113</v>
      </c>
      <c r="C64" s="212" t="s">
        <v>117</v>
      </c>
      <c r="D64" s="212" t="s">
        <v>3136</v>
      </c>
      <c r="E64" s="212">
        <v>38.76</v>
      </c>
      <c r="F64" s="212">
        <v>20</v>
      </c>
    </row>
    <row r="65" spans="1:6" x14ac:dyDescent="0.25">
      <c r="A65" s="212" t="s">
        <v>3072</v>
      </c>
      <c r="B65" s="212" t="s">
        <v>113</v>
      </c>
      <c r="C65" s="212" t="s">
        <v>117</v>
      </c>
      <c r="D65" s="212" t="s">
        <v>3136</v>
      </c>
      <c r="E65" s="212">
        <v>59.13</v>
      </c>
      <c r="F65" s="212">
        <v>25</v>
      </c>
    </row>
    <row r="66" spans="1:6" x14ac:dyDescent="0.25">
      <c r="A66" s="212" t="s">
        <v>2902</v>
      </c>
      <c r="B66" s="212" t="s">
        <v>113</v>
      </c>
      <c r="C66" s="212" t="s">
        <v>117</v>
      </c>
      <c r="D66" s="212" t="s">
        <v>3136</v>
      </c>
      <c r="E66" s="212">
        <v>216.57</v>
      </c>
      <c r="F66" s="212">
        <v>80</v>
      </c>
    </row>
    <row r="67" spans="1:6" x14ac:dyDescent="0.25">
      <c r="A67" s="212" t="s">
        <v>2906</v>
      </c>
      <c r="B67" s="212" t="s">
        <v>113</v>
      </c>
      <c r="C67" s="212" t="s">
        <v>117</v>
      </c>
      <c r="D67" s="212" t="s">
        <v>3136</v>
      </c>
      <c r="E67" s="212">
        <v>49.7</v>
      </c>
      <c r="F67" s="212">
        <v>5</v>
      </c>
    </row>
    <row r="68" spans="1:6" x14ac:dyDescent="0.25">
      <c r="A68" s="212" t="s">
        <v>3229</v>
      </c>
      <c r="B68" s="212" t="s">
        <v>114</v>
      </c>
      <c r="C68" s="212" t="s">
        <v>117</v>
      </c>
      <c r="D68" s="212" t="s">
        <v>3136</v>
      </c>
      <c r="E68" s="212">
        <v>187.8</v>
      </c>
      <c r="F68" s="212">
        <v>30</v>
      </c>
    </row>
    <row r="69" spans="1:6" x14ac:dyDescent="0.25">
      <c r="A69" s="212" t="s">
        <v>3230</v>
      </c>
      <c r="B69" s="212" t="s">
        <v>114</v>
      </c>
      <c r="C69" s="212" t="s">
        <v>117</v>
      </c>
      <c r="D69" s="212" t="s">
        <v>3136</v>
      </c>
      <c r="E69" s="212">
        <v>100</v>
      </c>
      <c r="F69" s="212">
        <v>5</v>
      </c>
    </row>
    <row r="70" spans="1:6" x14ac:dyDescent="0.25">
      <c r="A70" s="212" t="s">
        <v>2899</v>
      </c>
      <c r="B70" s="212" t="s">
        <v>114</v>
      </c>
      <c r="C70" s="212" t="s">
        <v>117</v>
      </c>
      <c r="D70" s="212" t="s">
        <v>3136</v>
      </c>
      <c r="E70" s="212">
        <v>100.05</v>
      </c>
      <c r="F70" s="212">
        <v>50</v>
      </c>
    </row>
    <row r="71" spans="1:6" x14ac:dyDescent="0.25">
      <c r="A71" s="212" t="s">
        <v>3074</v>
      </c>
      <c r="B71" s="212" t="s">
        <v>114</v>
      </c>
      <c r="C71" s="212" t="s">
        <v>117</v>
      </c>
      <c r="D71" s="212" t="s">
        <v>3136</v>
      </c>
      <c r="E71" s="212">
        <v>14.48</v>
      </c>
      <c r="F71" s="212">
        <v>5</v>
      </c>
    </row>
    <row r="72" spans="1:6" x14ac:dyDescent="0.25">
      <c r="A72" s="212" t="s">
        <v>3075</v>
      </c>
      <c r="B72" s="212" t="s">
        <v>114</v>
      </c>
      <c r="C72" s="212" t="s">
        <v>117</v>
      </c>
      <c r="D72" s="212" t="s">
        <v>3136</v>
      </c>
      <c r="E72" s="212">
        <v>47.03</v>
      </c>
      <c r="F72" s="212">
        <v>15</v>
      </c>
    </row>
    <row r="73" spans="1:6" x14ac:dyDescent="0.25">
      <c r="A73" s="212" t="s">
        <v>3076</v>
      </c>
      <c r="B73" s="212" t="s">
        <v>114</v>
      </c>
      <c r="C73" s="212" t="s">
        <v>117</v>
      </c>
      <c r="D73" s="212" t="s">
        <v>3136</v>
      </c>
      <c r="E73" s="212">
        <v>16.39</v>
      </c>
      <c r="F73" s="212">
        <v>5</v>
      </c>
    </row>
    <row r="74" spans="1:6" x14ac:dyDescent="0.25">
      <c r="A74" s="212" t="s">
        <v>3321</v>
      </c>
      <c r="B74" s="212" t="s">
        <v>114</v>
      </c>
      <c r="C74" s="212" t="s">
        <v>117</v>
      </c>
      <c r="D74" s="212" t="s">
        <v>3136</v>
      </c>
      <c r="E74" s="212">
        <v>86.3</v>
      </c>
      <c r="F74" s="212">
        <v>25</v>
      </c>
    </row>
    <row r="75" spans="1:6" x14ac:dyDescent="0.25">
      <c r="A75" s="212" t="s">
        <v>3079</v>
      </c>
      <c r="B75" s="212" t="s">
        <v>114</v>
      </c>
      <c r="C75" s="212" t="s">
        <v>117</v>
      </c>
      <c r="D75" s="212" t="s">
        <v>3136</v>
      </c>
      <c r="E75" s="212">
        <v>24.9</v>
      </c>
      <c r="F75" s="212">
        <v>15</v>
      </c>
    </row>
    <row r="76" spans="1:6" x14ac:dyDescent="0.25">
      <c r="A76" s="212" t="s">
        <v>3080</v>
      </c>
      <c r="B76" s="212" t="s">
        <v>114</v>
      </c>
      <c r="C76" s="212" t="s">
        <v>117</v>
      </c>
      <c r="D76" s="212" t="s">
        <v>3136</v>
      </c>
      <c r="E76" s="212">
        <v>53.4</v>
      </c>
      <c r="F76" s="212">
        <v>30</v>
      </c>
    </row>
    <row r="77" spans="1:6" x14ac:dyDescent="0.25">
      <c r="A77" s="212" t="s">
        <v>3232</v>
      </c>
      <c r="B77" s="212" t="s">
        <v>114</v>
      </c>
      <c r="C77" s="212" t="s">
        <v>117</v>
      </c>
      <c r="D77" s="212" t="s">
        <v>3136</v>
      </c>
      <c r="E77" s="212">
        <v>81.14</v>
      </c>
      <c r="F77" s="212">
        <v>20</v>
      </c>
    </row>
    <row r="78" spans="1:6" x14ac:dyDescent="0.25">
      <c r="A78" s="212" t="s">
        <v>3322</v>
      </c>
      <c r="B78" s="212" t="s">
        <v>114</v>
      </c>
      <c r="C78" s="212" t="s">
        <v>117</v>
      </c>
      <c r="D78" s="212" t="s">
        <v>3136</v>
      </c>
      <c r="E78" s="212">
        <v>45.62</v>
      </c>
      <c r="F78" s="212">
        <v>10</v>
      </c>
    </row>
    <row r="79" spans="1:6" x14ac:dyDescent="0.25">
      <c r="A79" s="212" t="s">
        <v>3233</v>
      </c>
      <c r="B79" s="212" t="s">
        <v>114</v>
      </c>
      <c r="C79" s="212" t="s">
        <v>117</v>
      </c>
      <c r="D79" s="212" t="s">
        <v>3136</v>
      </c>
      <c r="E79" s="212">
        <v>26.92</v>
      </c>
      <c r="F79" s="212">
        <v>5</v>
      </c>
    </row>
    <row r="80" spans="1:6" x14ac:dyDescent="0.25">
      <c r="A80" s="212" t="s">
        <v>3234</v>
      </c>
      <c r="B80" s="212" t="s">
        <v>114</v>
      </c>
      <c r="C80" s="212" t="s">
        <v>117</v>
      </c>
      <c r="D80" s="212" t="s">
        <v>3136</v>
      </c>
      <c r="E80" s="212">
        <v>222</v>
      </c>
      <c r="F80" s="212">
        <v>100</v>
      </c>
    </row>
    <row r="81" spans="1:6" x14ac:dyDescent="0.25">
      <c r="A81" s="212" t="s">
        <v>3235</v>
      </c>
      <c r="B81" s="212" t="s">
        <v>114</v>
      </c>
      <c r="C81" s="212" t="s">
        <v>117</v>
      </c>
      <c r="D81" s="212" t="s">
        <v>3136</v>
      </c>
      <c r="E81" s="212">
        <v>34.950000000000003</v>
      </c>
      <c r="F81" s="212">
        <v>15</v>
      </c>
    </row>
    <row r="82" spans="1:6" x14ac:dyDescent="0.25">
      <c r="A82" s="212" t="s">
        <v>2900</v>
      </c>
      <c r="B82" s="212" t="s">
        <v>114</v>
      </c>
      <c r="C82" s="212" t="s">
        <v>117</v>
      </c>
      <c r="D82" s="212" t="s">
        <v>3136</v>
      </c>
      <c r="E82" s="212">
        <v>102.34</v>
      </c>
      <c r="F82" s="212">
        <v>20</v>
      </c>
    </row>
    <row r="83" spans="1:6" x14ac:dyDescent="0.25">
      <c r="A83" s="212"/>
      <c r="B83" s="212"/>
      <c r="C83" s="212"/>
      <c r="D83" s="212"/>
      <c r="E83" s="212"/>
      <c r="F83" s="212"/>
    </row>
    <row r="84" spans="1:6" x14ac:dyDescent="0.25">
      <c r="A84" s="306" t="s">
        <v>131</v>
      </c>
      <c r="B84" s="306"/>
      <c r="C84" s="306"/>
      <c r="D84" s="307"/>
      <c r="E84" s="125" t="s">
        <v>2994</v>
      </c>
      <c r="F84" s="126">
        <f ca="1">SUM(F13:OFFSET(F84,-1,0))</f>
        <v>1520</v>
      </c>
    </row>
    <row r="85" spans="1:6" x14ac:dyDescent="0.25">
      <c r="A85" s="127" t="s">
        <v>2993</v>
      </c>
      <c r="B85" s="308" t="s">
        <v>2988</v>
      </c>
      <c r="C85" s="308"/>
      <c r="D85" s="153" t="s">
        <v>153</v>
      </c>
      <c r="E85" s="129"/>
      <c r="F85" s="129"/>
    </row>
    <row r="86" spans="1:6" x14ac:dyDescent="0.25">
      <c r="A86" s="304">
        <v>1</v>
      </c>
      <c r="B86" s="304">
        <f ca="1">COUNTA(A13:OFFSET(FRSubManBox,-1,0))</f>
        <v>70</v>
      </c>
      <c r="C86" s="304"/>
      <c r="D86" s="305">
        <f ca="1">F84</f>
        <v>1520</v>
      </c>
      <c r="E86" s="130"/>
      <c r="F86" s="131"/>
    </row>
    <row r="87" spans="1:6" x14ac:dyDescent="0.25">
      <c r="A87" s="304"/>
      <c r="B87" s="304"/>
      <c r="C87" s="304"/>
      <c r="D87" s="304"/>
      <c r="E87" s="130"/>
      <c r="F87" s="131"/>
    </row>
    <row r="88" spans="1:6" x14ac:dyDescent="0.25">
      <c r="A88" s="36"/>
      <c r="B88" s="37"/>
      <c r="C88" s="37"/>
      <c r="D88" s="37"/>
      <c r="E88" s="37"/>
      <c r="F88" s="43"/>
    </row>
    <row r="89" spans="1:6" x14ac:dyDescent="0.25">
      <c r="A89" s="36"/>
      <c r="B89" s="37"/>
      <c r="C89" s="37"/>
      <c r="D89" s="37"/>
      <c r="E89" s="37"/>
      <c r="F89" s="43"/>
    </row>
    <row r="90" spans="1:6" x14ac:dyDescent="0.25">
      <c r="A90" s="38"/>
      <c r="B90" s="39"/>
      <c r="C90" s="39"/>
      <c r="D90" s="40"/>
      <c r="E90" s="40"/>
      <c r="F90" s="44"/>
    </row>
    <row r="91" spans="1:6" x14ac:dyDescent="0.25">
      <c r="A91" s="98" t="s">
        <v>135</v>
      </c>
      <c r="B91" s="51"/>
      <c r="C91" s="51"/>
      <c r="D91" s="40"/>
      <c r="E91" s="40"/>
      <c r="F91" s="44"/>
    </row>
    <row r="92" spans="1:6" x14ac:dyDescent="0.25">
      <c r="A92" s="132"/>
      <c r="B92" s="133"/>
      <c r="C92" s="133"/>
      <c r="D92" s="133"/>
      <c r="E92" s="133"/>
      <c r="F92" s="134"/>
    </row>
  </sheetData>
  <mergeCells count="15">
    <mergeCell ref="A84:D84"/>
    <mergeCell ref="B85:C85"/>
    <mergeCell ref="A86:A87"/>
    <mergeCell ref="B86:C87"/>
    <mergeCell ref="D86:D87"/>
    <mergeCell ref="A10:F10"/>
    <mergeCell ref="A11:F11"/>
    <mergeCell ref="A5:C9"/>
    <mergeCell ref="D5:F9"/>
    <mergeCell ref="A1:F1"/>
    <mergeCell ref="A2:C2"/>
    <mergeCell ref="D2:F2"/>
    <mergeCell ref="A3:C3"/>
    <mergeCell ref="A4:C4"/>
    <mergeCell ref="D4:F4"/>
  </mergeCells>
  <pageMargins left="0" right="0" top="0" bottom="0" header="0" footer="0"/>
  <pageSetup paperSize="9" scale="60" orientation="portrait" r:id="rId1"/>
  <drawing r:id="rId2"/>
  <legacyDrawing r:id="rId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025388-72EC-4B4D-95BE-02CF35F56D3A}">
  <sheetPr codeName="AUInvoice">
    <pageSetUpPr fitToPage="1"/>
  </sheetPr>
  <dimension ref="A1:H111"/>
  <sheetViews>
    <sheetView topLeftCell="A97" workbookViewId="0">
      <selection activeCell="A102" sqref="A102:E105"/>
    </sheetView>
  </sheetViews>
  <sheetFormatPr defaultRowHeight="15" x14ac:dyDescent="0.25"/>
  <cols>
    <col min="1" max="1" width="24" customWidth="1"/>
    <col min="2" max="3" width="9.7109375" customWidth="1"/>
    <col min="4" max="4" width="13.7109375" customWidth="1"/>
    <col min="5" max="5" width="12.42578125" customWidth="1"/>
    <col min="6" max="6" width="8.42578125" customWidth="1"/>
    <col min="7" max="7" width="9.7109375" customWidth="1"/>
    <col min="8" max="8" width="31.7109375" customWidth="1"/>
    <col min="9" max="12" width="13.28515625" customWidth="1"/>
  </cols>
  <sheetData>
    <row r="1" spans="1:8" x14ac:dyDescent="0.25">
      <c r="A1" s="238" t="s">
        <v>151</v>
      </c>
      <c r="B1" s="239"/>
      <c r="C1" s="239"/>
      <c r="D1" s="239"/>
      <c r="E1" s="239"/>
      <c r="F1" s="239"/>
      <c r="G1" s="239"/>
      <c r="H1" s="240"/>
    </row>
    <row r="2" spans="1:8" ht="18.75" x14ac:dyDescent="0.3">
      <c r="A2" s="149" t="s">
        <v>2862</v>
      </c>
      <c r="B2" s="62" t="s">
        <v>2877</v>
      </c>
      <c r="C2" s="149"/>
      <c r="D2" s="62" t="s">
        <v>2878</v>
      </c>
      <c r="E2" s="62"/>
      <c r="F2" s="62"/>
      <c r="G2" s="62" t="s">
        <v>2879</v>
      </c>
      <c r="H2" s="72"/>
    </row>
    <row r="3" spans="1:8" x14ac:dyDescent="0.25">
      <c r="A3" s="73">
        <f>'Sku List'!G31</f>
        <v>44538</v>
      </c>
      <c r="B3" s="74" t="s">
        <v>122</v>
      </c>
      <c r="C3" s="74"/>
      <c r="D3" s="74" t="str">
        <f>'Sku List'!G28</f>
        <v>FBA15FKLH7CH</v>
      </c>
      <c r="E3" s="74"/>
      <c r="F3" s="4"/>
      <c r="G3" s="74" t="s">
        <v>102</v>
      </c>
      <c r="H3" s="75"/>
    </row>
    <row r="4" spans="1:8" ht="18.75" x14ac:dyDescent="0.3">
      <c r="A4" s="60" t="s">
        <v>2881</v>
      </c>
      <c r="B4" s="61"/>
      <c r="C4" s="150"/>
      <c r="D4" s="61" t="s">
        <v>2880</v>
      </c>
      <c r="E4" s="61"/>
      <c r="F4" s="61"/>
      <c r="G4" s="61"/>
      <c r="H4" s="150"/>
    </row>
    <row r="5" spans="1:8" ht="14.45" customHeight="1" x14ac:dyDescent="0.25">
      <c r="A5" s="241" t="s">
        <v>2882</v>
      </c>
      <c r="B5" s="242"/>
      <c r="C5" s="273"/>
      <c r="D5" s="243" t="s">
        <v>2882</v>
      </c>
      <c r="E5" s="244"/>
      <c r="F5" s="244"/>
      <c r="G5" s="244"/>
      <c r="H5" s="247"/>
    </row>
    <row r="6" spans="1:8" ht="15" customHeight="1" x14ac:dyDescent="0.25">
      <c r="A6" s="243"/>
      <c r="B6" s="244"/>
      <c r="C6" s="247"/>
      <c r="D6" s="243"/>
      <c r="E6" s="244"/>
      <c r="F6" s="244"/>
      <c r="G6" s="244"/>
      <c r="H6" s="247"/>
    </row>
    <row r="7" spans="1:8" ht="15" customHeight="1" x14ac:dyDescent="0.25">
      <c r="A7" s="243"/>
      <c r="B7" s="244"/>
      <c r="C7" s="247"/>
      <c r="D7" s="243"/>
      <c r="E7" s="244"/>
      <c r="F7" s="244"/>
      <c r="G7" s="244"/>
      <c r="H7" s="247"/>
    </row>
    <row r="8" spans="1:8" x14ac:dyDescent="0.25">
      <c r="A8" s="243"/>
      <c r="B8" s="244"/>
      <c r="C8" s="247"/>
      <c r="D8" s="243"/>
      <c r="E8" s="244"/>
      <c r="F8" s="244"/>
      <c r="G8" s="244"/>
      <c r="H8" s="247"/>
    </row>
    <row r="9" spans="1:8" ht="15" customHeight="1" x14ac:dyDescent="0.25">
      <c r="A9" s="245"/>
      <c r="B9" s="246"/>
      <c r="C9" s="274"/>
      <c r="D9" s="243"/>
      <c r="E9" s="244"/>
      <c r="F9" s="244"/>
      <c r="G9" s="244"/>
      <c r="H9" s="247"/>
    </row>
    <row r="10" spans="1:8" ht="18.75" x14ac:dyDescent="0.3">
      <c r="A10" s="66" t="s">
        <v>2883</v>
      </c>
      <c r="B10" s="66"/>
      <c r="C10" s="66"/>
      <c r="D10" s="66" t="s">
        <v>3024</v>
      </c>
      <c r="E10" s="82"/>
      <c r="F10" s="82"/>
      <c r="G10" s="82"/>
      <c r="H10" s="168"/>
    </row>
    <row r="11" spans="1:8" ht="18.75" x14ac:dyDescent="0.3">
      <c r="A11" s="85" t="s">
        <v>143</v>
      </c>
      <c r="B11" s="86"/>
      <c r="C11" s="86"/>
      <c r="D11" s="337">
        <v>80136012376</v>
      </c>
      <c r="E11" s="338"/>
      <c r="F11" s="338"/>
      <c r="G11" s="169"/>
      <c r="H11" s="78"/>
    </row>
    <row r="12" spans="1:8" ht="18.75" x14ac:dyDescent="0.3">
      <c r="A12" s="63" t="s">
        <v>2885</v>
      </c>
      <c r="B12" s="64"/>
      <c r="C12" s="65"/>
      <c r="D12" s="64" t="s">
        <v>2886</v>
      </c>
      <c r="E12" s="64"/>
      <c r="F12" s="64"/>
      <c r="G12" s="64"/>
      <c r="H12" s="65"/>
    </row>
    <row r="13" spans="1:8" ht="15" customHeight="1" x14ac:dyDescent="0.25">
      <c r="A13" s="88" t="str">
        <f>'Sku List'!G25</f>
        <v>FR 21-12-04</v>
      </c>
      <c r="B13" s="88"/>
      <c r="C13" s="88"/>
      <c r="D13" s="248" t="str">
        <f ca="1">'Sku List'!H16</f>
        <v>TRANSATLANTIC STERLING LIMITED
c/o FBA
Amazon Fulfillment Center (BWU2), 
13 Emporium Avenue 2178 
Kemps Creek, NSW  
Australia</v>
      </c>
      <c r="E13" s="248"/>
      <c r="F13" s="248"/>
      <c r="G13" s="248"/>
      <c r="H13" s="249"/>
    </row>
    <row r="14" spans="1:8" ht="18.75" x14ac:dyDescent="0.3">
      <c r="A14" s="60" t="s">
        <v>2887</v>
      </c>
      <c r="B14" s="90"/>
      <c r="C14" s="91"/>
      <c r="D14" s="248"/>
      <c r="E14" s="248"/>
      <c r="F14" s="248"/>
      <c r="G14" s="248"/>
      <c r="H14" s="249"/>
    </row>
    <row r="15" spans="1:8" ht="18.75" x14ac:dyDescent="0.25">
      <c r="A15" s="92" t="s">
        <v>3206</v>
      </c>
      <c r="B15" s="83"/>
      <c r="C15" s="116"/>
      <c r="D15" s="248"/>
      <c r="E15" s="248"/>
      <c r="F15" s="248"/>
      <c r="G15" s="248"/>
      <c r="H15" s="249"/>
    </row>
    <row r="16" spans="1:8" ht="18.75" x14ac:dyDescent="0.3">
      <c r="A16" s="60" t="s">
        <v>126</v>
      </c>
      <c r="B16" s="90"/>
      <c r="C16" s="91"/>
      <c r="D16" s="248"/>
      <c r="E16" s="248"/>
      <c r="F16" s="248"/>
      <c r="G16" s="248"/>
      <c r="H16" s="249"/>
    </row>
    <row r="17" spans="1:8" x14ac:dyDescent="0.25">
      <c r="A17" s="93"/>
      <c r="B17" s="83"/>
      <c r="C17" s="116"/>
      <c r="D17" s="248"/>
      <c r="E17" s="248"/>
      <c r="F17" s="248"/>
      <c r="G17" s="248"/>
      <c r="H17" s="249"/>
    </row>
    <row r="18" spans="1:8" ht="18.75" x14ac:dyDescent="0.3">
      <c r="A18" s="60" t="s">
        <v>127</v>
      </c>
      <c r="B18" s="90"/>
      <c r="C18" s="91"/>
      <c r="D18" s="248"/>
      <c r="E18" s="248"/>
      <c r="F18" s="248"/>
      <c r="G18" s="248"/>
      <c r="H18" s="249"/>
    </row>
    <row r="19" spans="1:8" ht="18.75" x14ac:dyDescent="0.3">
      <c r="A19" s="89" t="str">
        <f>'Sku List'!G25</f>
        <v>FR 21-12-04</v>
      </c>
      <c r="B19" s="81"/>
      <c r="C19" s="78"/>
      <c r="D19" s="248"/>
      <c r="E19" s="248"/>
      <c r="F19" s="248"/>
      <c r="G19" s="248"/>
      <c r="H19" s="249"/>
    </row>
    <row r="20" spans="1:8" ht="42.6" customHeight="1" x14ac:dyDescent="0.25">
      <c r="A20" s="148" t="s">
        <v>2888</v>
      </c>
      <c r="B20" s="148" t="s">
        <v>129</v>
      </c>
      <c r="C20" s="148" t="s">
        <v>2889</v>
      </c>
      <c r="D20" s="34" t="s">
        <v>3207</v>
      </c>
      <c r="E20" s="34" t="s">
        <v>2990</v>
      </c>
      <c r="F20" s="34" t="s">
        <v>130</v>
      </c>
      <c r="G20" s="34" t="s">
        <v>3209</v>
      </c>
      <c r="H20" s="34" t="s">
        <v>3208</v>
      </c>
    </row>
    <row r="21" spans="1:8" ht="27" customHeight="1" x14ac:dyDescent="0.25">
      <c r="A21" s="185" t="s">
        <v>2901</v>
      </c>
      <c r="B21" s="185" t="s">
        <v>113</v>
      </c>
      <c r="C21" s="185" t="s">
        <v>117</v>
      </c>
      <c r="D21" s="185" t="s">
        <v>3136</v>
      </c>
      <c r="E21" s="186">
        <v>4</v>
      </c>
      <c r="F21" s="185">
        <v>2</v>
      </c>
      <c r="G21" s="186">
        <v>4.8029671671815501</v>
      </c>
      <c r="H21" s="155">
        <f>PRODUCT(G21,F21)</f>
        <v>9.6059343343631003</v>
      </c>
    </row>
    <row r="22" spans="1:8" ht="27" customHeight="1" x14ac:dyDescent="0.25">
      <c r="A22" s="185" t="s">
        <v>3139</v>
      </c>
      <c r="B22" s="185" t="s">
        <v>113</v>
      </c>
      <c r="C22" s="185" t="s">
        <v>117</v>
      </c>
      <c r="D22" s="185" t="s">
        <v>3136</v>
      </c>
      <c r="E22" s="186">
        <v>16.318309859154901</v>
      </c>
      <c r="F22" s="185">
        <v>6</v>
      </c>
      <c r="G22" s="186">
        <v>6.3061283138156474</v>
      </c>
      <c r="H22" s="155">
        <f t="shared" ref="H22:H85" si="0">PRODUCT(G22,F22)</f>
        <v>37.836769882893883</v>
      </c>
    </row>
    <row r="23" spans="1:8" ht="27" customHeight="1" x14ac:dyDescent="0.25">
      <c r="A23" s="185" t="s">
        <v>2896</v>
      </c>
      <c r="B23" s="185" t="s">
        <v>113</v>
      </c>
      <c r="C23" s="185" t="s">
        <v>117</v>
      </c>
      <c r="D23" s="185" t="s">
        <v>3136</v>
      </c>
      <c r="E23" s="186">
        <v>76.5</v>
      </c>
      <c r="F23" s="185">
        <v>50</v>
      </c>
      <c r="G23" s="186">
        <v>3.0950499317479703</v>
      </c>
      <c r="H23" s="155">
        <f t="shared" si="0"/>
        <v>154.75249658739853</v>
      </c>
    </row>
    <row r="24" spans="1:8" ht="27" customHeight="1" x14ac:dyDescent="0.25">
      <c r="A24" s="185" t="s">
        <v>2895</v>
      </c>
      <c r="B24" s="185" t="s">
        <v>113</v>
      </c>
      <c r="C24" s="185" t="s">
        <v>117</v>
      </c>
      <c r="D24" s="185" t="s">
        <v>3136</v>
      </c>
      <c r="E24" s="186">
        <v>82.5</v>
      </c>
      <c r="F24" s="185">
        <v>50</v>
      </c>
      <c r="G24" s="186">
        <v>3.2886701630864286</v>
      </c>
      <c r="H24" s="155">
        <f t="shared" si="0"/>
        <v>164.43350815432143</v>
      </c>
    </row>
    <row r="25" spans="1:8" ht="27" customHeight="1" x14ac:dyDescent="0.25">
      <c r="A25" s="185" t="s">
        <v>3061</v>
      </c>
      <c r="B25" s="185" t="s">
        <v>113</v>
      </c>
      <c r="C25" s="185" t="s">
        <v>117</v>
      </c>
      <c r="D25" s="185" t="s">
        <v>3136</v>
      </c>
      <c r="E25" s="186">
        <v>91.5</v>
      </c>
      <c r="F25" s="185">
        <v>50</v>
      </c>
      <c r="G25" s="186">
        <v>3.5791005100941158</v>
      </c>
      <c r="H25" s="155">
        <f t="shared" si="0"/>
        <v>178.95502550470579</v>
      </c>
    </row>
    <row r="26" spans="1:8" ht="27" customHeight="1" x14ac:dyDescent="0.25">
      <c r="A26" s="185" t="s">
        <v>3174</v>
      </c>
      <c r="B26" s="185" t="s">
        <v>113</v>
      </c>
      <c r="C26" s="185" t="s">
        <v>117</v>
      </c>
      <c r="D26" s="185" t="s">
        <v>3136</v>
      </c>
      <c r="E26" s="186">
        <v>14.8316831683168</v>
      </c>
      <c r="F26" s="185">
        <v>10</v>
      </c>
      <c r="G26" s="186">
        <v>3.6295710898771461</v>
      </c>
      <c r="H26" s="155">
        <f t="shared" si="0"/>
        <v>36.295710898771461</v>
      </c>
    </row>
    <row r="27" spans="1:8" ht="27" customHeight="1" x14ac:dyDescent="0.25">
      <c r="A27" s="185" t="s">
        <v>2897</v>
      </c>
      <c r="B27" s="185" t="s">
        <v>113</v>
      </c>
      <c r="C27" s="185" t="s">
        <v>117</v>
      </c>
      <c r="D27" s="185" t="s">
        <v>3136</v>
      </c>
      <c r="E27" s="186">
        <v>23.332007952286304</v>
      </c>
      <c r="F27" s="185">
        <v>10</v>
      </c>
      <c r="G27" s="186">
        <v>4.2066599612041093</v>
      </c>
      <c r="H27" s="155">
        <f t="shared" si="0"/>
        <v>42.066599612041095</v>
      </c>
    </row>
    <row r="28" spans="1:8" ht="27" customHeight="1" x14ac:dyDescent="0.25">
      <c r="A28" s="185" t="s">
        <v>2898</v>
      </c>
      <c r="B28" s="185" t="s">
        <v>113</v>
      </c>
      <c r="C28" s="185" t="s">
        <v>117</v>
      </c>
      <c r="D28" s="185" t="s">
        <v>3136</v>
      </c>
      <c r="E28" s="186">
        <v>55.216000000000001</v>
      </c>
      <c r="F28" s="185">
        <v>20</v>
      </c>
      <c r="G28" s="186">
        <v>4.8629571089877146</v>
      </c>
      <c r="H28" s="155">
        <f t="shared" si="0"/>
        <v>97.259142179754292</v>
      </c>
    </row>
    <row r="29" spans="1:8" ht="27" customHeight="1" x14ac:dyDescent="0.25">
      <c r="A29" s="185" t="s">
        <v>3065</v>
      </c>
      <c r="B29" s="185" t="s">
        <v>113</v>
      </c>
      <c r="C29" s="185" t="s">
        <v>117</v>
      </c>
      <c r="D29" s="185" t="s">
        <v>3136</v>
      </c>
      <c r="E29" s="186">
        <v>37.783037475345196</v>
      </c>
      <c r="F29" s="185">
        <v>10</v>
      </c>
      <c r="G29" s="186">
        <v>6.4246713125942954</v>
      </c>
      <c r="H29" s="155">
        <f t="shared" si="0"/>
        <v>64.246713125942961</v>
      </c>
    </row>
    <row r="30" spans="1:8" ht="27" customHeight="1" x14ac:dyDescent="0.25">
      <c r="A30" s="185" t="s">
        <v>3071</v>
      </c>
      <c r="B30" s="185" t="s">
        <v>113</v>
      </c>
      <c r="C30" s="185" t="s">
        <v>117</v>
      </c>
      <c r="D30" s="185" t="s">
        <v>3136</v>
      </c>
      <c r="E30" s="186">
        <v>19.38</v>
      </c>
      <c r="F30" s="185">
        <v>10</v>
      </c>
      <c r="G30" s="186">
        <v>3.6920755801422516</v>
      </c>
      <c r="H30" s="155">
        <f t="shared" si="0"/>
        <v>36.920755801422516</v>
      </c>
    </row>
    <row r="31" spans="1:8" ht="27" customHeight="1" x14ac:dyDescent="0.25">
      <c r="A31" s="185" t="s">
        <v>3072</v>
      </c>
      <c r="B31" s="185" t="s">
        <v>113</v>
      </c>
      <c r="C31" s="185" t="s">
        <v>117</v>
      </c>
      <c r="D31" s="185" t="s">
        <v>3136</v>
      </c>
      <c r="E31" s="186">
        <v>23.650602409638601</v>
      </c>
      <c r="F31" s="185">
        <v>10</v>
      </c>
      <c r="G31" s="186">
        <v>4.3679502837847544</v>
      </c>
      <c r="H31" s="155">
        <f t="shared" si="0"/>
        <v>43.679502837847544</v>
      </c>
    </row>
    <row r="32" spans="1:8" ht="27" customHeight="1" x14ac:dyDescent="0.25">
      <c r="A32" s="185" t="s">
        <v>2902</v>
      </c>
      <c r="B32" s="185" t="s">
        <v>113</v>
      </c>
      <c r="C32" s="185" t="s">
        <v>117</v>
      </c>
      <c r="D32" s="185" t="s">
        <v>3136</v>
      </c>
      <c r="E32" s="186">
        <v>27.0711462450593</v>
      </c>
      <c r="F32" s="185">
        <v>10</v>
      </c>
      <c r="G32" s="186">
        <v>4.9091170342697028</v>
      </c>
      <c r="H32" s="155">
        <f t="shared" si="0"/>
        <v>49.091170342697026</v>
      </c>
    </row>
    <row r="33" spans="1:8" ht="27" customHeight="1" x14ac:dyDescent="0.25">
      <c r="A33" s="185" t="s">
        <v>3073</v>
      </c>
      <c r="B33" s="185" t="s">
        <v>113</v>
      </c>
      <c r="C33" s="185" t="s">
        <v>117</v>
      </c>
      <c r="D33" s="185" t="s">
        <v>3136</v>
      </c>
      <c r="E33" s="186">
        <v>18.776470588235281</v>
      </c>
      <c r="F33" s="185">
        <v>6</v>
      </c>
      <c r="G33" s="186">
        <v>5.5772684819311724</v>
      </c>
      <c r="H33" s="155">
        <f t="shared" si="0"/>
        <v>33.463610891587038</v>
      </c>
    </row>
    <row r="34" spans="1:8" ht="27" customHeight="1" x14ac:dyDescent="0.25">
      <c r="A34" s="185" t="s">
        <v>2906</v>
      </c>
      <c r="B34" s="185" t="s">
        <v>113</v>
      </c>
      <c r="C34" s="185" t="s">
        <v>117</v>
      </c>
      <c r="D34" s="185" t="s">
        <v>3136</v>
      </c>
      <c r="E34" s="186">
        <v>39.76</v>
      </c>
      <c r="F34" s="185">
        <v>4</v>
      </c>
      <c r="G34" s="186">
        <v>16.352827070910266</v>
      </c>
      <c r="H34" s="155">
        <f t="shared" si="0"/>
        <v>65.411308283641063</v>
      </c>
    </row>
    <row r="35" spans="1:8" ht="27" customHeight="1" x14ac:dyDescent="0.25">
      <c r="A35" s="185" t="s">
        <v>3175</v>
      </c>
      <c r="B35" s="185" t="s">
        <v>113</v>
      </c>
      <c r="C35" s="185" t="s">
        <v>117</v>
      </c>
      <c r="D35" s="185" t="s">
        <v>3136</v>
      </c>
      <c r="E35" s="186">
        <v>84.84</v>
      </c>
      <c r="F35" s="185">
        <v>6</v>
      </c>
      <c r="G35" s="186">
        <v>22.466772038221134</v>
      </c>
      <c r="H35" s="155">
        <f t="shared" si="0"/>
        <v>134.80063222932679</v>
      </c>
    </row>
    <row r="36" spans="1:8" ht="27" customHeight="1" x14ac:dyDescent="0.25">
      <c r="A36" s="185" t="s">
        <v>2899</v>
      </c>
      <c r="B36" s="185" t="s">
        <v>114</v>
      </c>
      <c r="C36" s="185" t="s">
        <v>117</v>
      </c>
      <c r="D36" s="185" t="s">
        <v>3136</v>
      </c>
      <c r="E36" s="186">
        <v>20.009803921568601</v>
      </c>
      <c r="F36" s="185">
        <v>10</v>
      </c>
      <c r="G36" s="186">
        <v>3.9501760183921255</v>
      </c>
      <c r="H36" s="155">
        <f t="shared" si="0"/>
        <v>39.501760183921256</v>
      </c>
    </row>
    <row r="37" spans="1:8" ht="27" customHeight="1" x14ac:dyDescent="0.25">
      <c r="A37" s="185" t="s">
        <v>3074</v>
      </c>
      <c r="B37" s="185" t="s">
        <v>114</v>
      </c>
      <c r="C37" s="185" t="s">
        <v>117</v>
      </c>
      <c r="D37" s="185" t="s">
        <v>3136</v>
      </c>
      <c r="E37" s="186">
        <v>28.97</v>
      </c>
      <c r="F37" s="185">
        <v>10</v>
      </c>
      <c r="G37" s="186">
        <v>5.4387887060852069</v>
      </c>
      <c r="H37" s="155">
        <f t="shared" si="0"/>
        <v>54.387887060852066</v>
      </c>
    </row>
    <row r="38" spans="1:8" ht="27" customHeight="1" x14ac:dyDescent="0.25">
      <c r="A38" s="185" t="s">
        <v>3079</v>
      </c>
      <c r="B38" s="185" t="s">
        <v>114</v>
      </c>
      <c r="C38" s="185" t="s">
        <v>117</v>
      </c>
      <c r="D38" s="185" t="s">
        <v>3136</v>
      </c>
      <c r="E38" s="186">
        <v>6.64</v>
      </c>
      <c r="F38" s="185">
        <v>4</v>
      </c>
      <c r="G38" s="186">
        <v>3.4623536173575684</v>
      </c>
      <c r="H38" s="155">
        <f t="shared" si="0"/>
        <v>13.849414469430274</v>
      </c>
    </row>
    <row r="39" spans="1:8" ht="27" customHeight="1" x14ac:dyDescent="0.25">
      <c r="A39" s="185" t="s">
        <v>3080</v>
      </c>
      <c r="B39" s="185" t="s">
        <v>114</v>
      </c>
      <c r="C39" s="185" t="s">
        <v>117</v>
      </c>
      <c r="D39" s="185" t="s">
        <v>3136</v>
      </c>
      <c r="E39" s="186">
        <v>17.8</v>
      </c>
      <c r="F39" s="185">
        <v>10</v>
      </c>
      <c r="G39" s="186">
        <v>3.6674689273654715</v>
      </c>
      <c r="H39" s="155">
        <f t="shared" si="0"/>
        <v>36.674689273654714</v>
      </c>
    </row>
    <row r="40" spans="1:8" ht="27" customHeight="1" x14ac:dyDescent="0.25">
      <c r="A40" s="185" t="s">
        <v>2905</v>
      </c>
      <c r="B40" s="185" t="s">
        <v>114</v>
      </c>
      <c r="C40" s="185" t="s">
        <v>117</v>
      </c>
      <c r="D40" s="185" t="s">
        <v>3136</v>
      </c>
      <c r="E40" s="186">
        <v>73.5</v>
      </c>
      <c r="F40" s="185">
        <v>30</v>
      </c>
      <c r="G40" s="186">
        <v>5.8202816294274013</v>
      </c>
      <c r="H40" s="155">
        <f t="shared" si="0"/>
        <v>174.60844888282205</v>
      </c>
    </row>
    <row r="41" spans="1:8" ht="27" customHeight="1" x14ac:dyDescent="0.25">
      <c r="A41" s="185" t="s">
        <v>2900</v>
      </c>
      <c r="B41" s="185" t="s">
        <v>114</v>
      </c>
      <c r="C41" s="185" t="s">
        <v>117</v>
      </c>
      <c r="D41" s="185" t="s">
        <v>3136</v>
      </c>
      <c r="E41" s="186">
        <v>51.17</v>
      </c>
      <c r="F41" s="185">
        <v>10</v>
      </c>
      <c r="G41" s="186">
        <v>8.5604210072562683</v>
      </c>
      <c r="H41" s="155">
        <f t="shared" si="0"/>
        <v>85.60421007256268</v>
      </c>
    </row>
    <row r="42" spans="1:8" ht="27" customHeight="1" x14ac:dyDescent="0.25">
      <c r="A42" s="185" t="s">
        <v>3176</v>
      </c>
      <c r="B42" s="185" t="s">
        <v>114</v>
      </c>
      <c r="C42" s="185" t="s">
        <v>117</v>
      </c>
      <c r="D42" s="185" t="s">
        <v>3136</v>
      </c>
      <c r="E42" s="186">
        <v>22.368932038834977</v>
      </c>
      <c r="F42" s="185">
        <v>6</v>
      </c>
      <c r="G42" s="186">
        <v>7.1145556433651844</v>
      </c>
      <c r="H42" s="155">
        <f t="shared" si="0"/>
        <v>42.687333860191103</v>
      </c>
    </row>
    <row r="43" spans="1:8" ht="27" customHeight="1" x14ac:dyDescent="0.25">
      <c r="A43" s="185" t="s">
        <v>3177</v>
      </c>
      <c r="B43" s="185" t="s">
        <v>114</v>
      </c>
      <c r="C43" s="185" t="s">
        <v>117</v>
      </c>
      <c r="D43" s="185" t="s">
        <v>3136</v>
      </c>
      <c r="E43" s="186">
        <v>99.485148514851403</v>
      </c>
      <c r="F43" s="185">
        <v>20</v>
      </c>
      <c r="G43" s="186">
        <v>9.2835332998060203</v>
      </c>
      <c r="H43" s="155">
        <f t="shared" si="0"/>
        <v>185.67066599612042</v>
      </c>
    </row>
    <row r="44" spans="1:8" ht="27" customHeight="1" x14ac:dyDescent="0.25">
      <c r="A44" s="185" t="s">
        <v>3083</v>
      </c>
      <c r="B44" s="185" t="s">
        <v>114</v>
      </c>
      <c r="C44" s="185" t="s">
        <v>117</v>
      </c>
      <c r="D44" s="185" t="s">
        <v>3136</v>
      </c>
      <c r="E44" s="186">
        <v>19.56373937677056</v>
      </c>
      <c r="F44" s="185">
        <v>6</v>
      </c>
      <c r="G44" s="186">
        <v>6.3009196062935553</v>
      </c>
      <c r="H44" s="155">
        <f t="shared" si="0"/>
        <v>37.805517637761334</v>
      </c>
    </row>
    <row r="45" spans="1:8" ht="27" customHeight="1" x14ac:dyDescent="0.25">
      <c r="A45" s="185" t="s">
        <v>3084</v>
      </c>
      <c r="B45" s="185" t="s">
        <v>114</v>
      </c>
      <c r="C45" s="185" t="s">
        <v>117</v>
      </c>
      <c r="D45" s="185" t="s">
        <v>3136</v>
      </c>
      <c r="E45" s="186">
        <v>11.088095238095221</v>
      </c>
      <c r="F45" s="185">
        <v>6</v>
      </c>
      <c r="G45" s="186">
        <v>4.0177096055751127</v>
      </c>
      <c r="H45" s="155">
        <f t="shared" si="0"/>
        <v>24.106257633450674</v>
      </c>
    </row>
    <row r="46" spans="1:8" ht="27" customHeight="1" x14ac:dyDescent="0.25">
      <c r="A46" s="185" t="s">
        <v>3087</v>
      </c>
      <c r="B46" s="185" t="s">
        <v>114</v>
      </c>
      <c r="C46" s="185" t="s">
        <v>117</v>
      </c>
      <c r="D46" s="185" t="s">
        <v>3136</v>
      </c>
      <c r="E46" s="186">
        <v>4.4078431372548996</v>
      </c>
      <c r="F46" s="185">
        <v>2</v>
      </c>
      <c r="G46" s="186">
        <v>4.1768446009052367</v>
      </c>
      <c r="H46" s="155">
        <f t="shared" si="0"/>
        <v>8.3536892018104734</v>
      </c>
    </row>
    <row r="47" spans="1:8" ht="27" customHeight="1" x14ac:dyDescent="0.25">
      <c r="A47" s="185" t="s">
        <v>3091</v>
      </c>
      <c r="B47" s="185" t="s">
        <v>114</v>
      </c>
      <c r="C47" s="185" t="s">
        <v>117</v>
      </c>
      <c r="D47" s="185" t="s">
        <v>3136</v>
      </c>
      <c r="E47" s="186">
        <v>9.1199999999999992</v>
      </c>
      <c r="F47" s="185">
        <v>2</v>
      </c>
      <c r="G47" s="186">
        <v>7.8448523600833395</v>
      </c>
      <c r="H47" s="155">
        <f t="shared" si="0"/>
        <v>15.689704720166679</v>
      </c>
    </row>
    <row r="48" spans="1:8" ht="27" customHeight="1" x14ac:dyDescent="0.25">
      <c r="A48" s="185" t="s">
        <v>3178</v>
      </c>
      <c r="B48" s="185" t="s">
        <v>114</v>
      </c>
      <c r="C48" s="185" t="s">
        <v>117</v>
      </c>
      <c r="D48" s="185" t="s">
        <v>3136</v>
      </c>
      <c r="E48" s="186">
        <v>47.800000000000004</v>
      </c>
      <c r="F48" s="185">
        <v>10</v>
      </c>
      <c r="G48" s="186">
        <v>8.2067677275666355</v>
      </c>
      <c r="H48" s="155">
        <f t="shared" si="0"/>
        <v>82.067677275666355</v>
      </c>
    </row>
    <row r="49" spans="1:8" ht="27" customHeight="1" x14ac:dyDescent="0.25">
      <c r="A49" s="185" t="s">
        <v>3092</v>
      </c>
      <c r="B49" s="185" t="s">
        <v>114</v>
      </c>
      <c r="C49" s="185" t="s">
        <v>117</v>
      </c>
      <c r="D49" s="185" t="s">
        <v>3136</v>
      </c>
      <c r="E49" s="186">
        <v>58.3</v>
      </c>
      <c r="F49" s="185">
        <v>10</v>
      </c>
      <c r="G49" s="186">
        <v>9.9346217400675325</v>
      </c>
      <c r="H49" s="155">
        <f t="shared" si="0"/>
        <v>99.346217400675329</v>
      </c>
    </row>
    <row r="50" spans="1:8" ht="27" customHeight="1" x14ac:dyDescent="0.25">
      <c r="A50" s="185" t="s">
        <v>3179</v>
      </c>
      <c r="B50" s="185" t="s">
        <v>114</v>
      </c>
      <c r="C50" s="185" t="s">
        <v>117</v>
      </c>
      <c r="D50" s="185" t="s">
        <v>3136</v>
      </c>
      <c r="E50" s="186">
        <v>13</v>
      </c>
      <c r="F50" s="185">
        <v>10</v>
      </c>
      <c r="G50" s="186">
        <v>2.8504202888138512</v>
      </c>
      <c r="H50" s="155">
        <f t="shared" si="0"/>
        <v>28.504202888138511</v>
      </c>
    </row>
    <row r="51" spans="1:8" ht="27" customHeight="1" x14ac:dyDescent="0.25">
      <c r="A51" s="185" t="s">
        <v>3096</v>
      </c>
      <c r="B51" s="185" t="s">
        <v>113</v>
      </c>
      <c r="C51" s="185" t="s">
        <v>117</v>
      </c>
      <c r="D51" s="185" t="s">
        <v>3136</v>
      </c>
      <c r="E51" s="186">
        <v>3.5703999999999998</v>
      </c>
      <c r="F51" s="185">
        <v>2</v>
      </c>
      <c r="G51" s="186">
        <v>3.7023133845822258</v>
      </c>
      <c r="H51" s="155">
        <f t="shared" si="0"/>
        <v>7.4046267691644516</v>
      </c>
    </row>
    <row r="52" spans="1:8" ht="27" customHeight="1" x14ac:dyDescent="0.25">
      <c r="A52" s="185" t="s">
        <v>3097</v>
      </c>
      <c r="B52" s="185" t="s">
        <v>113</v>
      </c>
      <c r="C52" s="185" t="s">
        <v>117</v>
      </c>
      <c r="D52" s="185" t="s">
        <v>3136</v>
      </c>
      <c r="E52" s="186">
        <v>5.3142857142857203</v>
      </c>
      <c r="F52" s="185">
        <v>2</v>
      </c>
      <c r="G52" s="186">
        <v>5.3441339176664986</v>
      </c>
      <c r="H52" s="155">
        <f t="shared" si="0"/>
        <v>10.688267835332997</v>
      </c>
    </row>
    <row r="53" spans="1:8" ht="27" customHeight="1" x14ac:dyDescent="0.25">
      <c r="A53" s="185" t="s">
        <v>3098</v>
      </c>
      <c r="B53" s="185" t="s">
        <v>113</v>
      </c>
      <c r="C53" s="185" t="s">
        <v>117</v>
      </c>
      <c r="D53" s="185" t="s">
        <v>3136</v>
      </c>
      <c r="E53" s="186">
        <v>6.9333333333333398</v>
      </c>
      <c r="F53" s="185">
        <v>2</v>
      </c>
      <c r="G53" s="186">
        <v>6.8683095049931744</v>
      </c>
      <c r="H53" s="155">
        <f t="shared" si="0"/>
        <v>13.736619009986349</v>
      </c>
    </row>
    <row r="54" spans="1:8" ht="27" customHeight="1" x14ac:dyDescent="0.25">
      <c r="A54" s="185" t="s">
        <v>3100</v>
      </c>
      <c r="B54" s="185" t="s">
        <v>113</v>
      </c>
      <c r="C54" s="185" t="s">
        <v>117</v>
      </c>
      <c r="D54" s="185" t="s">
        <v>3136</v>
      </c>
      <c r="E54" s="186">
        <v>68.136666666666699</v>
      </c>
      <c r="F54" s="185">
        <v>10</v>
      </c>
      <c r="G54" s="186">
        <v>13.323335009698972</v>
      </c>
      <c r="H54" s="155">
        <f t="shared" si="0"/>
        <v>133.23335009698974</v>
      </c>
    </row>
    <row r="55" spans="1:8" ht="27" customHeight="1" x14ac:dyDescent="0.25">
      <c r="A55" s="185" t="s">
        <v>3102</v>
      </c>
      <c r="B55" s="185" t="s">
        <v>113</v>
      </c>
      <c r="C55" s="185" t="s">
        <v>117</v>
      </c>
      <c r="D55" s="185" t="s">
        <v>3136</v>
      </c>
      <c r="E55" s="186">
        <v>36</v>
      </c>
      <c r="F55" s="185">
        <v>30</v>
      </c>
      <c r="G55" s="186">
        <v>2.9422013075651985</v>
      </c>
      <c r="H55" s="155">
        <f t="shared" si="0"/>
        <v>88.266039226955954</v>
      </c>
    </row>
    <row r="56" spans="1:8" ht="27" customHeight="1" x14ac:dyDescent="0.25">
      <c r="A56" s="185" t="s">
        <v>3103</v>
      </c>
      <c r="B56" s="185" t="s">
        <v>113</v>
      </c>
      <c r="C56" s="185" t="s">
        <v>117</v>
      </c>
      <c r="D56" s="185" t="s">
        <v>3136</v>
      </c>
      <c r="E56" s="186">
        <v>50</v>
      </c>
      <c r="F56" s="185">
        <v>20</v>
      </c>
      <c r="G56" s="186">
        <v>5.562360801781737</v>
      </c>
      <c r="H56" s="155">
        <f t="shared" si="0"/>
        <v>111.24721603563474</v>
      </c>
    </row>
    <row r="57" spans="1:8" ht="27" customHeight="1" x14ac:dyDescent="0.25">
      <c r="A57" s="185" t="s">
        <v>3104</v>
      </c>
      <c r="B57" s="185" t="s">
        <v>114</v>
      </c>
      <c r="C57" s="185" t="s">
        <v>117</v>
      </c>
      <c r="D57" s="185" t="s">
        <v>3136</v>
      </c>
      <c r="E57" s="186">
        <v>33</v>
      </c>
      <c r="F57" s="185">
        <v>20</v>
      </c>
      <c r="G57" s="186">
        <v>4.4137509878583225</v>
      </c>
      <c r="H57" s="155">
        <f t="shared" si="0"/>
        <v>88.275019757166447</v>
      </c>
    </row>
    <row r="58" spans="1:8" ht="27" customHeight="1" x14ac:dyDescent="0.25">
      <c r="A58" s="185" t="s">
        <v>3180</v>
      </c>
      <c r="B58" s="185" t="s">
        <v>113</v>
      </c>
      <c r="C58" s="185" t="s">
        <v>117</v>
      </c>
      <c r="D58" s="185" t="s">
        <v>3136</v>
      </c>
      <c r="E58" s="186">
        <v>6</v>
      </c>
      <c r="F58" s="185">
        <v>6</v>
      </c>
      <c r="G58" s="186">
        <v>2.8883181263021767</v>
      </c>
      <c r="H58" s="155">
        <f t="shared" si="0"/>
        <v>17.329908757813058</v>
      </c>
    </row>
    <row r="59" spans="1:8" ht="27" customHeight="1" x14ac:dyDescent="0.25">
      <c r="A59" s="185" t="s">
        <v>3181</v>
      </c>
      <c r="B59" s="185" t="s">
        <v>113</v>
      </c>
      <c r="C59" s="185" t="s">
        <v>117</v>
      </c>
      <c r="D59" s="185" t="s">
        <v>3136</v>
      </c>
      <c r="E59" s="186">
        <v>4</v>
      </c>
      <c r="F59" s="185">
        <v>4</v>
      </c>
      <c r="G59" s="186">
        <v>2.8883181263021767</v>
      </c>
      <c r="H59" s="155">
        <f t="shared" si="0"/>
        <v>11.553272505208707</v>
      </c>
    </row>
    <row r="60" spans="1:8" ht="27" customHeight="1" x14ac:dyDescent="0.25">
      <c r="A60" s="185" t="s">
        <v>3182</v>
      </c>
      <c r="B60" s="185" t="s">
        <v>113</v>
      </c>
      <c r="C60" s="185" t="s">
        <v>117</v>
      </c>
      <c r="D60" s="185" t="s">
        <v>3136</v>
      </c>
      <c r="E60" s="186">
        <v>20</v>
      </c>
      <c r="F60" s="185">
        <v>10</v>
      </c>
      <c r="G60" s="186">
        <v>5.5783461455564334</v>
      </c>
      <c r="H60" s="155">
        <f t="shared" si="0"/>
        <v>55.783461455564336</v>
      </c>
    </row>
    <row r="61" spans="1:8" ht="27" customHeight="1" x14ac:dyDescent="0.25">
      <c r="A61" s="185" t="s">
        <v>3183</v>
      </c>
      <c r="B61" s="185" t="s">
        <v>113</v>
      </c>
      <c r="C61" s="185" t="s">
        <v>117</v>
      </c>
      <c r="D61" s="185" t="s">
        <v>3136</v>
      </c>
      <c r="E61" s="186">
        <v>8</v>
      </c>
      <c r="F61" s="185">
        <v>4</v>
      </c>
      <c r="G61" s="186">
        <v>5.5783461455564334</v>
      </c>
      <c r="H61" s="155">
        <f t="shared" si="0"/>
        <v>22.313384582225734</v>
      </c>
    </row>
    <row r="62" spans="1:8" ht="27" customHeight="1" x14ac:dyDescent="0.25">
      <c r="A62" s="185" t="s">
        <v>3107</v>
      </c>
      <c r="B62" s="185" t="s">
        <v>113</v>
      </c>
      <c r="C62" s="185" t="s">
        <v>117</v>
      </c>
      <c r="D62" s="185" t="s">
        <v>3136</v>
      </c>
      <c r="E62" s="186">
        <v>11.6</v>
      </c>
      <c r="F62" s="185">
        <v>2</v>
      </c>
      <c r="G62" s="186">
        <v>15.79998563115166</v>
      </c>
      <c r="H62" s="155">
        <f t="shared" si="0"/>
        <v>31.59997126230332</v>
      </c>
    </row>
    <row r="63" spans="1:8" ht="27" customHeight="1" x14ac:dyDescent="0.25">
      <c r="A63" s="185" t="s">
        <v>3109</v>
      </c>
      <c r="B63" s="185" t="s">
        <v>113</v>
      </c>
      <c r="C63" s="185" t="s">
        <v>117</v>
      </c>
      <c r="D63" s="185" t="s">
        <v>3136</v>
      </c>
      <c r="E63" s="186">
        <v>18</v>
      </c>
      <c r="F63" s="185">
        <v>10</v>
      </c>
      <c r="G63" s="186">
        <v>5.040232775343056</v>
      </c>
      <c r="H63" s="155">
        <f t="shared" si="0"/>
        <v>50.402327753430562</v>
      </c>
    </row>
    <row r="64" spans="1:8" ht="27" customHeight="1" x14ac:dyDescent="0.25">
      <c r="A64" s="185" t="s">
        <v>3110</v>
      </c>
      <c r="B64" s="185" t="s">
        <v>113</v>
      </c>
      <c r="C64" s="185" t="s">
        <v>117</v>
      </c>
      <c r="D64" s="185" t="s">
        <v>3136</v>
      </c>
      <c r="E64" s="186">
        <v>3.6</v>
      </c>
      <c r="F64" s="185">
        <v>2</v>
      </c>
      <c r="G64" s="186">
        <v>5.040232775343056</v>
      </c>
      <c r="H64" s="155">
        <f t="shared" si="0"/>
        <v>10.080465550686112</v>
      </c>
    </row>
    <row r="65" spans="1:8" ht="27" customHeight="1" x14ac:dyDescent="0.25">
      <c r="A65" s="185" t="s">
        <v>3111</v>
      </c>
      <c r="B65" s="185" t="s">
        <v>114</v>
      </c>
      <c r="C65" s="185" t="s">
        <v>1230</v>
      </c>
      <c r="D65" s="185" t="s">
        <v>3137</v>
      </c>
      <c r="E65" s="186">
        <v>4.2</v>
      </c>
      <c r="F65" s="185">
        <v>10</v>
      </c>
      <c r="G65" s="186">
        <v>15.155363172641714</v>
      </c>
      <c r="H65" s="155">
        <f t="shared" si="0"/>
        <v>151.55363172641714</v>
      </c>
    </row>
    <row r="66" spans="1:8" ht="27" customHeight="1" x14ac:dyDescent="0.25">
      <c r="A66" s="185" t="s">
        <v>3112</v>
      </c>
      <c r="B66" s="185" t="s">
        <v>114</v>
      </c>
      <c r="C66" s="185" t="s">
        <v>1230</v>
      </c>
      <c r="D66" s="185" t="s">
        <v>3137</v>
      </c>
      <c r="E66" s="186">
        <v>7</v>
      </c>
      <c r="F66" s="185">
        <v>10</v>
      </c>
      <c r="G66" s="186">
        <v>25.126625475968098</v>
      </c>
      <c r="H66" s="155">
        <f t="shared" si="0"/>
        <v>251.26625475968098</v>
      </c>
    </row>
    <row r="67" spans="1:8" ht="27" customHeight="1" x14ac:dyDescent="0.25">
      <c r="A67" s="185" t="s">
        <v>3036</v>
      </c>
      <c r="B67" s="185" t="s">
        <v>115</v>
      </c>
      <c r="C67" s="185" t="s">
        <v>117</v>
      </c>
      <c r="D67" s="185" t="s">
        <v>3136</v>
      </c>
      <c r="E67" s="186">
        <v>24.3</v>
      </c>
      <c r="F67" s="185">
        <v>30</v>
      </c>
      <c r="G67" s="186">
        <v>3.2516703786191536</v>
      </c>
      <c r="H67" s="155">
        <f t="shared" si="0"/>
        <v>97.550111358574611</v>
      </c>
    </row>
    <row r="68" spans="1:8" ht="27" customHeight="1" x14ac:dyDescent="0.25">
      <c r="A68" s="185" t="s">
        <v>3184</v>
      </c>
      <c r="B68" s="185" t="s">
        <v>115</v>
      </c>
      <c r="C68" s="185" t="s">
        <v>117</v>
      </c>
      <c r="D68" s="185" t="s">
        <v>3136</v>
      </c>
      <c r="E68" s="186">
        <v>13.3</v>
      </c>
      <c r="F68" s="185">
        <v>10</v>
      </c>
      <c r="G68" s="186">
        <v>5.0438249874272572</v>
      </c>
      <c r="H68" s="155">
        <f t="shared" si="0"/>
        <v>50.438249874272572</v>
      </c>
    </row>
    <row r="69" spans="1:8" ht="27" customHeight="1" x14ac:dyDescent="0.25">
      <c r="A69" s="185" t="s">
        <v>3185</v>
      </c>
      <c r="B69" s="185" t="s">
        <v>115</v>
      </c>
      <c r="C69" s="185" t="s">
        <v>117</v>
      </c>
      <c r="D69" s="185" t="s">
        <v>3136</v>
      </c>
      <c r="E69" s="186">
        <v>28.4</v>
      </c>
      <c r="F69" s="185">
        <v>20</v>
      </c>
      <c r="G69" s="186">
        <v>4.635929305266183</v>
      </c>
      <c r="H69" s="155">
        <f t="shared" si="0"/>
        <v>92.718586105323652</v>
      </c>
    </row>
    <row r="70" spans="1:8" ht="27" customHeight="1" x14ac:dyDescent="0.25">
      <c r="A70" s="185" t="s">
        <v>3186</v>
      </c>
      <c r="B70" s="185" t="s">
        <v>115</v>
      </c>
      <c r="C70" s="185" t="s">
        <v>117</v>
      </c>
      <c r="D70" s="185" t="s">
        <v>3136</v>
      </c>
      <c r="E70" s="186">
        <v>27.1</v>
      </c>
      <c r="F70" s="185">
        <v>10</v>
      </c>
      <c r="G70" s="186">
        <v>10.114411954881817</v>
      </c>
      <c r="H70" s="155">
        <f t="shared" si="0"/>
        <v>101.14411954881817</v>
      </c>
    </row>
    <row r="71" spans="1:8" ht="27" customHeight="1" x14ac:dyDescent="0.25">
      <c r="A71" s="185" t="s">
        <v>3037</v>
      </c>
      <c r="B71" s="185" t="s">
        <v>114</v>
      </c>
      <c r="C71" s="185" t="s">
        <v>117</v>
      </c>
      <c r="D71" s="185" t="s">
        <v>3136</v>
      </c>
      <c r="E71" s="186">
        <v>25.2</v>
      </c>
      <c r="F71" s="185">
        <v>2</v>
      </c>
      <c r="G71" s="186">
        <v>23.785293483727276</v>
      </c>
      <c r="H71" s="155">
        <f t="shared" si="0"/>
        <v>47.570586967454553</v>
      </c>
    </row>
    <row r="72" spans="1:8" ht="27" customHeight="1" x14ac:dyDescent="0.25">
      <c r="A72" s="185" t="s">
        <v>2909</v>
      </c>
      <c r="B72" s="185" t="s">
        <v>114</v>
      </c>
      <c r="C72" s="185" t="s">
        <v>117</v>
      </c>
      <c r="D72" s="185" t="s">
        <v>3136</v>
      </c>
      <c r="E72" s="186">
        <v>25.4</v>
      </c>
      <c r="F72" s="185">
        <v>2</v>
      </c>
      <c r="G72" s="186">
        <v>20.546195847402828</v>
      </c>
      <c r="H72" s="155">
        <f t="shared" si="0"/>
        <v>41.092391694805656</v>
      </c>
    </row>
    <row r="73" spans="1:8" ht="27" customHeight="1" x14ac:dyDescent="0.25">
      <c r="A73" s="185" t="s">
        <v>3038</v>
      </c>
      <c r="B73" s="185" t="s">
        <v>115</v>
      </c>
      <c r="C73" s="185" t="s">
        <v>117</v>
      </c>
      <c r="D73" s="185" t="s">
        <v>3136</v>
      </c>
      <c r="E73" s="186">
        <v>7.44</v>
      </c>
      <c r="F73" s="185">
        <v>4</v>
      </c>
      <c r="G73" s="186">
        <v>5.2333141748688838</v>
      </c>
      <c r="H73" s="155">
        <f t="shared" si="0"/>
        <v>20.933256699475535</v>
      </c>
    </row>
    <row r="74" spans="1:8" ht="27" customHeight="1" x14ac:dyDescent="0.25">
      <c r="A74" s="185" t="s">
        <v>3187</v>
      </c>
      <c r="B74" s="185" t="s">
        <v>115</v>
      </c>
      <c r="C74" s="185" t="s">
        <v>117</v>
      </c>
      <c r="D74" s="185" t="s">
        <v>3136</v>
      </c>
      <c r="E74" s="186">
        <v>16</v>
      </c>
      <c r="F74" s="185">
        <v>10</v>
      </c>
      <c r="G74" s="186">
        <v>5.2333141748688838</v>
      </c>
      <c r="H74" s="155">
        <f t="shared" si="0"/>
        <v>52.333141748688838</v>
      </c>
    </row>
    <row r="75" spans="1:8" ht="27" customHeight="1" x14ac:dyDescent="0.25">
      <c r="A75" s="185" t="s">
        <v>3188</v>
      </c>
      <c r="B75" s="185" t="s">
        <v>115</v>
      </c>
      <c r="C75" s="185" t="s">
        <v>117</v>
      </c>
      <c r="D75" s="185" t="s">
        <v>3136</v>
      </c>
      <c r="E75" s="186">
        <v>25.6</v>
      </c>
      <c r="F75" s="185">
        <v>40</v>
      </c>
      <c r="G75" s="186">
        <v>3.4118830375745381</v>
      </c>
      <c r="H75" s="155">
        <f t="shared" si="0"/>
        <v>136.47532150298153</v>
      </c>
    </row>
    <row r="76" spans="1:8" ht="27" customHeight="1" x14ac:dyDescent="0.25">
      <c r="A76" s="185" t="s">
        <v>3189</v>
      </c>
      <c r="B76" s="185" t="s">
        <v>114</v>
      </c>
      <c r="C76" s="185" t="s">
        <v>117</v>
      </c>
      <c r="D76" s="185" t="s">
        <v>3136</v>
      </c>
      <c r="E76" s="186">
        <v>11.100000000000001</v>
      </c>
      <c r="F76" s="185">
        <v>10</v>
      </c>
      <c r="G76" s="186">
        <v>3.6778863424096553</v>
      </c>
      <c r="H76" s="155">
        <f t="shared" si="0"/>
        <v>36.778863424096556</v>
      </c>
    </row>
    <row r="77" spans="1:8" ht="27" customHeight="1" x14ac:dyDescent="0.25">
      <c r="A77" s="185" t="s">
        <v>3190</v>
      </c>
      <c r="B77" s="185" t="s">
        <v>114</v>
      </c>
      <c r="C77" s="185" t="s">
        <v>117</v>
      </c>
      <c r="D77" s="185" t="s">
        <v>3136</v>
      </c>
      <c r="E77" s="186">
        <v>22.200000000000003</v>
      </c>
      <c r="F77" s="185">
        <v>20</v>
      </c>
      <c r="G77" s="186">
        <v>4.2048638551620083</v>
      </c>
      <c r="H77" s="155">
        <f t="shared" si="0"/>
        <v>84.097277103240174</v>
      </c>
    </row>
    <row r="78" spans="1:8" ht="27" customHeight="1" x14ac:dyDescent="0.25">
      <c r="A78" s="185" t="s">
        <v>3191</v>
      </c>
      <c r="B78" s="185" t="s">
        <v>114</v>
      </c>
      <c r="C78" s="185" t="s">
        <v>117</v>
      </c>
      <c r="D78" s="185" t="s">
        <v>3136</v>
      </c>
      <c r="E78" s="186">
        <v>22.200000000000003</v>
      </c>
      <c r="F78" s="185">
        <v>20</v>
      </c>
      <c r="G78" s="186">
        <v>4.2048638551620083</v>
      </c>
      <c r="H78" s="155">
        <f t="shared" si="0"/>
        <v>84.097277103240174</v>
      </c>
    </row>
    <row r="79" spans="1:8" ht="27" customHeight="1" x14ac:dyDescent="0.25">
      <c r="A79" s="185" t="s">
        <v>3040</v>
      </c>
      <c r="B79" s="185" t="s">
        <v>115</v>
      </c>
      <c r="C79" s="185" t="s">
        <v>117</v>
      </c>
      <c r="D79" s="185" t="s">
        <v>3136</v>
      </c>
      <c r="E79" s="186">
        <v>3.2</v>
      </c>
      <c r="F79" s="185">
        <v>2</v>
      </c>
      <c r="G79" s="186">
        <v>5.7432286802212795</v>
      </c>
      <c r="H79" s="155">
        <f t="shared" si="0"/>
        <v>11.486457360442559</v>
      </c>
    </row>
    <row r="80" spans="1:8" ht="27" customHeight="1" x14ac:dyDescent="0.25">
      <c r="A80" s="185" t="s">
        <v>3192</v>
      </c>
      <c r="B80" s="185" t="s">
        <v>115</v>
      </c>
      <c r="C80" s="185" t="s">
        <v>117</v>
      </c>
      <c r="D80" s="185" t="s">
        <v>3136</v>
      </c>
      <c r="E80" s="186">
        <v>3.6</v>
      </c>
      <c r="F80" s="185">
        <v>4</v>
      </c>
      <c r="G80" s="186">
        <v>4.5775558588979086</v>
      </c>
      <c r="H80" s="155">
        <f t="shared" si="0"/>
        <v>18.310223435591634</v>
      </c>
    </row>
    <row r="81" spans="1:8" ht="27" customHeight="1" x14ac:dyDescent="0.25">
      <c r="A81" s="185" t="s">
        <v>3114</v>
      </c>
      <c r="B81" s="185" t="s">
        <v>115</v>
      </c>
      <c r="C81" s="185" t="s">
        <v>117</v>
      </c>
      <c r="D81" s="185" t="s">
        <v>3136</v>
      </c>
      <c r="E81" s="186">
        <v>1.48</v>
      </c>
      <c r="F81" s="185">
        <v>2</v>
      </c>
      <c r="G81" s="186">
        <v>4.8690638695308568</v>
      </c>
      <c r="H81" s="155">
        <f t="shared" si="0"/>
        <v>9.7381277390617136</v>
      </c>
    </row>
    <row r="82" spans="1:8" ht="27" customHeight="1" x14ac:dyDescent="0.25">
      <c r="A82" s="185" t="s">
        <v>3193</v>
      </c>
      <c r="B82" s="185" t="s">
        <v>115</v>
      </c>
      <c r="C82" s="185" t="s">
        <v>117</v>
      </c>
      <c r="D82" s="185" t="s">
        <v>3136</v>
      </c>
      <c r="E82" s="186">
        <v>7.8000000000000007</v>
      </c>
      <c r="F82" s="185">
        <v>10</v>
      </c>
      <c r="G82" s="186">
        <v>2.9747108269272213</v>
      </c>
      <c r="H82" s="155">
        <f t="shared" si="0"/>
        <v>29.747108269272214</v>
      </c>
    </row>
    <row r="83" spans="1:8" ht="27" customHeight="1" x14ac:dyDescent="0.25">
      <c r="A83" s="185" t="s">
        <v>3194</v>
      </c>
      <c r="B83" s="185" t="s">
        <v>115</v>
      </c>
      <c r="C83" s="185" t="s">
        <v>117</v>
      </c>
      <c r="D83" s="185" t="s">
        <v>3136</v>
      </c>
      <c r="E83" s="186">
        <v>17.399999999999999</v>
      </c>
      <c r="F83" s="185">
        <v>10</v>
      </c>
      <c r="G83" s="186">
        <v>5.7432286802212795</v>
      </c>
      <c r="H83" s="155">
        <f t="shared" si="0"/>
        <v>57.432286802212793</v>
      </c>
    </row>
    <row r="84" spans="1:8" ht="27" customHeight="1" x14ac:dyDescent="0.25">
      <c r="A84" s="185" t="s">
        <v>3119</v>
      </c>
      <c r="B84" s="185" t="s">
        <v>114</v>
      </c>
      <c r="C84" s="185" t="s">
        <v>117</v>
      </c>
      <c r="D84" s="185" t="s">
        <v>3136</v>
      </c>
      <c r="E84" s="186">
        <v>9.6</v>
      </c>
      <c r="F84" s="185">
        <v>2</v>
      </c>
      <c r="G84" s="186">
        <v>12.50251454845894</v>
      </c>
      <c r="H84" s="155">
        <f t="shared" si="0"/>
        <v>25.00502909691788</v>
      </c>
    </row>
    <row r="85" spans="1:8" ht="27" customHeight="1" x14ac:dyDescent="0.25">
      <c r="A85" s="185" t="s">
        <v>3195</v>
      </c>
      <c r="B85" s="185" t="s">
        <v>115</v>
      </c>
      <c r="C85" s="185" t="s">
        <v>117</v>
      </c>
      <c r="D85" s="185" t="s">
        <v>3136</v>
      </c>
      <c r="E85" s="186">
        <v>5.0999999999999996</v>
      </c>
      <c r="F85" s="185">
        <v>6</v>
      </c>
      <c r="G85" s="186">
        <v>4.0676413535455129</v>
      </c>
      <c r="H85" s="155">
        <f t="shared" si="0"/>
        <v>24.405848121273078</v>
      </c>
    </row>
    <row r="86" spans="1:8" ht="27" customHeight="1" x14ac:dyDescent="0.25">
      <c r="A86" s="185" t="s">
        <v>3196</v>
      </c>
      <c r="B86" s="185" t="s">
        <v>115</v>
      </c>
      <c r="C86" s="185" t="s">
        <v>117</v>
      </c>
      <c r="D86" s="185" t="s">
        <v>3136</v>
      </c>
      <c r="E86" s="186">
        <v>10.78</v>
      </c>
      <c r="F86" s="185">
        <v>2</v>
      </c>
      <c r="G86" s="186">
        <v>14.631259429556721</v>
      </c>
      <c r="H86" s="155">
        <f t="shared" ref="H86:H97" si="1">PRODUCT(G86,F86)</f>
        <v>29.262518859113442</v>
      </c>
    </row>
    <row r="87" spans="1:8" ht="27" customHeight="1" x14ac:dyDescent="0.25">
      <c r="A87" s="185" t="s">
        <v>3197</v>
      </c>
      <c r="B87" s="185" t="s">
        <v>115</v>
      </c>
      <c r="C87" s="185" t="s">
        <v>117</v>
      </c>
      <c r="D87" s="185" t="s">
        <v>3136</v>
      </c>
      <c r="E87" s="186">
        <v>8.06</v>
      </c>
      <c r="F87" s="185">
        <v>2</v>
      </c>
      <c r="G87" s="186">
        <v>20.605287736187943</v>
      </c>
      <c r="H87" s="155">
        <f t="shared" si="1"/>
        <v>41.210575472375886</v>
      </c>
    </row>
    <row r="88" spans="1:8" ht="27" customHeight="1" x14ac:dyDescent="0.25">
      <c r="A88" s="185" t="s">
        <v>3198</v>
      </c>
      <c r="B88" s="185" t="s">
        <v>114</v>
      </c>
      <c r="C88" s="185" t="s">
        <v>117</v>
      </c>
      <c r="D88" s="185" t="s">
        <v>3136</v>
      </c>
      <c r="E88" s="186">
        <v>23.52</v>
      </c>
      <c r="F88" s="185">
        <v>2</v>
      </c>
      <c r="G88" s="186">
        <v>19.133199224082187</v>
      </c>
      <c r="H88" s="155">
        <f t="shared" si="1"/>
        <v>38.266398448164374</v>
      </c>
    </row>
    <row r="89" spans="1:8" ht="27" customHeight="1" x14ac:dyDescent="0.25">
      <c r="A89" s="185" t="s">
        <v>3199</v>
      </c>
      <c r="B89" s="185" t="s">
        <v>114</v>
      </c>
      <c r="C89" s="185" t="s">
        <v>117</v>
      </c>
      <c r="D89" s="185" t="s">
        <v>3136</v>
      </c>
      <c r="E89" s="186">
        <v>130.29999999999998</v>
      </c>
      <c r="F89" s="185">
        <v>10</v>
      </c>
      <c r="G89" s="186">
        <v>21.042280336231052</v>
      </c>
      <c r="H89" s="155">
        <f t="shared" si="1"/>
        <v>210.4228033623105</v>
      </c>
    </row>
    <row r="90" spans="1:8" ht="27" customHeight="1" x14ac:dyDescent="0.25">
      <c r="A90" s="185" t="s">
        <v>3200</v>
      </c>
      <c r="B90" s="185" t="s">
        <v>114</v>
      </c>
      <c r="C90" s="185" t="s">
        <v>117</v>
      </c>
      <c r="D90" s="185" t="s">
        <v>3136</v>
      </c>
      <c r="E90" s="186">
        <v>69.12</v>
      </c>
      <c r="F90" s="185">
        <v>2</v>
      </c>
      <c r="G90" s="186">
        <v>53.405955887635606</v>
      </c>
      <c r="H90" s="155">
        <f t="shared" si="1"/>
        <v>106.81191177527121</v>
      </c>
    </row>
    <row r="91" spans="1:8" ht="27" customHeight="1" x14ac:dyDescent="0.25">
      <c r="A91" s="185" t="s">
        <v>3201</v>
      </c>
      <c r="B91" s="185" t="s">
        <v>115</v>
      </c>
      <c r="C91" s="185" t="s">
        <v>117</v>
      </c>
      <c r="D91" s="185" t="s">
        <v>3136</v>
      </c>
      <c r="E91" s="186">
        <v>3</v>
      </c>
      <c r="F91" s="185">
        <v>2</v>
      </c>
      <c r="G91" s="186">
        <v>3.7033910482074859</v>
      </c>
      <c r="H91" s="155">
        <f t="shared" si="1"/>
        <v>7.4067820964149718</v>
      </c>
    </row>
    <row r="92" spans="1:8" ht="27" customHeight="1" x14ac:dyDescent="0.25">
      <c r="A92" s="185" t="s">
        <v>3202</v>
      </c>
      <c r="B92" s="185" t="s">
        <v>115</v>
      </c>
      <c r="C92" s="185" t="s">
        <v>117</v>
      </c>
      <c r="D92" s="185" t="s">
        <v>3136</v>
      </c>
      <c r="E92" s="186">
        <v>15</v>
      </c>
      <c r="F92" s="185">
        <v>10</v>
      </c>
      <c r="G92" s="186">
        <v>5.9618147855449388</v>
      </c>
      <c r="H92" s="155">
        <f t="shared" si="1"/>
        <v>59.618147855449386</v>
      </c>
    </row>
    <row r="93" spans="1:8" ht="27" customHeight="1" x14ac:dyDescent="0.25">
      <c r="A93" s="185" t="s">
        <v>3203</v>
      </c>
      <c r="B93" s="185" t="s">
        <v>115</v>
      </c>
      <c r="C93" s="185" t="s">
        <v>117</v>
      </c>
      <c r="D93" s="185" t="s">
        <v>3136</v>
      </c>
      <c r="E93" s="186">
        <v>3.38</v>
      </c>
      <c r="F93" s="185">
        <v>2</v>
      </c>
      <c r="G93" s="186">
        <v>7.1274876068683097</v>
      </c>
      <c r="H93" s="155">
        <f t="shared" si="1"/>
        <v>14.254975213736619</v>
      </c>
    </row>
    <row r="94" spans="1:8" ht="27" customHeight="1" x14ac:dyDescent="0.25">
      <c r="A94" s="185" t="s">
        <v>3123</v>
      </c>
      <c r="B94" s="185" t="s">
        <v>115</v>
      </c>
      <c r="C94" s="185" t="s">
        <v>117</v>
      </c>
      <c r="D94" s="185" t="s">
        <v>3136</v>
      </c>
      <c r="E94" s="186">
        <v>4.8000000000000007</v>
      </c>
      <c r="F94" s="185">
        <v>6</v>
      </c>
      <c r="G94" s="186">
        <v>2.8290466269128527</v>
      </c>
      <c r="H94" s="155">
        <f t="shared" si="1"/>
        <v>16.974279761477117</v>
      </c>
    </row>
    <row r="95" spans="1:8" ht="27" customHeight="1" x14ac:dyDescent="0.25">
      <c r="A95" s="185" t="s">
        <v>3124</v>
      </c>
      <c r="B95" s="185" t="s">
        <v>115</v>
      </c>
      <c r="C95" s="185" t="s">
        <v>117</v>
      </c>
      <c r="D95" s="185" t="s">
        <v>3136</v>
      </c>
      <c r="E95" s="186">
        <v>5.0999999999999996</v>
      </c>
      <c r="F95" s="185">
        <v>6</v>
      </c>
      <c r="G95" s="186">
        <v>2.8290466269128527</v>
      </c>
      <c r="H95" s="155">
        <f t="shared" si="1"/>
        <v>16.974279761477117</v>
      </c>
    </row>
    <row r="96" spans="1:8" ht="27" customHeight="1" x14ac:dyDescent="0.25">
      <c r="A96" s="185" t="s">
        <v>3204</v>
      </c>
      <c r="B96" s="185" t="s">
        <v>115</v>
      </c>
      <c r="C96" s="185" t="s">
        <v>117</v>
      </c>
      <c r="D96" s="185" t="s">
        <v>3136</v>
      </c>
      <c r="E96" s="186">
        <v>5.0999999999999996</v>
      </c>
      <c r="F96" s="185">
        <v>6</v>
      </c>
      <c r="G96" s="186">
        <v>2.8290466269128527</v>
      </c>
      <c r="H96" s="155">
        <f t="shared" si="1"/>
        <v>16.974279761477117</v>
      </c>
    </row>
    <row r="97" spans="1:8" ht="27" customHeight="1" x14ac:dyDescent="0.25">
      <c r="A97" s="185" t="s">
        <v>3205</v>
      </c>
      <c r="B97" s="185" t="s">
        <v>115</v>
      </c>
      <c r="C97" s="185" t="s">
        <v>117</v>
      </c>
      <c r="D97" s="185" t="s">
        <v>3136</v>
      </c>
      <c r="E97" s="186">
        <v>5.0999999999999996</v>
      </c>
      <c r="F97" s="185">
        <v>6</v>
      </c>
      <c r="G97" s="186">
        <v>2.8290466269128527</v>
      </c>
      <c r="H97" s="155">
        <f t="shared" si="1"/>
        <v>16.974279761477117</v>
      </c>
    </row>
    <row r="98" spans="1:8" ht="30" customHeight="1" x14ac:dyDescent="0.25">
      <c r="A98" s="187" t="s">
        <v>2893</v>
      </c>
      <c r="B98" s="187"/>
      <c r="C98" s="187"/>
      <c r="D98" s="187"/>
      <c r="E98" s="188">
        <f ca="1">SUM(E21:OFFSET(E98,-1,0))</f>
        <v>1963.717505639697</v>
      </c>
      <c r="F98" s="188"/>
      <c r="G98" s="189"/>
      <c r="H98" s="155">
        <f ca="1">SUM(H21:OFFSET(H98,-1,0))</f>
        <v>4728.915870392987</v>
      </c>
    </row>
    <row r="99" spans="1:8" ht="21" x14ac:dyDescent="0.3">
      <c r="A99" s="94" t="s">
        <v>148</v>
      </c>
      <c r="B99" s="95"/>
      <c r="C99" s="79"/>
      <c r="D99" s="79"/>
      <c r="E99" s="80"/>
      <c r="F99" s="69" t="s">
        <v>132</v>
      </c>
      <c r="G99" s="158"/>
      <c r="H99" s="156">
        <v>100</v>
      </c>
    </row>
    <row r="100" spans="1:8" ht="15" customHeight="1" x14ac:dyDescent="0.3">
      <c r="A100" s="250" cm="1">
        <f t="array" ref="A100">boxesNumber[]</f>
        <v>3</v>
      </c>
      <c r="B100" s="77"/>
      <c r="C100" s="4"/>
      <c r="D100" s="4"/>
      <c r="E100" s="75"/>
      <c r="F100" s="69" t="s">
        <v>133</v>
      </c>
      <c r="G100" s="158"/>
      <c r="H100" s="156">
        <f ca="1">OFFSET(H99,-1,0)*0.005</f>
        <v>23.644579351964936</v>
      </c>
    </row>
    <row r="101" spans="1:8" ht="15.75" customHeight="1" x14ac:dyDescent="0.3">
      <c r="A101" s="250"/>
      <c r="B101" s="96"/>
      <c r="C101" s="81"/>
      <c r="D101" s="81"/>
      <c r="E101" s="78"/>
      <c r="F101" s="69" t="s">
        <v>134</v>
      </c>
      <c r="G101" s="158"/>
      <c r="H101" s="159">
        <v>0</v>
      </c>
    </row>
    <row r="102" spans="1:8" ht="15" customHeight="1" x14ac:dyDescent="0.25">
      <c r="A102" s="309" t="s">
        <v>3210</v>
      </c>
      <c r="B102" s="265"/>
      <c r="C102" s="265"/>
      <c r="D102" s="265"/>
      <c r="E102" s="266"/>
      <c r="F102" s="232" t="s">
        <v>119</v>
      </c>
      <c r="G102" s="275">
        <f ca="1">SUM(H98:H101)</f>
        <v>4852.5604497449522</v>
      </c>
      <c r="H102" s="276"/>
    </row>
    <row r="103" spans="1:8" ht="15" customHeight="1" x14ac:dyDescent="0.25">
      <c r="A103" s="267"/>
      <c r="B103" s="268"/>
      <c r="C103" s="268"/>
      <c r="D103" s="268"/>
      <c r="E103" s="269"/>
      <c r="F103" s="234"/>
      <c r="G103" s="277"/>
      <c r="H103" s="278"/>
    </row>
    <row r="104" spans="1:8" ht="15" customHeight="1" x14ac:dyDescent="0.25">
      <c r="A104" s="267"/>
      <c r="B104" s="268"/>
      <c r="C104" s="268"/>
      <c r="D104" s="268"/>
      <c r="E104" s="269"/>
      <c r="F104" s="234"/>
      <c r="G104" s="277"/>
      <c r="H104" s="278"/>
    </row>
    <row r="105" spans="1:8" ht="30.75" customHeight="1" x14ac:dyDescent="0.25">
      <c r="A105" s="270"/>
      <c r="B105" s="271"/>
      <c r="C105" s="271"/>
      <c r="D105" s="271"/>
      <c r="E105" s="272"/>
      <c r="F105" s="236"/>
      <c r="G105" s="279"/>
      <c r="H105" s="280"/>
    </row>
    <row r="106" spans="1:8" ht="15" customHeight="1" x14ac:dyDescent="0.25">
      <c r="A106" s="36"/>
      <c r="B106" s="37"/>
      <c r="C106" s="37"/>
      <c r="D106" s="37"/>
      <c r="E106" s="37"/>
      <c r="F106" s="37"/>
      <c r="G106" s="37"/>
      <c r="H106" s="75"/>
    </row>
    <row r="107" spans="1:8" x14ac:dyDescent="0.25">
      <c r="A107" s="36"/>
      <c r="B107" s="37"/>
      <c r="C107" s="37"/>
      <c r="D107" s="37"/>
      <c r="E107" s="37"/>
      <c r="F107" s="37"/>
      <c r="G107" s="37"/>
      <c r="H107" s="75"/>
    </row>
    <row r="108" spans="1:8" x14ac:dyDescent="0.25">
      <c r="A108" s="38"/>
      <c r="B108" s="39"/>
      <c r="C108" s="39"/>
      <c r="D108" s="39"/>
      <c r="E108" s="40"/>
      <c r="F108" s="40"/>
      <c r="G108" s="40"/>
      <c r="H108" s="75"/>
    </row>
    <row r="109" spans="1:8" x14ac:dyDescent="0.25">
      <c r="A109" s="71" t="s">
        <v>135</v>
      </c>
      <c r="B109" s="51"/>
      <c r="C109" s="51"/>
      <c r="D109" s="52"/>
      <c r="E109" s="50"/>
      <c r="F109" s="50"/>
      <c r="G109" s="50"/>
      <c r="H109" s="75"/>
    </row>
    <row r="110" spans="1:8" x14ac:dyDescent="0.25">
      <c r="A110" s="41"/>
      <c r="B110" s="35"/>
      <c r="C110" s="35"/>
      <c r="D110" s="30"/>
      <c r="E110" s="30"/>
      <c r="F110" s="30"/>
      <c r="G110" s="42"/>
      <c r="H110" s="75"/>
    </row>
    <row r="111" spans="1:8" x14ac:dyDescent="0.25">
      <c r="A111" s="46"/>
      <c r="B111" s="47"/>
      <c r="C111" s="47"/>
      <c r="D111" s="47"/>
      <c r="E111" s="47"/>
      <c r="F111" s="47"/>
      <c r="G111" s="48"/>
      <c r="H111" s="78"/>
    </row>
  </sheetData>
  <mergeCells count="9">
    <mergeCell ref="D11:F11"/>
    <mergeCell ref="A102:E105"/>
    <mergeCell ref="F102:F105"/>
    <mergeCell ref="G102:H105"/>
    <mergeCell ref="A1:H1"/>
    <mergeCell ref="A5:C9"/>
    <mergeCell ref="D5:H9"/>
    <mergeCell ref="D13:H19"/>
    <mergeCell ref="A100:A101"/>
  </mergeCells>
  <pageMargins left="0" right="0" top="0" bottom="0" header="0" footer="0"/>
  <pageSetup paperSize="9" scale="83" fitToHeight="0" orientation="portrait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6E9AA5-22BC-44D9-BA5A-9045A4E9C63C}">
  <sheetPr codeName="AUTotal">
    <pageSetUpPr fitToPage="1"/>
  </sheetPr>
  <dimension ref="A1:J50"/>
  <sheetViews>
    <sheetView topLeftCell="A31" workbookViewId="0">
      <selection activeCell="I50" sqref="I50"/>
    </sheetView>
  </sheetViews>
  <sheetFormatPr defaultRowHeight="15" x14ac:dyDescent="0.25"/>
  <cols>
    <col min="1" max="1" width="18.28515625" customWidth="1"/>
    <col min="2" max="2" width="15.5703125" customWidth="1"/>
    <col min="3" max="3" width="12.85546875" customWidth="1"/>
    <col min="4" max="4" width="14.140625" customWidth="1"/>
    <col min="5" max="5" width="14" customWidth="1"/>
    <col min="6" max="6" width="16.42578125" customWidth="1"/>
  </cols>
  <sheetData>
    <row r="1" spans="1:6" x14ac:dyDescent="0.25">
      <c r="A1" s="238" t="s">
        <v>151</v>
      </c>
      <c r="B1" s="239"/>
      <c r="C1" s="239"/>
      <c r="D1" s="239"/>
      <c r="E1" s="239"/>
      <c r="F1" s="240"/>
    </row>
    <row r="2" spans="1:6" ht="18.75" x14ac:dyDescent="0.3">
      <c r="A2" s="149" t="s">
        <v>2862</v>
      </c>
      <c r="B2" s="62" t="s">
        <v>2877</v>
      </c>
      <c r="C2" s="254" t="s">
        <v>2987</v>
      </c>
      <c r="D2" s="255"/>
      <c r="E2" s="62" t="s">
        <v>2879</v>
      </c>
      <c r="F2" s="108"/>
    </row>
    <row r="3" spans="1:6" x14ac:dyDescent="0.25">
      <c r="A3" s="73" cm="1">
        <f t="array" ref="A3">dateShip[]</f>
        <v>44538</v>
      </c>
      <c r="B3" s="74" t="s">
        <v>122</v>
      </c>
      <c r="C3" s="74" t="str">
        <f>'Sku List'!G28</f>
        <v>FBA15FKLH7CH</v>
      </c>
      <c r="D3" s="74"/>
      <c r="E3" s="74" t="s">
        <v>102</v>
      </c>
      <c r="F3" s="75"/>
    </row>
    <row r="4" spans="1:6" ht="18.75" x14ac:dyDescent="0.3">
      <c r="A4" s="60" t="s">
        <v>2881</v>
      </c>
      <c r="B4" s="61"/>
      <c r="C4" s="61" t="s">
        <v>2880</v>
      </c>
      <c r="D4" s="61"/>
      <c r="E4" s="61"/>
      <c r="F4" s="150"/>
    </row>
    <row r="5" spans="1:6" x14ac:dyDescent="0.25">
      <c r="A5" s="241" t="s">
        <v>2882</v>
      </c>
      <c r="B5" s="242"/>
      <c r="C5" s="243" t="s">
        <v>2882</v>
      </c>
      <c r="D5" s="244"/>
      <c r="E5" s="244"/>
      <c r="F5" s="247"/>
    </row>
    <row r="6" spans="1:6" x14ac:dyDescent="0.25">
      <c r="A6" s="243"/>
      <c r="B6" s="244"/>
      <c r="C6" s="243"/>
      <c r="D6" s="244"/>
      <c r="E6" s="244"/>
      <c r="F6" s="247"/>
    </row>
    <row r="7" spans="1:6" x14ac:dyDescent="0.25">
      <c r="A7" s="243"/>
      <c r="B7" s="244"/>
      <c r="C7" s="243"/>
      <c r="D7" s="244"/>
      <c r="E7" s="244"/>
      <c r="F7" s="247"/>
    </row>
    <row r="8" spans="1:6" x14ac:dyDescent="0.25">
      <c r="A8" s="243"/>
      <c r="B8" s="244"/>
      <c r="C8" s="243"/>
      <c r="D8" s="244"/>
      <c r="E8" s="244"/>
      <c r="F8" s="247"/>
    </row>
    <row r="9" spans="1:6" x14ac:dyDescent="0.25">
      <c r="A9" s="245"/>
      <c r="B9" s="246"/>
      <c r="C9" s="243"/>
      <c r="D9" s="244"/>
      <c r="E9" s="244"/>
      <c r="F9" s="247"/>
    </row>
    <row r="10" spans="1:6" ht="18.75" x14ac:dyDescent="0.3">
      <c r="A10" s="66" t="s">
        <v>3011</v>
      </c>
      <c r="B10" s="66"/>
      <c r="C10" s="66" t="s">
        <v>3024</v>
      </c>
      <c r="D10" s="82"/>
      <c r="E10" s="82"/>
      <c r="F10" s="82"/>
    </row>
    <row r="11" spans="1:6" ht="18.75" x14ac:dyDescent="0.3">
      <c r="A11" s="160" t="s">
        <v>143</v>
      </c>
      <c r="B11" s="161"/>
      <c r="C11" s="337">
        <v>80136012376</v>
      </c>
      <c r="D11" s="338"/>
      <c r="E11" s="338"/>
      <c r="F11" s="169"/>
    </row>
    <row r="12" spans="1:6" ht="18.75" x14ac:dyDescent="0.3">
      <c r="A12" s="63" t="s">
        <v>2885</v>
      </c>
      <c r="B12" s="64"/>
      <c r="C12" s="64" t="s">
        <v>2886</v>
      </c>
      <c r="D12" s="64"/>
      <c r="E12" s="64"/>
      <c r="F12" s="64"/>
    </row>
    <row r="13" spans="1:6" x14ac:dyDescent="0.25">
      <c r="A13" s="88" t="str">
        <f>'Sku List'!G25</f>
        <v>FR 21-12-04</v>
      </c>
      <c r="B13" s="88"/>
      <c r="C13" s="248" t="str">
        <f ca="1">'Sku List'!H16</f>
        <v>TRANSATLANTIC STERLING LIMITED
c/o FBA
Amazon Fulfillment Center (BWU2), 
13 Emporium Avenue 2178 
Kemps Creek, NSW  
Australia</v>
      </c>
      <c r="D13" s="248"/>
      <c r="E13" s="248"/>
      <c r="F13" s="249"/>
    </row>
    <row r="14" spans="1:6" ht="18.75" x14ac:dyDescent="0.3">
      <c r="A14" s="60" t="s">
        <v>2887</v>
      </c>
      <c r="B14" s="90"/>
      <c r="C14" s="248"/>
      <c r="D14" s="248"/>
      <c r="E14" s="248"/>
      <c r="F14" s="249"/>
    </row>
    <row r="15" spans="1:6" ht="18.75" x14ac:dyDescent="0.25">
      <c r="A15" s="92" t="s">
        <v>3206</v>
      </c>
      <c r="B15" s="83"/>
      <c r="C15" s="248"/>
      <c r="D15" s="248"/>
      <c r="E15" s="248"/>
      <c r="F15" s="249"/>
    </row>
    <row r="16" spans="1:6" ht="15" customHeight="1" x14ac:dyDescent="0.3">
      <c r="A16" s="60" t="s">
        <v>126</v>
      </c>
      <c r="B16" s="90"/>
      <c r="C16" s="248"/>
      <c r="D16" s="248"/>
      <c r="E16" s="248"/>
      <c r="F16" s="249"/>
    </row>
    <row r="17" spans="1:10" ht="15" customHeight="1" x14ac:dyDescent="0.25">
      <c r="A17" s="93"/>
      <c r="B17" s="83"/>
      <c r="C17" s="248"/>
      <c r="D17" s="248"/>
      <c r="E17" s="248"/>
      <c r="F17" s="249"/>
    </row>
    <row r="18" spans="1:10" ht="18.75" x14ac:dyDescent="0.3">
      <c r="A18" s="60" t="s">
        <v>127</v>
      </c>
      <c r="B18" s="90"/>
      <c r="C18" s="248"/>
      <c r="D18" s="248"/>
      <c r="E18" s="248"/>
      <c r="F18" s="249"/>
    </row>
    <row r="19" spans="1:10" ht="18.75" x14ac:dyDescent="0.3">
      <c r="A19" s="89" t="str">
        <f>'Sku List'!G25</f>
        <v>FR 21-12-04</v>
      </c>
      <c r="B19" s="81"/>
      <c r="C19" s="248"/>
      <c r="D19" s="248"/>
      <c r="E19" s="248"/>
      <c r="F19" s="249"/>
    </row>
    <row r="20" spans="1:10" ht="39" customHeight="1" x14ac:dyDescent="0.25">
      <c r="A20" s="97" t="s">
        <v>128</v>
      </c>
      <c r="B20" s="183" t="s">
        <v>129</v>
      </c>
      <c r="C20" s="183" t="s">
        <v>3207</v>
      </c>
      <c r="D20" s="183" t="s">
        <v>2980</v>
      </c>
      <c r="E20" s="183" t="s">
        <v>130</v>
      </c>
      <c r="F20" s="183" t="s">
        <v>2984</v>
      </c>
      <c r="G20" s="4"/>
      <c r="H20" s="4"/>
      <c r="I20" s="4"/>
      <c r="J20" s="4"/>
    </row>
    <row r="21" spans="1:10" x14ac:dyDescent="0.25">
      <c r="A21" s="185" t="s">
        <v>2910</v>
      </c>
      <c r="B21" s="185" t="s">
        <v>114</v>
      </c>
      <c r="C21" s="185" t="s">
        <v>3136</v>
      </c>
      <c r="D21" s="186">
        <v>86.5</v>
      </c>
      <c r="E21" s="185">
        <v>40</v>
      </c>
      <c r="F21" s="186">
        <v>203.11265177096055</v>
      </c>
      <c r="G21" s="4"/>
      <c r="H21" s="4"/>
      <c r="I21" s="4"/>
      <c r="J21" s="4"/>
    </row>
    <row r="22" spans="1:10" x14ac:dyDescent="0.25">
      <c r="A22" s="185" t="s">
        <v>2910</v>
      </c>
      <c r="B22" s="185" t="s">
        <v>113</v>
      </c>
      <c r="C22" s="185" t="s">
        <v>3136</v>
      </c>
      <c r="D22" s="186">
        <v>14.8316831683168</v>
      </c>
      <c r="E22" s="185">
        <v>10</v>
      </c>
      <c r="F22" s="186">
        <v>36.295710898771461</v>
      </c>
      <c r="G22" s="4"/>
      <c r="H22" s="4"/>
      <c r="I22" s="4"/>
      <c r="J22" s="4"/>
    </row>
    <row r="23" spans="1:10" x14ac:dyDescent="0.25">
      <c r="A23" s="185" t="s">
        <v>2911</v>
      </c>
      <c r="B23" s="185" t="s">
        <v>114</v>
      </c>
      <c r="C23" s="185" t="s">
        <v>3136</v>
      </c>
      <c r="D23" s="186">
        <v>90.535938375350113</v>
      </c>
      <c r="E23" s="185">
        <v>26</v>
      </c>
      <c r="F23" s="186">
        <v>171.64702924060634</v>
      </c>
      <c r="G23" s="4"/>
      <c r="H23" s="4"/>
      <c r="I23" s="4"/>
      <c r="J23" s="4"/>
    </row>
    <row r="24" spans="1:10" x14ac:dyDescent="0.25">
      <c r="A24" s="185" t="s">
        <v>2912</v>
      </c>
      <c r="B24" s="185" t="s">
        <v>114</v>
      </c>
      <c r="C24" s="185" t="s">
        <v>3136</v>
      </c>
      <c r="D24" s="186">
        <v>579.72762385202566</v>
      </c>
      <c r="E24" s="185">
        <v>98</v>
      </c>
      <c r="F24" s="186">
        <v>998.26208779366334</v>
      </c>
      <c r="G24" s="4"/>
      <c r="H24" s="4"/>
      <c r="I24" s="4"/>
      <c r="J24" s="4"/>
    </row>
    <row r="25" spans="1:10" x14ac:dyDescent="0.25">
      <c r="A25" s="185" t="s">
        <v>2912</v>
      </c>
      <c r="B25" s="185" t="s">
        <v>113</v>
      </c>
      <c r="C25" s="185" t="s">
        <v>3136</v>
      </c>
      <c r="D25" s="186">
        <v>600.6275745297196</v>
      </c>
      <c r="E25" s="185">
        <v>244</v>
      </c>
      <c r="F25" s="186">
        <v>1112.523169767943</v>
      </c>
      <c r="G25" s="4"/>
      <c r="H25" s="4"/>
      <c r="I25" s="4"/>
      <c r="J25" s="4"/>
    </row>
    <row r="26" spans="1:10" x14ac:dyDescent="0.25">
      <c r="A26" s="185" t="s">
        <v>3032</v>
      </c>
      <c r="B26" s="185" t="s">
        <v>114</v>
      </c>
      <c r="C26" s="185" t="s">
        <v>3136</v>
      </c>
      <c r="D26" s="186">
        <v>42.6</v>
      </c>
      <c r="E26" s="185">
        <v>22</v>
      </c>
      <c r="F26" s="186">
        <v>113.28004885408433</v>
      </c>
      <c r="G26" s="4"/>
      <c r="H26" s="4"/>
      <c r="I26" s="4"/>
      <c r="J26" s="4"/>
    </row>
    <row r="27" spans="1:10" x14ac:dyDescent="0.25">
      <c r="A27" s="185" t="s">
        <v>3032</v>
      </c>
      <c r="B27" s="185" t="s">
        <v>113</v>
      </c>
      <c r="C27" s="185" t="s">
        <v>3136</v>
      </c>
      <c r="D27" s="186">
        <v>191.55468571428574</v>
      </c>
      <c r="E27" s="185">
        <v>78</v>
      </c>
      <c r="F27" s="186">
        <v>425.05891227818091</v>
      </c>
      <c r="G27" s="4"/>
      <c r="H27" s="4"/>
      <c r="I27" s="4"/>
      <c r="J27" s="4"/>
    </row>
    <row r="28" spans="1:10" x14ac:dyDescent="0.25">
      <c r="A28" s="185" t="s">
        <v>3032</v>
      </c>
      <c r="B28" s="185" t="s">
        <v>115</v>
      </c>
      <c r="C28" s="185" t="s">
        <v>3136</v>
      </c>
      <c r="D28" s="186">
        <v>128.68</v>
      </c>
      <c r="E28" s="185">
        <v>120</v>
      </c>
      <c r="F28" s="186">
        <v>512.58854802787562</v>
      </c>
      <c r="G28" s="4"/>
      <c r="H28" s="4"/>
      <c r="I28" s="4"/>
      <c r="J28" s="4"/>
    </row>
    <row r="29" spans="1:10" x14ac:dyDescent="0.25">
      <c r="A29" s="185" t="s">
        <v>3172</v>
      </c>
      <c r="B29" s="185" t="s">
        <v>114</v>
      </c>
      <c r="C29" s="185" t="s">
        <v>3136</v>
      </c>
      <c r="D29" s="186">
        <v>55.500000000000007</v>
      </c>
      <c r="E29" s="185">
        <v>50</v>
      </c>
      <c r="F29" s="186">
        <v>204.9734176305769</v>
      </c>
      <c r="G29" s="4"/>
      <c r="H29" s="4"/>
      <c r="I29" s="4"/>
      <c r="J29" s="4"/>
    </row>
    <row r="30" spans="1:10" x14ac:dyDescent="0.25">
      <c r="A30" s="185" t="s">
        <v>3173</v>
      </c>
      <c r="B30" s="185" t="s">
        <v>115</v>
      </c>
      <c r="C30" s="185" t="s">
        <v>3136</v>
      </c>
      <c r="D30" s="186">
        <v>27.1</v>
      </c>
      <c r="E30" s="185">
        <v>10</v>
      </c>
      <c r="F30" s="186">
        <v>101.14411954881817</v>
      </c>
      <c r="G30" s="4"/>
      <c r="H30" s="4"/>
      <c r="I30" s="4"/>
      <c r="J30" s="4"/>
    </row>
    <row r="31" spans="1:10" x14ac:dyDescent="0.25">
      <c r="A31" s="185" t="s">
        <v>3033</v>
      </c>
      <c r="B31" s="185" t="s">
        <v>113</v>
      </c>
      <c r="C31" s="185" t="s">
        <v>3136</v>
      </c>
      <c r="D31" s="186">
        <v>38</v>
      </c>
      <c r="E31" s="185">
        <v>24</v>
      </c>
      <c r="F31" s="186">
        <v>106.98002730081184</v>
      </c>
      <c r="G31" s="4"/>
      <c r="H31" s="4"/>
      <c r="I31" s="4"/>
      <c r="J31" s="4"/>
    </row>
    <row r="32" spans="1:10" x14ac:dyDescent="0.25">
      <c r="A32" s="185" t="s">
        <v>3033</v>
      </c>
      <c r="B32" s="185" t="s">
        <v>115</v>
      </c>
      <c r="C32" s="185" t="s">
        <v>3136</v>
      </c>
      <c r="D32" s="186">
        <v>15.879999999999999</v>
      </c>
      <c r="E32" s="185">
        <v>8</v>
      </c>
      <c r="F32" s="186">
        <v>53.668366980386523</v>
      </c>
      <c r="G32" s="4"/>
      <c r="H32" s="4"/>
      <c r="I32" s="4"/>
      <c r="J32" s="4"/>
    </row>
    <row r="33" spans="1:10" x14ac:dyDescent="0.25">
      <c r="A33" s="185" t="s">
        <v>3044</v>
      </c>
      <c r="B33" s="185" t="s">
        <v>113</v>
      </c>
      <c r="C33" s="185" t="s">
        <v>3136</v>
      </c>
      <c r="D33" s="186">
        <v>11.6</v>
      </c>
      <c r="E33" s="185">
        <v>2</v>
      </c>
      <c r="F33" s="186">
        <v>31.59997126230332</v>
      </c>
      <c r="G33" s="4"/>
      <c r="H33" s="4"/>
      <c r="I33" s="4"/>
      <c r="J33" s="4"/>
    </row>
    <row r="34" spans="1:10" x14ac:dyDescent="0.25">
      <c r="A34" s="185" t="s">
        <v>3034</v>
      </c>
      <c r="B34" s="185" t="s">
        <v>115</v>
      </c>
      <c r="C34" s="185" t="s">
        <v>3136</v>
      </c>
      <c r="D34" s="186">
        <v>3.38</v>
      </c>
      <c r="E34" s="185">
        <v>2</v>
      </c>
      <c r="F34" s="186">
        <v>14.254975213736619</v>
      </c>
      <c r="G34" s="4"/>
      <c r="H34" s="4"/>
      <c r="I34" s="4"/>
      <c r="J34" s="4"/>
    </row>
    <row r="35" spans="1:10" x14ac:dyDescent="0.25">
      <c r="A35" s="185" t="s">
        <v>3035</v>
      </c>
      <c r="B35" s="185" t="s">
        <v>115</v>
      </c>
      <c r="C35" s="185" t="s">
        <v>3136</v>
      </c>
      <c r="D35" s="186">
        <v>66</v>
      </c>
      <c r="E35" s="185">
        <v>60</v>
      </c>
      <c r="F35" s="186">
        <v>240.70694733817083</v>
      </c>
      <c r="G35" s="4"/>
      <c r="H35" s="4"/>
      <c r="I35" s="4"/>
      <c r="J35" s="4"/>
    </row>
    <row r="36" spans="1:10" x14ac:dyDescent="0.25">
      <c r="A36" s="185" t="s">
        <v>3045</v>
      </c>
      <c r="B36" s="185" t="s">
        <v>114</v>
      </c>
      <c r="C36" s="185" t="s">
        <v>3137</v>
      </c>
      <c r="D36" s="186">
        <v>11.2</v>
      </c>
      <c r="E36" s="185">
        <v>20</v>
      </c>
      <c r="F36" s="186">
        <v>402.81988648609808</v>
      </c>
      <c r="G36" s="4"/>
      <c r="H36" s="4"/>
      <c r="I36" s="4"/>
      <c r="J36" s="4"/>
    </row>
    <row r="37" spans="1:10" x14ac:dyDescent="0.25">
      <c r="A37" s="187" t="s">
        <v>2893</v>
      </c>
      <c r="B37" s="187"/>
      <c r="C37" s="187"/>
      <c r="D37" s="188">
        <f ca="1">SUM(D21:OFFSET(D37,-1,0))</f>
        <v>1963.7175056396982</v>
      </c>
      <c r="E37" s="187">
        <f ca="1">SUM(E21:OFFSET(E37,-1,0))</f>
        <v>814</v>
      </c>
      <c r="F37" s="190">
        <f ca="1">SUM(F21:OFFSET(F37,-1,0))</f>
        <v>4728.9158703929879</v>
      </c>
      <c r="G37" s="4"/>
      <c r="H37" s="4"/>
      <c r="I37" s="4"/>
      <c r="J37" s="4"/>
    </row>
    <row r="38" spans="1:10" ht="31.5" x14ac:dyDescent="0.3">
      <c r="A38" s="94" t="s">
        <v>148</v>
      </c>
      <c r="B38" s="95"/>
      <c r="C38" s="4"/>
      <c r="D38" s="69" t="s">
        <v>132</v>
      </c>
      <c r="E38" s="69"/>
      <c r="F38" s="191">
        <v>100</v>
      </c>
      <c r="G38" s="4"/>
      <c r="H38" s="4"/>
      <c r="I38" s="4"/>
      <c r="J38" s="4"/>
    </row>
    <row r="39" spans="1:10" ht="15" customHeight="1" x14ac:dyDescent="0.3">
      <c r="A39" s="250" cm="1">
        <f t="array" ref="A39">boxesNumber[]</f>
        <v>3</v>
      </c>
      <c r="B39" s="77"/>
      <c r="C39" s="4"/>
      <c r="D39" s="69" t="s">
        <v>133</v>
      </c>
      <c r="E39" s="69"/>
      <c r="F39" s="191">
        <f ca="1">OFFSET(F38,-1,0)*0.005</f>
        <v>23.644579351964939</v>
      </c>
      <c r="G39" s="4"/>
      <c r="H39" s="4"/>
      <c r="I39" s="4"/>
      <c r="J39" s="4"/>
    </row>
    <row r="40" spans="1:10" ht="15.75" customHeight="1" x14ac:dyDescent="0.3">
      <c r="A40" s="250"/>
      <c r="B40" s="77"/>
      <c r="C40" s="4"/>
      <c r="D40" s="69" t="s">
        <v>134</v>
      </c>
      <c r="E40" s="69"/>
      <c r="F40" s="70">
        <v>0</v>
      </c>
      <c r="G40" s="4"/>
      <c r="H40" s="4"/>
      <c r="I40" s="4"/>
      <c r="J40" s="4"/>
    </row>
    <row r="41" spans="1:10" ht="15" customHeight="1" x14ac:dyDescent="0.25">
      <c r="A41" s="339" t="s">
        <v>3210</v>
      </c>
      <c r="B41" s="242"/>
      <c r="C41" s="273"/>
      <c r="D41" s="232" t="s">
        <v>119</v>
      </c>
      <c r="E41" s="233"/>
      <c r="F41" s="251">
        <f ca="1">SUM(F37:OFFSET(F41,-1,0))</f>
        <v>4852.5604497449531</v>
      </c>
      <c r="G41" s="4"/>
      <c r="H41" s="4"/>
      <c r="I41" s="4"/>
      <c r="J41" s="4"/>
    </row>
    <row r="42" spans="1:10" ht="15" customHeight="1" x14ac:dyDescent="0.25">
      <c r="A42" s="243"/>
      <c r="B42" s="244"/>
      <c r="C42" s="247"/>
      <c r="D42" s="234"/>
      <c r="E42" s="235"/>
      <c r="F42" s="252"/>
    </row>
    <row r="43" spans="1:10" ht="15" customHeight="1" x14ac:dyDescent="0.25">
      <c r="A43" s="243"/>
      <c r="B43" s="244"/>
      <c r="C43" s="247"/>
      <c r="D43" s="234"/>
      <c r="E43" s="235"/>
      <c r="F43" s="252"/>
    </row>
    <row r="44" spans="1:10" ht="15" customHeight="1" x14ac:dyDescent="0.25">
      <c r="A44" s="245"/>
      <c r="B44" s="246"/>
      <c r="C44" s="274"/>
      <c r="D44" s="236"/>
      <c r="E44" s="237"/>
      <c r="F44" s="253"/>
    </row>
    <row r="45" spans="1:10" x14ac:dyDescent="0.25">
      <c r="A45" s="36"/>
      <c r="B45" s="37"/>
      <c r="C45" s="37"/>
      <c r="D45" s="37"/>
      <c r="E45" s="37"/>
      <c r="F45" s="43"/>
    </row>
    <row r="46" spans="1:10" x14ac:dyDescent="0.25">
      <c r="A46" s="36"/>
      <c r="B46" s="37"/>
      <c r="C46" s="37"/>
      <c r="D46" s="37"/>
      <c r="E46" s="37"/>
      <c r="F46" s="43"/>
    </row>
    <row r="47" spans="1:10" x14ac:dyDescent="0.25">
      <c r="A47" s="38"/>
      <c r="B47" s="39"/>
      <c r="C47" s="39"/>
      <c r="D47" s="40"/>
      <c r="E47" s="40"/>
      <c r="F47" s="44"/>
    </row>
    <row r="48" spans="1:10" x14ac:dyDescent="0.25">
      <c r="A48" s="71" t="s">
        <v>135</v>
      </c>
      <c r="B48" s="51"/>
      <c r="C48" s="52"/>
      <c r="D48" s="50"/>
      <c r="E48" s="50"/>
      <c r="F48" s="135"/>
    </row>
    <row r="49" spans="1:6" x14ac:dyDescent="0.25">
      <c r="A49" s="41"/>
      <c r="B49" s="35"/>
      <c r="C49" s="30"/>
      <c r="D49" s="30"/>
      <c r="E49" s="30"/>
      <c r="F49" s="45"/>
    </row>
    <row r="50" spans="1:6" x14ac:dyDescent="0.25">
      <c r="A50" s="46"/>
      <c r="B50" s="47"/>
      <c r="C50" s="47"/>
      <c r="D50" s="47"/>
      <c r="E50" s="47"/>
      <c r="F50" s="49"/>
    </row>
  </sheetData>
  <mergeCells count="10">
    <mergeCell ref="D41:E44"/>
    <mergeCell ref="F41:F44"/>
    <mergeCell ref="C11:E11"/>
    <mergeCell ref="A1:F1"/>
    <mergeCell ref="C2:D2"/>
    <mergeCell ref="A5:B9"/>
    <mergeCell ref="C5:F9"/>
    <mergeCell ref="C13:F19"/>
    <mergeCell ref="A39:A40"/>
    <mergeCell ref="A41:C44"/>
  </mergeCells>
  <pageMargins left="0" right="0" top="0" bottom="0" header="0" footer="0"/>
  <pageSetup paperSize="9" orientation="portrait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C94252-A0DE-4A86-98BA-2E7E83695511}">
  <sheetPr codeName="AUManual">
    <pageSetUpPr fitToPage="1"/>
  </sheetPr>
  <dimension ref="A1:F101"/>
  <sheetViews>
    <sheetView topLeftCell="A88" workbookViewId="0">
      <selection activeCell="L109" sqref="L109"/>
    </sheetView>
  </sheetViews>
  <sheetFormatPr defaultRowHeight="15" x14ac:dyDescent="0.25"/>
  <cols>
    <col min="1" max="1" width="27.42578125" customWidth="1"/>
    <col min="3" max="3" width="9.28515625" customWidth="1"/>
    <col min="4" max="4" width="12.7109375" customWidth="1"/>
    <col min="5" max="5" width="11.85546875" bestFit="1" customWidth="1"/>
    <col min="6" max="6" width="11.85546875" customWidth="1"/>
  </cols>
  <sheetData>
    <row r="1" spans="1:6" ht="18" x14ac:dyDescent="0.25">
      <c r="A1" s="282" t="s">
        <v>3031</v>
      </c>
      <c r="B1" s="283"/>
      <c r="C1" s="283"/>
      <c r="D1" s="283"/>
      <c r="E1" s="283"/>
      <c r="F1" s="283"/>
    </row>
    <row r="2" spans="1:6" x14ac:dyDescent="0.25">
      <c r="A2" s="284" t="s">
        <v>120</v>
      </c>
      <c r="B2" s="284"/>
      <c r="C2" s="284"/>
      <c r="D2" s="285" t="s">
        <v>121</v>
      </c>
      <c r="E2" s="285"/>
      <c r="F2" s="285"/>
    </row>
    <row r="3" spans="1:6" x14ac:dyDescent="0.25">
      <c r="A3" s="286">
        <f>USInvoice!A3</f>
        <v>44538</v>
      </c>
      <c r="B3" s="286"/>
      <c r="C3" s="286"/>
      <c r="D3" s="152" t="str">
        <f>USInvoice!D3</f>
        <v>FBA15FKLH7CH</v>
      </c>
      <c r="E3" s="152"/>
      <c r="F3" s="152"/>
    </row>
    <row r="4" spans="1:6" x14ac:dyDescent="0.25">
      <c r="A4" s="281" t="s">
        <v>123</v>
      </c>
      <c r="B4" s="281"/>
      <c r="C4" s="281"/>
      <c r="D4" s="281" t="s">
        <v>124</v>
      </c>
      <c r="E4" s="281"/>
      <c r="F4" s="281"/>
    </row>
    <row r="5" spans="1:6" x14ac:dyDescent="0.25">
      <c r="A5" s="288" t="s">
        <v>139</v>
      </c>
      <c r="B5" s="289"/>
      <c r="C5" s="290"/>
      <c r="D5" s="291" t="s">
        <v>139</v>
      </c>
      <c r="E5" s="291"/>
      <c r="F5" s="292"/>
    </row>
    <row r="6" spans="1:6" x14ac:dyDescent="0.25">
      <c r="A6" s="293" t="s">
        <v>140</v>
      </c>
      <c r="B6" s="294"/>
      <c r="C6" s="295"/>
      <c r="D6" s="296" t="s">
        <v>140</v>
      </c>
      <c r="E6" s="296"/>
      <c r="F6" s="297"/>
    </row>
    <row r="7" spans="1:6" x14ac:dyDescent="0.25">
      <c r="A7" s="293" t="s">
        <v>141</v>
      </c>
      <c r="B7" s="294"/>
      <c r="C7" s="295"/>
      <c r="D7" s="296" t="s">
        <v>141</v>
      </c>
      <c r="E7" s="296"/>
      <c r="F7" s="297"/>
    </row>
    <row r="8" spans="1:6" x14ac:dyDescent="0.25">
      <c r="A8" s="293" t="s">
        <v>142</v>
      </c>
      <c r="B8" s="294"/>
      <c r="C8" s="295"/>
      <c r="D8" s="296" t="s">
        <v>142</v>
      </c>
      <c r="E8" s="296"/>
      <c r="F8" s="297"/>
    </row>
    <row r="9" spans="1:6" x14ac:dyDescent="0.25">
      <c r="A9" s="298" t="s">
        <v>118</v>
      </c>
      <c r="B9" s="299"/>
      <c r="C9" s="300"/>
      <c r="D9" s="301" t="s">
        <v>118</v>
      </c>
      <c r="E9" s="301"/>
      <c r="F9" s="302"/>
    </row>
    <row r="10" spans="1:6" x14ac:dyDescent="0.25">
      <c r="A10" s="303" t="s">
        <v>152</v>
      </c>
      <c r="B10" s="303"/>
      <c r="C10" s="303"/>
      <c r="D10" s="303"/>
      <c r="E10" s="303"/>
      <c r="F10" s="303"/>
    </row>
    <row r="11" spans="1:6" x14ac:dyDescent="0.25">
      <c r="A11" s="287" t="str">
        <f>USInvoice!A13</f>
        <v>FR 21-12-04</v>
      </c>
      <c r="B11" s="287"/>
      <c r="C11" s="287"/>
      <c r="D11" s="287"/>
      <c r="E11" s="287"/>
      <c r="F11" s="287"/>
    </row>
    <row r="12" spans="1:6" x14ac:dyDescent="0.25">
      <c r="A12" s="310" t="s">
        <v>125</v>
      </c>
      <c r="B12" s="310"/>
      <c r="C12" s="310"/>
      <c r="D12" s="310"/>
      <c r="E12" s="310"/>
      <c r="F12" s="310"/>
    </row>
    <row r="13" spans="1:6" x14ac:dyDescent="0.25">
      <c r="A13" s="287" t="s">
        <v>3206</v>
      </c>
      <c r="B13" s="287"/>
      <c r="C13" s="287"/>
      <c r="D13" s="287"/>
      <c r="E13" s="287"/>
      <c r="F13" s="287"/>
    </row>
    <row r="14" spans="1:6" ht="21" x14ac:dyDescent="0.25">
      <c r="A14" s="123" t="s">
        <v>2888</v>
      </c>
      <c r="B14" s="34" t="s">
        <v>129</v>
      </c>
      <c r="C14" s="34" t="s">
        <v>2889</v>
      </c>
      <c r="D14" s="34" t="s">
        <v>3207</v>
      </c>
      <c r="E14" s="34" t="s">
        <v>2990</v>
      </c>
      <c r="F14" s="124" t="s">
        <v>130</v>
      </c>
    </row>
    <row r="15" spans="1:6" x14ac:dyDescent="0.25">
      <c r="A15" s="176" t="s">
        <v>2901</v>
      </c>
      <c r="B15" s="176" t="s">
        <v>113</v>
      </c>
      <c r="C15" s="176" t="s">
        <v>117</v>
      </c>
      <c r="D15" s="176" t="s">
        <v>3136</v>
      </c>
      <c r="E15" s="177">
        <v>4</v>
      </c>
      <c r="F15" s="176">
        <v>2</v>
      </c>
    </row>
    <row r="16" spans="1:6" x14ac:dyDescent="0.25">
      <c r="A16" s="176" t="s">
        <v>3139</v>
      </c>
      <c r="B16" s="176" t="s">
        <v>113</v>
      </c>
      <c r="C16" s="176" t="s">
        <v>117</v>
      </c>
      <c r="D16" s="176" t="s">
        <v>3136</v>
      </c>
      <c r="E16" s="177">
        <v>16.318309859154901</v>
      </c>
      <c r="F16" s="176">
        <v>6</v>
      </c>
    </row>
    <row r="17" spans="1:6" x14ac:dyDescent="0.25">
      <c r="A17" s="176" t="s">
        <v>3037</v>
      </c>
      <c r="B17" s="176" t="s">
        <v>114</v>
      </c>
      <c r="C17" s="176" t="s">
        <v>117</v>
      </c>
      <c r="D17" s="176" t="s">
        <v>3136</v>
      </c>
      <c r="E17" s="177">
        <v>25.2</v>
      </c>
      <c r="F17" s="176">
        <v>2</v>
      </c>
    </row>
    <row r="18" spans="1:6" x14ac:dyDescent="0.25">
      <c r="A18" s="176" t="s">
        <v>2909</v>
      </c>
      <c r="B18" s="176" t="s">
        <v>114</v>
      </c>
      <c r="C18" s="176" t="s">
        <v>117</v>
      </c>
      <c r="D18" s="176" t="s">
        <v>3136</v>
      </c>
      <c r="E18" s="177">
        <v>25.4</v>
      </c>
      <c r="F18" s="176">
        <v>2</v>
      </c>
    </row>
    <row r="19" spans="1:6" x14ac:dyDescent="0.25">
      <c r="A19" s="176" t="s">
        <v>2896</v>
      </c>
      <c r="B19" s="176" t="s">
        <v>113</v>
      </c>
      <c r="C19" s="176" t="s">
        <v>117</v>
      </c>
      <c r="D19" s="176" t="s">
        <v>3136</v>
      </c>
      <c r="E19" s="177">
        <v>76.5</v>
      </c>
      <c r="F19" s="176">
        <v>50</v>
      </c>
    </row>
    <row r="20" spans="1:6" x14ac:dyDescent="0.25">
      <c r="A20" s="176" t="s">
        <v>2895</v>
      </c>
      <c r="B20" s="176" t="s">
        <v>113</v>
      </c>
      <c r="C20" s="176" t="s">
        <v>117</v>
      </c>
      <c r="D20" s="176" t="s">
        <v>3136</v>
      </c>
      <c r="E20" s="177">
        <v>82.5</v>
      </c>
      <c r="F20" s="176">
        <v>50</v>
      </c>
    </row>
    <row r="21" spans="1:6" x14ac:dyDescent="0.25">
      <c r="A21" s="176" t="s">
        <v>3061</v>
      </c>
      <c r="B21" s="176" t="s">
        <v>113</v>
      </c>
      <c r="C21" s="176" t="s">
        <v>117</v>
      </c>
      <c r="D21" s="176" t="s">
        <v>3136</v>
      </c>
      <c r="E21" s="177">
        <v>91.5</v>
      </c>
      <c r="F21" s="176">
        <v>50</v>
      </c>
    </row>
    <row r="22" spans="1:6" x14ac:dyDescent="0.25">
      <c r="A22" s="176" t="s">
        <v>3174</v>
      </c>
      <c r="B22" s="176" t="s">
        <v>113</v>
      </c>
      <c r="C22" s="176" t="s">
        <v>117</v>
      </c>
      <c r="D22" s="176" t="s">
        <v>3136</v>
      </c>
      <c r="E22" s="177">
        <v>14.8316831683168</v>
      </c>
      <c r="F22" s="176">
        <v>10</v>
      </c>
    </row>
    <row r="23" spans="1:6" x14ac:dyDescent="0.25">
      <c r="A23" s="176" t="s">
        <v>2897</v>
      </c>
      <c r="B23" s="176" t="s">
        <v>113</v>
      </c>
      <c r="C23" s="176" t="s">
        <v>117</v>
      </c>
      <c r="D23" s="176" t="s">
        <v>3136</v>
      </c>
      <c r="E23" s="177">
        <v>23.332007952286304</v>
      </c>
      <c r="F23" s="176">
        <v>10</v>
      </c>
    </row>
    <row r="24" spans="1:6" x14ac:dyDescent="0.25">
      <c r="A24" s="176" t="s">
        <v>2898</v>
      </c>
      <c r="B24" s="176" t="s">
        <v>113</v>
      </c>
      <c r="C24" s="176" t="s">
        <v>117</v>
      </c>
      <c r="D24" s="176" t="s">
        <v>3136</v>
      </c>
      <c r="E24" s="177">
        <v>55.216000000000001</v>
      </c>
      <c r="F24" s="176">
        <v>20</v>
      </c>
    </row>
    <row r="25" spans="1:6" x14ac:dyDescent="0.25">
      <c r="A25" s="176" t="s">
        <v>3065</v>
      </c>
      <c r="B25" s="176" t="s">
        <v>113</v>
      </c>
      <c r="C25" s="176" t="s">
        <v>117</v>
      </c>
      <c r="D25" s="176" t="s">
        <v>3136</v>
      </c>
      <c r="E25" s="177">
        <v>37.783037475345196</v>
      </c>
      <c r="F25" s="176">
        <v>10</v>
      </c>
    </row>
    <row r="26" spans="1:6" x14ac:dyDescent="0.25">
      <c r="A26" s="176" t="s">
        <v>3071</v>
      </c>
      <c r="B26" s="176" t="s">
        <v>113</v>
      </c>
      <c r="C26" s="176" t="s">
        <v>117</v>
      </c>
      <c r="D26" s="176" t="s">
        <v>3136</v>
      </c>
      <c r="E26" s="177">
        <v>19.38</v>
      </c>
      <c r="F26" s="176">
        <v>10</v>
      </c>
    </row>
    <row r="27" spans="1:6" x14ac:dyDescent="0.25">
      <c r="A27" s="176" t="s">
        <v>3072</v>
      </c>
      <c r="B27" s="176" t="s">
        <v>113</v>
      </c>
      <c r="C27" s="176" t="s">
        <v>117</v>
      </c>
      <c r="D27" s="176" t="s">
        <v>3136</v>
      </c>
      <c r="E27" s="177">
        <v>23.650602409638601</v>
      </c>
      <c r="F27" s="176">
        <v>10</v>
      </c>
    </row>
    <row r="28" spans="1:6" x14ac:dyDescent="0.25">
      <c r="A28" s="176" t="s">
        <v>2902</v>
      </c>
      <c r="B28" s="176" t="s">
        <v>113</v>
      </c>
      <c r="C28" s="176" t="s">
        <v>117</v>
      </c>
      <c r="D28" s="176" t="s">
        <v>3136</v>
      </c>
      <c r="E28" s="177">
        <v>27.0711462450593</v>
      </c>
      <c r="F28" s="176">
        <v>10</v>
      </c>
    </row>
    <row r="29" spans="1:6" x14ac:dyDescent="0.25">
      <c r="A29" s="176" t="s">
        <v>3073</v>
      </c>
      <c r="B29" s="176" t="s">
        <v>113</v>
      </c>
      <c r="C29" s="176" t="s">
        <v>117</v>
      </c>
      <c r="D29" s="176" t="s">
        <v>3136</v>
      </c>
      <c r="E29" s="177">
        <v>18.776470588235281</v>
      </c>
      <c r="F29" s="176">
        <v>6</v>
      </c>
    </row>
    <row r="30" spans="1:6" x14ac:dyDescent="0.25">
      <c r="A30" s="176" t="s">
        <v>2906</v>
      </c>
      <c r="B30" s="176" t="s">
        <v>113</v>
      </c>
      <c r="C30" s="176" t="s">
        <v>117</v>
      </c>
      <c r="D30" s="176" t="s">
        <v>3136</v>
      </c>
      <c r="E30" s="177">
        <v>39.76</v>
      </c>
      <c r="F30" s="176">
        <v>4</v>
      </c>
    </row>
    <row r="31" spans="1:6" x14ac:dyDescent="0.25">
      <c r="A31" s="176" t="s">
        <v>3175</v>
      </c>
      <c r="B31" s="176" t="s">
        <v>113</v>
      </c>
      <c r="C31" s="176" t="s">
        <v>117</v>
      </c>
      <c r="D31" s="176" t="s">
        <v>3136</v>
      </c>
      <c r="E31" s="177">
        <v>84.84</v>
      </c>
      <c r="F31" s="176">
        <v>6</v>
      </c>
    </row>
    <row r="32" spans="1:6" x14ac:dyDescent="0.25">
      <c r="A32" s="176" t="s">
        <v>2899</v>
      </c>
      <c r="B32" s="176" t="s">
        <v>114</v>
      </c>
      <c r="C32" s="176" t="s">
        <v>117</v>
      </c>
      <c r="D32" s="176" t="s">
        <v>3136</v>
      </c>
      <c r="E32" s="177">
        <v>20.009803921568601</v>
      </c>
      <c r="F32" s="176">
        <v>10</v>
      </c>
    </row>
    <row r="33" spans="1:6" x14ac:dyDescent="0.25">
      <c r="A33" s="176" t="s">
        <v>3074</v>
      </c>
      <c r="B33" s="176" t="s">
        <v>114</v>
      </c>
      <c r="C33" s="176" t="s">
        <v>117</v>
      </c>
      <c r="D33" s="176" t="s">
        <v>3136</v>
      </c>
      <c r="E33" s="177">
        <v>28.97</v>
      </c>
      <c r="F33" s="176">
        <v>10</v>
      </c>
    </row>
    <row r="34" spans="1:6" x14ac:dyDescent="0.25">
      <c r="A34" s="176" t="s">
        <v>3079</v>
      </c>
      <c r="B34" s="176" t="s">
        <v>114</v>
      </c>
      <c r="C34" s="176" t="s">
        <v>117</v>
      </c>
      <c r="D34" s="176" t="s">
        <v>3136</v>
      </c>
      <c r="E34" s="177">
        <v>6.64</v>
      </c>
      <c r="F34" s="176">
        <v>4</v>
      </c>
    </row>
    <row r="35" spans="1:6" x14ac:dyDescent="0.25">
      <c r="A35" s="176" t="s">
        <v>3080</v>
      </c>
      <c r="B35" s="176" t="s">
        <v>114</v>
      </c>
      <c r="C35" s="176" t="s">
        <v>117</v>
      </c>
      <c r="D35" s="176" t="s">
        <v>3136</v>
      </c>
      <c r="E35" s="177">
        <v>17.8</v>
      </c>
      <c r="F35" s="176">
        <v>10</v>
      </c>
    </row>
    <row r="36" spans="1:6" x14ac:dyDescent="0.25">
      <c r="A36" s="176" t="s">
        <v>2905</v>
      </c>
      <c r="B36" s="176" t="s">
        <v>114</v>
      </c>
      <c r="C36" s="176" t="s">
        <v>117</v>
      </c>
      <c r="D36" s="176" t="s">
        <v>3136</v>
      </c>
      <c r="E36" s="177">
        <v>73.5</v>
      </c>
      <c r="F36" s="176">
        <v>30</v>
      </c>
    </row>
    <row r="37" spans="1:6" x14ac:dyDescent="0.25">
      <c r="A37" s="176" t="s">
        <v>2900</v>
      </c>
      <c r="B37" s="176" t="s">
        <v>114</v>
      </c>
      <c r="C37" s="176" t="s">
        <v>117</v>
      </c>
      <c r="D37" s="176" t="s">
        <v>3136</v>
      </c>
      <c r="E37" s="177">
        <v>51.17</v>
      </c>
      <c r="F37" s="176">
        <v>10</v>
      </c>
    </row>
    <row r="38" spans="1:6" x14ac:dyDescent="0.25">
      <c r="A38" s="176" t="s">
        <v>3176</v>
      </c>
      <c r="B38" s="176" t="s">
        <v>114</v>
      </c>
      <c r="C38" s="176" t="s">
        <v>117</v>
      </c>
      <c r="D38" s="176" t="s">
        <v>3136</v>
      </c>
      <c r="E38" s="177">
        <v>22.368932038834977</v>
      </c>
      <c r="F38" s="176">
        <v>6</v>
      </c>
    </row>
    <row r="39" spans="1:6" x14ac:dyDescent="0.25">
      <c r="A39" s="176" t="s">
        <v>3177</v>
      </c>
      <c r="B39" s="176" t="s">
        <v>114</v>
      </c>
      <c r="C39" s="176" t="s">
        <v>117</v>
      </c>
      <c r="D39" s="176" t="s">
        <v>3136</v>
      </c>
      <c r="E39" s="177">
        <v>99.485148514851403</v>
      </c>
      <c r="F39" s="176">
        <v>20</v>
      </c>
    </row>
    <row r="40" spans="1:6" x14ac:dyDescent="0.25">
      <c r="A40" s="176" t="s">
        <v>3083</v>
      </c>
      <c r="B40" s="176" t="s">
        <v>114</v>
      </c>
      <c r="C40" s="176" t="s">
        <v>117</v>
      </c>
      <c r="D40" s="176" t="s">
        <v>3136</v>
      </c>
      <c r="E40" s="177">
        <v>19.56373937677056</v>
      </c>
      <c r="F40" s="176">
        <v>6</v>
      </c>
    </row>
    <row r="41" spans="1:6" x14ac:dyDescent="0.25">
      <c r="A41" s="176" t="s">
        <v>3084</v>
      </c>
      <c r="B41" s="176" t="s">
        <v>114</v>
      </c>
      <c r="C41" s="176" t="s">
        <v>117</v>
      </c>
      <c r="D41" s="176" t="s">
        <v>3136</v>
      </c>
      <c r="E41" s="177">
        <v>11.088095238095221</v>
      </c>
      <c r="F41" s="176">
        <v>6</v>
      </c>
    </row>
    <row r="42" spans="1:6" x14ac:dyDescent="0.25">
      <c r="A42" s="176" t="s">
        <v>3087</v>
      </c>
      <c r="B42" s="176" t="s">
        <v>114</v>
      </c>
      <c r="C42" s="176" t="s">
        <v>117</v>
      </c>
      <c r="D42" s="176" t="s">
        <v>3136</v>
      </c>
      <c r="E42" s="177">
        <v>4.4078431372548996</v>
      </c>
      <c r="F42" s="176">
        <v>2</v>
      </c>
    </row>
    <row r="43" spans="1:6" x14ac:dyDescent="0.25">
      <c r="A43" s="176" t="s">
        <v>3091</v>
      </c>
      <c r="B43" s="176" t="s">
        <v>114</v>
      </c>
      <c r="C43" s="176" t="s">
        <v>117</v>
      </c>
      <c r="D43" s="176" t="s">
        <v>3136</v>
      </c>
      <c r="E43" s="177">
        <v>9.1199999999999992</v>
      </c>
      <c r="F43" s="176">
        <v>2</v>
      </c>
    </row>
    <row r="44" spans="1:6" x14ac:dyDescent="0.25">
      <c r="A44" s="176" t="s">
        <v>3178</v>
      </c>
      <c r="B44" s="176" t="s">
        <v>114</v>
      </c>
      <c r="C44" s="176" t="s">
        <v>117</v>
      </c>
      <c r="D44" s="176" t="s">
        <v>3136</v>
      </c>
      <c r="E44" s="177">
        <v>47.800000000000004</v>
      </c>
      <c r="F44" s="176">
        <v>10</v>
      </c>
    </row>
    <row r="45" spans="1:6" x14ac:dyDescent="0.25">
      <c r="A45" s="176" t="s">
        <v>3092</v>
      </c>
      <c r="B45" s="176" t="s">
        <v>114</v>
      </c>
      <c r="C45" s="176" t="s">
        <v>117</v>
      </c>
      <c r="D45" s="176" t="s">
        <v>3136</v>
      </c>
      <c r="E45" s="177">
        <v>58.3</v>
      </c>
      <c r="F45" s="176">
        <v>10</v>
      </c>
    </row>
    <row r="46" spans="1:6" x14ac:dyDescent="0.25">
      <c r="A46" s="176" t="s">
        <v>3179</v>
      </c>
      <c r="B46" s="176" t="s">
        <v>114</v>
      </c>
      <c r="C46" s="176" t="s">
        <v>117</v>
      </c>
      <c r="D46" s="176" t="s">
        <v>3136</v>
      </c>
      <c r="E46" s="177">
        <v>13</v>
      </c>
      <c r="F46" s="176">
        <v>10</v>
      </c>
    </row>
    <row r="47" spans="1:6" x14ac:dyDescent="0.25">
      <c r="A47" s="176" t="s">
        <v>3096</v>
      </c>
      <c r="B47" s="176" t="s">
        <v>113</v>
      </c>
      <c r="C47" s="176" t="s">
        <v>117</v>
      </c>
      <c r="D47" s="176" t="s">
        <v>3136</v>
      </c>
      <c r="E47" s="177">
        <v>3.5703999999999998</v>
      </c>
      <c r="F47" s="176">
        <v>2</v>
      </c>
    </row>
    <row r="48" spans="1:6" x14ac:dyDescent="0.25">
      <c r="A48" s="176" t="s">
        <v>3097</v>
      </c>
      <c r="B48" s="176" t="s">
        <v>113</v>
      </c>
      <c r="C48" s="176" t="s">
        <v>117</v>
      </c>
      <c r="D48" s="176" t="s">
        <v>3136</v>
      </c>
      <c r="E48" s="177">
        <v>5.3142857142857203</v>
      </c>
      <c r="F48" s="176">
        <v>2</v>
      </c>
    </row>
    <row r="49" spans="1:6" x14ac:dyDescent="0.25">
      <c r="A49" s="176" t="s">
        <v>3098</v>
      </c>
      <c r="B49" s="176" t="s">
        <v>113</v>
      </c>
      <c r="C49" s="176" t="s">
        <v>117</v>
      </c>
      <c r="D49" s="176" t="s">
        <v>3136</v>
      </c>
      <c r="E49" s="177">
        <v>6.9333333333333398</v>
      </c>
      <c r="F49" s="176">
        <v>2</v>
      </c>
    </row>
    <row r="50" spans="1:6" x14ac:dyDescent="0.25">
      <c r="A50" s="176" t="s">
        <v>3100</v>
      </c>
      <c r="B50" s="176" t="s">
        <v>113</v>
      </c>
      <c r="C50" s="176" t="s">
        <v>117</v>
      </c>
      <c r="D50" s="176" t="s">
        <v>3136</v>
      </c>
      <c r="E50" s="177">
        <v>68.136666666666699</v>
      </c>
      <c r="F50" s="176">
        <v>10</v>
      </c>
    </row>
    <row r="51" spans="1:6" x14ac:dyDescent="0.25">
      <c r="A51" s="176" t="s">
        <v>3102</v>
      </c>
      <c r="B51" s="176" t="s">
        <v>113</v>
      </c>
      <c r="C51" s="176" t="s">
        <v>117</v>
      </c>
      <c r="D51" s="176" t="s">
        <v>3136</v>
      </c>
      <c r="E51" s="177">
        <v>36</v>
      </c>
      <c r="F51" s="176">
        <v>30</v>
      </c>
    </row>
    <row r="52" spans="1:6" x14ac:dyDescent="0.25">
      <c r="A52" s="176" t="s">
        <v>3103</v>
      </c>
      <c r="B52" s="176" t="s">
        <v>113</v>
      </c>
      <c r="C52" s="176" t="s">
        <v>117</v>
      </c>
      <c r="D52" s="176" t="s">
        <v>3136</v>
      </c>
      <c r="E52" s="177">
        <v>50</v>
      </c>
      <c r="F52" s="176">
        <v>20</v>
      </c>
    </row>
    <row r="53" spans="1:6" x14ac:dyDescent="0.25">
      <c r="A53" s="176" t="s">
        <v>3111</v>
      </c>
      <c r="B53" s="176" t="s">
        <v>114</v>
      </c>
      <c r="C53" s="176" t="s">
        <v>1230</v>
      </c>
      <c r="D53" s="176" t="s">
        <v>3137</v>
      </c>
      <c r="E53" s="177">
        <v>4.2</v>
      </c>
      <c r="F53" s="176">
        <v>10</v>
      </c>
    </row>
    <row r="54" spans="1:6" x14ac:dyDescent="0.25">
      <c r="A54" s="176" t="s">
        <v>3112</v>
      </c>
      <c r="B54" s="176" t="s">
        <v>114</v>
      </c>
      <c r="C54" s="176" t="s">
        <v>1230</v>
      </c>
      <c r="D54" s="176" t="s">
        <v>3137</v>
      </c>
      <c r="E54" s="177">
        <v>7</v>
      </c>
      <c r="F54" s="176">
        <v>10</v>
      </c>
    </row>
    <row r="55" spans="1:6" x14ac:dyDescent="0.25">
      <c r="A55" s="176" t="s">
        <v>3190</v>
      </c>
      <c r="B55" s="176" t="s">
        <v>114</v>
      </c>
      <c r="C55" s="176" t="s">
        <v>117</v>
      </c>
      <c r="D55" s="176" t="s">
        <v>3136</v>
      </c>
      <c r="E55" s="177">
        <v>22.200000000000003</v>
      </c>
      <c r="F55" s="176">
        <v>20</v>
      </c>
    </row>
    <row r="56" spans="1:6" x14ac:dyDescent="0.25">
      <c r="A56" s="176" t="s">
        <v>3191</v>
      </c>
      <c r="B56" s="176" t="s">
        <v>114</v>
      </c>
      <c r="C56" s="176" t="s">
        <v>117</v>
      </c>
      <c r="D56" s="176" t="s">
        <v>3136</v>
      </c>
      <c r="E56" s="177">
        <v>22.200000000000003</v>
      </c>
      <c r="F56" s="176">
        <v>20</v>
      </c>
    </row>
    <row r="57" spans="1:6" x14ac:dyDescent="0.25">
      <c r="A57" s="176" t="s">
        <v>3189</v>
      </c>
      <c r="B57" s="176" t="s">
        <v>114</v>
      </c>
      <c r="C57" s="176" t="s">
        <v>117</v>
      </c>
      <c r="D57" s="176" t="s">
        <v>3136</v>
      </c>
      <c r="E57" s="177">
        <v>11.100000000000001</v>
      </c>
      <c r="F57" s="176">
        <v>10</v>
      </c>
    </row>
    <row r="58" spans="1:6" x14ac:dyDescent="0.25">
      <c r="A58" s="176" t="s">
        <v>3104</v>
      </c>
      <c r="B58" s="176" t="s">
        <v>114</v>
      </c>
      <c r="C58" s="176" t="s">
        <v>117</v>
      </c>
      <c r="D58" s="176" t="s">
        <v>3136</v>
      </c>
      <c r="E58" s="177">
        <v>33</v>
      </c>
      <c r="F58" s="176">
        <v>20</v>
      </c>
    </row>
    <row r="59" spans="1:6" x14ac:dyDescent="0.25">
      <c r="A59" s="176" t="s">
        <v>3186</v>
      </c>
      <c r="B59" s="176" t="s">
        <v>115</v>
      </c>
      <c r="C59" s="176" t="s">
        <v>117</v>
      </c>
      <c r="D59" s="176" t="s">
        <v>3136</v>
      </c>
      <c r="E59" s="177">
        <v>27.1</v>
      </c>
      <c r="F59" s="176">
        <v>10</v>
      </c>
    </row>
    <row r="60" spans="1:6" x14ac:dyDescent="0.25">
      <c r="A60" s="176" t="s">
        <v>3036</v>
      </c>
      <c r="B60" s="176" t="s">
        <v>115</v>
      </c>
      <c r="C60" s="176" t="s">
        <v>117</v>
      </c>
      <c r="D60" s="176" t="s">
        <v>3136</v>
      </c>
      <c r="E60" s="177">
        <v>24.3</v>
      </c>
      <c r="F60" s="176">
        <v>30</v>
      </c>
    </row>
    <row r="61" spans="1:6" x14ac:dyDescent="0.25">
      <c r="A61" s="176" t="s">
        <v>3184</v>
      </c>
      <c r="B61" s="176" t="s">
        <v>115</v>
      </c>
      <c r="C61" s="176" t="s">
        <v>117</v>
      </c>
      <c r="D61" s="176" t="s">
        <v>3136</v>
      </c>
      <c r="E61" s="177">
        <v>13.3</v>
      </c>
      <c r="F61" s="176">
        <v>10</v>
      </c>
    </row>
    <row r="62" spans="1:6" x14ac:dyDescent="0.25">
      <c r="A62" s="176" t="s">
        <v>3185</v>
      </c>
      <c r="B62" s="176" t="s">
        <v>115</v>
      </c>
      <c r="C62" s="176" t="s">
        <v>117</v>
      </c>
      <c r="D62" s="176" t="s">
        <v>3136</v>
      </c>
      <c r="E62" s="177">
        <v>28.4</v>
      </c>
      <c r="F62" s="176">
        <v>20</v>
      </c>
    </row>
    <row r="63" spans="1:6" x14ac:dyDescent="0.25">
      <c r="A63" s="176" t="s">
        <v>3188</v>
      </c>
      <c r="B63" s="176" t="s">
        <v>115</v>
      </c>
      <c r="C63" s="176" t="s">
        <v>117</v>
      </c>
      <c r="D63" s="176" t="s">
        <v>3136</v>
      </c>
      <c r="E63" s="177">
        <v>25.6</v>
      </c>
      <c r="F63" s="176">
        <v>40</v>
      </c>
    </row>
    <row r="64" spans="1:6" x14ac:dyDescent="0.25">
      <c r="A64" s="176" t="s">
        <v>3193</v>
      </c>
      <c r="B64" s="176" t="s">
        <v>115</v>
      </c>
      <c r="C64" s="176" t="s">
        <v>117</v>
      </c>
      <c r="D64" s="176" t="s">
        <v>3136</v>
      </c>
      <c r="E64" s="177">
        <v>7.8000000000000007</v>
      </c>
      <c r="F64" s="176">
        <v>10</v>
      </c>
    </row>
    <row r="65" spans="1:6" x14ac:dyDescent="0.25">
      <c r="A65" s="176" t="s">
        <v>3194</v>
      </c>
      <c r="B65" s="176" t="s">
        <v>115</v>
      </c>
      <c r="C65" s="176" t="s">
        <v>117</v>
      </c>
      <c r="D65" s="176" t="s">
        <v>3136</v>
      </c>
      <c r="E65" s="177">
        <v>17.399999999999999</v>
      </c>
      <c r="F65" s="176">
        <v>10</v>
      </c>
    </row>
    <row r="66" spans="1:6" x14ac:dyDescent="0.25">
      <c r="A66" s="176" t="s">
        <v>3040</v>
      </c>
      <c r="B66" s="176" t="s">
        <v>115</v>
      </c>
      <c r="C66" s="176" t="s">
        <v>117</v>
      </c>
      <c r="D66" s="176" t="s">
        <v>3136</v>
      </c>
      <c r="E66" s="177">
        <v>3.2</v>
      </c>
      <c r="F66" s="176">
        <v>2</v>
      </c>
    </row>
    <row r="67" spans="1:6" x14ac:dyDescent="0.25">
      <c r="A67" s="176" t="s">
        <v>3192</v>
      </c>
      <c r="B67" s="176" t="s">
        <v>115</v>
      </c>
      <c r="C67" s="176" t="s">
        <v>117</v>
      </c>
      <c r="D67" s="176" t="s">
        <v>3136</v>
      </c>
      <c r="E67" s="177">
        <v>3.6</v>
      </c>
      <c r="F67" s="176">
        <v>4</v>
      </c>
    </row>
    <row r="68" spans="1:6" x14ac:dyDescent="0.25">
      <c r="A68" s="176" t="s">
        <v>3114</v>
      </c>
      <c r="B68" s="176" t="s">
        <v>115</v>
      </c>
      <c r="C68" s="176" t="s">
        <v>117</v>
      </c>
      <c r="D68" s="176" t="s">
        <v>3136</v>
      </c>
      <c r="E68" s="177">
        <v>1.48</v>
      </c>
      <c r="F68" s="176">
        <v>2</v>
      </c>
    </row>
    <row r="69" spans="1:6" x14ac:dyDescent="0.25">
      <c r="A69" s="176" t="s">
        <v>3038</v>
      </c>
      <c r="B69" s="176" t="s">
        <v>115</v>
      </c>
      <c r="C69" s="176" t="s">
        <v>117</v>
      </c>
      <c r="D69" s="176" t="s">
        <v>3136</v>
      </c>
      <c r="E69" s="177">
        <v>7.44</v>
      </c>
      <c r="F69" s="176">
        <v>4</v>
      </c>
    </row>
    <row r="70" spans="1:6" x14ac:dyDescent="0.25">
      <c r="A70" s="176" t="s">
        <v>3187</v>
      </c>
      <c r="B70" s="176" t="s">
        <v>115</v>
      </c>
      <c r="C70" s="176" t="s">
        <v>117</v>
      </c>
      <c r="D70" s="176" t="s">
        <v>3136</v>
      </c>
      <c r="E70" s="177">
        <v>16</v>
      </c>
      <c r="F70" s="176">
        <v>10</v>
      </c>
    </row>
    <row r="71" spans="1:6" x14ac:dyDescent="0.25">
      <c r="A71" s="176" t="s">
        <v>3180</v>
      </c>
      <c r="B71" s="176" t="s">
        <v>113</v>
      </c>
      <c r="C71" s="176" t="s">
        <v>117</v>
      </c>
      <c r="D71" s="176" t="s">
        <v>3136</v>
      </c>
      <c r="E71" s="177">
        <v>6</v>
      </c>
      <c r="F71" s="176">
        <v>6</v>
      </c>
    </row>
    <row r="72" spans="1:6" x14ac:dyDescent="0.25">
      <c r="A72" s="176" t="s">
        <v>3181</v>
      </c>
      <c r="B72" s="176" t="s">
        <v>113</v>
      </c>
      <c r="C72" s="176" t="s">
        <v>117</v>
      </c>
      <c r="D72" s="176" t="s">
        <v>3136</v>
      </c>
      <c r="E72" s="177">
        <v>4</v>
      </c>
      <c r="F72" s="176">
        <v>4</v>
      </c>
    </row>
    <row r="73" spans="1:6" x14ac:dyDescent="0.25">
      <c r="A73" s="176" t="s">
        <v>3182</v>
      </c>
      <c r="B73" s="176" t="s">
        <v>113</v>
      </c>
      <c r="C73" s="176" t="s">
        <v>117</v>
      </c>
      <c r="D73" s="176" t="s">
        <v>3136</v>
      </c>
      <c r="E73" s="177">
        <v>20</v>
      </c>
      <c r="F73" s="176">
        <v>10</v>
      </c>
    </row>
    <row r="74" spans="1:6" x14ac:dyDescent="0.25">
      <c r="A74" s="176" t="s">
        <v>3183</v>
      </c>
      <c r="B74" s="176" t="s">
        <v>113</v>
      </c>
      <c r="C74" s="176" t="s">
        <v>117</v>
      </c>
      <c r="D74" s="176" t="s">
        <v>3136</v>
      </c>
      <c r="E74" s="177">
        <v>8</v>
      </c>
      <c r="F74" s="176">
        <v>4</v>
      </c>
    </row>
    <row r="75" spans="1:6" x14ac:dyDescent="0.25">
      <c r="A75" s="176" t="s">
        <v>3107</v>
      </c>
      <c r="B75" s="176" t="s">
        <v>113</v>
      </c>
      <c r="C75" s="176" t="s">
        <v>117</v>
      </c>
      <c r="D75" s="176" t="s">
        <v>3136</v>
      </c>
      <c r="E75" s="177">
        <v>11.6</v>
      </c>
      <c r="F75" s="176">
        <v>2</v>
      </c>
    </row>
    <row r="76" spans="1:6" x14ac:dyDescent="0.25">
      <c r="A76" s="176" t="s">
        <v>3109</v>
      </c>
      <c r="B76" s="176" t="s">
        <v>113</v>
      </c>
      <c r="C76" s="176" t="s">
        <v>117</v>
      </c>
      <c r="D76" s="176" t="s">
        <v>3136</v>
      </c>
      <c r="E76" s="177">
        <v>18</v>
      </c>
      <c r="F76" s="176">
        <v>10</v>
      </c>
    </row>
    <row r="77" spans="1:6" x14ac:dyDescent="0.25">
      <c r="A77" s="176" t="s">
        <v>3110</v>
      </c>
      <c r="B77" s="176" t="s">
        <v>113</v>
      </c>
      <c r="C77" s="176" t="s">
        <v>117</v>
      </c>
      <c r="D77" s="176" t="s">
        <v>3136</v>
      </c>
      <c r="E77" s="177">
        <v>3.6</v>
      </c>
      <c r="F77" s="176">
        <v>2</v>
      </c>
    </row>
    <row r="78" spans="1:6" x14ac:dyDescent="0.25">
      <c r="A78" s="176" t="s">
        <v>3119</v>
      </c>
      <c r="B78" s="176" t="s">
        <v>114</v>
      </c>
      <c r="C78" s="176" t="s">
        <v>117</v>
      </c>
      <c r="D78" s="176" t="s">
        <v>3136</v>
      </c>
      <c r="E78" s="177">
        <v>9.6</v>
      </c>
      <c r="F78" s="176">
        <v>2</v>
      </c>
    </row>
    <row r="79" spans="1:6" x14ac:dyDescent="0.25">
      <c r="A79" s="176" t="s">
        <v>3197</v>
      </c>
      <c r="B79" s="176" t="s">
        <v>115</v>
      </c>
      <c r="C79" s="176" t="s">
        <v>117</v>
      </c>
      <c r="D79" s="176" t="s">
        <v>3136</v>
      </c>
      <c r="E79" s="177">
        <v>8.06</v>
      </c>
      <c r="F79" s="176">
        <v>2</v>
      </c>
    </row>
    <row r="80" spans="1:6" x14ac:dyDescent="0.25">
      <c r="A80" s="176" t="s">
        <v>3202</v>
      </c>
      <c r="B80" s="176" t="s">
        <v>115</v>
      </c>
      <c r="C80" s="176" t="s">
        <v>117</v>
      </c>
      <c r="D80" s="176" t="s">
        <v>3136</v>
      </c>
      <c r="E80" s="177">
        <v>15</v>
      </c>
      <c r="F80" s="176">
        <v>10</v>
      </c>
    </row>
    <row r="81" spans="1:6" x14ac:dyDescent="0.25">
      <c r="A81" s="176" t="s">
        <v>3201</v>
      </c>
      <c r="B81" s="176" t="s">
        <v>115</v>
      </c>
      <c r="C81" s="176" t="s">
        <v>117</v>
      </c>
      <c r="D81" s="176" t="s">
        <v>3136</v>
      </c>
      <c r="E81" s="177">
        <v>3</v>
      </c>
      <c r="F81" s="176">
        <v>2</v>
      </c>
    </row>
    <row r="82" spans="1:6" x14ac:dyDescent="0.25">
      <c r="A82" s="176" t="s">
        <v>3124</v>
      </c>
      <c r="B82" s="176" t="s">
        <v>115</v>
      </c>
      <c r="C82" s="176" t="s">
        <v>117</v>
      </c>
      <c r="D82" s="176" t="s">
        <v>3136</v>
      </c>
      <c r="E82" s="177">
        <v>5.0999999999999996</v>
      </c>
      <c r="F82" s="176">
        <v>6</v>
      </c>
    </row>
    <row r="83" spans="1:6" x14ac:dyDescent="0.25">
      <c r="A83" s="176" t="s">
        <v>3123</v>
      </c>
      <c r="B83" s="176" t="s">
        <v>115</v>
      </c>
      <c r="C83" s="176" t="s">
        <v>117</v>
      </c>
      <c r="D83" s="176" t="s">
        <v>3136</v>
      </c>
      <c r="E83" s="177">
        <v>4.8000000000000007</v>
      </c>
      <c r="F83" s="176">
        <v>6</v>
      </c>
    </row>
    <row r="84" spans="1:6" x14ac:dyDescent="0.25">
      <c r="A84" s="176" t="s">
        <v>3205</v>
      </c>
      <c r="B84" s="176" t="s">
        <v>115</v>
      </c>
      <c r="C84" s="176" t="s">
        <v>117</v>
      </c>
      <c r="D84" s="176" t="s">
        <v>3136</v>
      </c>
      <c r="E84" s="177">
        <v>5.0999999999999996</v>
      </c>
      <c r="F84" s="176">
        <v>6</v>
      </c>
    </row>
    <row r="85" spans="1:6" x14ac:dyDescent="0.25">
      <c r="A85" s="176" t="s">
        <v>3204</v>
      </c>
      <c r="B85" s="176" t="s">
        <v>115</v>
      </c>
      <c r="C85" s="176" t="s">
        <v>117</v>
      </c>
      <c r="D85" s="176" t="s">
        <v>3136</v>
      </c>
      <c r="E85" s="177">
        <v>5.0999999999999996</v>
      </c>
      <c r="F85" s="176">
        <v>6</v>
      </c>
    </row>
    <row r="86" spans="1:6" x14ac:dyDescent="0.25">
      <c r="A86" s="176" t="s">
        <v>3198</v>
      </c>
      <c r="B86" s="176" t="s">
        <v>114</v>
      </c>
      <c r="C86" s="176" t="s">
        <v>117</v>
      </c>
      <c r="D86" s="176" t="s">
        <v>3136</v>
      </c>
      <c r="E86" s="177">
        <v>23.52</v>
      </c>
      <c r="F86" s="176">
        <v>2</v>
      </c>
    </row>
    <row r="87" spans="1:6" x14ac:dyDescent="0.25">
      <c r="A87" s="176" t="s">
        <v>3199</v>
      </c>
      <c r="B87" s="176" t="s">
        <v>114</v>
      </c>
      <c r="C87" s="176" t="s">
        <v>117</v>
      </c>
      <c r="D87" s="176" t="s">
        <v>3136</v>
      </c>
      <c r="E87" s="177">
        <v>130.29999999999998</v>
      </c>
      <c r="F87" s="176">
        <v>10</v>
      </c>
    </row>
    <row r="88" spans="1:6" x14ac:dyDescent="0.25">
      <c r="A88" s="176" t="s">
        <v>3200</v>
      </c>
      <c r="B88" s="176" t="s">
        <v>114</v>
      </c>
      <c r="C88" s="176" t="s">
        <v>117</v>
      </c>
      <c r="D88" s="176" t="s">
        <v>3136</v>
      </c>
      <c r="E88" s="177">
        <v>69.12</v>
      </c>
      <c r="F88" s="176">
        <v>2</v>
      </c>
    </row>
    <row r="89" spans="1:6" x14ac:dyDescent="0.25">
      <c r="A89" s="176" t="s">
        <v>3195</v>
      </c>
      <c r="B89" s="176" t="s">
        <v>115</v>
      </c>
      <c r="C89" s="176" t="s">
        <v>117</v>
      </c>
      <c r="D89" s="176" t="s">
        <v>3136</v>
      </c>
      <c r="E89" s="177">
        <v>5.0999999999999996</v>
      </c>
      <c r="F89" s="176">
        <v>6</v>
      </c>
    </row>
    <row r="90" spans="1:6" x14ac:dyDescent="0.25">
      <c r="A90" s="176" t="s">
        <v>3196</v>
      </c>
      <c r="B90" s="176" t="s">
        <v>115</v>
      </c>
      <c r="C90" s="176" t="s">
        <v>117</v>
      </c>
      <c r="D90" s="176" t="s">
        <v>3136</v>
      </c>
      <c r="E90" s="177">
        <v>10.78</v>
      </c>
      <c r="F90" s="176">
        <v>2</v>
      </c>
    </row>
    <row r="91" spans="1:6" x14ac:dyDescent="0.25">
      <c r="A91" s="176" t="s">
        <v>3203</v>
      </c>
      <c r="B91" s="176" t="s">
        <v>115</v>
      </c>
      <c r="C91" s="176" t="s">
        <v>117</v>
      </c>
      <c r="D91" s="176" t="s">
        <v>3136</v>
      </c>
      <c r="E91" s="177">
        <v>3.38</v>
      </c>
      <c r="F91" s="176">
        <v>2</v>
      </c>
    </row>
    <row r="92" spans="1:6" x14ac:dyDescent="0.25">
      <c r="A92" s="176"/>
      <c r="B92" s="176"/>
      <c r="C92" s="176"/>
      <c r="D92" s="176"/>
      <c r="E92" s="177"/>
      <c r="F92" s="176"/>
    </row>
    <row r="93" spans="1:6" x14ac:dyDescent="0.25">
      <c r="A93" s="306" t="s">
        <v>131</v>
      </c>
      <c r="B93" s="306"/>
      <c r="C93" s="306"/>
      <c r="D93" s="307"/>
      <c r="E93" s="167">
        <f ca="1">SUM(E15:OFFSET(E93,-1,0))</f>
        <v>1963.7175056396966</v>
      </c>
      <c r="F93" s="126">
        <f ca="1">SUM(F15:OFFSET(F93,-1,0))</f>
        <v>814</v>
      </c>
    </row>
    <row r="94" spans="1:6" x14ac:dyDescent="0.25">
      <c r="A94" s="127" t="s">
        <v>2993</v>
      </c>
      <c r="B94" s="308" t="s">
        <v>2988</v>
      </c>
      <c r="C94" s="308"/>
      <c r="D94" s="153" t="s">
        <v>153</v>
      </c>
      <c r="E94" s="129"/>
      <c r="F94" s="129"/>
    </row>
    <row r="95" spans="1:6" x14ac:dyDescent="0.25">
      <c r="A95" s="304">
        <v>1</v>
      </c>
      <c r="B95" s="304">
        <f ca="1">COUNTA(A15:OFFSET(AUSubManBox,-1,0))</f>
        <v>77</v>
      </c>
      <c r="C95" s="304"/>
      <c r="D95" s="305">
        <f ca="1">F93</f>
        <v>814</v>
      </c>
      <c r="E95" s="130"/>
      <c r="F95" s="131"/>
    </row>
    <row r="96" spans="1:6" x14ac:dyDescent="0.25">
      <c r="A96" s="304"/>
      <c r="B96" s="304"/>
      <c r="C96" s="304"/>
      <c r="D96" s="304"/>
      <c r="E96" s="130"/>
      <c r="F96" s="131"/>
    </row>
    <row r="97" spans="1:6" x14ac:dyDescent="0.25">
      <c r="A97" s="36"/>
      <c r="B97" s="37"/>
      <c r="C97" s="37"/>
      <c r="D97" s="37"/>
      <c r="E97" s="37"/>
      <c r="F97" s="43"/>
    </row>
    <row r="98" spans="1:6" x14ac:dyDescent="0.25">
      <c r="A98" s="36"/>
      <c r="B98" s="37"/>
      <c r="C98" s="37"/>
      <c r="D98" s="37"/>
      <c r="E98" s="37"/>
      <c r="F98" s="43"/>
    </row>
    <row r="99" spans="1:6" x14ac:dyDescent="0.25">
      <c r="A99" s="38"/>
      <c r="B99" s="39"/>
      <c r="C99" s="39"/>
      <c r="D99" s="40"/>
      <c r="E99" s="40"/>
      <c r="F99" s="44"/>
    </row>
    <row r="100" spans="1:6" x14ac:dyDescent="0.25">
      <c r="A100" s="98" t="s">
        <v>135</v>
      </c>
      <c r="B100" s="51"/>
      <c r="C100" s="51"/>
      <c r="D100" s="40"/>
      <c r="E100" s="40"/>
      <c r="F100" s="44"/>
    </row>
    <row r="101" spans="1:6" x14ac:dyDescent="0.25">
      <c r="A101" s="132"/>
      <c r="B101" s="133"/>
      <c r="C101" s="133"/>
      <c r="D101" s="133"/>
      <c r="E101" s="133"/>
      <c r="F101" s="134"/>
    </row>
  </sheetData>
  <mergeCells count="25">
    <mergeCell ref="A12:F12"/>
    <mergeCell ref="A13:F13"/>
    <mergeCell ref="A93:D93"/>
    <mergeCell ref="B94:C94"/>
    <mergeCell ref="A95:A96"/>
    <mergeCell ref="B95:C96"/>
    <mergeCell ref="D95:D96"/>
    <mergeCell ref="A11:F11"/>
    <mergeCell ref="A5:C5"/>
    <mergeCell ref="D5:F5"/>
    <mergeCell ref="A6:C6"/>
    <mergeCell ref="D6:F6"/>
    <mergeCell ref="A7:C7"/>
    <mergeCell ref="D7:F7"/>
    <mergeCell ref="A8:C8"/>
    <mergeCell ref="D8:F8"/>
    <mergeCell ref="A9:C9"/>
    <mergeCell ref="D9:F9"/>
    <mergeCell ref="A10:F10"/>
    <mergeCell ref="A1:F1"/>
    <mergeCell ref="A2:C2"/>
    <mergeCell ref="D2:F2"/>
    <mergeCell ref="A3:C3"/>
    <mergeCell ref="A4:C4"/>
    <mergeCell ref="D4:F4"/>
  </mergeCells>
  <pageMargins left="0" right="0" top="0" bottom="0" header="0" footer="0"/>
  <pageSetup paperSize="9" scale="54" orientation="portrait" r:id="rId1"/>
  <drawing r:id="rId2"/>
  <legacy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E200B0A-E9DC-46D8-B8EC-7FACB02B0FD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18</vt:i4>
      </vt:variant>
      <vt:variant>
        <vt:lpstr>Named Ranges</vt:lpstr>
      </vt:variant>
      <vt:variant>
        <vt:i4>125</vt:i4>
      </vt:variant>
    </vt:vector>
  </HeadingPairs>
  <TitlesOfParts>
    <vt:vector size="143" baseType="lpstr">
      <vt:lpstr>Values</vt:lpstr>
      <vt:lpstr>Map</vt:lpstr>
      <vt:lpstr>Sku List</vt:lpstr>
      <vt:lpstr>PackagingPivot</vt:lpstr>
      <vt:lpstr>TotInvPivot</vt:lpstr>
      <vt:lpstr>Inventory</vt:lpstr>
      <vt:lpstr>USTotal Invoice</vt:lpstr>
      <vt:lpstr>USInvoice</vt:lpstr>
      <vt:lpstr>USManual Packaging List</vt:lpstr>
      <vt:lpstr>CAInvoice</vt:lpstr>
      <vt:lpstr>CATotal Invoice</vt:lpstr>
      <vt:lpstr>CAManual Packaging List</vt:lpstr>
      <vt:lpstr>FRInvoice</vt:lpstr>
      <vt:lpstr>FRTotal Invoice</vt:lpstr>
      <vt:lpstr>FRManual Packaging List</vt:lpstr>
      <vt:lpstr>AUInvoice</vt:lpstr>
      <vt:lpstr>AUTotal Invoice</vt:lpstr>
      <vt:lpstr>AUManual Packaging List</vt:lpstr>
      <vt:lpstr>AUBox</vt:lpstr>
      <vt:lpstr>AUDtoGBP</vt:lpstr>
      <vt:lpstr>AUInvoice!AUGoods</vt:lpstr>
      <vt:lpstr>AUGoods</vt:lpstr>
      <vt:lpstr>'AUManual Packaging List'!AUGoodsManBox</vt:lpstr>
      <vt:lpstr>'AUTotal Invoice'!AUGoodsTotInv</vt:lpstr>
      <vt:lpstr>AUInvoice!AUSub</vt:lpstr>
      <vt:lpstr>AUSub</vt:lpstr>
      <vt:lpstr>'AUManual Packaging List'!AUSubManBox</vt:lpstr>
      <vt:lpstr>'AUTotal Invoice'!AUSubTotInv</vt:lpstr>
      <vt:lpstr>'AUTotal Invoice'!AUTotInv</vt:lpstr>
      <vt:lpstr>CABox</vt:lpstr>
      <vt:lpstr>CADtoGBP</vt:lpstr>
      <vt:lpstr>CAGoods</vt:lpstr>
      <vt:lpstr>CAGoodsManBox</vt:lpstr>
      <vt:lpstr>CAGoodsTotInv</vt:lpstr>
      <vt:lpstr>CASub</vt:lpstr>
      <vt:lpstr>CASubManBox</vt:lpstr>
      <vt:lpstr>CASubTotInv</vt:lpstr>
      <vt:lpstr>countryLst</vt:lpstr>
      <vt:lpstr>currentAddress</vt:lpstr>
      <vt:lpstr>CurrentMonth</vt:lpstr>
      <vt:lpstr>currMonth</vt:lpstr>
      <vt:lpstr>EURtoCAD</vt:lpstr>
      <vt:lpstr>EURtoGBP</vt:lpstr>
      <vt:lpstr>EURtoGBPchange</vt:lpstr>
      <vt:lpstr>EURtoGBPold</vt:lpstr>
      <vt:lpstr>EURtoUSD</vt:lpstr>
      <vt:lpstr>EURtoUSDNEW</vt:lpstr>
      <vt:lpstr>AUInvoice!fbaID</vt:lpstr>
      <vt:lpstr>'AUManual Packaging List'!fbaID</vt:lpstr>
      <vt:lpstr>'AUTotal Invoice'!fbaID</vt:lpstr>
      <vt:lpstr>CAInvoice!fbaID</vt:lpstr>
      <vt:lpstr>'CAManual Packaging List'!fbaID</vt:lpstr>
      <vt:lpstr>'CATotal Invoice'!fbaID</vt:lpstr>
      <vt:lpstr>FRInvoice!fbaID</vt:lpstr>
      <vt:lpstr>'FRManual Packaging List'!fbaID</vt:lpstr>
      <vt:lpstr>'FRTotal Invoice'!fbaID</vt:lpstr>
      <vt:lpstr>fbaID</vt:lpstr>
      <vt:lpstr>FBAstockM</vt:lpstr>
      <vt:lpstr>FRBox</vt:lpstr>
      <vt:lpstr>FRGoods</vt:lpstr>
      <vt:lpstr>'FRManual Packaging List'!FRGoodsManBox</vt:lpstr>
      <vt:lpstr>FRGoodsTotInv</vt:lpstr>
      <vt:lpstr>FRSub</vt:lpstr>
      <vt:lpstr>'FRManual Packaging List'!FRSubManBox</vt:lpstr>
      <vt:lpstr>'FRTotal Invoice'!FRSubTotInv</vt:lpstr>
      <vt:lpstr>'FRTotal Invoice'!FRTotInv</vt:lpstr>
      <vt:lpstr>FVF_EU_CE</vt:lpstr>
      <vt:lpstr>FVF_EU_JEW</vt:lpstr>
      <vt:lpstr>FVF_EU_OTH</vt:lpstr>
      <vt:lpstr>FVF_UK_CE</vt:lpstr>
      <vt:lpstr>FVF_UK_JEW</vt:lpstr>
      <vt:lpstr>FVF_UK_OTH</vt:lpstr>
      <vt:lpstr>GoldPrice</vt:lpstr>
      <vt:lpstr>INRtoGBP</vt:lpstr>
      <vt:lpstr>Int_Letter_AED</vt:lpstr>
      <vt:lpstr>Int_Letter_AUD</vt:lpstr>
      <vt:lpstr>Int_Letter_CAD</vt:lpstr>
      <vt:lpstr>Int_Letter_EUR</vt:lpstr>
      <vt:lpstr>Int_Letter_INR</vt:lpstr>
      <vt:lpstr>Int_Letter_JPY</vt:lpstr>
      <vt:lpstr>Int_Letter_MXN</vt:lpstr>
      <vt:lpstr>Int_Letter_NZD</vt:lpstr>
      <vt:lpstr>Int_Letter_USD</vt:lpstr>
      <vt:lpstr>INT_LL_AED</vt:lpstr>
      <vt:lpstr>INT_LL_AUD</vt:lpstr>
      <vt:lpstr>INT_LL_CAD</vt:lpstr>
      <vt:lpstr>INT_LL_EUR</vt:lpstr>
      <vt:lpstr>INT_LL_INR</vt:lpstr>
      <vt:lpstr>INT_LL_JPY</vt:lpstr>
      <vt:lpstr>INT_LL_MXN</vt:lpstr>
      <vt:lpstr>INT_LL_NZD</vt:lpstr>
      <vt:lpstr>INT_LL_USD</vt:lpstr>
      <vt:lpstr>International_Delivery_Serivce</vt:lpstr>
      <vt:lpstr>JPYtoGBP</vt:lpstr>
      <vt:lpstr>LAB_COST_GandS</vt:lpstr>
      <vt:lpstr>LAB_NOTAGS_COST_BIA</vt:lpstr>
      <vt:lpstr>LABandTAGS_COST_BIA</vt:lpstr>
      <vt:lpstr>largewallet_price_EUR</vt:lpstr>
      <vt:lpstr>lastExport</vt:lpstr>
      <vt:lpstr>MXNtoGBP</vt:lpstr>
      <vt:lpstr>NZDtoGBP</vt:lpstr>
      <vt:lpstr>PACK_COST_1</vt:lpstr>
      <vt:lpstr>'AUTotal Invoice'!Packages</vt:lpstr>
      <vt:lpstr>'CATotal Invoice'!Packages</vt:lpstr>
      <vt:lpstr>'FRTotal Invoice'!Packages</vt:lpstr>
      <vt:lpstr>Packages</vt:lpstr>
      <vt:lpstr>Packaging_Labour_Cost_EUR</vt:lpstr>
      <vt:lpstr>Payoneer_Rate</vt:lpstr>
      <vt:lpstr>PayPal_Rate</vt:lpstr>
      <vt:lpstr>SFP_UK_24</vt:lpstr>
      <vt:lpstr>SHIPDUTY_CA</vt:lpstr>
      <vt:lpstr>SHIPDUTY_EU</vt:lpstr>
      <vt:lpstr>SHIPDUTY_IN</vt:lpstr>
      <vt:lpstr>shipment</vt:lpstr>
      <vt:lpstr>smallwallet_price_EUR</vt:lpstr>
      <vt:lpstr>SUPPLIES_COST</vt:lpstr>
      <vt:lpstr>TAG_COST_Eur</vt:lpstr>
      <vt:lpstr>USBox</vt:lpstr>
      <vt:lpstr>USDfromEUR</vt:lpstr>
      <vt:lpstr>USDtoGBP</vt:lpstr>
      <vt:lpstr>CAInvoice!USEndInv</vt:lpstr>
      <vt:lpstr>USEndInv</vt:lpstr>
      <vt:lpstr>'CAManual Packaging List'!USEndPack</vt:lpstr>
      <vt:lpstr>USEndPack</vt:lpstr>
      <vt:lpstr>'CATotal Invoice'!USEndTot</vt:lpstr>
      <vt:lpstr>USEndTot</vt:lpstr>
      <vt:lpstr>CAInvoice!USGoods</vt:lpstr>
      <vt:lpstr>USGoods</vt:lpstr>
      <vt:lpstr>'CAManual Packaging List'!USGoodsManBox</vt:lpstr>
      <vt:lpstr>USGoodsManBox</vt:lpstr>
      <vt:lpstr>'CAManual Packaging List'!USGoodsManBox1</vt:lpstr>
      <vt:lpstr>USGoodsManBox1</vt:lpstr>
      <vt:lpstr>USGoodsTotInv</vt:lpstr>
      <vt:lpstr>USHs</vt:lpstr>
      <vt:lpstr>USHsCode</vt:lpstr>
      <vt:lpstr>CAInvoice!USSub</vt:lpstr>
      <vt:lpstr>USSub</vt:lpstr>
      <vt:lpstr>'CAManual Packaging List'!USSubManBox</vt:lpstr>
      <vt:lpstr>USSubManBox</vt:lpstr>
      <vt:lpstr>'CATotal Invoice'!USSubTotInv</vt:lpstr>
      <vt:lpstr>USSubTotInv</vt:lpstr>
      <vt:lpstr>USTotInv</vt:lpstr>
      <vt:lpstr>WorldFirst_Rate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Niko</dc:creator>
  <cp:lastModifiedBy>Amberta Support8</cp:lastModifiedBy>
  <cp:lastPrinted>2021-12-08T16:29:09Z</cp:lastPrinted>
  <dcterms:created xsi:type="dcterms:W3CDTF">2017-03-09T13:59:49Z</dcterms:created>
  <dcterms:modified xsi:type="dcterms:W3CDTF">2022-02-15T17:26:21Z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4881df17-cbe2-4721-9bda-eae0f789f39b</vt:lpwstr>
  </property>
</Properties>
</file>